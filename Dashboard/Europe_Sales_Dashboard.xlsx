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_Projects\Global_Sales_Analysis\1_Excel\"/>
    </mc:Choice>
  </mc:AlternateContent>
  <xr:revisionPtr revIDLastSave="0" documentId="13_ncr:1_{E32DD662-2ACD-451F-8C37-65822B4BDF7A}" xr6:coauthVersionLast="47" xr6:coauthVersionMax="47" xr10:uidLastSave="{00000000-0000-0000-0000-000000000000}"/>
  <bookViews>
    <workbookView xWindow="-108" yWindow="-108" windowWidth="23256" windowHeight="12456" activeTab="4" xr2:uid="{BA9BE0EA-E753-453B-B738-7A504CCF83A2}"/>
  </bookViews>
  <sheets>
    <sheet name="raw_data" sheetId="4" r:id="rId1"/>
    <sheet name="cleaned_data" sheetId="5" r:id="rId2"/>
    <sheet name="Data_Understanding" sheetId="1" r:id="rId3"/>
    <sheet name="Pivot Tables" sheetId="3" r:id="rId4"/>
    <sheet name="Dashboard" sheetId="9" r:id="rId5"/>
  </sheets>
  <definedNames>
    <definedName name="ExternalData_1" localSheetId="1" hidden="1">cleaned_data!$A$1:$AA$1331</definedName>
    <definedName name="ExternalData_1" localSheetId="0" hidden="1">raw_data!$A$1:$N$1331</definedName>
    <definedName name="Slicer_Item_Type">#N/A</definedName>
    <definedName name="Slicer_Order_Year">#N/A</definedName>
    <definedName name="Slicer_Sales_Channel">#N/A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5" l="1"/>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634" i="5"/>
  <c r="Z635" i="5"/>
  <c r="Z636" i="5"/>
  <c r="Z637" i="5"/>
  <c r="Z638" i="5"/>
  <c r="Z639" i="5"/>
  <c r="Z640" i="5"/>
  <c r="Z641" i="5"/>
  <c r="Z642" i="5"/>
  <c r="Z643" i="5"/>
  <c r="Z644" i="5"/>
  <c r="Z645" i="5"/>
  <c r="Z646" i="5"/>
  <c r="Z647" i="5"/>
  <c r="Z648" i="5"/>
  <c r="Z649" i="5"/>
  <c r="Z650" i="5"/>
  <c r="Z651" i="5"/>
  <c r="Z652" i="5"/>
  <c r="Z653" i="5"/>
  <c r="Z654" i="5"/>
  <c r="Z655" i="5"/>
  <c r="Z656" i="5"/>
  <c r="Z657" i="5"/>
  <c r="Z658" i="5"/>
  <c r="Z659" i="5"/>
  <c r="Z660" i="5"/>
  <c r="Z661" i="5"/>
  <c r="Z662" i="5"/>
  <c r="Z663" i="5"/>
  <c r="Z664" i="5"/>
  <c r="Z665" i="5"/>
  <c r="Z666" i="5"/>
  <c r="Z667" i="5"/>
  <c r="Z668" i="5"/>
  <c r="Z669" i="5"/>
  <c r="Z670" i="5"/>
  <c r="Z671" i="5"/>
  <c r="Z672" i="5"/>
  <c r="Z673" i="5"/>
  <c r="Z674" i="5"/>
  <c r="Z675" i="5"/>
  <c r="Z676" i="5"/>
  <c r="Z677" i="5"/>
  <c r="Z678" i="5"/>
  <c r="Z679" i="5"/>
  <c r="Z680" i="5"/>
  <c r="Z681" i="5"/>
  <c r="Z682" i="5"/>
  <c r="Z683" i="5"/>
  <c r="Z684" i="5"/>
  <c r="Z685" i="5"/>
  <c r="Z686" i="5"/>
  <c r="Z687" i="5"/>
  <c r="Z688" i="5"/>
  <c r="Z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Z727" i="5"/>
  <c r="Z728" i="5"/>
  <c r="Z729" i="5"/>
  <c r="Z730" i="5"/>
  <c r="Z731" i="5"/>
  <c r="Z732" i="5"/>
  <c r="Z733" i="5"/>
  <c r="Z734" i="5"/>
  <c r="Z735" i="5"/>
  <c r="Z736" i="5"/>
  <c r="Z737" i="5"/>
  <c r="Z738" i="5"/>
  <c r="Z739" i="5"/>
  <c r="Z740" i="5"/>
  <c r="Z741" i="5"/>
  <c r="Z742" i="5"/>
  <c r="Z743" i="5"/>
  <c r="Z744" i="5"/>
  <c r="Z745" i="5"/>
  <c r="Z746" i="5"/>
  <c r="Z747" i="5"/>
  <c r="Z748" i="5"/>
  <c r="Z749" i="5"/>
  <c r="Z750" i="5"/>
  <c r="Z751" i="5"/>
  <c r="Z752" i="5"/>
  <c r="Z753" i="5"/>
  <c r="Z754" i="5"/>
  <c r="Z755" i="5"/>
  <c r="Z756" i="5"/>
  <c r="Z757" i="5"/>
  <c r="Z758" i="5"/>
  <c r="Z759" i="5"/>
  <c r="Z760" i="5"/>
  <c r="Z761" i="5"/>
  <c r="Z762" i="5"/>
  <c r="Z763" i="5"/>
  <c r="Z764" i="5"/>
  <c r="Z765" i="5"/>
  <c r="Z766" i="5"/>
  <c r="Z767" i="5"/>
  <c r="Z768" i="5"/>
  <c r="Z769" i="5"/>
  <c r="Z770" i="5"/>
  <c r="Z771" i="5"/>
  <c r="Z772" i="5"/>
  <c r="Z773" i="5"/>
  <c r="Z774" i="5"/>
  <c r="Z775" i="5"/>
  <c r="Z776" i="5"/>
  <c r="Z777" i="5"/>
  <c r="Z778" i="5"/>
  <c r="Z779" i="5"/>
  <c r="Z780" i="5"/>
  <c r="Z781" i="5"/>
  <c r="Z782" i="5"/>
  <c r="Z783" i="5"/>
  <c r="Z784" i="5"/>
  <c r="Z785" i="5"/>
  <c r="Z786" i="5"/>
  <c r="Z787" i="5"/>
  <c r="Z788" i="5"/>
  <c r="Z789" i="5"/>
  <c r="Z790" i="5"/>
  <c r="Z791" i="5"/>
  <c r="Z792" i="5"/>
  <c r="Z793" i="5"/>
  <c r="Z794" i="5"/>
  <c r="Z795" i="5"/>
  <c r="Z796" i="5"/>
  <c r="Z797" i="5"/>
  <c r="Z798" i="5"/>
  <c r="Z799" i="5"/>
  <c r="Z800" i="5"/>
  <c r="Z801" i="5"/>
  <c r="Z802" i="5"/>
  <c r="Z803" i="5"/>
  <c r="Z804" i="5"/>
  <c r="Z805" i="5"/>
  <c r="Z806" i="5"/>
  <c r="Z807" i="5"/>
  <c r="Z808" i="5"/>
  <c r="Z809" i="5"/>
  <c r="Z810" i="5"/>
  <c r="Z811" i="5"/>
  <c r="Z812" i="5"/>
  <c r="Z813" i="5"/>
  <c r="Z814" i="5"/>
  <c r="Z815" i="5"/>
  <c r="Z816" i="5"/>
  <c r="Z817" i="5"/>
  <c r="Z818" i="5"/>
  <c r="Z819" i="5"/>
  <c r="Z820" i="5"/>
  <c r="Z821" i="5"/>
  <c r="Z822" i="5"/>
  <c r="Z823" i="5"/>
  <c r="Z824" i="5"/>
  <c r="Z825" i="5"/>
  <c r="Z826" i="5"/>
  <c r="Z827" i="5"/>
  <c r="Z828" i="5"/>
  <c r="Z829" i="5"/>
  <c r="Z830" i="5"/>
  <c r="Z831" i="5"/>
  <c r="Z832" i="5"/>
  <c r="Z833" i="5"/>
  <c r="Z834" i="5"/>
  <c r="Z835" i="5"/>
  <c r="Z836" i="5"/>
  <c r="Z837" i="5"/>
  <c r="Z838" i="5"/>
  <c r="Z839" i="5"/>
  <c r="Z840" i="5"/>
  <c r="Z841" i="5"/>
  <c r="Z842" i="5"/>
  <c r="Z843" i="5"/>
  <c r="Z844" i="5"/>
  <c r="Z845" i="5"/>
  <c r="Z846" i="5"/>
  <c r="Z847" i="5"/>
  <c r="Z848" i="5"/>
  <c r="Z849" i="5"/>
  <c r="Z850" i="5"/>
  <c r="Z851" i="5"/>
  <c r="Z852" i="5"/>
  <c r="Z853" i="5"/>
  <c r="Z854" i="5"/>
  <c r="Z855" i="5"/>
  <c r="Z856" i="5"/>
  <c r="Z857" i="5"/>
  <c r="Z858" i="5"/>
  <c r="Z859" i="5"/>
  <c r="Z860" i="5"/>
  <c r="Z861" i="5"/>
  <c r="Z862" i="5"/>
  <c r="Z863" i="5"/>
  <c r="Z864" i="5"/>
  <c r="Z865" i="5"/>
  <c r="Z866" i="5"/>
  <c r="Z867" i="5"/>
  <c r="Z868" i="5"/>
  <c r="Z869" i="5"/>
  <c r="Z870" i="5"/>
  <c r="Z871" i="5"/>
  <c r="Z872" i="5"/>
  <c r="Z873" i="5"/>
  <c r="Z874" i="5"/>
  <c r="Z875" i="5"/>
  <c r="Z876" i="5"/>
  <c r="Z877" i="5"/>
  <c r="Z878" i="5"/>
  <c r="Z879" i="5"/>
  <c r="Z880" i="5"/>
  <c r="Z881" i="5"/>
  <c r="Z882" i="5"/>
  <c r="Z883" i="5"/>
  <c r="Z884" i="5"/>
  <c r="Z885" i="5"/>
  <c r="Z886" i="5"/>
  <c r="Z887" i="5"/>
  <c r="Z888" i="5"/>
  <c r="Z889" i="5"/>
  <c r="Z890" i="5"/>
  <c r="Z891" i="5"/>
  <c r="Z892" i="5"/>
  <c r="Z893" i="5"/>
  <c r="Z894" i="5"/>
  <c r="Z895" i="5"/>
  <c r="Z896" i="5"/>
  <c r="Z897" i="5"/>
  <c r="Z898" i="5"/>
  <c r="Z899" i="5"/>
  <c r="Z900" i="5"/>
  <c r="Z901" i="5"/>
  <c r="Z902" i="5"/>
  <c r="Z903" i="5"/>
  <c r="Z904" i="5"/>
  <c r="Z905" i="5"/>
  <c r="Z906" i="5"/>
  <c r="Z907" i="5"/>
  <c r="Z908" i="5"/>
  <c r="Z909" i="5"/>
  <c r="Z910" i="5"/>
  <c r="Z911" i="5"/>
  <c r="Z912" i="5"/>
  <c r="Z913" i="5"/>
  <c r="Z914" i="5"/>
  <c r="Z915" i="5"/>
  <c r="Z916" i="5"/>
  <c r="Z917" i="5"/>
  <c r="Z918" i="5"/>
  <c r="Z919" i="5"/>
  <c r="Z920" i="5"/>
  <c r="Z921" i="5"/>
  <c r="Z922" i="5"/>
  <c r="Z923" i="5"/>
  <c r="Z924" i="5"/>
  <c r="Z925" i="5"/>
  <c r="Z926" i="5"/>
  <c r="Z927" i="5"/>
  <c r="Z928" i="5"/>
  <c r="Z929" i="5"/>
  <c r="Z930" i="5"/>
  <c r="Z931" i="5"/>
  <c r="Z932" i="5"/>
  <c r="Z933" i="5"/>
  <c r="Z934" i="5"/>
  <c r="Z935" i="5"/>
  <c r="Z936" i="5"/>
  <c r="Z937" i="5"/>
  <c r="Z938" i="5"/>
  <c r="Z939" i="5"/>
  <c r="Z940" i="5"/>
  <c r="Z941" i="5"/>
  <c r="Z942" i="5"/>
  <c r="Z943" i="5"/>
  <c r="Z944" i="5"/>
  <c r="Z945" i="5"/>
  <c r="Z946" i="5"/>
  <c r="Z947" i="5"/>
  <c r="Z948" i="5"/>
  <c r="Z949" i="5"/>
  <c r="Z950" i="5"/>
  <c r="Z951" i="5"/>
  <c r="Z952" i="5"/>
  <c r="Z953" i="5"/>
  <c r="Z954" i="5"/>
  <c r="Z955" i="5"/>
  <c r="Z956" i="5"/>
  <c r="Z957" i="5"/>
  <c r="Z958" i="5"/>
  <c r="Z959" i="5"/>
  <c r="Z960" i="5"/>
  <c r="Z961" i="5"/>
  <c r="Z962" i="5"/>
  <c r="Z963" i="5"/>
  <c r="Z964" i="5"/>
  <c r="Z965" i="5"/>
  <c r="Z966" i="5"/>
  <c r="Z967" i="5"/>
  <c r="Z968" i="5"/>
  <c r="Z969" i="5"/>
  <c r="Z970" i="5"/>
  <c r="Z971" i="5"/>
  <c r="Z972" i="5"/>
  <c r="Z973" i="5"/>
  <c r="Z974" i="5"/>
  <c r="Z975" i="5"/>
  <c r="Z976" i="5"/>
  <c r="Z977" i="5"/>
  <c r="Z978" i="5"/>
  <c r="Z979" i="5"/>
  <c r="Z980" i="5"/>
  <c r="Z981" i="5"/>
  <c r="Z982" i="5"/>
  <c r="Z983" i="5"/>
  <c r="Z984" i="5"/>
  <c r="Z985" i="5"/>
  <c r="Z986" i="5"/>
  <c r="Z987" i="5"/>
  <c r="Z988" i="5"/>
  <c r="Z989" i="5"/>
  <c r="Z990" i="5"/>
  <c r="Z991" i="5"/>
  <c r="Z992" i="5"/>
  <c r="Z993" i="5"/>
  <c r="Z994" i="5"/>
  <c r="Z995" i="5"/>
  <c r="Z996" i="5"/>
  <c r="Z997" i="5"/>
  <c r="Z998" i="5"/>
  <c r="Z999" i="5"/>
  <c r="Z1000" i="5"/>
  <c r="Z1001" i="5"/>
  <c r="Z1002" i="5"/>
  <c r="Z1003" i="5"/>
  <c r="Z1004" i="5"/>
  <c r="Z1005" i="5"/>
  <c r="Z1006" i="5"/>
  <c r="Z1007" i="5"/>
  <c r="Z1008" i="5"/>
  <c r="Z1009" i="5"/>
  <c r="Z1010" i="5"/>
  <c r="Z1011" i="5"/>
  <c r="Z1012" i="5"/>
  <c r="Z1013" i="5"/>
  <c r="Z1014" i="5"/>
  <c r="Z1015" i="5"/>
  <c r="Z1016" i="5"/>
  <c r="Z1017" i="5"/>
  <c r="Z1018" i="5"/>
  <c r="Z1019" i="5"/>
  <c r="Z1020" i="5"/>
  <c r="Z1021" i="5"/>
  <c r="Z1022" i="5"/>
  <c r="Z1023" i="5"/>
  <c r="Z1024" i="5"/>
  <c r="Z1025" i="5"/>
  <c r="Z1026" i="5"/>
  <c r="Z1027" i="5"/>
  <c r="Z1028" i="5"/>
  <c r="Z1029" i="5"/>
  <c r="Z1030" i="5"/>
  <c r="Z1031" i="5"/>
  <c r="Z1032" i="5"/>
  <c r="Z1033" i="5"/>
  <c r="Z1034" i="5"/>
  <c r="Z1035" i="5"/>
  <c r="Z1036" i="5"/>
  <c r="Z1037" i="5"/>
  <c r="Z1038" i="5"/>
  <c r="Z1039" i="5"/>
  <c r="Z1040" i="5"/>
  <c r="Z1041" i="5"/>
  <c r="Z1042" i="5"/>
  <c r="Z1043" i="5"/>
  <c r="Z1044" i="5"/>
  <c r="Z1045" i="5"/>
  <c r="Z1046" i="5"/>
  <c r="Z1047" i="5"/>
  <c r="Z1048" i="5"/>
  <c r="Z1049" i="5"/>
  <c r="Z1050" i="5"/>
  <c r="Z1051" i="5"/>
  <c r="Z1052" i="5"/>
  <c r="Z1053" i="5"/>
  <c r="Z1054" i="5"/>
  <c r="Z1055" i="5"/>
  <c r="Z1056" i="5"/>
  <c r="Z1057" i="5"/>
  <c r="Z1058" i="5"/>
  <c r="Z1059" i="5"/>
  <c r="Z1060" i="5"/>
  <c r="Z1061" i="5"/>
  <c r="Z1062" i="5"/>
  <c r="Z1063" i="5"/>
  <c r="Z1064" i="5"/>
  <c r="Z1065" i="5"/>
  <c r="Z1066" i="5"/>
  <c r="Z1067" i="5"/>
  <c r="Z1068" i="5"/>
  <c r="Z1069" i="5"/>
  <c r="Z1070" i="5"/>
  <c r="Z1071" i="5"/>
  <c r="Z1072" i="5"/>
  <c r="Z1073" i="5"/>
  <c r="Z1074" i="5"/>
  <c r="Z1075" i="5"/>
  <c r="Z1076" i="5"/>
  <c r="Z1077" i="5"/>
  <c r="Z1078" i="5"/>
  <c r="Z1079" i="5"/>
  <c r="Z1080" i="5"/>
  <c r="Z1081" i="5"/>
  <c r="Z1082" i="5"/>
  <c r="Z1083" i="5"/>
  <c r="Z1084" i="5"/>
  <c r="Z1085" i="5"/>
  <c r="Z1086" i="5"/>
  <c r="Z1087" i="5"/>
  <c r="Z1088" i="5"/>
  <c r="Z1089" i="5"/>
  <c r="Z1090" i="5"/>
  <c r="Z1091" i="5"/>
  <c r="Z1092" i="5"/>
  <c r="Z1093" i="5"/>
  <c r="Z1094" i="5"/>
  <c r="Z1095" i="5"/>
  <c r="Z1096" i="5"/>
  <c r="Z1097" i="5"/>
  <c r="Z1098" i="5"/>
  <c r="Z1099" i="5"/>
  <c r="Z1100" i="5"/>
  <c r="Z1101" i="5"/>
  <c r="Z1102" i="5"/>
  <c r="Z1103" i="5"/>
  <c r="Z1104" i="5"/>
  <c r="Z1105" i="5"/>
  <c r="Z1106" i="5"/>
  <c r="Z1107" i="5"/>
  <c r="Z1108" i="5"/>
  <c r="Z1109" i="5"/>
  <c r="Z1110" i="5"/>
  <c r="Z1111" i="5"/>
  <c r="Z1112" i="5"/>
  <c r="Z1113" i="5"/>
  <c r="Z1114" i="5"/>
  <c r="Z1115" i="5"/>
  <c r="Z1116" i="5"/>
  <c r="Z1117" i="5"/>
  <c r="Z1118" i="5"/>
  <c r="Z1119" i="5"/>
  <c r="Z1120" i="5"/>
  <c r="Z1121" i="5"/>
  <c r="Z1122" i="5"/>
  <c r="Z1123" i="5"/>
  <c r="Z1124" i="5"/>
  <c r="Z1125" i="5"/>
  <c r="Z1126" i="5"/>
  <c r="Z1127" i="5"/>
  <c r="Z1128" i="5"/>
  <c r="Z1129" i="5"/>
  <c r="Z1130" i="5"/>
  <c r="Z1131" i="5"/>
  <c r="Z1132" i="5"/>
  <c r="Z1133" i="5"/>
  <c r="Z1134" i="5"/>
  <c r="Z1135" i="5"/>
  <c r="Z1136" i="5"/>
  <c r="Z1137" i="5"/>
  <c r="Z1138" i="5"/>
  <c r="Z1139" i="5"/>
  <c r="Z1140" i="5"/>
  <c r="Z1141" i="5"/>
  <c r="Z1142" i="5"/>
  <c r="Z1143" i="5"/>
  <c r="Z1144" i="5"/>
  <c r="Z1145" i="5"/>
  <c r="Z1146" i="5"/>
  <c r="Z1147" i="5"/>
  <c r="Z1148" i="5"/>
  <c r="Z1149" i="5"/>
  <c r="Z1150" i="5"/>
  <c r="Z1151" i="5"/>
  <c r="Z1152" i="5"/>
  <c r="Z1153" i="5"/>
  <c r="Z1154" i="5"/>
  <c r="Z1155" i="5"/>
  <c r="Z1156" i="5"/>
  <c r="Z1157" i="5"/>
  <c r="Z1158" i="5"/>
  <c r="Z1159" i="5"/>
  <c r="Z1160" i="5"/>
  <c r="Z1161" i="5"/>
  <c r="Z1162" i="5"/>
  <c r="Z1163" i="5"/>
  <c r="Z1164" i="5"/>
  <c r="Z1165" i="5"/>
  <c r="Z1166" i="5"/>
  <c r="Z1167" i="5"/>
  <c r="Z1168" i="5"/>
  <c r="Z1169" i="5"/>
  <c r="Z1170" i="5"/>
  <c r="Z1171" i="5"/>
  <c r="Z1172" i="5"/>
  <c r="Z1173" i="5"/>
  <c r="Z1174" i="5"/>
  <c r="Z1175" i="5"/>
  <c r="Z1176" i="5"/>
  <c r="Z1177" i="5"/>
  <c r="Z1178" i="5"/>
  <c r="Z1179" i="5"/>
  <c r="Z1180" i="5"/>
  <c r="Z1181" i="5"/>
  <c r="Z1182" i="5"/>
  <c r="Z1183" i="5"/>
  <c r="Z1184" i="5"/>
  <c r="Z1185" i="5"/>
  <c r="Z1186" i="5"/>
  <c r="Z1187" i="5"/>
  <c r="Z1188" i="5"/>
  <c r="Z1189" i="5"/>
  <c r="Z1190" i="5"/>
  <c r="Z1191" i="5"/>
  <c r="Z1192" i="5"/>
  <c r="Z1193" i="5"/>
  <c r="Z1194" i="5"/>
  <c r="Z1195" i="5"/>
  <c r="Z1196" i="5"/>
  <c r="Z1197" i="5"/>
  <c r="Z1198" i="5"/>
  <c r="Z1199" i="5"/>
  <c r="Z1200" i="5"/>
  <c r="Z1201" i="5"/>
  <c r="Z1202" i="5"/>
  <c r="Z1203" i="5"/>
  <c r="Z1204" i="5"/>
  <c r="Z1205" i="5"/>
  <c r="Z1206" i="5"/>
  <c r="Z1207" i="5"/>
  <c r="Z1208" i="5"/>
  <c r="Z1209" i="5"/>
  <c r="Z1210" i="5"/>
  <c r="Z1211" i="5"/>
  <c r="Z1212" i="5"/>
  <c r="Z1213" i="5"/>
  <c r="Z1214" i="5"/>
  <c r="Z1215" i="5"/>
  <c r="Z1216" i="5"/>
  <c r="Z1217" i="5"/>
  <c r="Z1218" i="5"/>
  <c r="Z1219" i="5"/>
  <c r="Z1220" i="5"/>
  <c r="Z1221" i="5"/>
  <c r="Z1222" i="5"/>
  <c r="Z1223" i="5"/>
  <c r="Z1224" i="5"/>
  <c r="Z1225" i="5"/>
  <c r="Z1226" i="5"/>
  <c r="Z1227" i="5"/>
  <c r="Z1228" i="5"/>
  <c r="Z1229" i="5"/>
  <c r="Z1230" i="5"/>
  <c r="Z1231" i="5"/>
  <c r="Z1232" i="5"/>
  <c r="Z1233" i="5"/>
  <c r="Z1234" i="5"/>
  <c r="Z1235" i="5"/>
  <c r="Z1236" i="5"/>
  <c r="Z1237" i="5"/>
  <c r="Z1238" i="5"/>
  <c r="Z1239" i="5"/>
  <c r="Z1240" i="5"/>
  <c r="Z1241" i="5"/>
  <c r="Z1242" i="5"/>
  <c r="Z1243" i="5"/>
  <c r="Z1244" i="5"/>
  <c r="Z1245" i="5"/>
  <c r="Z1246" i="5"/>
  <c r="Z1247" i="5"/>
  <c r="Z1248" i="5"/>
  <c r="Z1249" i="5"/>
  <c r="Z1250" i="5"/>
  <c r="Z1251" i="5"/>
  <c r="Z1252" i="5"/>
  <c r="Z1253" i="5"/>
  <c r="Z1254" i="5"/>
  <c r="Z1255" i="5"/>
  <c r="Z1256" i="5"/>
  <c r="Z1257" i="5"/>
  <c r="Z1258" i="5"/>
  <c r="Z1259" i="5"/>
  <c r="Z1260" i="5"/>
  <c r="Z1261" i="5"/>
  <c r="Z1262" i="5"/>
  <c r="Z1263" i="5"/>
  <c r="Z1264" i="5"/>
  <c r="Z1265" i="5"/>
  <c r="Z1266" i="5"/>
  <c r="Z1267" i="5"/>
  <c r="Z1268" i="5"/>
  <c r="Z1269" i="5"/>
  <c r="Z1270" i="5"/>
  <c r="Z1271" i="5"/>
  <c r="Z1272" i="5"/>
  <c r="Z1273" i="5"/>
  <c r="Z1274" i="5"/>
  <c r="Z1275" i="5"/>
  <c r="Z1276" i="5"/>
  <c r="Z1277" i="5"/>
  <c r="Z1278" i="5"/>
  <c r="Z1279" i="5"/>
  <c r="Z1280" i="5"/>
  <c r="Z1281" i="5"/>
  <c r="Z1282" i="5"/>
  <c r="Z1283" i="5"/>
  <c r="Z1284" i="5"/>
  <c r="Z1285" i="5"/>
  <c r="Z1286" i="5"/>
  <c r="Z1287" i="5"/>
  <c r="Z1288" i="5"/>
  <c r="Z1289" i="5"/>
  <c r="Z1290" i="5"/>
  <c r="Z1291" i="5"/>
  <c r="Z1292" i="5"/>
  <c r="Z1293" i="5"/>
  <c r="Z1294" i="5"/>
  <c r="Z1295" i="5"/>
  <c r="Z1296" i="5"/>
  <c r="Z1297" i="5"/>
  <c r="Z1298" i="5"/>
  <c r="Z1299" i="5"/>
  <c r="Z1300" i="5"/>
  <c r="Z1301" i="5"/>
  <c r="Z1302" i="5"/>
  <c r="Z1303" i="5"/>
  <c r="Z1304" i="5"/>
  <c r="Z1305" i="5"/>
  <c r="Z1306" i="5"/>
  <c r="Z1307" i="5"/>
  <c r="Z1308" i="5"/>
  <c r="Z1309" i="5"/>
  <c r="Z1310" i="5"/>
  <c r="Z1311" i="5"/>
  <c r="Z1312" i="5"/>
  <c r="Z1313" i="5"/>
  <c r="Z1314" i="5"/>
  <c r="Z1315" i="5"/>
  <c r="Z1316" i="5"/>
  <c r="Z1317" i="5"/>
  <c r="Z1318" i="5"/>
  <c r="Z1319" i="5"/>
  <c r="Z1320" i="5"/>
  <c r="Z1321" i="5"/>
  <c r="Z1322" i="5"/>
  <c r="Z1323" i="5"/>
  <c r="Z1324" i="5"/>
  <c r="Z1325" i="5"/>
  <c r="Z1326" i="5"/>
  <c r="Z1327" i="5"/>
  <c r="Z1328" i="5"/>
  <c r="Z1329" i="5"/>
  <c r="Z1330" i="5"/>
  <c r="Z1331" i="5"/>
  <c r="Z2" i="5"/>
  <c r="M2" i="5"/>
  <c r="M3" i="5"/>
  <c r="M4" i="5"/>
  <c r="M5" i="5"/>
  <c r="M6" i="5"/>
  <c r="M7" i="5"/>
  <c r="M8" i="5"/>
  <c r="M9" i="5"/>
  <c r="M10" i="5"/>
  <c r="M11" i="5"/>
  <c r="M12" i="5"/>
  <c r="M13" i="5"/>
  <c r="M14" i="5"/>
  <c r="M15" i="5"/>
  <c r="M16" i="5"/>
  <c r="M17" i="5"/>
  <c r="M18" i="5"/>
  <c r="M19" i="5"/>
  <c r="M20" i="5"/>
  <c r="M21" i="5"/>
  <c r="M22" i="5"/>
  <c r="M23" i="5"/>
  <c r="M24" i="5"/>
  <c r="Q24" i="5" s="1"/>
  <c r="M25" i="5"/>
  <c r="Q25" i="5" s="1"/>
  <c r="M26" i="5"/>
  <c r="M27" i="5"/>
  <c r="M28" i="5"/>
  <c r="M29" i="5"/>
  <c r="M30" i="5"/>
  <c r="M31" i="5"/>
  <c r="M32" i="5"/>
  <c r="M33" i="5"/>
  <c r="Q33" i="5" s="1"/>
  <c r="M34" i="5"/>
  <c r="M35" i="5"/>
  <c r="M36" i="5"/>
  <c r="M37" i="5"/>
  <c r="M38" i="5"/>
  <c r="M39" i="5"/>
  <c r="M40" i="5"/>
  <c r="M41" i="5"/>
  <c r="M42" i="5"/>
  <c r="M43" i="5"/>
  <c r="M44" i="5"/>
  <c r="M45" i="5"/>
  <c r="M46" i="5"/>
  <c r="M47" i="5"/>
  <c r="M48" i="5"/>
  <c r="M49" i="5"/>
  <c r="M50" i="5"/>
  <c r="M51" i="5"/>
  <c r="M52" i="5"/>
  <c r="M53" i="5"/>
  <c r="M54" i="5"/>
  <c r="M55" i="5"/>
  <c r="M56" i="5"/>
  <c r="Q56" i="5" s="1"/>
  <c r="M57" i="5"/>
  <c r="Q57" i="5" s="1"/>
  <c r="M58" i="5"/>
  <c r="M59" i="5"/>
  <c r="M60" i="5"/>
  <c r="M61" i="5"/>
  <c r="M62" i="5"/>
  <c r="M63" i="5"/>
  <c r="M64" i="5"/>
  <c r="Q64" i="5" s="1"/>
  <c r="M65" i="5"/>
  <c r="Q65" i="5" s="1"/>
  <c r="M66" i="5"/>
  <c r="M67" i="5"/>
  <c r="M68" i="5"/>
  <c r="M69" i="5"/>
  <c r="M70" i="5"/>
  <c r="M71" i="5"/>
  <c r="M72" i="5"/>
  <c r="M73" i="5"/>
  <c r="M74" i="5"/>
  <c r="M75" i="5"/>
  <c r="M76" i="5"/>
  <c r="M77" i="5"/>
  <c r="M78" i="5"/>
  <c r="M79" i="5"/>
  <c r="M80" i="5"/>
  <c r="M81" i="5"/>
  <c r="M82" i="5"/>
  <c r="M83" i="5"/>
  <c r="M84" i="5"/>
  <c r="M85" i="5"/>
  <c r="M86" i="5"/>
  <c r="M87" i="5"/>
  <c r="M88" i="5"/>
  <c r="Q88" i="5" s="1"/>
  <c r="M89" i="5"/>
  <c r="Q89" i="5" s="1"/>
  <c r="M90" i="5"/>
  <c r="M91" i="5"/>
  <c r="M92" i="5"/>
  <c r="M93" i="5"/>
  <c r="M94" i="5"/>
  <c r="M95" i="5"/>
  <c r="M96" i="5"/>
  <c r="M97" i="5"/>
  <c r="Q97" i="5" s="1"/>
  <c r="M98" i="5"/>
  <c r="M99" i="5"/>
  <c r="M100" i="5"/>
  <c r="M101" i="5"/>
  <c r="M102" i="5"/>
  <c r="M103" i="5"/>
  <c r="M104" i="5"/>
  <c r="M105" i="5"/>
  <c r="M106" i="5"/>
  <c r="M107" i="5"/>
  <c r="M108" i="5"/>
  <c r="M109" i="5"/>
  <c r="M110" i="5"/>
  <c r="M111" i="5"/>
  <c r="M112" i="5"/>
  <c r="M113" i="5"/>
  <c r="M114" i="5"/>
  <c r="M115" i="5"/>
  <c r="M116" i="5"/>
  <c r="M117" i="5"/>
  <c r="M118" i="5"/>
  <c r="M119" i="5"/>
  <c r="M120" i="5"/>
  <c r="M121" i="5"/>
  <c r="Q121" i="5" s="1"/>
  <c r="M122" i="5"/>
  <c r="M123" i="5"/>
  <c r="M124" i="5"/>
  <c r="M125" i="5"/>
  <c r="M126" i="5"/>
  <c r="M127" i="5"/>
  <c r="M128" i="5"/>
  <c r="Q128" i="5" s="1"/>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Q161" i="5" s="1"/>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Q217" i="5" s="1"/>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Q280" i="5" s="1"/>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Q320" i="5" s="1"/>
  <c r="M321" i="5"/>
  <c r="Q321" i="5" s="1"/>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Q361" i="5" s="1"/>
  <c r="M362" i="5"/>
  <c r="M363" i="5"/>
  <c r="M364" i="5"/>
  <c r="M365" i="5"/>
  <c r="M366" i="5"/>
  <c r="M367" i="5"/>
  <c r="M368" i="5"/>
  <c r="M369" i="5"/>
  <c r="M370" i="5"/>
  <c r="M371" i="5"/>
  <c r="M372" i="5"/>
  <c r="M373" i="5"/>
  <c r="M374" i="5"/>
  <c r="M375" i="5"/>
  <c r="M376" i="5"/>
  <c r="Q376" i="5" s="1"/>
  <c r="M377" i="5"/>
  <c r="Q377" i="5" s="1"/>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Q417" i="5" s="1"/>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Q473" i="5" s="1"/>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Q520" i="5" s="1"/>
  <c r="M521" i="5"/>
  <c r="M522" i="5"/>
  <c r="M523" i="5"/>
  <c r="M524" i="5"/>
  <c r="M525" i="5"/>
  <c r="M526" i="5"/>
  <c r="M527" i="5"/>
  <c r="M528" i="5"/>
  <c r="M529" i="5"/>
  <c r="M530" i="5"/>
  <c r="M531" i="5"/>
  <c r="M532" i="5"/>
  <c r="M533" i="5"/>
  <c r="M534" i="5"/>
  <c r="M535" i="5"/>
  <c r="M536" i="5"/>
  <c r="Q536" i="5" s="1"/>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Q576" i="5" s="1"/>
  <c r="M577" i="5"/>
  <c r="Q577" i="5" s="1"/>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Q632" i="5" s="1"/>
  <c r="M633" i="5"/>
  <c r="Q633" i="5" s="1"/>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Q664" i="5" s="1"/>
  <c r="M665" i="5"/>
  <c r="M666" i="5"/>
  <c r="M667" i="5"/>
  <c r="M668" i="5"/>
  <c r="M669" i="5"/>
  <c r="M670" i="5"/>
  <c r="M671" i="5"/>
  <c r="M672" i="5"/>
  <c r="M673" i="5"/>
  <c r="M674" i="5"/>
  <c r="M675" i="5"/>
  <c r="M676" i="5"/>
  <c r="M677" i="5"/>
  <c r="M678" i="5"/>
  <c r="M679" i="5"/>
  <c r="M680" i="5"/>
  <c r="M681" i="5"/>
  <c r="M682" i="5"/>
  <c r="M683" i="5"/>
  <c r="M684" i="5"/>
  <c r="M685" i="5"/>
  <c r="M686" i="5"/>
  <c r="M687" i="5"/>
  <c r="Q687" i="5" s="1"/>
  <c r="M688" i="5"/>
  <c r="Q688" i="5" s="1"/>
  <c r="M689" i="5"/>
  <c r="M690" i="5"/>
  <c r="M691" i="5"/>
  <c r="M692" i="5"/>
  <c r="M693" i="5"/>
  <c r="M694" i="5"/>
  <c r="M695" i="5"/>
  <c r="M696" i="5"/>
  <c r="M697" i="5"/>
  <c r="M698" i="5"/>
  <c r="Q698" i="5" s="1"/>
  <c r="M699" i="5"/>
  <c r="M700" i="5"/>
  <c r="M701" i="5"/>
  <c r="M702" i="5"/>
  <c r="M703" i="5"/>
  <c r="M704" i="5"/>
  <c r="M705" i="5"/>
  <c r="M706" i="5"/>
  <c r="M707" i="5"/>
  <c r="M708" i="5"/>
  <c r="M709" i="5"/>
  <c r="M710" i="5"/>
  <c r="M711" i="5"/>
  <c r="M712" i="5"/>
  <c r="Q712" i="5" s="1"/>
  <c r="M713" i="5"/>
  <c r="M714" i="5"/>
  <c r="M715" i="5"/>
  <c r="M716" i="5"/>
  <c r="M717" i="5"/>
  <c r="M718" i="5"/>
  <c r="M719" i="5"/>
  <c r="M720" i="5"/>
  <c r="M721" i="5"/>
  <c r="M722" i="5"/>
  <c r="M723" i="5"/>
  <c r="M724" i="5"/>
  <c r="M725" i="5"/>
  <c r="M726" i="5"/>
  <c r="M727" i="5"/>
  <c r="Q727" i="5" s="1"/>
  <c r="M728" i="5"/>
  <c r="M729" i="5"/>
  <c r="M730" i="5"/>
  <c r="M731" i="5"/>
  <c r="M732" i="5"/>
  <c r="M733" i="5"/>
  <c r="M734" i="5"/>
  <c r="M735" i="5"/>
  <c r="M736" i="5"/>
  <c r="M737" i="5"/>
  <c r="Q737" i="5" s="1"/>
  <c r="M738" i="5"/>
  <c r="Q738" i="5" s="1"/>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Q790" i="5" s="1"/>
  <c r="M791" i="5"/>
  <c r="Q791" i="5" s="1"/>
  <c r="M792" i="5"/>
  <c r="M793" i="5"/>
  <c r="M794" i="5"/>
  <c r="M795" i="5"/>
  <c r="M796" i="5"/>
  <c r="M797" i="5"/>
  <c r="M798" i="5"/>
  <c r="M799" i="5"/>
  <c r="M800" i="5"/>
  <c r="M801" i="5"/>
  <c r="M802" i="5"/>
  <c r="M803" i="5"/>
  <c r="M804" i="5"/>
  <c r="M805" i="5"/>
  <c r="M806" i="5"/>
  <c r="M807" i="5"/>
  <c r="M808" i="5"/>
  <c r="M809" i="5"/>
  <c r="M810" i="5"/>
  <c r="M811" i="5"/>
  <c r="M812" i="5"/>
  <c r="M813" i="5"/>
  <c r="M814" i="5"/>
  <c r="M815" i="5"/>
  <c r="Q815" i="5" s="1"/>
  <c r="M816" i="5"/>
  <c r="Q816" i="5" s="1"/>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Q854" i="5" s="1"/>
  <c r="M855" i="5"/>
  <c r="Q855" i="5" s="1"/>
  <c r="M856" i="5"/>
  <c r="M857" i="5"/>
  <c r="M858" i="5"/>
  <c r="M859" i="5"/>
  <c r="M860" i="5"/>
  <c r="M861" i="5"/>
  <c r="M862" i="5"/>
  <c r="M863" i="5"/>
  <c r="M864" i="5"/>
  <c r="M865" i="5"/>
  <c r="M866" i="5"/>
  <c r="Q866" i="5" s="1"/>
  <c r="M867" i="5"/>
  <c r="M868" i="5"/>
  <c r="M869" i="5"/>
  <c r="M870" i="5"/>
  <c r="M871" i="5"/>
  <c r="M872" i="5"/>
  <c r="M873" i="5"/>
  <c r="M874" i="5"/>
  <c r="M875" i="5"/>
  <c r="M876" i="5"/>
  <c r="M877" i="5"/>
  <c r="M878" i="5"/>
  <c r="M879" i="5"/>
  <c r="Q879" i="5" s="1"/>
  <c r="M880" i="5"/>
  <c r="M881" i="5"/>
  <c r="M882" i="5"/>
  <c r="M883" i="5"/>
  <c r="M884" i="5"/>
  <c r="M885" i="5"/>
  <c r="M886" i="5"/>
  <c r="M887" i="5"/>
  <c r="M888" i="5"/>
  <c r="M889" i="5"/>
  <c r="M890" i="5"/>
  <c r="M891" i="5"/>
  <c r="M892" i="5"/>
  <c r="M893" i="5"/>
  <c r="M894" i="5"/>
  <c r="Q894" i="5" s="1"/>
  <c r="M895" i="5"/>
  <c r="M896" i="5"/>
  <c r="M897" i="5"/>
  <c r="M898" i="5"/>
  <c r="M899" i="5"/>
  <c r="M900" i="5"/>
  <c r="M901" i="5"/>
  <c r="M902" i="5"/>
  <c r="M903" i="5"/>
  <c r="M904" i="5"/>
  <c r="M905" i="5"/>
  <c r="M906" i="5"/>
  <c r="M907" i="5"/>
  <c r="M908" i="5"/>
  <c r="M909" i="5"/>
  <c r="M910" i="5"/>
  <c r="M911" i="5"/>
  <c r="M912" i="5"/>
  <c r="M913" i="5"/>
  <c r="M914" i="5"/>
  <c r="M915" i="5"/>
  <c r="M916" i="5"/>
  <c r="M917" i="5"/>
  <c r="M918" i="5"/>
  <c r="Q918" i="5" s="1"/>
  <c r="M919" i="5"/>
  <c r="Q919" i="5" s="1"/>
  <c r="M920" i="5"/>
  <c r="M921" i="5"/>
  <c r="M922" i="5"/>
  <c r="M923" i="5"/>
  <c r="M924" i="5"/>
  <c r="M925" i="5"/>
  <c r="M926" i="5"/>
  <c r="M927" i="5"/>
  <c r="M928" i="5"/>
  <c r="M929" i="5"/>
  <c r="M930" i="5"/>
  <c r="M931" i="5"/>
  <c r="M932" i="5"/>
  <c r="M933" i="5"/>
  <c r="M934" i="5"/>
  <c r="M935" i="5"/>
  <c r="M936" i="5"/>
  <c r="M937" i="5"/>
  <c r="M938" i="5"/>
  <c r="M939" i="5"/>
  <c r="M940" i="5"/>
  <c r="M941" i="5"/>
  <c r="M942" i="5"/>
  <c r="M943" i="5"/>
  <c r="Q943" i="5" s="1"/>
  <c r="M944" i="5"/>
  <c r="M945" i="5"/>
  <c r="M946" i="5"/>
  <c r="M947" i="5"/>
  <c r="M948" i="5"/>
  <c r="M949" i="5"/>
  <c r="M950" i="5"/>
  <c r="M951" i="5"/>
  <c r="M952" i="5"/>
  <c r="M953" i="5"/>
  <c r="M954" i="5"/>
  <c r="M955" i="5"/>
  <c r="M956" i="5"/>
  <c r="M957" i="5"/>
  <c r="M958" i="5"/>
  <c r="Q958" i="5" s="1"/>
  <c r="M959" i="5"/>
  <c r="M960" i="5"/>
  <c r="M961" i="5"/>
  <c r="M962" i="5"/>
  <c r="M963" i="5"/>
  <c r="M964" i="5"/>
  <c r="M965" i="5"/>
  <c r="M966" i="5"/>
  <c r="M967" i="5"/>
  <c r="M968" i="5"/>
  <c r="Q968" i="5" s="1"/>
  <c r="M969" i="5"/>
  <c r="M970" i="5"/>
  <c r="M971" i="5"/>
  <c r="M972" i="5"/>
  <c r="M973" i="5"/>
  <c r="M974" i="5"/>
  <c r="M975" i="5"/>
  <c r="M976" i="5"/>
  <c r="M977" i="5"/>
  <c r="M978" i="5"/>
  <c r="M979" i="5"/>
  <c r="M980" i="5"/>
  <c r="M981" i="5"/>
  <c r="M982" i="5"/>
  <c r="Q982" i="5" s="1"/>
  <c r="M983" i="5"/>
  <c r="Q983" i="5" s="1"/>
  <c r="M984" i="5"/>
  <c r="M985" i="5"/>
  <c r="M986" i="5"/>
  <c r="M987" i="5"/>
  <c r="M988" i="5"/>
  <c r="M989" i="5"/>
  <c r="M990" i="5"/>
  <c r="M991" i="5"/>
  <c r="M992" i="5"/>
  <c r="M993" i="5"/>
  <c r="M994" i="5"/>
  <c r="M995" i="5"/>
  <c r="M996" i="5"/>
  <c r="M997" i="5"/>
  <c r="M998" i="5"/>
  <c r="M999" i="5"/>
  <c r="M1000" i="5"/>
  <c r="M1001" i="5"/>
  <c r="M1002" i="5"/>
  <c r="M1003" i="5"/>
  <c r="M1004" i="5"/>
  <c r="M1005" i="5"/>
  <c r="M1006" i="5"/>
  <c r="M1007" i="5"/>
  <c r="Q1007" i="5" s="1"/>
  <c r="M1008" i="5"/>
  <c r="M1009" i="5"/>
  <c r="M1010" i="5"/>
  <c r="M1011" i="5"/>
  <c r="M1012" i="5"/>
  <c r="M1013" i="5"/>
  <c r="M1014" i="5"/>
  <c r="M1015" i="5"/>
  <c r="M1016" i="5"/>
  <c r="M1017" i="5"/>
  <c r="M1018" i="5"/>
  <c r="Q1018" i="5" s="1"/>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Q1046" i="5" s="1"/>
  <c r="M1047" i="5"/>
  <c r="Q1047" i="5" s="1"/>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Q1071" i="5" s="1"/>
  <c r="M1072" i="5"/>
  <c r="Q1072" i="5" s="1"/>
  <c r="M1073" i="5"/>
  <c r="M1074" i="5"/>
  <c r="M1075" i="5"/>
  <c r="M1076" i="5"/>
  <c r="M1077" i="5"/>
  <c r="M1078" i="5"/>
  <c r="M1079" i="5"/>
  <c r="M1080" i="5"/>
  <c r="M1081" i="5"/>
  <c r="M1082" i="5"/>
  <c r="M1083" i="5"/>
  <c r="M1084" i="5"/>
  <c r="M1085" i="5"/>
  <c r="M1086" i="5"/>
  <c r="Q1086" i="5" s="1"/>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Q1110" i="5" s="1"/>
  <c r="M1111" i="5"/>
  <c r="Q1111" i="5" s="1"/>
  <c r="M1112" i="5"/>
  <c r="M1113" i="5"/>
  <c r="M1114" i="5"/>
  <c r="M1115" i="5"/>
  <c r="M1116" i="5"/>
  <c r="M1117" i="5"/>
  <c r="M1118" i="5"/>
  <c r="M1119" i="5"/>
  <c r="M1120" i="5"/>
  <c r="M1121" i="5"/>
  <c r="M1122" i="5"/>
  <c r="Q1122" i="5" s="1"/>
  <c r="M1123" i="5"/>
  <c r="M1124" i="5"/>
  <c r="M1125" i="5"/>
  <c r="M1126" i="5"/>
  <c r="M1127" i="5"/>
  <c r="M1128" i="5"/>
  <c r="M1129" i="5"/>
  <c r="M1130" i="5"/>
  <c r="M1131" i="5"/>
  <c r="M1132" i="5"/>
  <c r="M1133" i="5"/>
  <c r="M1134" i="5"/>
  <c r="M1135" i="5"/>
  <c r="Q1135" i="5" s="1"/>
  <c r="M1136" i="5"/>
  <c r="M1137" i="5"/>
  <c r="M1138" i="5"/>
  <c r="M1139" i="5"/>
  <c r="M1140" i="5"/>
  <c r="M1141" i="5"/>
  <c r="M1142" i="5"/>
  <c r="M1143" i="5"/>
  <c r="M1144" i="5"/>
  <c r="M1145" i="5"/>
  <c r="M1146" i="5"/>
  <c r="M1147" i="5"/>
  <c r="M1148" i="5"/>
  <c r="M1149" i="5"/>
  <c r="M1150" i="5"/>
  <c r="Q1150" i="5" s="1"/>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Q1174" i="5" s="1"/>
  <c r="M1175" i="5"/>
  <c r="Q1175" i="5" s="1"/>
  <c r="M1176" i="5"/>
  <c r="M1177" i="5"/>
  <c r="M1178" i="5"/>
  <c r="M1179" i="5"/>
  <c r="M1180" i="5"/>
  <c r="M1181" i="5"/>
  <c r="M1182" i="5"/>
  <c r="M1183" i="5"/>
  <c r="Q1183" i="5" s="1"/>
  <c r="M1184" i="5"/>
  <c r="M1185" i="5"/>
  <c r="M1186" i="5"/>
  <c r="M1187" i="5"/>
  <c r="M1188" i="5"/>
  <c r="M1189" i="5"/>
  <c r="M1190" i="5"/>
  <c r="M1191" i="5"/>
  <c r="Q1191" i="5" s="1"/>
  <c r="M1192" i="5"/>
  <c r="M1193" i="5"/>
  <c r="M1194" i="5"/>
  <c r="M1195" i="5"/>
  <c r="M1196" i="5"/>
  <c r="M1197" i="5"/>
  <c r="M1198" i="5"/>
  <c r="M1199" i="5"/>
  <c r="M1200" i="5"/>
  <c r="M1201" i="5"/>
  <c r="M1202" i="5"/>
  <c r="M1203" i="5"/>
  <c r="M1204" i="5"/>
  <c r="M1205" i="5"/>
  <c r="M1206" i="5"/>
  <c r="M1207" i="5"/>
  <c r="Q1207" i="5" s="1"/>
  <c r="M1208" i="5"/>
  <c r="Q1208" i="5" s="1"/>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Q1239" i="5" s="1"/>
  <c r="M1240" i="5"/>
  <c r="Q1240" i="5" s="1"/>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Q1271" i="5" s="1"/>
  <c r="M1272" i="5"/>
  <c r="Q1272" i="5" s="1"/>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Q1303" i="5" s="1"/>
  <c r="M1304" i="5"/>
  <c r="Q1304" i="5" s="1"/>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Q762" i="5"/>
  <c r="Q264" i="5"/>
  <c r="Q726" i="5"/>
  <c r="Q751" i="5"/>
  <c r="Q1022" i="5"/>
  <c r="G1331" i="5"/>
  <c r="K1331" i="5" s="1"/>
  <c r="G1330" i="5"/>
  <c r="K1330" i="5" s="1"/>
  <c r="G1329" i="5"/>
  <c r="K1329" i="5" s="1"/>
  <c r="G1328" i="5"/>
  <c r="K1328" i="5" s="1"/>
  <c r="G1327" i="5"/>
  <c r="K1327" i="5" s="1"/>
  <c r="G1326" i="5"/>
  <c r="K1326" i="5" s="1"/>
  <c r="G1325" i="5"/>
  <c r="K1325" i="5" s="1"/>
  <c r="G1324" i="5"/>
  <c r="K1324" i="5" s="1"/>
  <c r="G1323" i="5"/>
  <c r="K1323" i="5" s="1"/>
  <c r="G1322" i="5"/>
  <c r="K1322" i="5" s="1"/>
  <c r="G1321" i="5"/>
  <c r="K1321" i="5" s="1"/>
  <c r="G1320" i="5"/>
  <c r="K1320" i="5" s="1"/>
  <c r="G1319" i="5"/>
  <c r="K1319" i="5" s="1"/>
  <c r="G1318" i="5"/>
  <c r="K1318" i="5" s="1"/>
  <c r="G1317" i="5"/>
  <c r="K1317" i="5" s="1"/>
  <c r="G1316" i="5"/>
  <c r="K1316" i="5" s="1"/>
  <c r="G1315" i="5"/>
  <c r="K1315" i="5" s="1"/>
  <c r="G1314" i="5"/>
  <c r="K1314" i="5" s="1"/>
  <c r="G1313" i="5"/>
  <c r="K1313" i="5" s="1"/>
  <c r="G1312" i="5"/>
  <c r="K1312" i="5" s="1"/>
  <c r="G1311" i="5"/>
  <c r="K1311" i="5" s="1"/>
  <c r="G1310" i="5"/>
  <c r="K1310" i="5" s="1"/>
  <c r="G1309" i="5"/>
  <c r="K1309" i="5" s="1"/>
  <c r="G1308" i="5"/>
  <c r="K1308" i="5" s="1"/>
  <c r="G1307" i="5"/>
  <c r="K1307" i="5" s="1"/>
  <c r="G1306" i="5"/>
  <c r="K1306" i="5" s="1"/>
  <c r="G1305" i="5"/>
  <c r="K1305" i="5" s="1"/>
  <c r="G1304" i="5"/>
  <c r="K1304" i="5" s="1"/>
  <c r="G1303" i="5"/>
  <c r="K1303" i="5" s="1"/>
  <c r="G1302" i="5"/>
  <c r="K1302" i="5" s="1"/>
  <c r="G1301" i="5"/>
  <c r="K1301" i="5" s="1"/>
  <c r="G1300" i="5"/>
  <c r="K1300" i="5" s="1"/>
  <c r="G1299" i="5"/>
  <c r="K1299" i="5" s="1"/>
  <c r="G1298" i="5"/>
  <c r="K1298" i="5" s="1"/>
  <c r="G1297" i="5"/>
  <c r="K1297" i="5" s="1"/>
  <c r="G1296" i="5"/>
  <c r="K1296" i="5" s="1"/>
  <c r="G1295" i="5"/>
  <c r="K1295" i="5" s="1"/>
  <c r="G1294" i="5"/>
  <c r="K1294" i="5" s="1"/>
  <c r="G1293" i="5"/>
  <c r="K1293" i="5" s="1"/>
  <c r="G1292" i="5"/>
  <c r="K1292" i="5" s="1"/>
  <c r="G1291" i="5"/>
  <c r="K1291" i="5" s="1"/>
  <c r="G1290" i="5"/>
  <c r="K1290" i="5" s="1"/>
  <c r="G1289" i="5"/>
  <c r="K1289" i="5" s="1"/>
  <c r="G1288" i="5"/>
  <c r="K1288" i="5" s="1"/>
  <c r="G1287" i="5"/>
  <c r="K1287" i="5" s="1"/>
  <c r="G1286" i="5"/>
  <c r="K1286" i="5" s="1"/>
  <c r="G1285" i="5"/>
  <c r="K1285" i="5" s="1"/>
  <c r="G1284" i="5"/>
  <c r="K1284" i="5" s="1"/>
  <c r="G1283" i="5"/>
  <c r="K1283" i="5" s="1"/>
  <c r="G1282" i="5"/>
  <c r="K1282" i="5" s="1"/>
  <c r="G1281" i="5"/>
  <c r="K1281" i="5" s="1"/>
  <c r="G1280" i="5"/>
  <c r="K1280" i="5" s="1"/>
  <c r="G1279" i="5"/>
  <c r="K1279" i="5" s="1"/>
  <c r="G1278" i="5"/>
  <c r="K1278" i="5" s="1"/>
  <c r="G1277" i="5"/>
  <c r="K1277" i="5" s="1"/>
  <c r="G1276" i="5"/>
  <c r="K1276" i="5" s="1"/>
  <c r="G1275" i="5"/>
  <c r="K1275" i="5" s="1"/>
  <c r="G1274" i="5"/>
  <c r="K1274" i="5" s="1"/>
  <c r="G1273" i="5"/>
  <c r="K1273" i="5" s="1"/>
  <c r="G1272" i="5"/>
  <c r="K1272" i="5" s="1"/>
  <c r="G1271" i="5"/>
  <c r="K1271" i="5" s="1"/>
  <c r="G1270" i="5"/>
  <c r="K1270" i="5" s="1"/>
  <c r="G1269" i="5"/>
  <c r="K1269" i="5" s="1"/>
  <c r="G1268" i="5"/>
  <c r="K1268" i="5" s="1"/>
  <c r="G1267" i="5"/>
  <c r="K1267" i="5" s="1"/>
  <c r="G1266" i="5"/>
  <c r="K1266" i="5" s="1"/>
  <c r="G1265" i="5"/>
  <c r="K1265" i="5" s="1"/>
  <c r="G1264" i="5"/>
  <c r="K1264" i="5" s="1"/>
  <c r="G1263" i="5"/>
  <c r="K1263" i="5" s="1"/>
  <c r="G1262" i="5"/>
  <c r="K1262" i="5" s="1"/>
  <c r="G1261" i="5"/>
  <c r="K1261" i="5" s="1"/>
  <c r="G1260" i="5"/>
  <c r="K1260" i="5" s="1"/>
  <c r="G1259" i="5"/>
  <c r="K1259" i="5" s="1"/>
  <c r="G1258" i="5"/>
  <c r="K1258" i="5" s="1"/>
  <c r="G1257" i="5"/>
  <c r="K1257" i="5" s="1"/>
  <c r="G1256" i="5"/>
  <c r="K1256" i="5" s="1"/>
  <c r="G1255" i="5"/>
  <c r="K1255" i="5" s="1"/>
  <c r="G1254" i="5"/>
  <c r="K1254" i="5" s="1"/>
  <c r="G1253" i="5"/>
  <c r="K1253" i="5" s="1"/>
  <c r="G1252" i="5"/>
  <c r="K1252" i="5" s="1"/>
  <c r="G1251" i="5"/>
  <c r="K1251" i="5" s="1"/>
  <c r="G1250" i="5"/>
  <c r="K1250" i="5" s="1"/>
  <c r="G1249" i="5"/>
  <c r="K1249" i="5" s="1"/>
  <c r="G1248" i="5"/>
  <c r="K1248" i="5" s="1"/>
  <c r="G1247" i="5"/>
  <c r="K1247" i="5" s="1"/>
  <c r="G1246" i="5"/>
  <c r="K1246" i="5" s="1"/>
  <c r="G1245" i="5"/>
  <c r="K1245" i="5" s="1"/>
  <c r="G1244" i="5"/>
  <c r="K1244" i="5" s="1"/>
  <c r="G1243" i="5"/>
  <c r="K1243" i="5" s="1"/>
  <c r="G1242" i="5"/>
  <c r="K1242" i="5" s="1"/>
  <c r="G1241" i="5"/>
  <c r="K1241" i="5" s="1"/>
  <c r="G1240" i="5"/>
  <c r="K1240" i="5" s="1"/>
  <c r="G1239" i="5"/>
  <c r="K1239" i="5" s="1"/>
  <c r="G1238" i="5"/>
  <c r="K1238" i="5" s="1"/>
  <c r="G1237" i="5"/>
  <c r="K1237" i="5" s="1"/>
  <c r="G1236" i="5"/>
  <c r="K1236" i="5" s="1"/>
  <c r="G1235" i="5"/>
  <c r="K1235" i="5" s="1"/>
  <c r="G1234" i="5"/>
  <c r="K1234" i="5" s="1"/>
  <c r="G1233" i="5"/>
  <c r="K1233" i="5" s="1"/>
  <c r="G1232" i="5"/>
  <c r="K1232" i="5" s="1"/>
  <c r="G1231" i="5"/>
  <c r="K1231" i="5" s="1"/>
  <c r="G1230" i="5"/>
  <c r="K1230" i="5" s="1"/>
  <c r="G1229" i="5"/>
  <c r="K1229" i="5" s="1"/>
  <c r="G1228" i="5"/>
  <c r="K1228" i="5" s="1"/>
  <c r="G1227" i="5"/>
  <c r="K1227" i="5" s="1"/>
  <c r="G1226" i="5"/>
  <c r="K1226" i="5" s="1"/>
  <c r="G1225" i="5"/>
  <c r="K1225" i="5" s="1"/>
  <c r="G1224" i="5"/>
  <c r="K1224" i="5" s="1"/>
  <c r="G1223" i="5"/>
  <c r="K1223" i="5" s="1"/>
  <c r="G1222" i="5"/>
  <c r="K1222" i="5" s="1"/>
  <c r="G1221" i="5"/>
  <c r="K1221" i="5" s="1"/>
  <c r="G1220" i="5"/>
  <c r="K1220" i="5" s="1"/>
  <c r="G1219" i="5"/>
  <c r="K1219" i="5" s="1"/>
  <c r="G1218" i="5"/>
  <c r="K1218" i="5" s="1"/>
  <c r="G1217" i="5"/>
  <c r="K1217" i="5" s="1"/>
  <c r="G1216" i="5"/>
  <c r="K1216" i="5" s="1"/>
  <c r="G1215" i="5"/>
  <c r="K1215" i="5" s="1"/>
  <c r="G1214" i="5"/>
  <c r="K1214" i="5" s="1"/>
  <c r="G1213" i="5"/>
  <c r="K1213" i="5" s="1"/>
  <c r="G1212" i="5"/>
  <c r="K1212" i="5" s="1"/>
  <c r="G1211" i="5"/>
  <c r="K1211" i="5" s="1"/>
  <c r="G1210" i="5"/>
  <c r="K1210" i="5" s="1"/>
  <c r="G1209" i="5"/>
  <c r="K1209" i="5" s="1"/>
  <c r="G1208" i="5"/>
  <c r="K1208" i="5" s="1"/>
  <c r="G1207" i="5"/>
  <c r="K1207" i="5" s="1"/>
  <c r="G1206" i="5"/>
  <c r="K1206" i="5" s="1"/>
  <c r="G1205" i="5"/>
  <c r="K1205" i="5" s="1"/>
  <c r="G1204" i="5"/>
  <c r="K1204" i="5" s="1"/>
  <c r="G1203" i="5"/>
  <c r="K1203" i="5" s="1"/>
  <c r="G1202" i="5"/>
  <c r="K1202" i="5" s="1"/>
  <c r="G1201" i="5"/>
  <c r="K1201" i="5" s="1"/>
  <c r="G1200" i="5"/>
  <c r="K1200" i="5" s="1"/>
  <c r="G1199" i="5"/>
  <c r="K1199" i="5" s="1"/>
  <c r="G1198" i="5"/>
  <c r="K1198" i="5" s="1"/>
  <c r="G1197" i="5"/>
  <c r="K1197" i="5" s="1"/>
  <c r="G1196" i="5"/>
  <c r="K1196" i="5" s="1"/>
  <c r="G1195" i="5"/>
  <c r="K1195" i="5" s="1"/>
  <c r="G1194" i="5"/>
  <c r="K1194" i="5" s="1"/>
  <c r="G1193" i="5"/>
  <c r="K1193" i="5" s="1"/>
  <c r="G1192" i="5"/>
  <c r="K1192" i="5" s="1"/>
  <c r="G1191" i="5"/>
  <c r="K1191" i="5" s="1"/>
  <c r="G1190" i="5"/>
  <c r="K1190" i="5" s="1"/>
  <c r="G1189" i="5"/>
  <c r="K1189" i="5" s="1"/>
  <c r="G1188" i="5"/>
  <c r="K1188" i="5" s="1"/>
  <c r="G1187" i="5"/>
  <c r="K1187" i="5" s="1"/>
  <c r="G1186" i="5"/>
  <c r="K1186" i="5" s="1"/>
  <c r="G1185" i="5"/>
  <c r="K1185" i="5" s="1"/>
  <c r="G1184" i="5"/>
  <c r="K1184" i="5" s="1"/>
  <c r="G1183" i="5"/>
  <c r="K1183" i="5" s="1"/>
  <c r="G1182" i="5"/>
  <c r="K1182" i="5" s="1"/>
  <c r="G1181" i="5"/>
  <c r="K1181" i="5" s="1"/>
  <c r="G1180" i="5"/>
  <c r="K1180" i="5" s="1"/>
  <c r="G1179" i="5"/>
  <c r="K1179" i="5" s="1"/>
  <c r="G1178" i="5"/>
  <c r="K1178" i="5" s="1"/>
  <c r="G1177" i="5"/>
  <c r="K1177" i="5" s="1"/>
  <c r="G1176" i="5"/>
  <c r="K1176" i="5" s="1"/>
  <c r="G1175" i="5"/>
  <c r="K1175" i="5" s="1"/>
  <c r="G1174" i="5"/>
  <c r="K1174" i="5" s="1"/>
  <c r="G1173" i="5"/>
  <c r="K1173" i="5" s="1"/>
  <c r="G1172" i="5"/>
  <c r="K1172" i="5" s="1"/>
  <c r="G1171" i="5"/>
  <c r="K1171" i="5" s="1"/>
  <c r="G1170" i="5"/>
  <c r="K1170" i="5" s="1"/>
  <c r="G1169" i="5"/>
  <c r="K1169" i="5" s="1"/>
  <c r="G1168" i="5"/>
  <c r="K1168" i="5" s="1"/>
  <c r="G1167" i="5"/>
  <c r="K1167" i="5" s="1"/>
  <c r="G1166" i="5"/>
  <c r="K1166" i="5" s="1"/>
  <c r="G1165" i="5"/>
  <c r="K1165" i="5" s="1"/>
  <c r="G1164" i="5"/>
  <c r="K1164" i="5" s="1"/>
  <c r="G1163" i="5"/>
  <c r="K1163" i="5" s="1"/>
  <c r="G1162" i="5"/>
  <c r="K1162" i="5" s="1"/>
  <c r="G1161" i="5"/>
  <c r="K1161" i="5" s="1"/>
  <c r="G1160" i="5"/>
  <c r="K1160" i="5" s="1"/>
  <c r="G1159" i="5"/>
  <c r="K1159" i="5" s="1"/>
  <c r="G1158" i="5"/>
  <c r="K1158" i="5" s="1"/>
  <c r="G1157" i="5"/>
  <c r="K1157" i="5" s="1"/>
  <c r="G1156" i="5"/>
  <c r="K1156" i="5" s="1"/>
  <c r="G1155" i="5"/>
  <c r="K1155" i="5" s="1"/>
  <c r="G1154" i="5"/>
  <c r="K1154" i="5" s="1"/>
  <c r="G1153" i="5"/>
  <c r="K1153" i="5" s="1"/>
  <c r="G1152" i="5"/>
  <c r="K1152" i="5" s="1"/>
  <c r="G1151" i="5"/>
  <c r="K1151" i="5" s="1"/>
  <c r="G1150" i="5"/>
  <c r="K1150" i="5" s="1"/>
  <c r="G1149" i="5"/>
  <c r="K1149" i="5" s="1"/>
  <c r="G1148" i="5"/>
  <c r="K1148" i="5" s="1"/>
  <c r="G1147" i="5"/>
  <c r="K1147" i="5" s="1"/>
  <c r="G1146" i="5"/>
  <c r="K1146" i="5" s="1"/>
  <c r="G1145" i="5"/>
  <c r="K1145" i="5" s="1"/>
  <c r="G1144" i="5"/>
  <c r="K1144" i="5" s="1"/>
  <c r="G1143" i="5"/>
  <c r="K1143" i="5" s="1"/>
  <c r="G1142" i="5"/>
  <c r="K1142" i="5" s="1"/>
  <c r="G1141" i="5"/>
  <c r="K1141" i="5" s="1"/>
  <c r="G1140" i="5"/>
  <c r="K1140" i="5" s="1"/>
  <c r="G1139" i="5"/>
  <c r="K1139" i="5" s="1"/>
  <c r="G1138" i="5"/>
  <c r="K1138" i="5" s="1"/>
  <c r="G1137" i="5"/>
  <c r="K1137" i="5" s="1"/>
  <c r="G1136" i="5"/>
  <c r="K1136" i="5" s="1"/>
  <c r="G1135" i="5"/>
  <c r="K1135" i="5" s="1"/>
  <c r="G1134" i="5"/>
  <c r="K1134" i="5" s="1"/>
  <c r="G1133" i="5"/>
  <c r="K1133" i="5" s="1"/>
  <c r="G1132" i="5"/>
  <c r="G1131" i="5"/>
  <c r="K1131" i="5" s="1"/>
  <c r="G1130" i="5"/>
  <c r="K1130" i="5" s="1"/>
  <c r="G1129" i="5"/>
  <c r="K1129" i="5" s="1"/>
  <c r="G1128" i="5"/>
  <c r="K1128" i="5" s="1"/>
  <c r="G1127" i="5"/>
  <c r="K1127" i="5" s="1"/>
  <c r="G1126" i="5"/>
  <c r="K1126" i="5" s="1"/>
  <c r="G1125" i="5"/>
  <c r="K1125" i="5" s="1"/>
  <c r="G1124" i="5"/>
  <c r="K1124" i="5" s="1"/>
  <c r="G1123" i="5"/>
  <c r="K1123" i="5" s="1"/>
  <c r="G1122" i="5"/>
  <c r="K1122" i="5" s="1"/>
  <c r="G1121" i="5"/>
  <c r="K1121" i="5" s="1"/>
  <c r="G1120" i="5"/>
  <c r="K1120" i="5" s="1"/>
  <c r="G1119" i="5"/>
  <c r="K1119" i="5" s="1"/>
  <c r="G1118" i="5"/>
  <c r="K1118" i="5" s="1"/>
  <c r="G1117" i="5"/>
  <c r="K1117" i="5" s="1"/>
  <c r="G1116" i="5"/>
  <c r="K1116" i="5" s="1"/>
  <c r="G1115" i="5"/>
  <c r="K1115" i="5" s="1"/>
  <c r="G1114" i="5"/>
  <c r="K1114" i="5" s="1"/>
  <c r="G1113" i="5"/>
  <c r="K1113" i="5" s="1"/>
  <c r="G1112" i="5"/>
  <c r="K1112" i="5" s="1"/>
  <c r="G1111" i="5"/>
  <c r="K1111" i="5" s="1"/>
  <c r="G1110" i="5"/>
  <c r="K1110" i="5" s="1"/>
  <c r="G1109" i="5"/>
  <c r="K1109" i="5" s="1"/>
  <c r="G1108" i="5"/>
  <c r="K1108" i="5" s="1"/>
  <c r="G1107" i="5"/>
  <c r="K1107" i="5" s="1"/>
  <c r="G1106" i="5"/>
  <c r="K1106" i="5" s="1"/>
  <c r="G1105" i="5"/>
  <c r="K1105" i="5" s="1"/>
  <c r="G1104" i="5"/>
  <c r="K1104" i="5" s="1"/>
  <c r="G1103" i="5"/>
  <c r="K1103" i="5" s="1"/>
  <c r="G1102" i="5"/>
  <c r="K1102" i="5" s="1"/>
  <c r="G1101" i="5"/>
  <c r="K1101" i="5" s="1"/>
  <c r="G1100" i="5"/>
  <c r="K1100" i="5" s="1"/>
  <c r="G1099" i="5"/>
  <c r="K1099" i="5" s="1"/>
  <c r="G1098" i="5"/>
  <c r="K1098" i="5" s="1"/>
  <c r="G1097" i="5"/>
  <c r="K1097" i="5" s="1"/>
  <c r="G1096" i="5"/>
  <c r="K1096" i="5" s="1"/>
  <c r="G1095" i="5"/>
  <c r="K1095" i="5" s="1"/>
  <c r="G1094" i="5"/>
  <c r="K1094" i="5" s="1"/>
  <c r="G1093" i="5"/>
  <c r="K1093" i="5" s="1"/>
  <c r="G1092" i="5"/>
  <c r="K1092" i="5" s="1"/>
  <c r="G1091" i="5"/>
  <c r="K1091" i="5" s="1"/>
  <c r="G1090" i="5"/>
  <c r="K1090" i="5" s="1"/>
  <c r="G1089" i="5"/>
  <c r="K1089" i="5" s="1"/>
  <c r="G1088" i="5"/>
  <c r="K1088" i="5" s="1"/>
  <c r="G1087" i="5"/>
  <c r="K1087" i="5" s="1"/>
  <c r="G1086" i="5"/>
  <c r="K1086" i="5" s="1"/>
  <c r="G1085" i="5"/>
  <c r="K1085" i="5" s="1"/>
  <c r="G1084" i="5"/>
  <c r="K1084" i="5" s="1"/>
  <c r="G1083" i="5"/>
  <c r="K1083" i="5" s="1"/>
  <c r="G1082" i="5"/>
  <c r="K1082" i="5" s="1"/>
  <c r="G1081" i="5"/>
  <c r="K1081" i="5" s="1"/>
  <c r="G1080" i="5"/>
  <c r="K1080" i="5" s="1"/>
  <c r="G1079" i="5"/>
  <c r="K1079" i="5" s="1"/>
  <c r="G1078" i="5"/>
  <c r="K1078" i="5" s="1"/>
  <c r="G1077" i="5"/>
  <c r="K1077" i="5" s="1"/>
  <c r="G1076" i="5"/>
  <c r="K1076" i="5" s="1"/>
  <c r="G1075" i="5"/>
  <c r="K1075" i="5" s="1"/>
  <c r="G1074" i="5"/>
  <c r="K1074" i="5" s="1"/>
  <c r="G1073" i="5"/>
  <c r="K1073" i="5" s="1"/>
  <c r="G1072" i="5"/>
  <c r="K1072" i="5" s="1"/>
  <c r="G1071" i="5"/>
  <c r="K1071" i="5" s="1"/>
  <c r="G1070" i="5"/>
  <c r="K1070" i="5" s="1"/>
  <c r="G1069" i="5"/>
  <c r="K1069" i="5" s="1"/>
  <c r="G1068" i="5"/>
  <c r="K1068" i="5" s="1"/>
  <c r="G1067" i="5"/>
  <c r="K1067" i="5" s="1"/>
  <c r="G1066" i="5"/>
  <c r="K1066" i="5" s="1"/>
  <c r="G1065" i="5"/>
  <c r="K1065" i="5" s="1"/>
  <c r="G1064" i="5"/>
  <c r="K1064" i="5" s="1"/>
  <c r="G1063" i="5"/>
  <c r="K1063" i="5" s="1"/>
  <c r="G1062" i="5"/>
  <c r="K1062" i="5" s="1"/>
  <c r="G1061" i="5"/>
  <c r="K1061" i="5" s="1"/>
  <c r="G1060" i="5"/>
  <c r="K1060" i="5" s="1"/>
  <c r="G1059" i="5"/>
  <c r="K1059" i="5" s="1"/>
  <c r="G1058" i="5"/>
  <c r="K1058" i="5" s="1"/>
  <c r="G1057" i="5"/>
  <c r="K1057" i="5" s="1"/>
  <c r="G1056" i="5"/>
  <c r="K1056" i="5" s="1"/>
  <c r="G1055" i="5"/>
  <c r="K1055" i="5" s="1"/>
  <c r="G1054" i="5"/>
  <c r="K1054" i="5" s="1"/>
  <c r="G1053" i="5"/>
  <c r="K1053" i="5" s="1"/>
  <c r="G1052" i="5"/>
  <c r="K1052" i="5" s="1"/>
  <c r="G1051" i="5"/>
  <c r="K1051" i="5" s="1"/>
  <c r="G1050" i="5"/>
  <c r="K1050" i="5" s="1"/>
  <c r="G1049" i="5"/>
  <c r="K1049" i="5" s="1"/>
  <c r="G1048" i="5"/>
  <c r="K1048" i="5" s="1"/>
  <c r="G1047" i="5"/>
  <c r="K1047" i="5" s="1"/>
  <c r="G1046" i="5"/>
  <c r="K1046" i="5" s="1"/>
  <c r="G1045" i="5"/>
  <c r="K1045" i="5" s="1"/>
  <c r="G1044" i="5"/>
  <c r="K1044" i="5" s="1"/>
  <c r="G1043" i="5"/>
  <c r="K1043" i="5" s="1"/>
  <c r="G1042" i="5"/>
  <c r="K1042" i="5" s="1"/>
  <c r="G1041" i="5"/>
  <c r="K1041" i="5" s="1"/>
  <c r="G1040" i="5"/>
  <c r="K1040" i="5" s="1"/>
  <c r="G1039" i="5"/>
  <c r="K1039" i="5" s="1"/>
  <c r="G1038" i="5"/>
  <c r="K1038" i="5" s="1"/>
  <c r="G1037" i="5"/>
  <c r="K1037" i="5" s="1"/>
  <c r="G1036" i="5"/>
  <c r="K1036" i="5" s="1"/>
  <c r="G1035" i="5"/>
  <c r="K1035" i="5" s="1"/>
  <c r="G1034" i="5"/>
  <c r="K1034" i="5" s="1"/>
  <c r="G1033" i="5"/>
  <c r="K1033" i="5" s="1"/>
  <c r="G1032" i="5"/>
  <c r="K1032" i="5" s="1"/>
  <c r="G1031" i="5"/>
  <c r="K1031" i="5" s="1"/>
  <c r="G1030" i="5"/>
  <c r="K1030" i="5" s="1"/>
  <c r="G1029" i="5"/>
  <c r="K1029" i="5" s="1"/>
  <c r="G1028" i="5"/>
  <c r="K1028" i="5" s="1"/>
  <c r="G1027" i="5"/>
  <c r="K1027" i="5" s="1"/>
  <c r="G1026" i="5"/>
  <c r="K1026" i="5" s="1"/>
  <c r="G1025" i="5"/>
  <c r="K1025" i="5" s="1"/>
  <c r="G1024" i="5"/>
  <c r="K1024" i="5" s="1"/>
  <c r="G1023" i="5"/>
  <c r="K1023" i="5" s="1"/>
  <c r="G1022" i="5"/>
  <c r="K1022" i="5" s="1"/>
  <c r="G1021" i="5"/>
  <c r="K1021" i="5" s="1"/>
  <c r="G1020" i="5"/>
  <c r="K1020" i="5" s="1"/>
  <c r="G1019" i="5"/>
  <c r="K1019" i="5" s="1"/>
  <c r="G1018" i="5"/>
  <c r="K1018" i="5" s="1"/>
  <c r="G1017" i="5"/>
  <c r="K1017" i="5" s="1"/>
  <c r="G1016" i="5"/>
  <c r="K1016" i="5" s="1"/>
  <c r="G1015" i="5"/>
  <c r="K1015" i="5" s="1"/>
  <c r="G1014" i="5"/>
  <c r="K1014" i="5" s="1"/>
  <c r="G1013" i="5"/>
  <c r="K1013" i="5" s="1"/>
  <c r="G1012" i="5"/>
  <c r="K1012" i="5" s="1"/>
  <c r="G1011" i="5"/>
  <c r="K1011" i="5" s="1"/>
  <c r="G1010" i="5"/>
  <c r="K1010" i="5" s="1"/>
  <c r="G1009" i="5"/>
  <c r="K1009" i="5" s="1"/>
  <c r="G1008" i="5"/>
  <c r="K1008" i="5" s="1"/>
  <c r="G1007" i="5"/>
  <c r="K1007" i="5" s="1"/>
  <c r="G1006" i="5"/>
  <c r="K1006" i="5" s="1"/>
  <c r="G1005" i="5"/>
  <c r="K1005" i="5" s="1"/>
  <c r="G1004" i="5"/>
  <c r="G1003" i="5"/>
  <c r="K1003" i="5" s="1"/>
  <c r="G1002" i="5"/>
  <c r="K1002" i="5" s="1"/>
  <c r="G1001" i="5"/>
  <c r="K1001" i="5" s="1"/>
  <c r="G1000" i="5"/>
  <c r="K1000" i="5" s="1"/>
  <c r="G999" i="5"/>
  <c r="K999" i="5" s="1"/>
  <c r="G998" i="5"/>
  <c r="K998" i="5" s="1"/>
  <c r="G997" i="5"/>
  <c r="K997" i="5" s="1"/>
  <c r="G996" i="5"/>
  <c r="K996" i="5" s="1"/>
  <c r="G995" i="5"/>
  <c r="K995" i="5" s="1"/>
  <c r="G994" i="5"/>
  <c r="K994" i="5" s="1"/>
  <c r="G993" i="5"/>
  <c r="K993" i="5" s="1"/>
  <c r="G992" i="5"/>
  <c r="K992" i="5" s="1"/>
  <c r="G991" i="5"/>
  <c r="K991" i="5" s="1"/>
  <c r="G990" i="5"/>
  <c r="K990" i="5" s="1"/>
  <c r="G989" i="5"/>
  <c r="K989" i="5" s="1"/>
  <c r="G988" i="5"/>
  <c r="K988" i="5" s="1"/>
  <c r="G987" i="5"/>
  <c r="K987" i="5" s="1"/>
  <c r="G986" i="5"/>
  <c r="K986" i="5" s="1"/>
  <c r="G985" i="5"/>
  <c r="K985" i="5" s="1"/>
  <c r="G984" i="5"/>
  <c r="K984" i="5" s="1"/>
  <c r="G983" i="5"/>
  <c r="K983" i="5" s="1"/>
  <c r="G982" i="5"/>
  <c r="K982" i="5" s="1"/>
  <c r="G981" i="5"/>
  <c r="K981" i="5" s="1"/>
  <c r="G980" i="5"/>
  <c r="K980" i="5" s="1"/>
  <c r="G979" i="5"/>
  <c r="K979" i="5" s="1"/>
  <c r="G978" i="5"/>
  <c r="K978" i="5" s="1"/>
  <c r="G977" i="5"/>
  <c r="K977" i="5" s="1"/>
  <c r="G976" i="5"/>
  <c r="K976" i="5" s="1"/>
  <c r="G975" i="5"/>
  <c r="K975" i="5" s="1"/>
  <c r="G974" i="5"/>
  <c r="K974" i="5" s="1"/>
  <c r="G973" i="5"/>
  <c r="K973" i="5" s="1"/>
  <c r="G972" i="5"/>
  <c r="K972" i="5" s="1"/>
  <c r="G971" i="5"/>
  <c r="K971" i="5" s="1"/>
  <c r="G970" i="5"/>
  <c r="K970" i="5" s="1"/>
  <c r="G969" i="5"/>
  <c r="K969" i="5" s="1"/>
  <c r="G968" i="5"/>
  <c r="K968" i="5" s="1"/>
  <c r="G967" i="5"/>
  <c r="K967" i="5" s="1"/>
  <c r="G966" i="5"/>
  <c r="K966" i="5" s="1"/>
  <c r="G965" i="5"/>
  <c r="K965" i="5" s="1"/>
  <c r="G964" i="5"/>
  <c r="K964" i="5" s="1"/>
  <c r="G963" i="5"/>
  <c r="K963" i="5" s="1"/>
  <c r="G962" i="5"/>
  <c r="K962" i="5" s="1"/>
  <c r="G961" i="5"/>
  <c r="K961" i="5" s="1"/>
  <c r="G960" i="5"/>
  <c r="K960" i="5" s="1"/>
  <c r="G959" i="5"/>
  <c r="K959" i="5" s="1"/>
  <c r="G958" i="5"/>
  <c r="K958" i="5" s="1"/>
  <c r="G957" i="5"/>
  <c r="K957" i="5" s="1"/>
  <c r="G956" i="5"/>
  <c r="K956" i="5" s="1"/>
  <c r="G955" i="5"/>
  <c r="K955" i="5" s="1"/>
  <c r="G954" i="5"/>
  <c r="K954" i="5" s="1"/>
  <c r="G953" i="5"/>
  <c r="K953" i="5" s="1"/>
  <c r="G952" i="5"/>
  <c r="K952" i="5" s="1"/>
  <c r="G951" i="5"/>
  <c r="K951" i="5" s="1"/>
  <c r="G950" i="5"/>
  <c r="K950" i="5" s="1"/>
  <c r="G949" i="5"/>
  <c r="K949" i="5" s="1"/>
  <c r="G948" i="5"/>
  <c r="K948" i="5" s="1"/>
  <c r="G947" i="5"/>
  <c r="K947" i="5" s="1"/>
  <c r="G946" i="5"/>
  <c r="K946" i="5" s="1"/>
  <c r="G945" i="5"/>
  <c r="K945" i="5" s="1"/>
  <c r="G944" i="5"/>
  <c r="K944" i="5" s="1"/>
  <c r="G943" i="5"/>
  <c r="K943" i="5" s="1"/>
  <c r="G942" i="5"/>
  <c r="K942" i="5" s="1"/>
  <c r="G941" i="5"/>
  <c r="K941" i="5" s="1"/>
  <c r="G940" i="5"/>
  <c r="K940" i="5" s="1"/>
  <c r="G939" i="5"/>
  <c r="K939" i="5" s="1"/>
  <c r="G938" i="5"/>
  <c r="K938" i="5" s="1"/>
  <c r="G937" i="5"/>
  <c r="K937" i="5" s="1"/>
  <c r="G936" i="5"/>
  <c r="K936" i="5" s="1"/>
  <c r="G935" i="5"/>
  <c r="K935" i="5" s="1"/>
  <c r="G934" i="5"/>
  <c r="K934" i="5" s="1"/>
  <c r="G933" i="5"/>
  <c r="K933" i="5" s="1"/>
  <c r="G932" i="5"/>
  <c r="K932" i="5" s="1"/>
  <c r="G931" i="5"/>
  <c r="K931" i="5" s="1"/>
  <c r="G930" i="5"/>
  <c r="K930" i="5" s="1"/>
  <c r="G929" i="5"/>
  <c r="K929" i="5" s="1"/>
  <c r="G928" i="5"/>
  <c r="K928" i="5" s="1"/>
  <c r="G927" i="5"/>
  <c r="K927" i="5" s="1"/>
  <c r="G926" i="5"/>
  <c r="K926" i="5" s="1"/>
  <c r="G925" i="5"/>
  <c r="K925" i="5" s="1"/>
  <c r="G924" i="5"/>
  <c r="K924" i="5" s="1"/>
  <c r="G923" i="5"/>
  <c r="K923" i="5" s="1"/>
  <c r="G922" i="5"/>
  <c r="K922" i="5" s="1"/>
  <c r="G921" i="5"/>
  <c r="K921" i="5" s="1"/>
  <c r="G920" i="5"/>
  <c r="K920" i="5" s="1"/>
  <c r="G919" i="5"/>
  <c r="K919" i="5" s="1"/>
  <c r="G918" i="5"/>
  <c r="K918" i="5" s="1"/>
  <c r="G917" i="5"/>
  <c r="K917" i="5" s="1"/>
  <c r="G916" i="5"/>
  <c r="K916" i="5" s="1"/>
  <c r="G915" i="5"/>
  <c r="K915" i="5" s="1"/>
  <c r="G914" i="5"/>
  <c r="K914" i="5" s="1"/>
  <c r="G913" i="5"/>
  <c r="K913" i="5" s="1"/>
  <c r="G912" i="5"/>
  <c r="K912" i="5" s="1"/>
  <c r="G911" i="5"/>
  <c r="K911" i="5" s="1"/>
  <c r="G910" i="5"/>
  <c r="K910" i="5" s="1"/>
  <c r="G909" i="5"/>
  <c r="K909" i="5" s="1"/>
  <c r="G908" i="5"/>
  <c r="K908" i="5" s="1"/>
  <c r="G907" i="5"/>
  <c r="K907" i="5" s="1"/>
  <c r="G906" i="5"/>
  <c r="K906" i="5" s="1"/>
  <c r="G905" i="5"/>
  <c r="K905" i="5" s="1"/>
  <c r="G904" i="5"/>
  <c r="K904" i="5" s="1"/>
  <c r="G903" i="5"/>
  <c r="K903" i="5" s="1"/>
  <c r="G902" i="5"/>
  <c r="K902" i="5" s="1"/>
  <c r="G901" i="5"/>
  <c r="K901" i="5" s="1"/>
  <c r="G900" i="5"/>
  <c r="K900" i="5" s="1"/>
  <c r="G899" i="5"/>
  <c r="K899" i="5" s="1"/>
  <c r="G898" i="5"/>
  <c r="K898" i="5" s="1"/>
  <c r="G897" i="5"/>
  <c r="K897" i="5" s="1"/>
  <c r="G896" i="5"/>
  <c r="K896" i="5" s="1"/>
  <c r="G895" i="5"/>
  <c r="K895" i="5" s="1"/>
  <c r="G894" i="5"/>
  <c r="K894" i="5" s="1"/>
  <c r="G893" i="5"/>
  <c r="K893" i="5" s="1"/>
  <c r="G892" i="5"/>
  <c r="K892" i="5" s="1"/>
  <c r="G891" i="5"/>
  <c r="K891" i="5" s="1"/>
  <c r="G890" i="5"/>
  <c r="K890" i="5" s="1"/>
  <c r="G889" i="5"/>
  <c r="K889" i="5" s="1"/>
  <c r="G888" i="5"/>
  <c r="K888" i="5" s="1"/>
  <c r="G887" i="5"/>
  <c r="K887" i="5" s="1"/>
  <c r="G886" i="5"/>
  <c r="K886" i="5" s="1"/>
  <c r="G885" i="5"/>
  <c r="K885" i="5" s="1"/>
  <c r="G884" i="5"/>
  <c r="K884" i="5" s="1"/>
  <c r="G883" i="5"/>
  <c r="K883" i="5" s="1"/>
  <c r="G882" i="5"/>
  <c r="K882" i="5" s="1"/>
  <c r="G881" i="5"/>
  <c r="K881" i="5" s="1"/>
  <c r="G880" i="5"/>
  <c r="K880" i="5" s="1"/>
  <c r="G879" i="5"/>
  <c r="K879" i="5" s="1"/>
  <c r="G878" i="5"/>
  <c r="K878" i="5" s="1"/>
  <c r="G877" i="5"/>
  <c r="K877" i="5" s="1"/>
  <c r="G876" i="5"/>
  <c r="K876" i="5" s="1"/>
  <c r="G875" i="5"/>
  <c r="K875" i="5" s="1"/>
  <c r="G874" i="5"/>
  <c r="K874" i="5" s="1"/>
  <c r="G873" i="5"/>
  <c r="K873" i="5" s="1"/>
  <c r="G872" i="5"/>
  <c r="K872" i="5" s="1"/>
  <c r="G871" i="5"/>
  <c r="K871" i="5" s="1"/>
  <c r="G870" i="5"/>
  <c r="K870" i="5" s="1"/>
  <c r="G869" i="5"/>
  <c r="K869" i="5" s="1"/>
  <c r="G868" i="5"/>
  <c r="K868" i="5" s="1"/>
  <c r="G867" i="5"/>
  <c r="K867" i="5" s="1"/>
  <c r="G866" i="5"/>
  <c r="K866" i="5" s="1"/>
  <c r="G865" i="5"/>
  <c r="K865" i="5" s="1"/>
  <c r="G864" i="5"/>
  <c r="K864" i="5" s="1"/>
  <c r="G863" i="5"/>
  <c r="K863" i="5" s="1"/>
  <c r="G862" i="5"/>
  <c r="K862" i="5" s="1"/>
  <c r="G861" i="5"/>
  <c r="K861" i="5" s="1"/>
  <c r="G860" i="5"/>
  <c r="K860" i="5" s="1"/>
  <c r="G859" i="5"/>
  <c r="K859" i="5" s="1"/>
  <c r="G858" i="5"/>
  <c r="K858" i="5" s="1"/>
  <c r="G857" i="5"/>
  <c r="K857" i="5" s="1"/>
  <c r="G856" i="5"/>
  <c r="K856" i="5" s="1"/>
  <c r="G855" i="5"/>
  <c r="K855" i="5" s="1"/>
  <c r="G854" i="5"/>
  <c r="K854" i="5" s="1"/>
  <c r="G853" i="5"/>
  <c r="K853" i="5" s="1"/>
  <c r="G852" i="5"/>
  <c r="K852" i="5" s="1"/>
  <c r="G851" i="5"/>
  <c r="K851" i="5" s="1"/>
  <c r="G850" i="5"/>
  <c r="K850" i="5" s="1"/>
  <c r="G849" i="5"/>
  <c r="K849" i="5" s="1"/>
  <c r="G848" i="5"/>
  <c r="K848" i="5" s="1"/>
  <c r="G847" i="5"/>
  <c r="K847" i="5" s="1"/>
  <c r="G846" i="5"/>
  <c r="K846" i="5" s="1"/>
  <c r="G845" i="5"/>
  <c r="K845" i="5" s="1"/>
  <c r="G844" i="5"/>
  <c r="K844" i="5" s="1"/>
  <c r="G843" i="5"/>
  <c r="K843" i="5" s="1"/>
  <c r="G842" i="5"/>
  <c r="K842" i="5" s="1"/>
  <c r="G841" i="5"/>
  <c r="K841" i="5" s="1"/>
  <c r="G840" i="5"/>
  <c r="K840" i="5" s="1"/>
  <c r="G839" i="5"/>
  <c r="K839" i="5" s="1"/>
  <c r="G838" i="5"/>
  <c r="K838" i="5" s="1"/>
  <c r="G837" i="5"/>
  <c r="K837" i="5" s="1"/>
  <c r="G836" i="5"/>
  <c r="K836" i="5" s="1"/>
  <c r="G835" i="5"/>
  <c r="K835" i="5" s="1"/>
  <c r="G834" i="5"/>
  <c r="K834" i="5" s="1"/>
  <c r="G833" i="5"/>
  <c r="K833" i="5" s="1"/>
  <c r="G832" i="5"/>
  <c r="K832" i="5" s="1"/>
  <c r="G831" i="5"/>
  <c r="K831" i="5" s="1"/>
  <c r="G830" i="5"/>
  <c r="K830" i="5" s="1"/>
  <c r="G829" i="5"/>
  <c r="K829" i="5" s="1"/>
  <c r="G828" i="5"/>
  <c r="K828" i="5" s="1"/>
  <c r="G827" i="5"/>
  <c r="K827" i="5" s="1"/>
  <c r="G826" i="5"/>
  <c r="K826" i="5" s="1"/>
  <c r="G825" i="5"/>
  <c r="K825" i="5" s="1"/>
  <c r="G824" i="5"/>
  <c r="K824" i="5" s="1"/>
  <c r="G823" i="5"/>
  <c r="K823" i="5" s="1"/>
  <c r="G822" i="5"/>
  <c r="K822" i="5" s="1"/>
  <c r="G821" i="5"/>
  <c r="K821" i="5" s="1"/>
  <c r="G820" i="5"/>
  <c r="K820" i="5" s="1"/>
  <c r="G819" i="5"/>
  <c r="K819" i="5" s="1"/>
  <c r="G818" i="5"/>
  <c r="K818" i="5" s="1"/>
  <c r="G817" i="5"/>
  <c r="K817" i="5" s="1"/>
  <c r="G816" i="5"/>
  <c r="K816" i="5" s="1"/>
  <c r="G815" i="5"/>
  <c r="K815" i="5" s="1"/>
  <c r="G814" i="5"/>
  <c r="K814" i="5" s="1"/>
  <c r="G813" i="5"/>
  <c r="K813" i="5" s="1"/>
  <c r="G812" i="5"/>
  <c r="G811" i="5"/>
  <c r="K811" i="5" s="1"/>
  <c r="G810" i="5"/>
  <c r="K810" i="5" s="1"/>
  <c r="G809" i="5"/>
  <c r="K809" i="5" s="1"/>
  <c r="G808" i="5"/>
  <c r="K808" i="5" s="1"/>
  <c r="G807" i="5"/>
  <c r="K807" i="5" s="1"/>
  <c r="G806" i="5"/>
  <c r="K806" i="5" s="1"/>
  <c r="G805" i="5"/>
  <c r="K805" i="5" s="1"/>
  <c r="G804" i="5"/>
  <c r="K804" i="5" s="1"/>
  <c r="G803" i="5"/>
  <c r="K803" i="5" s="1"/>
  <c r="G802" i="5"/>
  <c r="K802" i="5" s="1"/>
  <c r="G801" i="5"/>
  <c r="K801" i="5" s="1"/>
  <c r="G800" i="5"/>
  <c r="K800" i="5" s="1"/>
  <c r="G799" i="5"/>
  <c r="K799" i="5" s="1"/>
  <c r="G798" i="5"/>
  <c r="K798" i="5" s="1"/>
  <c r="G797" i="5"/>
  <c r="K797" i="5" s="1"/>
  <c r="G796" i="5"/>
  <c r="K796" i="5" s="1"/>
  <c r="G795" i="5"/>
  <c r="K795" i="5" s="1"/>
  <c r="G794" i="5"/>
  <c r="K794" i="5" s="1"/>
  <c r="G793" i="5"/>
  <c r="K793" i="5" s="1"/>
  <c r="G792" i="5"/>
  <c r="K792" i="5" s="1"/>
  <c r="G791" i="5"/>
  <c r="K791" i="5" s="1"/>
  <c r="G790" i="5"/>
  <c r="K790" i="5" s="1"/>
  <c r="G789" i="5"/>
  <c r="K789" i="5" s="1"/>
  <c r="G788" i="5"/>
  <c r="K788" i="5" s="1"/>
  <c r="G787" i="5"/>
  <c r="K787" i="5" s="1"/>
  <c r="G786" i="5"/>
  <c r="K786" i="5" s="1"/>
  <c r="G785" i="5"/>
  <c r="K785" i="5" s="1"/>
  <c r="G784" i="5"/>
  <c r="K784" i="5" s="1"/>
  <c r="G783" i="5"/>
  <c r="K783" i="5" s="1"/>
  <c r="G782" i="5"/>
  <c r="K782" i="5" s="1"/>
  <c r="G781" i="5"/>
  <c r="K781" i="5" s="1"/>
  <c r="G780" i="5"/>
  <c r="K780" i="5" s="1"/>
  <c r="G779" i="5"/>
  <c r="K779" i="5" s="1"/>
  <c r="G778" i="5"/>
  <c r="K778" i="5" s="1"/>
  <c r="G777" i="5"/>
  <c r="K777" i="5" s="1"/>
  <c r="G776" i="5"/>
  <c r="K776" i="5" s="1"/>
  <c r="G775" i="5"/>
  <c r="K775" i="5" s="1"/>
  <c r="G774" i="5"/>
  <c r="K774" i="5" s="1"/>
  <c r="G773" i="5"/>
  <c r="K773" i="5" s="1"/>
  <c r="G772" i="5"/>
  <c r="K772" i="5" s="1"/>
  <c r="G771" i="5"/>
  <c r="K771" i="5" s="1"/>
  <c r="G770" i="5"/>
  <c r="K770" i="5" s="1"/>
  <c r="G769" i="5"/>
  <c r="K769" i="5" s="1"/>
  <c r="G768" i="5"/>
  <c r="K768" i="5" s="1"/>
  <c r="G767" i="5"/>
  <c r="K767" i="5" s="1"/>
  <c r="G766" i="5"/>
  <c r="K766" i="5" s="1"/>
  <c r="G765" i="5"/>
  <c r="K765" i="5" s="1"/>
  <c r="G764" i="5"/>
  <c r="K764" i="5" s="1"/>
  <c r="G763" i="5"/>
  <c r="K763" i="5" s="1"/>
  <c r="G762" i="5"/>
  <c r="K762" i="5" s="1"/>
  <c r="G761" i="5"/>
  <c r="K761" i="5" s="1"/>
  <c r="G760" i="5"/>
  <c r="K760" i="5" s="1"/>
  <c r="G759" i="5"/>
  <c r="K759" i="5" s="1"/>
  <c r="G758" i="5"/>
  <c r="K758" i="5" s="1"/>
  <c r="G757" i="5"/>
  <c r="K757" i="5" s="1"/>
  <c r="G756" i="5"/>
  <c r="K756" i="5" s="1"/>
  <c r="G755" i="5"/>
  <c r="K755" i="5" s="1"/>
  <c r="G754" i="5"/>
  <c r="K754" i="5" s="1"/>
  <c r="G753" i="5"/>
  <c r="K753" i="5" s="1"/>
  <c r="G752" i="5"/>
  <c r="K752" i="5" s="1"/>
  <c r="G751" i="5"/>
  <c r="K751" i="5" s="1"/>
  <c r="G750" i="5"/>
  <c r="K750" i="5" s="1"/>
  <c r="G749" i="5"/>
  <c r="K749" i="5" s="1"/>
  <c r="G748" i="5"/>
  <c r="K748" i="5" s="1"/>
  <c r="G747" i="5"/>
  <c r="K747" i="5" s="1"/>
  <c r="G746" i="5"/>
  <c r="K746" i="5" s="1"/>
  <c r="G745" i="5"/>
  <c r="K745" i="5" s="1"/>
  <c r="G744" i="5"/>
  <c r="K744" i="5" s="1"/>
  <c r="G743" i="5"/>
  <c r="K743" i="5" s="1"/>
  <c r="G742" i="5"/>
  <c r="K742" i="5" s="1"/>
  <c r="G741" i="5"/>
  <c r="K741" i="5" s="1"/>
  <c r="G740" i="5"/>
  <c r="K740" i="5" s="1"/>
  <c r="G739" i="5"/>
  <c r="K739" i="5" s="1"/>
  <c r="G738" i="5"/>
  <c r="K738" i="5" s="1"/>
  <c r="G737" i="5"/>
  <c r="K737" i="5" s="1"/>
  <c r="G736" i="5"/>
  <c r="K736" i="5" s="1"/>
  <c r="G735" i="5"/>
  <c r="K735" i="5" s="1"/>
  <c r="G734" i="5"/>
  <c r="K734" i="5" s="1"/>
  <c r="G733" i="5"/>
  <c r="K733" i="5" s="1"/>
  <c r="G732" i="5"/>
  <c r="K732" i="5" s="1"/>
  <c r="G731" i="5"/>
  <c r="K731" i="5" s="1"/>
  <c r="G730" i="5"/>
  <c r="K730" i="5" s="1"/>
  <c r="G729" i="5"/>
  <c r="K729" i="5" s="1"/>
  <c r="G728" i="5"/>
  <c r="K728" i="5" s="1"/>
  <c r="G727" i="5"/>
  <c r="K727" i="5" s="1"/>
  <c r="G726" i="5"/>
  <c r="K726" i="5" s="1"/>
  <c r="G725" i="5"/>
  <c r="K725" i="5" s="1"/>
  <c r="G724" i="5"/>
  <c r="K724" i="5" s="1"/>
  <c r="G723" i="5"/>
  <c r="K723" i="5" s="1"/>
  <c r="G722" i="5"/>
  <c r="K722" i="5" s="1"/>
  <c r="G721" i="5"/>
  <c r="K721" i="5" s="1"/>
  <c r="G720" i="5"/>
  <c r="K720" i="5" s="1"/>
  <c r="G719" i="5"/>
  <c r="K719" i="5" s="1"/>
  <c r="G718" i="5"/>
  <c r="K718" i="5" s="1"/>
  <c r="G717" i="5"/>
  <c r="K717" i="5" s="1"/>
  <c r="G716" i="5"/>
  <c r="K716" i="5" s="1"/>
  <c r="G715" i="5"/>
  <c r="K715" i="5" s="1"/>
  <c r="G714" i="5"/>
  <c r="K714" i="5" s="1"/>
  <c r="G713" i="5"/>
  <c r="K713" i="5" s="1"/>
  <c r="G712" i="5"/>
  <c r="K712" i="5" s="1"/>
  <c r="G711" i="5"/>
  <c r="K711" i="5" s="1"/>
  <c r="G710" i="5"/>
  <c r="K710" i="5" s="1"/>
  <c r="G709" i="5"/>
  <c r="K709" i="5" s="1"/>
  <c r="G708" i="5"/>
  <c r="K708" i="5" s="1"/>
  <c r="G707" i="5"/>
  <c r="K707" i="5" s="1"/>
  <c r="G706" i="5"/>
  <c r="K706" i="5" s="1"/>
  <c r="G705" i="5"/>
  <c r="K705" i="5" s="1"/>
  <c r="G704" i="5"/>
  <c r="K704" i="5" s="1"/>
  <c r="G703" i="5"/>
  <c r="K703" i="5" s="1"/>
  <c r="G702" i="5"/>
  <c r="K702" i="5" s="1"/>
  <c r="G701" i="5"/>
  <c r="K701" i="5" s="1"/>
  <c r="G700" i="5"/>
  <c r="K700" i="5" s="1"/>
  <c r="G699" i="5"/>
  <c r="K699" i="5" s="1"/>
  <c r="G698" i="5"/>
  <c r="K698" i="5" s="1"/>
  <c r="G697" i="5"/>
  <c r="K697" i="5" s="1"/>
  <c r="G696" i="5"/>
  <c r="K696" i="5" s="1"/>
  <c r="G695" i="5"/>
  <c r="K695" i="5" s="1"/>
  <c r="G694" i="5"/>
  <c r="K694" i="5" s="1"/>
  <c r="G693" i="5"/>
  <c r="K693" i="5" s="1"/>
  <c r="G692" i="5"/>
  <c r="K692" i="5" s="1"/>
  <c r="G691" i="5"/>
  <c r="K691" i="5" s="1"/>
  <c r="G690" i="5"/>
  <c r="K690" i="5" s="1"/>
  <c r="G689" i="5"/>
  <c r="K689" i="5" s="1"/>
  <c r="G688" i="5"/>
  <c r="K688" i="5" s="1"/>
  <c r="G687" i="5"/>
  <c r="K687" i="5" s="1"/>
  <c r="G686" i="5"/>
  <c r="K686" i="5" s="1"/>
  <c r="G685" i="5"/>
  <c r="K685" i="5" s="1"/>
  <c r="G684" i="5"/>
  <c r="G683" i="5"/>
  <c r="K683" i="5" s="1"/>
  <c r="G682" i="5"/>
  <c r="K682" i="5" s="1"/>
  <c r="G681" i="5"/>
  <c r="K681" i="5" s="1"/>
  <c r="G680" i="5"/>
  <c r="K680" i="5" s="1"/>
  <c r="G679" i="5"/>
  <c r="K679" i="5" s="1"/>
  <c r="G678" i="5"/>
  <c r="K678" i="5" s="1"/>
  <c r="G677" i="5"/>
  <c r="K677" i="5" s="1"/>
  <c r="G676" i="5"/>
  <c r="K676" i="5" s="1"/>
  <c r="G675" i="5"/>
  <c r="K675" i="5" s="1"/>
  <c r="G674" i="5"/>
  <c r="K674" i="5" s="1"/>
  <c r="G673" i="5"/>
  <c r="K673" i="5" s="1"/>
  <c r="G672" i="5"/>
  <c r="K672" i="5" s="1"/>
  <c r="G671" i="5"/>
  <c r="K671" i="5" s="1"/>
  <c r="G670" i="5"/>
  <c r="K670" i="5" s="1"/>
  <c r="G669" i="5"/>
  <c r="K669" i="5" s="1"/>
  <c r="G668" i="5"/>
  <c r="K668" i="5" s="1"/>
  <c r="G667" i="5"/>
  <c r="K667" i="5" s="1"/>
  <c r="G666" i="5"/>
  <c r="K666" i="5" s="1"/>
  <c r="G665" i="5"/>
  <c r="K665" i="5" s="1"/>
  <c r="G664" i="5"/>
  <c r="K664" i="5" s="1"/>
  <c r="G663" i="5"/>
  <c r="K663" i="5" s="1"/>
  <c r="G662" i="5"/>
  <c r="K662" i="5" s="1"/>
  <c r="G661" i="5"/>
  <c r="K661" i="5" s="1"/>
  <c r="G660" i="5"/>
  <c r="K660" i="5" s="1"/>
  <c r="G659" i="5"/>
  <c r="K659" i="5" s="1"/>
  <c r="G658" i="5"/>
  <c r="K658" i="5" s="1"/>
  <c r="G657" i="5"/>
  <c r="K657" i="5" s="1"/>
  <c r="G656" i="5"/>
  <c r="K656" i="5" s="1"/>
  <c r="G655" i="5"/>
  <c r="K655" i="5" s="1"/>
  <c r="G654" i="5"/>
  <c r="K654" i="5" s="1"/>
  <c r="G653" i="5"/>
  <c r="K653" i="5" s="1"/>
  <c r="G652" i="5"/>
  <c r="K652" i="5" s="1"/>
  <c r="G651" i="5"/>
  <c r="K651" i="5" s="1"/>
  <c r="G650" i="5"/>
  <c r="K650" i="5" s="1"/>
  <c r="G649" i="5"/>
  <c r="K649" i="5" s="1"/>
  <c r="G648" i="5"/>
  <c r="K648" i="5" s="1"/>
  <c r="G647" i="5"/>
  <c r="K647" i="5" s="1"/>
  <c r="G646" i="5"/>
  <c r="K646" i="5" s="1"/>
  <c r="G645" i="5"/>
  <c r="K645" i="5" s="1"/>
  <c r="G644" i="5"/>
  <c r="K644" i="5" s="1"/>
  <c r="G643" i="5"/>
  <c r="K643" i="5" s="1"/>
  <c r="G642" i="5"/>
  <c r="K642" i="5" s="1"/>
  <c r="G641" i="5"/>
  <c r="K641" i="5" s="1"/>
  <c r="G640" i="5"/>
  <c r="K640" i="5" s="1"/>
  <c r="G639" i="5"/>
  <c r="K639" i="5" s="1"/>
  <c r="G638" i="5"/>
  <c r="K638" i="5" s="1"/>
  <c r="G637" i="5"/>
  <c r="K637" i="5" s="1"/>
  <c r="G636" i="5"/>
  <c r="K636" i="5" s="1"/>
  <c r="G635" i="5"/>
  <c r="K635" i="5" s="1"/>
  <c r="G634" i="5"/>
  <c r="K634" i="5" s="1"/>
  <c r="G633" i="5"/>
  <c r="K633" i="5" s="1"/>
  <c r="G632" i="5"/>
  <c r="K632" i="5" s="1"/>
  <c r="G631" i="5"/>
  <c r="K631" i="5" s="1"/>
  <c r="G630" i="5"/>
  <c r="K630" i="5" s="1"/>
  <c r="G629" i="5"/>
  <c r="K629" i="5" s="1"/>
  <c r="G628" i="5"/>
  <c r="K628" i="5" s="1"/>
  <c r="G627" i="5"/>
  <c r="K627" i="5" s="1"/>
  <c r="G626" i="5"/>
  <c r="K626" i="5" s="1"/>
  <c r="G625" i="5"/>
  <c r="K625" i="5" s="1"/>
  <c r="G624" i="5"/>
  <c r="K624" i="5" s="1"/>
  <c r="G623" i="5"/>
  <c r="K623" i="5" s="1"/>
  <c r="G622" i="5"/>
  <c r="K622" i="5" s="1"/>
  <c r="G621" i="5"/>
  <c r="K621" i="5" s="1"/>
  <c r="G620" i="5"/>
  <c r="K620" i="5" s="1"/>
  <c r="G619" i="5"/>
  <c r="K619" i="5" s="1"/>
  <c r="G618" i="5"/>
  <c r="K618" i="5" s="1"/>
  <c r="G617" i="5"/>
  <c r="K617" i="5" s="1"/>
  <c r="G616" i="5"/>
  <c r="K616" i="5" s="1"/>
  <c r="G615" i="5"/>
  <c r="K615" i="5" s="1"/>
  <c r="G614" i="5"/>
  <c r="K614" i="5" s="1"/>
  <c r="G613" i="5"/>
  <c r="K613" i="5" s="1"/>
  <c r="G612" i="5"/>
  <c r="K612" i="5" s="1"/>
  <c r="G611" i="5"/>
  <c r="K611" i="5" s="1"/>
  <c r="G610" i="5"/>
  <c r="K610" i="5" s="1"/>
  <c r="G609" i="5"/>
  <c r="K609" i="5" s="1"/>
  <c r="G608" i="5"/>
  <c r="K608" i="5" s="1"/>
  <c r="G607" i="5"/>
  <c r="K607" i="5" s="1"/>
  <c r="G606" i="5"/>
  <c r="K606" i="5" s="1"/>
  <c r="G605" i="5"/>
  <c r="K605" i="5" s="1"/>
  <c r="G604" i="5"/>
  <c r="K604" i="5" s="1"/>
  <c r="G603" i="5"/>
  <c r="K603" i="5" s="1"/>
  <c r="G602" i="5"/>
  <c r="K602" i="5" s="1"/>
  <c r="G601" i="5"/>
  <c r="K601" i="5" s="1"/>
  <c r="G600" i="5"/>
  <c r="K600" i="5" s="1"/>
  <c r="G599" i="5"/>
  <c r="K599" i="5" s="1"/>
  <c r="G598" i="5"/>
  <c r="K598" i="5" s="1"/>
  <c r="G597" i="5"/>
  <c r="K597" i="5" s="1"/>
  <c r="G596" i="5"/>
  <c r="K596" i="5" s="1"/>
  <c r="G595" i="5"/>
  <c r="K595" i="5" s="1"/>
  <c r="G594" i="5"/>
  <c r="K594" i="5" s="1"/>
  <c r="G593" i="5"/>
  <c r="K593" i="5" s="1"/>
  <c r="G592" i="5"/>
  <c r="K592" i="5" s="1"/>
  <c r="G591" i="5"/>
  <c r="K591" i="5" s="1"/>
  <c r="G590" i="5"/>
  <c r="K590" i="5" s="1"/>
  <c r="G589" i="5"/>
  <c r="K589" i="5" s="1"/>
  <c r="G588" i="5"/>
  <c r="K588" i="5" s="1"/>
  <c r="G587" i="5"/>
  <c r="K587" i="5" s="1"/>
  <c r="G586" i="5"/>
  <c r="K586" i="5" s="1"/>
  <c r="G585" i="5"/>
  <c r="K585" i="5" s="1"/>
  <c r="G584" i="5"/>
  <c r="K584" i="5" s="1"/>
  <c r="G583" i="5"/>
  <c r="K583" i="5" s="1"/>
  <c r="G582" i="5"/>
  <c r="K582" i="5" s="1"/>
  <c r="G581" i="5"/>
  <c r="K581" i="5" s="1"/>
  <c r="G580" i="5"/>
  <c r="K580" i="5" s="1"/>
  <c r="G579" i="5"/>
  <c r="K579" i="5" s="1"/>
  <c r="G578" i="5"/>
  <c r="K578" i="5" s="1"/>
  <c r="G577" i="5"/>
  <c r="K577" i="5" s="1"/>
  <c r="G576" i="5"/>
  <c r="K576" i="5" s="1"/>
  <c r="G575" i="5"/>
  <c r="K575" i="5" s="1"/>
  <c r="G574" i="5"/>
  <c r="K574" i="5" s="1"/>
  <c r="G573" i="5"/>
  <c r="K573" i="5" s="1"/>
  <c r="G572" i="5"/>
  <c r="K572" i="5" s="1"/>
  <c r="G571" i="5"/>
  <c r="K571" i="5" s="1"/>
  <c r="G570" i="5"/>
  <c r="K570" i="5" s="1"/>
  <c r="G569" i="5"/>
  <c r="K569" i="5" s="1"/>
  <c r="G568" i="5"/>
  <c r="K568" i="5" s="1"/>
  <c r="G567" i="5"/>
  <c r="K567" i="5" s="1"/>
  <c r="G566" i="5"/>
  <c r="K566" i="5" s="1"/>
  <c r="G565" i="5"/>
  <c r="K565" i="5" s="1"/>
  <c r="G564" i="5"/>
  <c r="K564" i="5" s="1"/>
  <c r="G563" i="5"/>
  <c r="K563" i="5" s="1"/>
  <c r="G562" i="5"/>
  <c r="K562" i="5" s="1"/>
  <c r="G561" i="5"/>
  <c r="K561" i="5" s="1"/>
  <c r="G560" i="5"/>
  <c r="K560" i="5" s="1"/>
  <c r="G559" i="5"/>
  <c r="K559" i="5" s="1"/>
  <c r="G558" i="5"/>
  <c r="K558" i="5" s="1"/>
  <c r="G557" i="5"/>
  <c r="K557" i="5" s="1"/>
  <c r="G556" i="5"/>
  <c r="K556" i="5" s="1"/>
  <c r="G555" i="5"/>
  <c r="K555" i="5" s="1"/>
  <c r="G554" i="5"/>
  <c r="K554" i="5" s="1"/>
  <c r="G553" i="5"/>
  <c r="K553" i="5" s="1"/>
  <c r="G552" i="5"/>
  <c r="K552" i="5" s="1"/>
  <c r="G551" i="5"/>
  <c r="K551" i="5" s="1"/>
  <c r="G550" i="5"/>
  <c r="K550" i="5" s="1"/>
  <c r="G549" i="5"/>
  <c r="K549" i="5" s="1"/>
  <c r="G548" i="5"/>
  <c r="K548" i="5" s="1"/>
  <c r="G547" i="5"/>
  <c r="K547" i="5" s="1"/>
  <c r="G546" i="5"/>
  <c r="K546" i="5" s="1"/>
  <c r="G545" i="5"/>
  <c r="K545" i="5" s="1"/>
  <c r="G544" i="5"/>
  <c r="K544" i="5" s="1"/>
  <c r="G543" i="5"/>
  <c r="K543" i="5" s="1"/>
  <c r="G542" i="5"/>
  <c r="K542" i="5" s="1"/>
  <c r="G541" i="5"/>
  <c r="K541" i="5" s="1"/>
  <c r="G540" i="5"/>
  <c r="K540" i="5" s="1"/>
  <c r="G539" i="5"/>
  <c r="K539" i="5" s="1"/>
  <c r="G538" i="5"/>
  <c r="K538" i="5" s="1"/>
  <c r="G537" i="5"/>
  <c r="K537" i="5" s="1"/>
  <c r="G536" i="5"/>
  <c r="K536" i="5" s="1"/>
  <c r="G535" i="5"/>
  <c r="K535" i="5" s="1"/>
  <c r="G534" i="5"/>
  <c r="K534" i="5" s="1"/>
  <c r="G533" i="5"/>
  <c r="K533" i="5" s="1"/>
  <c r="G532" i="5"/>
  <c r="K532" i="5" s="1"/>
  <c r="G531" i="5"/>
  <c r="K531" i="5" s="1"/>
  <c r="G530" i="5"/>
  <c r="K530" i="5" s="1"/>
  <c r="G529" i="5"/>
  <c r="K529" i="5" s="1"/>
  <c r="G528" i="5"/>
  <c r="K528" i="5" s="1"/>
  <c r="G527" i="5"/>
  <c r="K527" i="5" s="1"/>
  <c r="G526" i="5"/>
  <c r="K526" i="5" s="1"/>
  <c r="G525" i="5"/>
  <c r="K525" i="5" s="1"/>
  <c r="G524" i="5"/>
  <c r="K524" i="5" s="1"/>
  <c r="G523" i="5"/>
  <c r="K523" i="5" s="1"/>
  <c r="G522" i="5"/>
  <c r="K522" i="5" s="1"/>
  <c r="G521" i="5"/>
  <c r="K521" i="5" s="1"/>
  <c r="G520" i="5"/>
  <c r="K520" i="5" s="1"/>
  <c r="G519" i="5"/>
  <c r="K519" i="5" s="1"/>
  <c r="G518" i="5"/>
  <c r="K518" i="5" s="1"/>
  <c r="G517" i="5"/>
  <c r="K517" i="5" s="1"/>
  <c r="G516" i="5"/>
  <c r="K516" i="5" s="1"/>
  <c r="G515" i="5"/>
  <c r="K515" i="5" s="1"/>
  <c r="G514" i="5"/>
  <c r="K514" i="5" s="1"/>
  <c r="G513" i="5"/>
  <c r="K513" i="5" s="1"/>
  <c r="G512" i="5"/>
  <c r="K512" i="5" s="1"/>
  <c r="G511" i="5"/>
  <c r="K511" i="5" s="1"/>
  <c r="G510" i="5"/>
  <c r="K510" i="5" s="1"/>
  <c r="G509" i="5"/>
  <c r="K509" i="5" s="1"/>
  <c r="G508" i="5"/>
  <c r="K508" i="5" s="1"/>
  <c r="G507" i="5"/>
  <c r="K507" i="5" s="1"/>
  <c r="G506" i="5"/>
  <c r="K506" i="5" s="1"/>
  <c r="G505" i="5"/>
  <c r="K505" i="5" s="1"/>
  <c r="G504" i="5"/>
  <c r="K504" i="5" s="1"/>
  <c r="G503" i="5"/>
  <c r="K503" i="5" s="1"/>
  <c r="G502" i="5"/>
  <c r="K502" i="5" s="1"/>
  <c r="G501" i="5"/>
  <c r="K501" i="5" s="1"/>
  <c r="G500" i="5"/>
  <c r="K500" i="5" s="1"/>
  <c r="G499" i="5"/>
  <c r="K499" i="5" s="1"/>
  <c r="G498" i="5"/>
  <c r="K498" i="5" s="1"/>
  <c r="G497" i="5"/>
  <c r="K497" i="5" s="1"/>
  <c r="G496" i="5"/>
  <c r="K496" i="5" s="1"/>
  <c r="G495" i="5"/>
  <c r="K495" i="5" s="1"/>
  <c r="G494" i="5"/>
  <c r="K494" i="5" s="1"/>
  <c r="G493" i="5"/>
  <c r="K493" i="5" s="1"/>
  <c r="G492" i="5"/>
  <c r="K492" i="5" s="1"/>
  <c r="G491" i="5"/>
  <c r="K491" i="5" s="1"/>
  <c r="G490" i="5"/>
  <c r="K490" i="5" s="1"/>
  <c r="G489" i="5"/>
  <c r="K489" i="5" s="1"/>
  <c r="G488" i="5"/>
  <c r="K488" i="5" s="1"/>
  <c r="G487" i="5"/>
  <c r="K487" i="5" s="1"/>
  <c r="G486" i="5"/>
  <c r="K486" i="5" s="1"/>
  <c r="G485" i="5"/>
  <c r="K485" i="5" s="1"/>
  <c r="G484" i="5"/>
  <c r="K484" i="5" s="1"/>
  <c r="G483" i="5"/>
  <c r="K483" i="5" s="1"/>
  <c r="G482" i="5"/>
  <c r="K482" i="5" s="1"/>
  <c r="G481" i="5"/>
  <c r="K481" i="5" s="1"/>
  <c r="G480" i="5"/>
  <c r="K480" i="5" s="1"/>
  <c r="G479" i="5"/>
  <c r="K479" i="5" s="1"/>
  <c r="G478" i="5"/>
  <c r="K478" i="5" s="1"/>
  <c r="G477" i="5"/>
  <c r="K477" i="5" s="1"/>
  <c r="G476" i="5"/>
  <c r="K476" i="5" s="1"/>
  <c r="G475" i="5"/>
  <c r="K475" i="5" s="1"/>
  <c r="G474" i="5"/>
  <c r="K474" i="5" s="1"/>
  <c r="G473" i="5"/>
  <c r="K473" i="5" s="1"/>
  <c r="G472" i="5"/>
  <c r="K472" i="5" s="1"/>
  <c r="G471" i="5"/>
  <c r="K471" i="5" s="1"/>
  <c r="G470" i="5"/>
  <c r="K470" i="5" s="1"/>
  <c r="G469" i="5"/>
  <c r="K469" i="5" s="1"/>
  <c r="G468" i="5"/>
  <c r="K468" i="5" s="1"/>
  <c r="G467" i="5"/>
  <c r="K467" i="5" s="1"/>
  <c r="G466" i="5"/>
  <c r="K466" i="5" s="1"/>
  <c r="G465" i="5"/>
  <c r="K465" i="5" s="1"/>
  <c r="G464" i="5"/>
  <c r="K464" i="5" s="1"/>
  <c r="G463" i="5"/>
  <c r="K463" i="5" s="1"/>
  <c r="G462" i="5"/>
  <c r="K462" i="5" s="1"/>
  <c r="G461" i="5"/>
  <c r="K461" i="5" s="1"/>
  <c r="G460" i="5"/>
  <c r="K460" i="5" s="1"/>
  <c r="G459" i="5"/>
  <c r="K459" i="5" s="1"/>
  <c r="G458" i="5"/>
  <c r="K458" i="5" s="1"/>
  <c r="G457" i="5"/>
  <c r="K457" i="5" s="1"/>
  <c r="G456" i="5"/>
  <c r="K456" i="5" s="1"/>
  <c r="G455" i="5"/>
  <c r="K455" i="5" s="1"/>
  <c r="G454" i="5"/>
  <c r="K454" i="5" s="1"/>
  <c r="G453" i="5"/>
  <c r="K453" i="5" s="1"/>
  <c r="G452" i="5"/>
  <c r="K452" i="5" s="1"/>
  <c r="G451" i="5"/>
  <c r="K451" i="5" s="1"/>
  <c r="G450" i="5"/>
  <c r="K450" i="5" s="1"/>
  <c r="G449" i="5"/>
  <c r="K449" i="5" s="1"/>
  <c r="G448" i="5"/>
  <c r="K448" i="5" s="1"/>
  <c r="G447" i="5"/>
  <c r="K447" i="5" s="1"/>
  <c r="G446" i="5"/>
  <c r="K446" i="5" s="1"/>
  <c r="G445" i="5"/>
  <c r="K445" i="5" s="1"/>
  <c r="G444" i="5"/>
  <c r="K444" i="5" s="1"/>
  <c r="G443" i="5"/>
  <c r="K443" i="5" s="1"/>
  <c r="G442" i="5"/>
  <c r="K442" i="5" s="1"/>
  <c r="G441" i="5"/>
  <c r="K441" i="5" s="1"/>
  <c r="G440" i="5"/>
  <c r="K440" i="5" s="1"/>
  <c r="G439" i="5"/>
  <c r="K439" i="5" s="1"/>
  <c r="G438" i="5"/>
  <c r="G437" i="5"/>
  <c r="K437" i="5" s="1"/>
  <c r="G436" i="5"/>
  <c r="K436" i="5" s="1"/>
  <c r="G435" i="5"/>
  <c r="K435" i="5" s="1"/>
  <c r="G434" i="5"/>
  <c r="K434" i="5" s="1"/>
  <c r="G433" i="5"/>
  <c r="K433" i="5" s="1"/>
  <c r="G432" i="5"/>
  <c r="K432" i="5" s="1"/>
  <c r="G431" i="5"/>
  <c r="K431" i="5" s="1"/>
  <c r="G430" i="5"/>
  <c r="K430" i="5" s="1"/>
  <c r="G429" i="5"/>
  <c r="K429" i="5" s="1"/>
  <c r="G428" i="5"/>
  <c r="K428" i="5" s="1"/>
  <c r="G427" i="5"/>
  <c r="K427" i="5" s="1"/>
  <c r="G426" i="5"/>
  <c r="K426" i="5" s="1"/>
  <c r="G425" i="5"/>
  <c r="K425" i="5" s="1"/>
  <c r="G424" i="5"/>
  <c r="K424" i="5" s="1"/>
  <c r="G423" i="5"/>
  <c r="K423" i="5" s="1"/>
  <c r="G422" i="5"/>
  <c r="K422" i="5" s="1"/>
  <c r="G421" i="5"/>
  <c r="K421" i="5" s="1"/>
  <c r="G420" i="5"/>
  <c r="K420" i="5" s="1"/>
  <c r="G419" i="5"/>
  <c r="K419" i="5" s="1"/>
  <c r="G418" i="5"/>
  <c r="K418" i="5" s="1"/>
  <c r="G417" i="5"/>
  <c r="K417" i="5" s="1"/>
  <c r="G416" i="5"/>
  <c r="K416" i="5" s="1"/>
  <c r="G415" i="5"/>
  <c r="K415" i="5" s="1"/>
  <c r="G414" i="5"/>
  <c r="K414" i="5" s="1"/>
  <c r="G413" i="5"/>
  <c r="K413" i="5" s="1"/>
  <c r="G412" i="5"/>
  <c r="K412" i="5" s="1"/>
  <c r="G411" i="5"/>
  <c r="K411" i="5" s="1"/>
  <c r="G410" i="5"/>
  <c r="K410" i="5" s="1"/>
  <c r="G409" i="5"/>
  <c r="K409" i="5" s="1"/>
  <c r="G408" i="5"/>
  <c r="K408" i="5" s="1"/>
  <c r="G407" i="5"/>
  <c r="K407" i="5" s="1"/>
  <c r="G406" i="5"/>
  <c r="K406" i="5" s="1"/>
  <c r="G405" i="5"/>
  <c r="K405" i="5" s="1"/>
  <c r="G404" i="5"/>
  <c r="K404" i="5" s="1"/>
  <c r="G403" i="5"/>
  <c r="K403" i="5" s="1"/>
  <c r="G402" i="5"/>
  <c r="K402" i="5" s="1"/>
  <c r="G401" i="5"/>
  <c r="K401" i="5" s="1"/>
  <c r="G400" i="5"/>
  <c r="K400" i="5" s="1"/>
  <c r="G399" i="5"/>
  <c r="K399" i="5" s="1"/>
  <c r="G398" i="5"/>
  <c r="K398" i="5" s="1"/>
  <c r="G397" i="5"/>
  <c r="K397" i="5" s="1"/>
  <c r="G396" i="5"/>
  <c r="K396" i="5" s="1"/>
  <c r="G395" i="5"/>
  <c r="K395" i="5" s="1"/>
  <c r="G394" i="5"/>
  <c r="K394" i="5" s="1"/>
  <c r="G393" i="5"/>
  <c r="K393" i="5" s="1"/>
  <c r="G392" i="5"/>
  <c r="K392" i="5" s="1"/>
  <c r="G391" i="5"/>
  <c r="K391" i="5" s="1"/>
  <c r="G390" i="5"/>
  <c r="K390" i="5" s="1"/>
  <c r="G389" i="5"/>
  <c r="K389" i="5" s="1"/>
  <c r="G388" i="5"/>
  <c r="K388" i="5" s="1"/>
  <c r="G387" i="5"/>
  <c r="K387" i="5" s="1"/>
  <c r="G386" i="5"/>
  <c r="K386" i="5" s="1"/>
  <c r="G385" i="5"/>
  <c r="K385" i="5" s="1"/>
  <c r="G384" i="5"/>
  <c r="K384" i="5" s="1"/>
  <c r="G383" i="5"/>
  <c r="K383" i="5" s="1"/>
  <c r="G382" i="5"/>
  <c r="K382" i="5" s="1"/>
  <c r="G381" i="5"/>
  <c r="K381" i="5" s="1"/>
  <c r="G380" i="5"/>
  <c r="K380" i="5" s="1"/>
  <c r="G379" i="5"/>
  <c r="K379" i="5" s="1"/>
  <c r="G378" i="5"/>
  <c r="K378" i="5" s="1"/>
  <c r="G377" i="5"/>
  <c r="K377" i="5" s="1"/>
  <c r="G376" i="5"/>
  <c r="G375" i="5"/>
  <c r="K375" i="5" s="1"/>
  <c r="G374" i="5"/>
  <c r="K374" i="5" s="1"/>
  <c r="G373" i="5"/>
  <c r="K373" i="5" s="1"/>
  <c r="G372" i="5"/>
  <c r="K372" i="5" s="1"/>
  <c r="G371" i="5"/>
  <c r="K371" i="5" s="1"/>
  <c r="G370" i="5"/>
  <c r="K370" i="5" s="1"/>
  <c r="G369" i="5"/>
  <c r="K369" i="5" s="1"/>
  <c r="G368" i="5"/>
  <c r="K368" i="5" s="1"/>
  <c r="G367" i="5"/>
  <c r="K367" i="5" s="1"/>
  <c r="G366" i="5"/>
  <c r="K366" i="5" s="1"/>
  <c r="G365" i="5"/>
  <c r="K365" i="5" s="1"/>
  <c r="G364" i="5"/>
  <c r="K364" i="5" s="1"/>
  <c r="G363" i="5"/>
  <c r="K363" i="5" s="1"/>
  <c r="G362" i="5"/>
  <c r="K362" i="5" s="1"/>
  <c r="G361" i="5"/>
  <c r="K361" i="5" s="1"/>
  <c r="G360" i="5"/>
  <c r="K360" i="5" s="1"/>
  <c r="G359" i="5"/>
  <c r="K359" i="5" s="1"/>
  <c r="G358" i="5"/>
  <c r="K358" i="5" s="1"/>
  <c r="G357" i="5"/>
  <c r="K357" i="5" s="1"/>
  <c r="G356" i="5"/>
  <c r="K356" i="5" s="1"/>
  <c r="G355" i="5"/>
  <c r="K355" i="5" s="1"/>
  <c r="G354" i="5"/>
  <c r="K354" i="5" s="1"/>
  <c r="G353" i="5"/>
  <c r="K353" i="5" s="1"/>
  <c r="G352" i="5"/>
  <c r="K352" i="5" s="1"/>
  <c r="G351" i="5"/>
  <c r="K351" i="5" s="1"/>
  <c r="G350" i="5"/>
  <c r="K350" i="5" s="1"/>
  <c r="G349" i="5"/>
  <c r="K349" i="5" s="1"/>
  <c r="G348" i="5"/>
  <c r="K348" i="5" s="1"/>
  <c r="G347" i="5"/>
  <c r="K347" i="5" s="1"/>
  <c r="G346" i="5"/>
  <c r="K346" i="5" s="1"/>
  <c r="G345" i="5"/>
  <c r="K345" i="5" s="1"/>
  <c r="G344" i="5"/>
  <c r="K344" i="5" s="1"/>
  <c r="G343" i="5"/>
  <c r="K343" i="5" s="1"/>
  <c r="G342" i="5"/>
  <c r="K342" i="5" s="1"/>
  <c r="G341" i="5"/>
  <c r="K341" i="5" s="1"/>
  <c r="G340" i="5"/>
  <c r="K340" i="5" s="1"/>
  <c r="G339" i="5"/>
  <c r="K339" i="5" s="1"/>
  <c r="G338" i="5"/>
  <c r="K338" i="5" s="1"/>
  <c r="G337" i="5"/>
  <c r="K337" i="5" s="1"/>
  <c r="G336" i="5"/>
  <c r="K336" i="5" s="1"/>
  <c r="G335" i="5"/>
  <c r="K335" i="5" s="1"/>
  <c r="G334" i="5"/>
  <c r="K334" i="5" s="1"/>
  <c r="G333" i="5"/>
  <c r="K333" i="5" s="1"/>
  <c r="G332" i="5"/>
  <c r="K332" i="5" s="1"/>
  <c r="G331" i="5"/>
  <c r="K331" i="5" s="1"/>
  <c r="G330" i="5"/>
  <c r="K330" i="5" s="1"/>
  <c r="G329" i="5"/>
  <c r="K329" i="5" s="1"/>
  <c r="G328" i="5"/>
  <c r="K328" i="5" s="1"/>
  <c r="G327" i="5"/>
  <c r="K327" i="5" s="1"/>
  <c r="G326" i="5"/>
  <c r="K326" i="5" s="1"/>
  <c r="G325" i="5"/>
  <c r="K325" i="5" s="1"/>
  <c r="G324" i="5"/>
  <c r="K324" i="5" s="1"/>
  <c r="G323" i="5"/>
  <c r="K323" i="5" s="1"/>
  <c r="G322" i="5"/>
  <c r="K322" i="5" s="1"/>
  <c r="G321" i="5"/>
  <c r="K321" i="5" s="1"/>
  <c r="G320" i="5"/>
  <c r="K320" i="5" s="1"/>
  <c r="G319" i="5"/>
  <c r="K319" i="5" s="1"/>
  <c r="G318" i="5"/>
  <c r="K318" i="5" s="1"/>
  <c r="G317" i="5"/>
  <c r="K317" i="5" s="1"/>
  <c r="G316" i="5"/>
  <c r="K316" i="5" s="1"/>
  <c r="G315" i="5"/>
  <c r="K315" i="5" s="1"/>
  <c r="G314" i="5"/>
  <c r="K314" i="5" s="1"/>
  <c r="G313" i="5"/>
  <c r="K313" i="5" s="1"/>
  <c r="G312" i="5"/>
  <c r="K312" i="5" s="1"/>
  <c r="G311" i="5"/>
  <c r="K311" i="5" s="1"/>
  <c r="G310" i="5"/>
  <c r="K310" i="5" s="1"/>
  <c r="G309" i="5"/>
  <c r="K309" i="5" s="1"/>
  <c r="G308" i="5"/>
  <c r="K308" i="5" s="1"/>
  <c r="G307" i="5"/>
  <c r="K307" i="5" s="1"/>
  <c r="G306" i="5"/>
  <c r="K306" i="5" s="1"/>
  <c r="G305" i="5"/>
  <c r="K305" i="5" s="1"/>
  <c r="G304" i="5"/>
  <c r="K304" i="5" s="1"/>
  <c r="G303" i="5"/>
  <c r="K303" i="5" s="1"/>
  <c r="G302" i="5"/>
  <c r="K302" i="5" s="1"/>
  <c r="G301" i="5"/>
  <c r="K301" i="5" s="1"/>
  <c r="G300" i="5"/>
  <c r="K300" i="5" s="1"/>
  <c r="G299" i="5"/>
  <c r="K299" i="5" s="1"/>
  <c r="G298" i="5"/>
  <c r="K298" i="5" s="1"/>
  <c r="G297" i="5"/>
  <c r="K297" i="5" s="1"/>
  <c r="G296" i="5"/>
  <c r="K296" i="5" s="1"/>
  <c r="G295" i="5"/>
  <c r="K295" i="5" s="1"/>
  <c r="G294" i="5"/>
  <c r="K294" i="5" s="1"/>
  <c r="G293" i="5"/>
  <c r="K293" i="5" s="1"/>
  <c r="G292" i="5"/>
  <c r="K292" i="5" s="1"/>
  <c r="G291" i="5"/>
  <c r="K291" i="5" s="1"/>
  <c r="G290" i="5"/>
  <c r="K290" i="5" s="1"/>
  <c r="G289" i="5"/>
  <c r="K289" i="5" s="1"/>
  <c r="G288" i="5"/>
  <c r="K288" i="5" s="1"/>
  <c r="G287" i="5"/>
  <c r="K287" i="5" s="1"/>
  <c r="G286" i="5"/>
  <c r="K286" i="5" s="1"/>
  <c r="G285" i="5"/>
  <c r="K285" i="5" s="1"/>
  <c r="G284" i="5"/>
  <c r="K284" i="5" s="1"/>
  <c r="G283" i="5"/>
  <c r="K283" i="5" s="1"/>
  <c r="G282" i="5"/>
  <c r="K282" i="5" s="1"/>
  <c r="G281" i="5"/>
  <c r="K281" i="5" s="1"/>
  <c r="G280" i="5"/>
  <c r="K280" i="5" s="1"/>
  <c r="G279" i="5"/>
  <c r="K279" i="5" s="1"/>
  <c r="G278" i="5"/>
  <c r="K278" i="5" s="1"/>
  <c r="G277" i="5"/>
  <c r="K277" i="5" s="1"/>
  <c r="G276" i="5"/>
  <c r="K276" i="5" s="1"/>
  <c r="G275" i="5"/>
  <c r="K275" i="5" s="1"/>
  <c r="G274" i="5"/>
  <c r="K274" i="5" s="1"/>
  <c r="G273" i="5"/>
  <c r="K273" i="5" s="1"/>
  <c r="G272" i="5"/>
  <c r="K272" i="5" s="1"/>
  <c r="G271" i="5"/>
  <c r="K271" i="5" s="1"/>
  <c r="G270" i="5"/>
  <c r="K270" i="5" s="1"/>
  <c r="G269" i="5"/>
  <c r="K269" i="5" s="1"/>
  <c r="G268" i="5"/>
  <c r="K268" i="5" s="1"/>
  <c r="G267" i="5"/>
  <c r="K267" i="5" s="1"/>
  <c r="G266" i="5"/>
  <c r="K266" i="5" s="1"/>
  <c r="G265" i="5"/>
  <c r="K265" i="5" s="1"/>
  <c r="G264" i="5"/>
  <c r="K264" i="5" s="1"/>
  <c r="G263" i="5"/>
  <c r="K263" i="5" s="1"/>
  <c r="G262" i="5"/>
  <c r="K262" i="5" s="1"/>
  <c r="G261" i="5"/>
  <c r="K261" i="5" s="1"/>
  <c r="G260" i="5"/>
  <c r="K260" i="5" s="1"/>
  <c r="G259" i="5"/>
  <c r="K259" i="5" s="1"/>
  <c r="G258" i="5"/>
  <c r="K258" i="5" s="1"/>
  <c r="G257" i="5"/>
  <c r="K257" i="5" s="1"/>
  <c r="G256" i="5"/>
  <c r="K256" i="5" s="1"/>
  <c r="G255" i="5"/>
  <c r="K255" i="5" s="1"/>
  <c r="G254" i="5"/>
  <c r="K254" i="5" s="1"/>
  <c r="G253" i="5"/>
  <c r="K253" i="5" s="1"/>
  <c r="G252" i="5"/>
  <c r="K252" i="5" s="1"/>
  <c r="G251" i="5"/>
  <c r="K251" i="5" s="1"/>
  <c r="G250" i="5"/>
  <c r="K250" i="5" s="1"/>
  <c r="G249" i="5"/>
  <c r="K249" i="5" s="1"/>
  <c r="G248" i="5"/>
  <c r="K248" i="5" s="1"/>
  <c r="G247" i="5"/>
  <c r="K247" i="5" s="1"/>
  <c r="G246" i="5"/>
  <c r="K246" i="5" s="1"/>
  <c r="G245" i="5"/>
  <c r="K245" i="5" s="1"/>
  <c r="G244" i="5"/>
  <c r="K244" i="5" s="1"/>
  <c r="G243" i="5"/>
  <c r="K243" i="5" s="1"/>
  <c r="G242" i="5"/>
  <c r="K242" i="5" s="1"/>
  <c r="G241" i="5"/>
  <c r="K241" i="5" s="1"/>
  <c r="G240" i="5"/>
  <c r="K240" i="5" s="1"/>
  <c r="G239" i="5"/>
  <c r="K239" i="5" s="1"/>
  <c r="G238" i="5"/>
  <c r="K238" i="5" s="1"/>
  <c r="G237" i="5"/>
  <c r="K237" i="5" s="1"/>
  <c r="G236" i="5"/>
  <c r="K236" i="5" s="1"/>
  <c r="G235" i="5"/>
  <c r="K235" i="5" s="1"/>
  <c r="G234" i="5"/>
  <c r="K234" i="5" s="1"/>
  <c r="G233" i="5"/>
  <c r="K233" i="5" s="1"/>
  <c r="G232" i="5"/>
  <c r="K232" i="5" s="1"/>
  <c r="G231" i="5"/>
  <c r="K231" i="5" s="1"/>
  <c r="G230" i="5"/>
  <c r="K230" i="5" s="1"/>
  <c r="G229" i="5"/>
  <c r="K229" i="5" s="1"/>
  <c r="G228" i="5"/>
  <c r="K228" i="5" s="1"/>
  <c r="G227" i="5"/>
  <c r="K227" i="5" s="1"/>
  <c r="G226" i="5"/>
  <c r="K226" i="5" s="1"/>
  <c r="G225" i="5"/>
  <c r="K225" i="5" s="1"/>
  <c r="G224" i="5"/>
  <c r="K224" i="5" s="1"/>
  <c r="G223" i="5"/>
  <c r="K223" i="5" s="1"/>
  <c r="G222" i="5"/>
  <c r="K222" i="5" s="1"/>
  <c r="G221" i="5"/>
  <c r="K221" i="5" s="1"/>
  <c r="G220" i="5"/>
  <c r="K220" i="5" s="1"/>
  <c r="G219" i="5"/>
  <c r="K219" i="5" s="1"/>
  <c r="G218" i="5"/>
  <c r="K218" i="5" s="1"/>
  <c r="G217" i="5"/>
  <c r="K217" i="5" s="1"/>
  <c r="G216" i="5"/>
  <c r="K216" i="5" s="1"/>
  <c r="G215" i="5"/>
  <c r="K215" i="5" s="1"/>
  <c r="G214" i="5"/>
  <c r="K214" i="5" s="1"/>
  <c r="G213" i="5"/>
  <c r="K213" i="5" s="1"/>
  <c r="G212" i="5"/>
  <c r="K212" i="5" s="1"/>
  <c r="G211" i="5"/>
  <c r="K211" i="5" s="1"/>
  <c r="G210" i="5"/>
  <c r="K210" i="5" s="1"/>
  <c r="G209" i="5"/>
  <c r="K209" i="5" s="1"/>
  <c r="G208" i="5"/>
  <c r="K208" i="5" s="1"/>
  <c r="G207" i="5"/>
  <c r="K207" i="5" s="1"/>
  <c r="G206" i="5"/>
  <c r="K206" i="5" s="1"/>
  <c r="G205" i="5"/>
  <c r="K205" i="5" s="1"/>
  <c r="G204" i="5"/>
  <c r="K204" i="5" s="1"/>
  <c r="G203" i="5"/>
  <c r="K203" i="5" s="1"/>
  <c r="G202" i="5"/>
  <c r="K202" i="5" s="1"/>
  <c r="G201" i="5"/>
  <c r="K201" i="5" s="1"/>
  <c r="G200" i="5"/>
  <c r="K200" i="5" s="1"/>
  <c r="G199" i="5"/>
  <c r="K199" i="5" s="1"/>
  <c r="G198" i="5"/>
  <c r="K198" i="5" s="1"/>
  <c r="G197" i="5"/>
  <c r="K197" i="5" s="1"/>
  <c r="G196" i="5"/>
  <c r="K196" i="5" s="1"/>
  <c r="G195" i="5"/>
  <c r="K195" i="5" s="1"/>
  <c r="G194" i="5"/>
  <c r="K194" i="5" s="1"/>
  <c r="G193" i="5"/>
  <c r="K193" i="5" s="1"/>
  <c r="G192" i="5"/>
  <c r="G191" i="5"/>
  <c r="K191" i="5" s="1"/>
  <c r="G190" i="5"/>
  <c r="K190" i="5" s="1"/>
  <c r="G189" i="5"/>
  <c r="K189" i="5" s="1"/>
  <c r="G188" i="5"/>
  <c r="K188" i="5" s="1"/>
  <c r="G187" i="5"/>
  <c r="K187" i="5" s="1"/>
  <c r="G186" i="5"/>
  <c r="K186" i="5" s="1"/>
  <c r="G185" i="5"/>
  <c r="K185" i="5" s="1"/>
  <c r="G184" i="5"/>
  <c r="K184" i="5" s="1"/>
  <c r="G183" i="5"/>
  <c r="K183" i="5" s="1"/>
  <c r="G182" i="5"/>
  <c r="K182" i="5" s="1"/>
  <c r="G181" i="5"/>
  <c r="K181" i="5" s="1"/>
  <c r="G180" i="5"/>
  <c r="K180" i="5" s="1"/>
  <c r="G179" i="5"/>
  <c r="K179" i="5" s="1"/>
  <c r="G178" i="5"/>
  <c r="K178" i="5" s="1"/>
  <c r="G177" i="5"/>
  <c r="K177" i="5" s="1"/>
  <c r="G176" i="5"/>
  <c r="K176" i="5" s="1"/>
  <c r="G175" i="5"/>
  <c r="K175" i="5" s="1"/>
  <c r="G174" i="5"/>
  <c r="K174" i="5" s="1"/>
  <c r="G173" i="5"/>
  <c r="K173" i="5" s="1"/>
  <c r="G172" i="5"/>
  <c r="K172" i="5" s="1"/>
  <c r="G171" i="5"/>
  <c r="K171" i="5" s="1"/>
  <c r="G170" i="5"/>
  <c r="K170" i="5" s="1"/>
  <c r="G169" i="5"/>
  <c r="K169" i="5" s="1"/>
  <c r="G168" i="5"/>
  <c r="G167" i="5"/>
  <c r="K167" i="5" s="1"/>
  <c r="G166" i="5"/>
  <c r="K166" i="5" s="1"/>
  <c r="G165" i="5"/>
  <c r="K165" i="5" s="1"/>
  <c r="G164" i="5"/>
  <c r="K164" i="5" s="1"/>
  <c r="G163" i="5"/>
  <c r="K163" i="5" s="1"/>
  <c r="G162" i="5"/>
  <c r="K162" i="5" s="1"/>
  <c r="G161" i="5"/>
  <c r="G160" i="5"/>
  <c r="K160" i="5" s="1"/>
  <c r="G159" i="5"/>
  <c r="K159" i="5" s="1"/>
  <c r="G158" i="5"/>
  <c r="K158" i="5" s="1"/>
  <c r="G157" i="5"/>
  <c r="K157" i="5" s="1"/>
  <c r="G156" i="5"/>
  <c r="K156" i="5" s="1"/>
  <c r="G155" i="5"/>
  <c r="K155" i="5" s="1"/>
  <c r="G154" i="5"/>
  <c r="K154" i="5" s="1"/>
  <c r="G153" i="5"/>
  <c r="K153" i="5" s="1"/>
  <c r="G152" i="5"/>
  <c r="K152" i="5" s="1"/>
  <c r="G151" i="5"/>
  <c r="K151" i="5" s="1"/>
  <c r="G150" i="5"/>
  <c r="K150" i="5" s="1"/>
  <c r="G149" i="5"/>
  <c r="K149" i="5" s="1"/>
  <c r="G148" i="5"/>
  <c r="K148" i="5" s="1"/>
  <c r="G147" i="5"/>
  <c r="K147" i="5" s="1"/>
  <c r="G146" i="5"/>
  <c r="K146" i="5" s="1"/>
  <c r="G145" i="5"/>
  <c r="K145" i="5" s="1"/>
  <c r="G144" i="5"/>
  <c r="K144" i="5" s="1"/>
  <c r="G143" i="5"/>
  <c r="K143" i="5" s="1"/>
  <c r="G142" i="5"/>
  <c r="K142" i="5" s="1"/>
  <c r="G141" i="5"/>
  <c r="K141" i="5" s="1"/>
  <c r="G140" i="5"/>
  <c r="K140" i="5" s="1"/>
  <c r="G139" i="5"/>
  <c r="K139" i="5" s="1"/>
  <c r="G138" i="5"/>
  <c r="K138" i="5" s="1"/>
  <c r="G137" i="5"/>
  <c r="K137" i="5" s="1"/>
  <c r="G136" i="5"/>
  <c r="K136" i="5" s="1"/>
  <c r="G135" i="5"/>
  <c r="K135" i="5" s="1"/>
  <c r="G134" i="5"/>
  <c r="K134" i="5" s="1"/>
  <c r="G133" i="5"/>
  <c r="K133" i="5" s="1"/>
  <c r="G132" i="5"/>
  <c r="K132" i="5" s="1"/>
  <c r="G131" i="5"/>
  <c r="K131" i="5" s="1"/>
  <c r="G130" i="5"/>
  <c r="K130" i="5" s="1"/>
  <c r="G129" i="5"/>
  <c r="K129" i="5" s="1"/>
  <c r="G128" i="5"/>
  <c r="K128" i="5" s="1"/>
  <c r="G127" i="5"/>
  <c r="K127" i="5" s="1"/>
  <c r="G126" i="5"/>
  <c r="K126" i="5" s="1"/>
  <c r="G125" i="5"/>
  <c r="K125" i="5" s="1"/>
  <c r="G124" i="5"/>
  <c r="K124" i="5" s="1"/>
  <c r="G123" i="5"/>
  <c r="K123" i="5" s="1"/>
  <c r="G122" i="5"/>
  <c r="K122" i="5" s="1"/>
  <c r="G121" i="5"/>
  <c r="K121" i="5" s="1"/>
  <c r="G120" i="5"/>
  <c r="G119" i="5"/>
  <c r="K119" i="5" s="1"/>
  <c r="G118" i="5"/>
  <c r="K118" i="5" s="1"/>
  <c r="G117" i="5"/>
  <c r="K117" i="5" s="1"/>
  <c r="G116" i="5"/>
  <c r="K116" i="5" s="1"/>
  <c r="G115" i="5"/>
  <c r="K115" i="5" s="1"/>
  <c r="G114" i="5"/>
  <c r="K114" i="5" s="1"/>
  <c r="G113" i="5"/>
  <c r="K113" i="5" s="1"/>
  <c r="G112" i="5"/>
  <c r="K112" i="5" s="1"/>
  <c r="G111" i="5"/>
  <c r="K111" i="5" s="1"/>
  <c r="G110" i="5"/>
  <c r="K110" i="5" s="1"/>
  <c r="G109" i="5"/>
  <c r="K109" i="5" s="1"/>
  <c r="G108" i="5"/>
  <c r="K108" i="5" s="1"/>
  <c r="G107" i="5"/>
  <c r="K107" i="5" s="1"/>
  <c r="G106" i="5"/>
  <c r="K106" i="5" s="1"/>
  <c r="G105" i="5"/>
  <c r="K105" i="5" s="1"/>
  <c r="G104" i="5"/>
  <c r="K104" i="5" s="1"/>
  <c r="G103" i="5"/>
  <c r="K103" i="5" s="1"/>
  <c r="G102" i="5"/>
  <c r="K102" i="5" s="1"/>
  <c r="G101" i="5"/>
  <c r="K101" i="5" s="1"/>
  <c r="G100" i="5"/>
  <c r="K100" i="5" s="1"/>
  <c r="G99" i="5"/>
  <c r="K99" i="5" s="1"/>
  <c r="G98" i="5"/>
  <c r="K98" i="5" s="1"/>
  <c r="G97" i="5"/>
  <c r="K97" i="5" s="1"/>
  <c r="G96" i="5"/>
  <c r="K96" i="5" s="1"/>
  <c r="G95" i="5"/>
  <c r="K95" i="5" s="1"/>
  <c r="G94" i="5"/>
  <c r="K94" i="5" s="1"/>
  <c r="G93" i="5"/>
  <c r="K93" i="5" s="1"/>
  <c r="G92" i="5"/>
  <c r="K92" i="5" s="1"/>
  <c r="G91" i="5"/>
  <c r="K91" i="5" s="1"/>
  <c r="G90" i="5"/>
  <c r="K90" i="5" s="1"/>
  <c r="G89" i="5"/>
  <c r="K89" i="5" s="1"/>
  <c r="G88" i="5"/>
  <c r="K88" i="5" s="1"/>
  <c r="G87" i="5"/>
  <c r="K87" i="5" s="1"/>
  <c r="G86" i="5"/>
  <c r="K86" i="5" s="1"/>
  <c r="G85" i="5"/>
  <c r="K85" i="5" s="1"/>
  <c r="G84" i="5"/>
  <c r="K84" i="5" s="1"/>
  <c r="G83" i="5"/>
  <c r="K83" i="5" s="1"/>
  <c r="G82" i="5"/>
  <c r="K82" i="5" s="1"/>
  <c r="G81" i="5"/>
  <c r="K81" i="5" s="1"/>
  <c r="G80" i="5"/>
  <c r="K80" i="5" s="1"/>
  <c r="G79" i="5"/>
  <c r="K79" i="5" s="1"/>
  <c r="G78" i="5"/>
  <c r="K78" i="5" s="1"/>
  <c r="G77" i="5"/>
  <c r="K77" i="5" s="1"/>
  <c r="G76" i="5"/>
  <c r="K76" i="5" s="1"/>
  <c r="G75" i="5"/>
  <c r="K75" i="5" s="1"/>
  <c r="G74" i="5"/>
  <c r="K74" i="5" s="1"/>
  <c r="G73" i="5"/>
  <c r="K73" i="5" s="1"/>
  <c r="G72" i="5"/>
  <c r="K72" i="5" s="1"/>
  <c r="G71" i="5"/>
  <c r="K71" i="5" s="1"/>
  <c r="G70" i="5"/>
  <c r="K70" i="5" s="1"/>
  <c r="G69" i="5"/>
  <c r="K69" i="5" s="1"/>
  <c r="G68" i="5"/>
  <c r="K68" i="5" s="1"/>
  <c r="G67" i="5"/>
  <c r="K67" i="5" s="1"/>
  <c r="G66" i="5"/>
  <c r="K66" i="5" s="1"/>
  <c r="G65" i="5"/>
  <c r="K65" i="5" s="1"/>
  <c r="G64" i="5"/>
  <c r="G63" i="5"/>
  <c r="K63" i="5" s="1"/>
  <c r="G62" i="5"/>
  <c r="K62" i="5" s="1"/>
  <c r="G61" i="5"/>
  <c r="K61" i="5" s="1"/>
  <c r="G60" i="5"/>
  <c r="K60" i="5" s="1"/>
  <c r="G59" i="5"/>
  <c r="K59" i="5" s="1"/>
  <c r="G58" i="5"/>
  <c r="K58" i="5" s="1"/>
  <c r="G57" i="5"/>
  <c r="G56" i="5"/>
  <c r="K56" i="5" s="1"/>
  <c r="G55" i="5"/>
  <c r="K55" i="5" s="1"/>
  <c r="G54" i="5"/>
  <c r="K54" i="5" s="1"/>
  <c r="G53" i="5"/>
  <c r="K53" i="5" s="1"/>
  <c r="G52" i="5"/>
  <c r="K52" i="5" s="1"/>
  <c r="G51" i="5"/>
  <c r="K51" i="5" s="1"/>
  <c r="G50" i="5"/>
  <c r="K50" i="5" s="1"/>
  <c r="G49" i="5"/>
  <c r="K49" i="5" s="1"/>
  <c r="G48" i="5"/>
  <c r="K48" i="5" s="1"/>
  <c r="G47" i="5"/>
  <c r="K47" i="5" s="1"/>
  <c r="G46" i="5"/>
  <c r="K46" i="5" s="1"/>
  <c r="G45" i="5"/>
  <c r="K45" i="5" s="1"/>
  <c r="G44" i="5"/>
  <c r="K44" i="5" s="1"/>
  <c r="G43" i="5"/>
  <c r="K43" i="5" s="1"/>
  <c r="G42" i="5"/>
  <c r="K42" i="5" s="1"/>
  <c r="G41" i="5"/>
  <c r="K41" i="5" s="1"/>
  <c r="G40" i="5"/>
  <c r="K40" i="5" s="1"/>
  <c r="G39" i="5"/>
  <c r="K39" i="5" s="1"/>
  <c r="G38" i="5"/>
  <c r="K38" i="5" s="1"/>
  <c r="G37" i="5"/>
  <c r="K37" i="5" s="1"/>
  <c r="G36" i="5"/>
  <c r="K36" i="5" s="1"/>
  <c r="G35" i="5"/>
  <c r="K35" i="5" s="1"/>
  <c r="G34" i="5"/>
  <c r="K34" i="5" s="1"/>
  <c r="G33" i="5"/>
  <c r="K33" i="5" s="1"/>
  <c r="G32" i="5"/>
  <c r="K32" i="5" s="1"/>
  <c r="G31" i="5"/>
  <c r="K31" i="5" s="1"/>
  <c r="G30" i="5"/>
  <c r="K30" i="5" s="1"/>
  <c r="G29" i="5"/>
  <c r="K29" i="5" s="1"/>
  <c r="G28" i="5"/>
  <c r="K28" i="5" s="1"/>
  <c r="G27" i="5"/>
  <c r="K27" i="5" s="1"/>
  <c r="G26" i="5"/>
  <c r="K26" i="5" s="1"/>
  <c r="G25" i="5"/>
  <c r="K25" i="5" s="1"/>
  <c r="G24" i="5"/>
  <c r="K24" i="5" s="1"/>
  <c r="G23" i="5"/>
  <c r="K23" i="5" s="1"/>
  <c r="G22" i="5"/>
  <c r="K22" i="5" s="1"/>
  <c r="G21" i="5"/>
  <c r="K21" i="5" s="1"/>
  <c r="G20" i="5"/>
  <c r="K20" i="5" s="1"/>
  <c r="G19" i="5"/>
  <c r="K19" i="5" s="1"/>
  <c r="G18" i="5"/>
  <c r="K18" i="5" s="1"/>
  <c r="G17" i="5"/>
  <c r="K17" i="5" s="1"/>
  <c r="G16" i="5"/>
  <c r="K16" i="5" s="1"/>
  <c r="G15" i="5"/>
  <c r="K15" i="5" s="1"/>
  <c r="G14" i="5"/>
  <c r="K14" i="5" s="1"/>
  <c r="G13" i="5"/>
  <c r="K13" i="5" s="1"/>
  <c r="G12" i="5"/>
  <c r="K12" i="5" s="1"/>
  <c r="G11" i="5"/>
  <c r="K11" i="5" s="1"/>
  <c r="G10" i="5"/>
  <c r="K10" i="5" s="1"/>
  <c r="G9" i="5"/>
  <c r="K9" i="5" s="1"/>
  <c r="G8" i="5"/>
  <c r="K8" i="5" s="1"/>
  <c r="G7" i="5"/>
  <c r="K7" i="5" s="1"/>
  <c r="G6" i="5"/>
  <c r="K6" i="5" s="1"/>
  <c r="G5" i="5"/>
  <c r="K5" i="5" s="1"/>
  <c r="G4" i="5"/>
  <c r="K4" i="5" s="1"/>
  <c r="G3" i="5"/>
  <c r="K3" i="5" s="1"/>
  <c r="G2" i="5"/>
  <c r="K2" i="5" s="1"/>
  <c r="S1004" i="5" l="1"/>
  <c r="S1313" i="5"/>
  <c r="S1164" i="5"/>
  <c r="S1196" i="5"/>
  <c r="S1292" i="5"/>
  <c r="S1316" i="5"/>
  <c r="S712" i="5"/>
  <c r="S1284" i="5"/>
  <c r="S1028" i="5"/>
  <c r="S1324" i="5"/>
  <c r="S1260" i="5"/>
  <c r="S1228" i="5"/>
  <c r="S1220" i="5"/>
  <c r="S1132" i="5"/>
  <c r="S1124" i="5"/>
  <c r="S1100" i="5"/>
  <c r="S1092" i="5"/>
  <c r="S1068" i="5"/>
  <c r="S1036" i="5"/>
  <c r="S996" i="5"/>
  <c r="S972" i="5"/>
  <c r="S964" i="5"/>
  <c r="S918" i="5"/>
  <c r="S1188" i="5"/>
  <c r="S1060" i="5"/>
  <c r="S1321" i="5"/>
  <c r="S1305" i="5"/>
  <c r="S1289" i="5"/>
  <c r="S1281" i="5"/>
  <c r="S1273" i="5"/>
  <c r="S1121" i="5"/>
  <c r="S1156" i="5"/>
  <c r="S1271" i="5"/>
  <c r="S1252" i="5"/>
  <c r="S1108" i="5"/>
  <c r="S940" i="5"/>
  <c r="S1240" i="5"/>
  <c r="S1072" i="5"/>
  <c r="Q1308" i="5"/>
  <c r="S1308" i="5"/>
  <c r="Q1300" i="5"/>
  <c r="S1300" i="5"/>
  <c r="Q1276" i="5"/>
  <c r="S1276" i="5"/>
  <c r="Q1268" i="5"/>
  <c r="S1268" i="5"/>
  <c r="Q1244" i="5"/>
  <c r="S1244" i="5"/>
  <c r="Q1236" i="5"/>
  <c r="S1236" i="5"/>
  <c r="Q1212" i="5"/>
  <c r="S1212" i="5"/>
  <c r="Q1204" i="5"/>
  <c r="S1204" i="5"/>
  <c r="Q1180" i="5"/>
  <c r="S1180" i="5"/>
  <c r="Q1172" i="5"/>
  <c r="S1172" i="5"/>
  <c r="Q1148" i="5"/>
  <c r="S1148" i="5"/>
  <c r="Q1140" i="5"/>
  <c r="S1140" i="5"/>
  <c r="Q1116" i="5"/>
  <c r="S1116" i="5"/>
  <c r="Q1084" i="5"/>
  <c r="S1084" i="5"/>
  <c r="Q1076" i="5"/>
  <c r="S1076" i="5"/>
  <c r="Q1052" i="5"/>
  <c r="S1052" i="5"/>
  <c r="Q1044" i="5"/>
  <c r="S1044" i="5"/>
  <c r="Q1020" i="5"/>
  <c r="S1020" i="5"/>
  <c r="Q1012" i="5"/>
  <c r="S1012" i="5"/>
  <c r="Q988" i="5"/>
  <c r="S988" i="5"/>
  <c r="Q980" i="5"/>
  <c r="S980" i="5"/>
  <c r="Q956" i="5"/>
  <c r="S956" i="5"/>
  <c r="Q948" i="5"/>
  <c r="S948" i="5"/>
  <c r="S932" i="5"/>
  <c r="Q924" i="5"/>
  <c r="S924" i="5"/>
  <c r="Q916" i="5"/>
  <c r="S916" i="5"/>
  <c r="S908" i="5"/>
  <c r="Q1325" i="5"/>
  <c r="S1325" i="5"/>
  <c r="Q1317" i="5"/>
  <c r="S1317" i="5"/>
  <c r="Q1309" i="5"/>
  <c r="S1309" i="5"/>
  <c r="Q1301" i="5"/>
  <c r="S1301" i="5"/>
  <c r="Q1293" i="5"/>
  <c r="S1293" i="5"/>
  <c r="Q1285" i="5"/>
  <c r="S1285" i="5"/>
  <c r="Q1277" i="5"/>
  <c r="S1277" i="5"/>
  <c r="Q1269" i="5"/>
  <c r="S1269" i="5"/>
  <c r="Q1261" i="5"/>
  <c r="S1261" i="5"/>
  <c r="Q1253" i="5"/>
  <c r="S1253" i="5"/>
  <c r="Q1245" i="5"/>
  <c r="S1245" i="5"/>
  <c r="Q1237" i="5"/>
  <c r="S1237" i="5"/>
  <c r="Q1229" i="5"/>
  <c r="S1229" i="5"/>
  <c r="Q1221" i="5"/>
  <c r="S1221" i="5"/>
  <c r="Q1213" i="5"/>
  <c r="S1213" i="5"/>
  <c r="Q1205" i="5"/>
  <c r="S1205" i="5"/>
  <c r="Q1197" i="5"/>
  <c r="S1197" i="5"/>
  <c r="Q1189" i="5"/>
  <c r="S1189" i="5"/>
  <c r="Q1181" i="5"/>
  <c r="S1181" i="5"/>
  <c r="Q1173" i="5"/>
  <c r="S1173" i="5"/>
  <c r="Q1165" i="5"/>
  <c r="S1165" i="5"/>
  <c r="Q1157" i="5"/>
  <c r="S1157" i="5"/>
  <c r="Q1149" i="5"/>
  <c r="S1149" i="5"/>
  <c r="Q1141" i="5"/>
  <c r="S1141" i="5"/>
  <c r="Q1133" i="5"/>
  <c r="S1133" i="5"/>
  <c r="Q1125" i="5"/>
  <c r="S1125" i="5"/>
  <c r="Q1117" i="5"/>
  <c r="S1117" i="5"/>
  <c r="Q1109" i="5"/>
  <c r="S1109" i="5"/>
  <c r="Q1101" i="5"/>
  <c r="S1101" i="5"/>
  <c r="Q1093" i="5"/>
  <c r="S1093" i="5"/>
  <c r="Q1085" i="5"/>
  <c r="S1085" i="5"/>
  <c r="P1077" i="5"/>
  <c r="S1077" i="5"/>
  <c r="Q1077" i="5"/>
  <c r="Q1069" i="5"/>
  <c r="S1069" i="5"/>
  <c r="Q1061" i="5"/>
  <c r="S1061" i="5"/>
  <c r="Q1053" i="5"/>
  <c r="S1053" i="5"/>
  <c r="Q1045" i="5"/>
  <c r="S1045" i="5"/>
  <c r="Q1037" i="5"/>
  <c r="S1037" i="5"/>
  <c r="Q1029" i="5"/>
  <c r="S1029" i="5"/>
  <c r="Q1021" i="5"/>
  <c r="S1021" i="5"/>
  <c r="Q1013" i="5"/>
  <c r="S1013" i="5"/>
  <c r="Q1005" i="5"/>
  <c r="S1005" i="5"/>
  <c r="Q997" i="5"/>
  <c r="S997" i="5"/>
  <c r="Q989" i="5"/>
  <c r="S989" i="5"/>
  <c r="Q981" i="5"/>
  <c r="S981" i="5"/>
  <c r="Q973" i="5"/>
  <c r="S973" i="5"/>
  <c r="Q965" i="5"/>
  <c r="S965" i="5"/>
  <c r="Q957" i="5"/>
  <c r="S957" i="5"/>
  <c r="Q949" i="5"/>
  <c r="S949" i="5"/>
  <c r="Q941" i="5"/>
  <c r="S941" i="5"/>
  <c r="Q933" i="5"/>
  <c r="S933" i="5"/>
  <c r="Q925" i="5"/>
  <c r="S925" i="5"/>
  <c r="Q917" i="5"/>
  <c r="S917" i="5"/>
  <c r="Q909" i="5"/>
  <c r="S909" i="5"/>
  <c r="Q901" i="5"/>
  <c r="S901" i="5"/>
  <c r="Q893" i="5"/>
  <c r="S893" i="5"/>
  <c r="Q885" i="5"/>
  <c r="S885" i="5"/>
  <c r="Q877" i="5"/>
  <c r="S877" i="5"/>
  <c r="Q869" i="5"/>
  <c r="S869" i="5"/>
  <c r="Q861" i="5"/>
  <c r="S861" i="5"/>
  <c r="Q853" i="5"/>
  <c r="S853" i="5"/>
  <c r="Q845" i="5"/>
  <c r="S845" i="5"/>
  <c r="Q837" i="5"/>
  <c r="S837" i="5"/>
  <c r="Q829" i="5"/>
  <c r="S829" i="5"/>
  <c r="Q821" i="5"/>
  <c r="S821" i="5"/>
  <c r="Q813" i="5"/>
  <c r="S813" i="5"/>
  <c r="Q805" i="5"/>
  <c r="S805" i="5"/>
  <c r="Q797" i="5"/>
  <c r="S797" i="5"/>
  <c r="Q789" i="5"/>
  <c r="S789" i="5"/>
  <c r="Q781" i="5"/>
  <c r="S781" i="5"/>
  <c r="Q773" i="5"/>
  <c r="S773" i="5"/>
  <c r="Q765" i="5"/>
  <c r="S765" i="5"/>
  <c r="S757" i="5"/>
  <c r="Q757" i="5"/>
  <c r="Q749" i="5"/>
  <c r="S749" i="5"/>
  <c r="Q741" i="5"/>
  <c r="S741" i="5"/>
  <c r="S733" i="5"/>
  <c r="Q733" i="5"/>
  <c r="Q725" i="5"/>
  <c r="S725" i="5"/>
  <c r="Q717" i="5"/>
  <c r="S717" i="5"/>
  <c r="Q709" i="5"/>
  <c r="S709" i="5"/>
  <c r="Q701" i="5"/>
  <c r="S701" i="5"/>
  <c r="Q693" i="5"/>
  <c r="S693" i="5"/>
  <c r="Q685" i="5"/>
  <c r="S685" i="5"/>
  <c r="Q677" i="5"/>
  <c r="S677" i="5"/>
  <c r="Q669" i="5"/>
  <c r="S669" i="5"/>
  <c r="Q661" i="5"/>
  <c r="S661" i="5"/>
  <c r="Q653" i="5"/>
  <c r="S653" i="5"/>
  <c r="Q645" i="5"/>
  <c r="S645" i="5"/>
  <c r="Q637" i="5"/>
  <c r="S637" i="5"/>
  <c r="Q629" i="5"/>
  <c r="S629" i="5"/>
  <c r="Q621" i="5"/>
  <c r="S621" i="5"/>
  <c r="Q613" i="5"/>
  <c r="S613" i="5"/>
  <c r="Q605" i="5"/>
  <c r="S605" i="5"/>
  <c r="Q597" i="5"/>
  <c r="S597" i="5"/>
  <c r="Q589" i="5"/>
  <c r="S589" i="5"/>
  <c r="Q581" i="5"/>
  <c r="S581" i="5"/>
  <c r="Q573" i="5"/>
  <c r="S573" i="5"/>
  <c r="Q565" i="5"/>
  <c r="S565" i="5"/>
  <c r="Q557" i="5"/>
  <c r="S557" i="5"/>
  <c r="Q549" i="5"/>
  <c r="S549" i="5"/>
  <c r="Q541" i="5"/>
  <c r="S541" i="5"/>
  <c r="Q533" i="5"/>
  <c r="S533" i="5"/>
  <c r="Q525" i="5"/>
  <c r="S525" i="5"/>
  <c r="Q517" i="5"/>
  <c r="S517" i="5"/>
  <c r="Q509" i="5"/>
  <c r="S509" i="5"/>
  <c r="Q501" i="5"/>
  <c r="S501" i="5"/>
  <c r="Q493" i="5"/>
  <c r="S493" i="5"/>
  <c r="Q485" i="5"/>
  <c r="S485" i="5"/>
  <c r="Q477" i="5"/>
  <c r="S477" i="5"/>
  <c r="Q469" i="5"/>
  <c r="S469" i="5"/>
  <c r="Q461" i="5"/>
  <c r="S461" i="5"/>
  <c r="Q453" i="5"/>
  <c r="S453" i="5"/>
  <c r="Q445" i="5"/>
  <c r="S445" i="5"/>
  <c r="Q437" i="5"/>
  <c r="S437" i="5"/>
  <c r="Q429" i="5"/>
  <c r="S429" i="5"/>
  <c r="Q421" i="5"/>
  <c r="S421" i="5"/>
  <c r="Q413" i="5"/>
  <c r="S413" i="5"/>
  <c r="Q405" i="5"/>
  <c r="S405" i="5"/>
  <c r="Q397" i="5"/>
  <c r="S397" i="5"/>
  <c r="Q389" i="5"/>
  <c r="S389" i="5"/>
  <c r="Q381" i="5"/>
  <c r="S381" i="5"/>
  <c r="Q373" i="5"/>
  <c r="S373" i="5"/>
  <c r="Q365" i="5"/>
  <c r="S365" i="5"/>
  <c r="Q357" i="5"/>
  <c r="S357" i="5"/>
  <c r="Q349" i="5"/>
  <c r="S349" i="5"/>
  <c r="Q341" i="5"/>
  <c r="S341" i="5"/>
  <c r="Q333" i="5"/>
  <c r="S333" i="5"/>
  <c r="Q325" i="5"/>
  <c r="S325" i="5"/>
  <c r="Q317" i="5"/>
  <c r="S317" i="5"/>
  <c r="Q309" i="5"/>
  <c r="S309" i="5"/>
  <c r="Q301" i="5"/>
  <c r="S301" i="5"/>
  <c r="Q293" i="5"/>
  <c r="S293" i="5"/>
  <c r="S1272" i="5"/>
  <c r="S1122" i="5"/>
  <c r="S919" i="5"/>
  <c r="S713" i="5"/>
  <c r="S900" i="5"/>
  <c r="Q892" i="5"/>
  <c r="S892" i="5"/>
  <c r="S884" i="5"/>
  <c r="S876" i="5"/>
  <c r="S868" i="5"/>
  <c r="S860" i="5"/>
  <c r="S852" i="5"/>
  <c r="S844" i="5"/>
  <c r="S836" i="5"/>
  <c r="S828" i="5"/>
  <c r="S820" i="5"/>
  <c r="S812" i="5"/>
  <c r="S804" i="5"/>
  <c r="S796" i="5"/>
  <c r="S788" i="5"/>
  <c r="S780" i="5"/>
  <c r="S772" i="5"/>
  <c r="S764" i="5"/>
  <c r="S756" i="5"/>
  <c r="Q748" i="5"/>
  <c r="S748" i="5"/>
  <c r="S740" i="5"/>
  <c r="S732" i="5"/>
  <c r="Q724" i="5"/>
  <c r="S724" i="5"/>
  <c r="S716" i="5"/>
  <c r="S708" i="5"/>
  <c r="S700" i="5"/>
  <c r="S692" i="5"/>
  <c r="Q684" i="5"/>
  <c r="S684" i="5"/>
  <c r="S676" i="5"/>
  <c r="S668" i="5"/>
  <c r="Q660" i="5"/>
  <c r="S660" i="5"/>
  <c r="S652" i="5"/>
  <c r="S644" i="5"/>
  <c r="S636" i="5"/>
  <c r="S628" i="5"/>
  <c r="Q620" i="5"/>
  <c r="S620" i="5"/>
  <c r="S612" i="5"/>
  <c r="S604" i="5"/>
  <c r="Q596" i="5"/>
  <c r="S596" i="5"/>
  <c r="S588" i="5"/>
  <c r="S580" i="5"/>
  <c r="S572" i="5"/>
  <c r="S564" i="5"/>
  <c r="Q556" i="5"/>
  <c r="S556" i="5"/>
  <c r="S548" i="5"/>
  <c r="S540" i="5"/>
  <c r="Q532" i="5"/>
  <c r="S532" i="5"/>
  <c r="S524" i="5"/>
  <c r="S516" i="5"/>
  <c r="S508" i="5"/>
  <c r="S500" i="5"/>
  <c r="Q492" i="5"/>
  <c r="S492" i="5"/>
  <c r="S484" i="5"/>
  <c r="S476" i="5"/>
  <c r="Q468" i="5"/>
  <c r="S468" i="5"/>
  <c r="S460" i="5"/>
  <c r="S452" i="5"/>
  <c r="S444" i="5"/>
  <c r="S436" i="5"/>
  <c r="Q428" i="5"/>
  <c r="S428" i="5"/>
  <c r="S420" i="5"/>
  <c r="S412" i="5"/>
  <c r="Q404" i="5"/>
  <c r="S404" i="5"/>
  <c r="S396" i="5"/>
  <c r="S388" i="5"/>
  <c r="S380" i="5"/>
  <c r="S372" i="5"/>
  <c r="Q364" i="5"/>
  <c r="S364" i="5"/>
  <c r="S356" i="5"/>
  <c r="S348" i="5"/>
  <c r="Q340" i="5"/>
  <c r="S340" i="5"/>
  <c r="S332" i="5"/>
  <c r="S324" i="5"/>
  <c r="S316" i="5"/>
  <c r="S308" i="5"/>
  <c r="Q300" i="5"/>
  <c r="S300" i="5"/>
  <c r="S292" i="5"/>
  <c r="S284" i="5"/>
  <c r="Q276" i="5"/>
  <c r="S276" i="5"/>
  <c r="S268" i="5"/>
  <c r="S260" i="5"/>
  <c r="S252" i="5"/>
  <c r="S244" i="5"/>
  <c r="Q236" i="5"/>
  <c r="S236" i="5"/>
  <c r="S228" i="5"/>
  <c r="S220" i="5"/>
  <c r="Q212" i="5"/>
  <c r="S212" i="5"/>
  <c r="S204" i="5"/>
  <c r="S196" i="5"/>
  <c r="S188" i="5"/>
  <c r="S180" i="5"/>
  <c r="Q172" i="5"/>
  <c r="S172" i="5"/>
  <c r="S164" i="5"/>
  <c r="S156" i="5"/>
  <c r="Q148" i="5"/>
  <c r="S148" i="5"/>
  <c r="S140" i="5"/>
  <c r="S132" i="5"/>
  <c r="S124" i="5"/>
  <c r="S116" i="5"/>
  <c r="Q108" i="5"/>
  <c r="S108" i="5"/>
  <c r="Q1331" i="5"/>
  <c r="S1331" i="5"/>
  <c r="Q1323" i="5"/>
  <c r="S1323" i="5"/>
  <c r="Q1315" i="5"/>
  <c r="S1315" i="5"/>
  <c r="Q1307" i="5"/>
  <c r="S1307" i="5"/>
  <c r="Q1299" i="5"/>
  <c r="S1299" i="5"/>
  <c r="Q1291" i="5"/>
  <c r="S1291" i="5"/>
  <c r="Q1283" i="5"/>
  <c r="S1283" i="5"/>
  <c r="Q1275" i="5"/>
  <c r="S1275" i="5"/>
  <c r="Q1267" i="5"/>
  <c r="S1267" i="5"/>
  <c r="Q1259" i="5"/>
  <c r="S1259" i="5"/>
  <c r="Q1251" i="5"/>
  <c r="S1251" i="5"/>
  <c r="Q1243" i="5"/>
  <c r="S1243" i="5"/>
  <c r="Q1235" i="5"/>
  <c r="S1235" i="5"/>
  <c r="Q1227" i="5"/>
  <c r="S1227" i="5"/>
  <c r="S1219" i="5"/>
  <c r="Q1211" i="5"/>
  <c r="S1211" i="5"/>
  <c r="Q1203" i="5"/>
  <c r="S1203" i="5"/>
  <c r="Q1195" i="5"/>
  <c r="S1195" i="5"/>
  <c r="Q1187" i="5"/>
  <c r="S1187" i="5"/>
  <c r="S1179" i="5"/>
  <c r="Q1179" i="5"/>
  <c r="Q1171" i="5"/>
  <c r="S1171" i="5"/>
  <c r="Q1163" i="5"/>
  <c r="S1163" i="5"/>
  <c r="S1155" i="5"/>
  <c r="S866" i="5"/>
  <c r="S633" i="5"/>
  <c r="Q1330" i="5"/>
  <c r="S1330" i="5"/>
  <c r="S1322" i="5"/>
  <c r="Q1322" i="5"/>
  <c r="Q1314" i="5"/>
  <c r="S1314" i="5"/>
  <c r="S1306" i="5"/>
  <c r="S1298" i="5"/>
  <c r="Q1290" i="5"/>
  <c r="S1290" i="5"/>
  <c r="Q1282" i="5"/>
  <c r="S1282" i="5"/>
  <c r="Q1274" i="5"/>
  <c r="S1274" i="5"/>
  <c r="Q1266" i="5"/>
  <c r="S1266" i="5"/>
  <c r="Q1258" i="5"/>
  <c r="S1258" i="5"/>
  <c r="Q1250" i="5"/>
  <c r="S1250" i="5"/>
  <c r="P1242" i="5"/>
  <c r="S1242" i="5"/>
  <c r="S1234" i="5"/>
  <c r="Q1226" i="5"/>
  <c r="S1226" i="5"/>
  <c r="Q1218" i="5"/>
  <c r="S1218" i="5"/>
  <c r="Q1210" i="5"/>
  <c r="S1210" i="5"/>
  <c r="Q1202" i="5"/>
  <c r="S1202" i="5"/>
  <c r="Q1194" i="5"/>
  <c r="S1194" i="5"/>
  <c r="Q1186" i="5"/>
  <c r="S1186" i="5"/>
  <c r="P1178" i="5"/>
  <c r="S1178" i="5"/>
  <c r="S1170" i="5"/>
  <c r="Q1162" i="5"/>
  <c r="S1162" i="5"/>
  <c r="Q1154" i="5"/>
  <c r="S1154" i="5"/>
  <c r="Q1146" i="5"/>
  <c r="S1146" i="5"/>
  <c r="Q1138" i="5"/>
  <c r="S1138" i="5"/>
  <c r="Q1130" i="5"/>
  <c r="S1130" i="5"/>
  <c r="S1114" i="5"/>
  <c r="Q1114" i="5"/>
  <c r="Q1106" i="5"/>
  <c r="S1106" i="5"/>
  <c r="Q1098" i="5"/>
  <c r="S1098" i="5"/>
  <c r="Q1090" i="5"/>
  <c r="S1090" i="5"/>
  <c r="Q1082" i="5"/>
  <c r="S1082" i="5"/>
  <c r="Q1074" i="5"/>
  <c r="S1074" i="5"/>
  <c r="Q1066" i="5"/>
  <c r="S1066" i="5"/>
  <c r="Q1058" i="5"/>
  <c r="S1058" i="5"/>
  <c r="Q1050" i="5"/>
  <c r="S1050" i="5"/>
  <c r="Q1042" i="5"/>
  <c r="S1042" i="5"/>
  <c r="Q1034" i="5"/>
  <c r="S1034" i="5"/>
  <c r="Q1026" i="5"/>
  <c r="S1026" i="5"/>
  <c r="Q1010" i="5"/>
  <c r="S1010" i="5"/>
  <c r="Q1002" i="5"/>
  <c r="S1002" i="5"/>
  <c r="Q994" i="5"/>
  <c r="S994" i="5"/>
  <c r="Q986" i="5"/>
  <c r="S986" i="5"/>
  <c r="Q978" i="5"/>
  <c r="S978" i="5"/>
  <c r="Q970" i="5"/>
  <c r="S970" i="5"/>
  <c r="Q962" i="5"/>
  <c r="S962" i="5"/>
  <c r="Q954" i="5"/>
  <c r="S954" i="5"/>
  <c r="Q946" i="5"/>
  <c r="S946" i="5"/>
  <c r="Q938" i="5"/>
  <c r="S938" i="5"/>
  <c r="Q930" i="5"/>
  <c r="S930" i="5"/>
  <c r="Q922" i="5"/>
  <c r="S922" i="5"/>
  <c r="Q914" i="5"/>
  <c r="S914" i="5"/>
  <c r="Q906" i="5"/>
  <c r="S906" i="5"/>
  <c r="Q898" i="5"/>
  <c r="S898" i="5"/>
  <c r="Q890" i="5"/>
  <c r="S890" i="5"/>
  <c r="Q882" i="5"/>
  <c r="S882" i="5"/>
  <c r="Q874" i="5"/>
  <c r="S874" i="5"/>
  <c r="Q858" i="5"/>
  <c r="S858" i="5"/>
  <c r="Q850" i="5"/>
  <c r="S850" i="5"/>
  <c r="Q842" i="5"/>
  <c r="S842" i="5"/>
  <c r="Q834" i="5"/>
  <c r="S834" i="5"/>
  <c r="Q826" i="5"/>
  <c r="S826" i="5"/>
  <c r="Q818" i="5"/>
  <c r="S818" i="5"/>
  <c r="Q810" i="5"/>
  <c r="S810" i="5"/>
  <c r="Q802" i="5"/>
  <c r="S802" i="5"/>
  <c r="Q794" i="5"/>
  <c r="S794" i="5"/>
  <c r="Q786" i="5"/>
  <c r="S786" i="5"/>
  <c r="Q778" i="5"/>
  <c r="S778" i="5"/>
  <c r="Q770" i="5"/>
  <c r="S770" i="5"/>
  <c r="S1239" i="5"/>
  <c r="S1071" i="5"/>
  <c r="S865" i="5"/>
  <c r="S632" i="5"/>
  <c r="Q1329" i="5"/>
  <c r="S1329" i="5"/>
  <c r="Q1297" i="5"/>
  <c r="S1297" i="5"/>
  <c r="Q1265" i="5"/>
  <c r="S1265" i="5"/>
  <c r="S1257" i="5"/>
  <c r="S1249" i="5"/>
  <c r="S1241" i="5"/>
  <c r="Q1233" i="5"/>
  <c r="S1233" i="5"/>
  <c r="S1225" i="5"/>
  <c r="S1217" i="5"/>
  <c r="S1209" i="5"/>
  <c r="Q1201" i="5"/>
  <c r="S1201" i="5"/>
  <c r="S1193" i="5"/>
  <c r="S1185" i="5"/>
  <c r="S1177" i="5"/>
  <c r="Q1169" i="5"/>
  <c r="S1169" i="5"/>
  <c r="S1161" i="5"/>
  <c r="S1153" i="5"/>
  <c r="S1145" i="5"/>
  <c r="Q1137" i="5"/>
  <c r="S1137" i="5"/>
  <c r="S1129" i="5"/>
  <c r="S1113" i="5"/>
  <c r="Q1105" i="5"/>
  <c r="S1105" i="5"/>
  <c r="S1097" i="5"/>
  <c r="S1089" i="5"/>
  <c r="S1081" i="5"/>
  <c r="Q1073" i="5"/>
  <c r="S1073" i="5"/>
  <c r="S1065" i="5"/>
  <c r="S1057" i="5"/>
  <c r="S1049" i="5"/>
  <c r="Q1041" i="5"/>
  <c r="S1041" i="5"/>
  <c r="S1033" i="5"/>
  <c r="S1025" i="5"/>
  <c r="S1017" i="5"/>
  <c r="Q1009" i="5"/>
  <c r="S1009" i="5"/>
  <c r="S1001" i="5"/>
  <c r="S993" i="5"/>
  <c r="S929" i="5"/>
  <c r="S905" i="5"/>
  <c r="S841" i="5"/>
  <c r="S801" i="5"/>
  <c r="S777" i="5"/>
  <c r="S321" i="5"/>
  <c r="S1208" i="5"/>
  <c r="S1022" i="5"/>
  <c r="S816" i="5"/>
  <c r="S424" i="5"/>
  <c r="Q1328" i="5"/>
  <c r="S1328" i="5"/>
  <c r="Q1320" i="5"/>
  <c r="S1320" i="5"/>
  <c r="Q1312" i="5"/>
  <c r="S1312" i="5"/>
  <c r="Q1296" i="5"/>
  <c r="S1296" i="5"/>
  <c r="Q1288" i="5"/>
  <c r="S1288" i="5"/>
  <c r="Q1280" i="5"/>
  <c r="S1280" i="5"/>
  <c r="Q1264" i="5"/>
  <c r="S1264" i="5"/>
  <c r="Q1256" i="5"/>
  <c r="S1256" i="5"/>
  <c r="Q1248" i="5"/>
  <c r="S1248" i="5"/>
  <c r="Q1232" i="5"/>
  <c r="S1232" i="5"/>
  <c r="Q1224" i="5"/>
  <c r="S1224" i="5"/>
  <c r="S1216" i="5"/>
  <c r="Q1216" i="5"/>
  <c r="Q1200" i="5"/>
  <c r="S1200" i="5"/>
  <c r="Q1192" i="5"/>
  <c r="S1192" i="5"/>
  <c r="Q1184" i="5"/>
  <c r="S1184" i="5"/>
  <c r="Q1176" i="5"/>
  <c r="S1176" i="5"/>
  <c r="Q1168" i="5"/>
  <c r="S1168" i="5"/>
  <c r="Q1160" i="5"/>
  <c r="S1160" i="5"/>
  <c r="Q1152" i="5"/>
  <c r="S1152" i="5"/>
  <c r="Q1144" i="5"/>
  <c r="S1144" i="5"/>
  <c r="Q1136" i="5"/>
  <c r="S1136" i="5"/>
  <c r="S1128" i="5"/>
  <c r="Q1128" i="5"/>
  <c r="Q1120" i="5"/>
  <c r="S1120" i="5"/>
  <c r="Q1112" i="5"/>
  <c r="S1112" i="5"/>
  <c r="Q1104" i="5"/>
  <c r="S1104" i="5"/>
  <c r="Q1096" i="5"/>
  <c r="S1096" i="5"/>
  <c r="Q1088" i="5"/>
  <c r="S1088" i="5"/>
  <c r="Q1080" i="5"/>
  <c r="S1080" i="5"/>
  <c r="Q1064" i="5"/>
  <c r="S1064" i="5"/>
  <c r="Q1056" i="5"/>
  <c r="S1056" i="5"/>
  <c r="Q1048" i="5"/>
  <c r="S1048" i="5"/>
  <c r="Q1040" i="5"/>
  <c r="S1040" i="5"/>
  <c r="Q1032" i="5"/>
  <c r="S1032" i="5"/>
  <c r="S1024" i="5"/>
  <c r="Q1024" i="5"/>
  <c r="Q1016" i="5"/>
  <c r="S1016" i="5"/>
  <c r="Q1008" i="5"/>
  <c r="S1008" i="5"/>
  <c r="Q1000" i="5"/>
  <c r="S1000" i="5"/>
  <c r="Q992" i="5"/>
  <c r="S992" i="5"/>
  <c r="Q984" i="5"/>
  <c r="S984" i="5"/>
  <c r="Q976" i="5"/>
  <c r="S976" i="5"/>
  <c r="S960" i="5"/>
  <c r="Q960" i="5"/>
  <c r="Q952" i="5"/>
  <c r="S952" i="5"/>
  <c r="Q944" i="5"/>
  <c r="S944" i="5"/>
  <c r="Q936" i="5"/>
  <c r="S936" i="5"/>
  <c r="Q928" i="5"/>
  <c r="S928" i="5"/>
  <c r="Q920" i="5"/>
  <c r="S920" i="5"/>
  <c r="Q912" i="5"/>
  <c r="S912" i="5"/>
  <c r="Q904" i="5"/>
  <c r="S904" i="5"/>
  <c r="S896" i="5"/>
  <c r="Q896" i="5"/>
  <c r="Q888" i="5"/>
  <c r="S888" i="5"/>
  <c r="Q880" i="5"/>
  <c r="S880" i="5"/>
  <c r="Q872" i="5"/>
  <c r="S872" i="5"/>
  <c r="Q864" i="5"/>
  <c r="S864" i="5"/>
  <c r="Q856" i="5"/>
  <c r="S856" i="5"/>
  <c r="Q848" i="5"/>
  <c r="S848" i="5"/>
  <c r="Q840" i="5"/>
  <c r="S840" i="5"/>
  <c r="S832" i="5"/>
  <c r="Q832" i="5"/>
  <c r="Q824" i="5"/>
  <c r="S824" i="5"/>
  <c r="Q808" i="5"/>
  <c r="S808" i="5"/>
  <c r="Q800" i="5"/>
  <c r="S800" i="5"/>
  <c r="Q792" i="5"/>
  <c r="S792" i="5"/>
  <c r="Q784" i="5"/>
  <c r="S784" i="5"/>
  <c r="Q776" i="5"/>
  <c r="S776" i="5"/>
  <c r="Q768" i="5"/>
  <c r="S768" i="5"/>
  <c r="Q760" i="5"/>
  <c r="S760" i="5"/>
  <c r="Q752" i="5"/>
  <c r="S752" i="5"/>
  <c r="S744" i="5"/>
  <c r="S736" i="5"/>
  <c r="S480" i="5"/>
  <c r="S1207" i="5"/>
  <c r="S1018" i="5"/>
  <c r="S815" i="5"/>
  <c r="S417" i="5"/>
  <c r="K64" i="5"/>
  <c r="S64" i="5"/>
  <c r="K120" i="5"/>
  <c r="S120" i="5"/>
  <c r="K168" i="5"/>
  <c r="S168" i="5"/>
  <c r="K376" i="5"/>
  <c r="S376" i="5"/>
  <c r="Q1327" i="5"/>
  <c r="S1327" i="5"/>
  <c r="Q1319" i="5"/>
  <c r="S1319" i="5"/>
  <c r="Q1311" i="5"/>
  <c r="S1311" i="5"/>
  <c r="Q1295" i="5"/>
  <c r="S1295" i="5"/>
  <c r="Q1287" i="5"/>
  <c r="S1287" i="5"/>
  <c r="Q1279" i="5"/>
  <c r="S1279" i="5"/>
  <c r="Q1263" i="5"/>
  <c r="S1263" i="5"/>
  <c r="Q1255" i="5"/>
  <c r="S1255" i="5"/>
  <c r="Q1247" i="5"/>
  <c r="S1247" i="5"/>
  <c r="Q1231" i="5"/>
  <c r="S1231" i="5"/>
  <c r="Q1223" i="5"/>
  <c r="S1223" i="5"/>
  <c r="Q1215" i="5"/>
  <c r="S1215" i="5"/>
  <c r="Q1199" i="5"/>
  <c r="S1199" i="5"/>
  <c r="S1304" i="5"/>
  <c r="S1175" i="5"/>
  <c r="S969" i="5"/>
  <c r="S766" i="5"/>
  <c r="S224" i="5"/>
  <c r="K57" i="5"/>
  <c r="S57" i="5"/>
  <c r="K161" i="5"/>
  <c r="S161" i="5"/>
  <c r="Q1326" i="5"/>
  <c r="S1326" i="5"/>
  <c r="Q1318" i="5"/>
  <c r="S1318" i="5"/>
  <c r="Q1310" i="5"/>
  <c r="S1310" i="5"/>
  <c r="Q1302" i="5"/>
  <c r="S1302" i="5"/>
  <c r="Q1294" i="5"/>
  <c r="S1294" i="5"/>
  <c r="Q1286" i="5"/>
  <c r="S1286" i="5"/>
  <c r="Q1278" i="5"/>
  <c r="S1278" i="5"/>
  <c r="Q1270" i="5"/>
  <c r="S1270" i="5"/>
  <c r="S1262" i="5"/>
  <c r="S1254" i="5"/>
  <c r="Q1246" i="5"/>
  <c r="S1246" i="5"/>
  <c r="Q1238" i="5"/>
  <c r="S1238" i="5"/>
  <c r="S830" i="5"/>
  <c r="S702" i="5"/>
  <c r="S1303" i="5"/>
  <c r="S1174" i="5"/>
  <c r="S968" i="5"/>
  <c r="S762" i="5"/>
  <c r="S217" i="5"/>
  <c r="S1147" i="5"/>
  <c r="Q1139" i="5"/>
  <c r="S1139" i="5"/>
  <c r="Q1131" i="5"/>
  <c r="S1131" i="5"/>
  <c r="Q1123" i="5"/>
  <c r="S1123" i="5"/>
  <c r="Q1115" i="5"/>
  <c r="S1115" i="5"/>
  <c r="Q1107" i="5"/>
  <c r="S1107" i="5"/>
  <c r="Q1099" i="5"/>
  <c r="S1099" i="5"/>
  <c r="Q1091" i="5"/>
  <c r="S1091" i="5"/>
  <c r="Q1083" i="5"/>
  <c r="S1083" i="5"/>
  <c r="Q1075" i="5"/>
  <c r="S1075" i="5"/>
  <c r="S1067" i="5"/>
  <c r="Q1059" i="5"/>
  <c r="S1059" i="5"/>
  <c r="Q1051" i="5"/>
  <c r="S1051" i="5"/>
  <c r="S1043" i="5"/>
  <c r="Q1035" i="5"/>
  <c r="S1035" i="5"/>
  <c r="Q1027" i="5"/>
  <c r="S1027" i="5"/>
  <c r="Q1019" i="5"/>
  <c r="S1019" i="5"/>
  <c r="Q1011" i="5"/>
  <c r="S1011" i="5"/>
  <c r="Q1003" i="5"/>
  <c r="S1003" i="5"/>
  <c r="Q995" i="5"/>
  <c r="S995" i="5"/>
  <c r="Q987" i="5"/>
  <c r="S987" i="5"/>
  <c r="Q979" i="5"/>
  <c r="S979" i="5"/>
  <c r="Q971" i="5"/>
  <c r="S971" i="5"/>
  <c r="Q963" i="5"/>
  <c r="S963" i="5"/>
  <c r="Q955" i="5"/>
  <c r="S955" i="5"/>
  <c r="Q947" i="5"/>
  <c r="S947" i="5"/>
  <c r="Q939" i="5"/>
  <c r="S939" i="5"/>
  <c r="Q931" i="5"/>
  <c r="S931" i="5"/>
  <c r="Q923" i="5"/>
  <c r="S923" i="5"/>
  <c r="Q915" i="5"/>
  <c r="S915" i="5"/>
  <c r="Q907" i="5"/>
  <c r="S907" i="5"/>
  <c r="Q899" i="5"/>
  <c r="S899" i="5"/>
  <c r="Q891" i="5"/>
  <c r="S891" i="5"/>
  <c r="Q883" i="5"/>
  <c r="S883" i="5"/>
  <c r="Q875" i="5"/>
  <c r="S875" i="5"/>
  <c r="Q867" i="5"/>
  <c r="S867" i="5"/>
  <c r="Q859" i="5"/>
  <c r="S859" i="5"/>
  <c r="Q851" i="5"/>
  <c r="S851" i="5"/>
  <c r="S843" i="5"/>
  <c r="S835" i="5"/>
  <c r="S827" i="5"/>
  <c r="S819" i="5"/>
  <c r="S811" i="5"/>
  <c r="S803" i="5"/>
  <c r="S795" i="5"/>
  <c r="S787" i="5"/>
  <c r="S779" i="5"/>
  <c r="Q771" i="5"/>
  <c r="S771" i="5"/>
  <c r="Q763" i="5"/>
  <c r="S763" i="5"/>
  <c r="S755" i="5"/>
  <c r="Q747" i="5"/>
  <c r="S747" i="5"/>
  <c r="Q739" i="5"/>
  <c r="S739" i="5"/>
  <c r="Q731" i="5"/>
  <c r="S731" i="5"/>
  <c r="Q723" i="5"/>
  <c r="S723" i="5"/>
  <c r="Q715" i="5"/>
  <c r="S715" i="5"/>
  <c r="Q707" i="5"/>
  <c r="S707" i="5"/>
  <c r="Q699" i="5"/>
  <c r="S699" i="5"/>
  <c r="S691" i="5"/>
  <c r="Q683" i="5"/>
  <c r="S683" i="5"/>
  <c r="Q675" i="5"/>
  <c r="S675" i="5"/>
  <c r="Q667" i="5"/>
  <c r="S667" i="5"/>
  <c r="S659" i="5"/>
  <c r="Q651" i="5"/>
  <c r="S651" i="5"/>
  <c r="Q643" i="5"/>
  <c r="S643" i="5"/>
  <c r="Q635" i="5"/>
  <c r="S635" i="5"/>
  <c r="S627" i="5"/>
  <c r="Q619" i="5"/>
  <c r="S619" i="5"/>
  <c r="Q611" i="5"/>
  <c r="S611" i="5"/>
  <c r="Q603" i="5"/>
  <c r="S603" i="5"/>
  <c r="S595" i="5"/>
  <c r="Q587" i="5"/>
  <c r="S587" i="5"/>
  <c r="Q579" i="5"/>
  <c r="S579" i="5"/>
  <c r="Q571" i="5"/>
  <c r="S571" i="5"/>
  <c r="S563" i="5"/>
  <c r="Q555" i="5"/>
  <c r="S555" i="5"/>
  <c r="Q547" i="5"/>
  <c r="S547" i="5"/>
  <c r="Q539" i="5"/>
  <c r="S539" i="5"/>
  <c r="S531" i="5"/>
  <c r="Q523" i="5"/>
  <c r="S523" i="5"/>
  <c r="Q515" i="5"/>
  <c r="S515" i="5"/>
  <c r="Q507" i="5"/>
  <c r="S507" i="5"/>
  <c r="S499" i="5"/>
  <c r="Q491" i="5"/>
  <c r="S491" i="5"/>
  <c r="Q483" i="5"/>
  <c r="S483" i="5"/>
  <c r="Q475" i="5"/>
  <c r="S475" i="5"/>
  <c r="Q467" i="5"/>
  <c r="S467" i="5"/>
  <c r="Q459" i="5"/>
  <c r="S459" i="5"/>
  <c r="Q451" i="5"/>
  <c r="S451" i="5"/>
  <c r="Q443" i="5"/>
  <c r="S443" i="5"/>
  <c r="S435" i="5"/>
  <c r="Q427" i="5"/>
  <c r="S427" i="5"/>
  <c r="Q419" i="5"/>
  <c r="S419" i="5"/>
  <c r="Q411" i="5"/>
  <c r="S411" i="5"/>
  <c r="S403" i="5"/>
  <c r="Q395" i="5"/>
  <c r="S395" i="5"/>
  <c r="Q387" i="5"/>
  <c r="S387" i="5"/>
  <c r="Q379" i="5"/>
  <c r="S379" i="5"/>
  <c r="S371" i="5"/>
  <c r="Q363" i="5"/>
  <c r="S363" i="5"/>
  <c r="Q355" i="5"/>
  <c r="S355" i="5"/>
  <c r="Q347" i="5"/>
  <c r="S347" i="5"/>
  <c r="S339" i="5"/>
  <c r="Q331" i="5"/>
  <c r="S331" i="5"/>
  <c r="Q323" i="5"/>
  <c r="S323" i="5"/>
  <c r="Q315" i="5"/>
  <c r="S315" i="5"/>
  <c r="S307" i="5"/>
  <c r="Q299" i="5"/>
  <c r="S299" i="5"/>
  <c r="Q291" i="5"/>
  <c r="S291" i="5"/>
  <c r="Q283" i="5"/>
  <c r="S283" i="5"/>
  <c r="S275" i="5"/>
  <c r="Q267" i="5"/>
  <c r="S267" i="5"/>
  <c r="Q259" i="5"/>
  <c r="S259" i="5"/>
  <c r="Q251" i="5"/>
  <c r="S251" i="5"/>
  <c r="S243" i="5"/>
  <c r="Q235" i="5"/>
  <c r="S235" i="5"/>
  <c r="Q227" i="5"/>
  <c r="S227" i="5"/>
  <c r="Q219" i="5"/>
  <c r="S219" i="5"/>
  <c r="Q211" i="5"/>
  <c r="S211" i="5"/>
  <c r="Q203" i="5"/>
  <c r="S203" i="5"/>
  <c r="Q195" i="5"/>
  <c r="S195" i="5"/>
  <c r="Q187" i="5"/>
  <c r="S187" i="5"/>
  <c r="S179" i="5"/>
  <c r="Q171" i="5"/>
  <c r="S171" i="5"/>
  <c r="Q163" i="5"/>
  <c r="S163" i="5"/>
  <c r="Q155" i="5"/>
  <c r="S155" i="5"/>
  <c r="S147" i="5"/>
  <c r="Q139" i="5"/>
  <c r="S139" i="5"/>
  <c r="Q131" i="5"/>
  <c r="S131" i="5"/>
  <c r="Q123" i="5"/>
  <c r="S123" i="5"/>
  <c r="Q115" i="5"/>
  <c r="S115" i="5"/>
  <c r="Q107" i="5"/>
  <c r="S107" i="5"/>
  <c r="Q99" i="5"/>
  <c r="S99" i="5"/>
  <c r="Q91" i="5"/>
  <c r="S91" i="5"/>
  <c r="Q83" i="5"/>
  <c r="S83" i="5"/>
  <c r="Q75" i="5"/>
  <c r="S75" i="5"/>
  <c r="Q67" i="5"/>
  <c r="S67" i="5"/>
  <c r="Q59" i="5"/>
  <c r="S59" i="5"/>
  <c r="Q51" i="5"/>
  <c r="S51" i="5"/>
  <c r="Q43" i="5"/>
  <c r="S43" i="5"/>
  <c r="Q35" i="5"/>
  <c r="S35" i="5"/>
  <c r="Q27" i="5"/>
  <c r="S27" i="5"/>
  <c r="Q19" i="5"/>
  <c r="S19" i="5"/>
  <c r="Q11" i="5"/>
  <c r="S11" i="5"/>
  <c r="Q3" i="5"/>
  <c r="S3" i="5"/>
  <c r="S1111" i="5"/>
  <c r="S958" i="5"/>
  <c r="S855" i="5"/>
  <c r="S577" i="5"/>
  <c r="S377" i="5"/>
  <c r="Q754" i="5"/>
  <c r="S754" i="5"/>
  <c r="Q746" i="5"/>
  <c r="S746" i="5"/>
  <c r="Q730" i="5"/>
  <c r="S730" i="5"/>
  <c r="Q722" i="5"/>
  <c r="S722" i="5"/>
  <c r="Q714" i="5"/>
  <c r="S714" i="5"/>
  <c r="Q706" i="5"/>
  <c r="S706" i="5"/>
  <c r="Q690" i="5"/>
  <c r="S690" i="5"/>
  <c r="Q682" i="5"/>
  <c r="S682" i="5"/>
  <c r="Q674" i="5"/>
  <c r="S674" i="5"/>
  <c r="Q666" i="5"/>
  <c r="S666" i="5"/>
  <c r="Q658" i="5"/>
  <c r="S658" i="5"/>
  <c r="Q650" i="5"/>
  <c r="S650" i="5"/>
  <c r="Q642" i="5"/>
  <c r="S642" i="5"/>
  <c r="Q634" i="5"/>
  <c r="S634" i="5"/>
  <c r="Q626" i="5"/>
  <c r="S626" i="5"/>
  <c r="Q618" i="5"/>
  <c r="S618" i="5"/>
  <c r="Q610" i="5"/>
  <c r="S610" i="5"/>
  <c r="Q602" i="5"/>
  <c r="S602" i="5"/>
  <c r="Q594" i="5"/>
  <c r="S594" i="5"/>
  <c r="Q586" i="5"/>
  <c r="S586" i="5"/>
  <c r="Q578" i="5"/>
  <c r="S578" i="5"/>
  <c r="Q570" i="5"/>
  <c r="S570" i="5"/>
  <c r="Q562" i="5"/>
  <c r="S562" i="5"/>
  <c r="Q554" i="5"/>
  <c r="S554" i="5"/>
  <c r="Q546" i="5"/>
  <c r="S546" i="5"/>
  <c r="Q538" i="5"/>
  <c r="S538" i="5"/>
  <c r="Q530" i="5"/>
  <c r="S530" i="5"/>
  <c r="Q522" i="5"/>
  <c r="S522" i="5"/>
  <c r="Q514" i="5"/>
  <c r="S514" i="5"/>
  <c r="Q506" i="5"/>
  <c r="S506" i="5"/>
  <c r="Q498" i="5"/>
  <c r="S498" i="5"/>
  <c r="Q490" i="5"/>
  <c r="S490" i="5"/>
  <c r="Q482" i="5"/>
  <c r="S482" i="5"/>
  <c r="Q474" i="5"/>
  <c r="S474" i="5"/>
  <c r="Q466" i="5"/>
  <c r="S466" i="5"/>
  <c r="Q458" i="5"/>
  <c r="S458" i="5"/>
  <c r="Q450" i="5"/>
  <c r="S450" i="5"/>
  <c r="Q442" i="5"/>
  <c r="S442" i="5"/>
  <c r="Q434" i="5"/>
  <c r="S434" i="5"/>
  <c r="Q426" i="5"/>
  <c r="S426" i="5"/>
  <c r="Q418" i="5"/>
  <c r="S418" i="5"/>
  <c r="Q410" i="5"/>
  <c r="S410" i="5"/>
  <c r="Q402" i="5"/>
  <c r="S402" i="5"/>
  <c r="Q394" i="5"/>
  <c r="S394" i="5"/>
  <c r="Q386" i="5"/>
  <c r="S386" i="5"/>
  <c r="Q378" i="5"/>
  <c r="S378" i="5"/>
  <c r="Q370" i="5"/>
  <c r="S370" i="5"/>
  <c r="Q362" i="5"/>
  <c r="S362" i="5"/>
  <c r="Q354" i="5"/>
  <c r="S354" i="5"/>
  <c r="Q346" i="5"/>
  <c r="S346" i="5"/>
  <c r="Q338" i="5"/>
  <c r="S338" i="5"/>
  <c r="Q330" i="5"/>
  <c r="S330" i="5"/>
  <c r="Q322" i="5"/>
  <c r="S322" i="5"/>
  <c r="Q314" i="5"/>
  <c r="S314" i="5"/>
  <c r="Q306" i="5"/>
  <c r="S306" i="5"/>
  <c r="Q298" i="5"/>
  <c r="S298" i="5"/>
  <c r="Q290" i="5"/>
  <c r="S290" i="5"/>
  <c r="Q282" i="5"/>
  <c r="S282" i="5"/>
  <c r="Q274" i="5"/>
  <c r="S274" i="5"/>
  <c r="Q266" i="5"/>
  <c r="S266" i="5"/>
  <c r="Q258" i="5"/>
  <c r="S258" i="5"/>
  <c r="Q250" i="5"/>
  <c r="S250" i="5"/>
  <c r="Q242" i="5"/>
  <c r="S242" i="5"/>
  <c r="Q234" i="5"/>
  <c r="S234" i="5"/>
  <c r="Q226" i="5"/>
  <c r="S226" i="5"/>
  <c r="Q218" i="5"/>
  <c r="S218" i="5"/>
  <c r="Q210" i="5"/>
  <c r="S210" i="5"/>
  <c r="Q202" i="5"/>
  <c r="S202" i="5"/>
  <c r="Q194" i="5"/>
  <c r="S194" i="5"/>
  <c r="Q186" i="5"/>
  <c r="S186" i="5"/>
  <c r="Q178" i="5"/>
  <c r="S178" i="5"/>
  <c r="Q170" i="5"/>
  <c r="S170" i="5"/>
  <c r="Q162" i="5"/>
  <c r="S162" i="5"/>
  <c r="Q154" i="5"/>
  <c r="S154" i="5"/>
  <c r="Q146" i="5"/>
  <c r="S146" i="5"/>
  <c r="Q138" i="5"/>
  <c r="S138" i="5"/>
  <c r="Q130" i="5"/>
  <c r="S130" i="5"/>
  <c r="Q122" i="5"/>
  <c r="S122" i="5"/>
  <c r="Q114" i="5"/>
  <c r="S114" i="5"/>
  <c r="Q106" i="5"/>
  <c r="S106" i="5"/>
  <c r="Q98" i="5"/>
  <c r="S98" i="5"/>
  <c r="Q90" i="5"/>
  <c r="S90" i="5"/>
  <c r="Q82" i="5"/>
  <c r="S82" i="5"/>
  <c r="Q74" i="5"/>
  <c r="S74" i="5"/>
  <c r="Q66" i="5"/>
  <c r="S66" i="5"/>
  <c r="Q58" i="5"/>
  <c r="S58" i="5"/>
  <c r="Q50" i="5"/>
  <c r="S50" i="5"/>
  <c r="Q42" i="5"/>
  <c r="S42" i="5"/>
  <c r="Q34" i="5"/>
  <c r="S34" i="5"/>
  <c r="Q26" i="5"/>
  <c r="S26" i="5"/>
  <c r="Q18" i="5"/>
  <c r="S18" i="5"/>
  <c r="Q10" i="5"/>
  <c r="S10" i="5"/>
  <c r="Q2" i="5"/>
  <c r="S2" i="5"/>
  <c r="S1110" i="5"/>
  <c r="S1007" i="5"/>
  <c r="S854" i="5"/>
  <c r="S751" i="5"/>
  <c r="S698" i="5"/>
  <c r="S576" i="5"/>
  <c r="S985" i="5"/>
  <c r="Q977" i="5"/>
  <c r="S977" i="5"/>
  <c r="S961" i="5"/>
  <c r="S953" i="5"/>
  <c r="Q945" i="5"/>
  <c r="S945" i="5"/>
  <c r="S937" i="5"/>
  <c r="S921" i="5"/>
  <c r="Q913" i="5"/>
  <c r="S913" i="5"/>
  <c r="S897" i="5"/>
  <c r="S889" i="5"/>
  <c r="S881" i="5"/>
  <c r="Q873" i="5"/>
  <c r="S873" i="5"/>
  <c r="N873" i="5"/>
  <c r="S857" i="5"/>
  <c r="S849" i="5"/>
  <c r="S833" i="5"/>
  <c r="S825" i="5"/>
  <c r="S817" i="5"/>
  <c r="S809" i="5"/>
  <c r="S793" i="5"/>
  <c r="S785" i="5"/>
  <c r="Q769" i="5"/>
  <c r="S769" i="5"/>
  <c r="Q761" i="5"/>
  <c r="S761" i="5"/>
  <c r="Q753" i="5"/>
  <c r="S753" i="5"/>
  <c r="Q745" i="5"/>
  <c r="S745" i="5"/>
  <c r="Q729" i="5"/>
  <c r="S729" i="5"/>
  <c r="S721" i="5"/>
  <c r="Q705" i="5"/>
  <c r="S705" i="5"/>
  <c r="Q697" i="5"/>
  <c r="S697" i="5"/>
  <c r="Q689" i="5"/>
  <c r="S689" i="5"/>
  <c r="Q681" i="5"/>
  <c r="S681" i="5"/>
  <c r="Q673" i="5"/>
  <c r="S673" i="5"/>
  <c r="Q665" i="5"/>
  <c r="S665" i="5"/>
  <c r="S657" i="5"/>
  <c r="S649" i="5"/>
  <c r="S641" i="5"/>
  <c r="Q641" i="5"/>
  <c r="Q625" i="5"/>
  <c r="S625" i="5"/>
  <c r="Q617" i="5"/>
  <c r="S617" i="5"/>
  <c r="Q609" i="5"/>
  <c r="S609" i="5"/>
  <c r="Q601" i="5"/>
  <c r="S601" i="5"/>
  <c r="S593" i="5"/>
  <c r="S585" i="5"/>
  <c r="Q569" i="5"/>
  <c r="S569" i="5"/>
  <c r="Q561" i="5"/>
  <c r="S561" i="5"/>
  <c r="Q553" i="5"/>
  <c r="S553" i="5"/>
  <c r="Q545" i="5"/>
  <c r="S545" i="5"/>
  <c r="Q537" i="5"/>
  <c r="S537" i="5"/>
  <c r="S529" i="5"/>
  <c r="S521" i="5"/>
  <c r="Q513" i="5"/>
  <c r="S513" i="5"/>
  <c r="S505" i="5"/>
  <c r="Q505" i="5"/>
  <c r="Q497" i="5"/>
  <c r="S497" i="5"/>
  <c r="Q489" i="5"/>
  <c r="S489" i="5"/>
  <c r="Q481" i="5"/>
  <c r="S481" i="5"/>
  <c r="S465" i="5"/>
  <c r="S457" i="5"/>
  <c r="Q449" i="5"/>
  <c r="S449" i="5"/>
  <c r="Q441" i="5"/>
  <c r="S441" i="5"/>
  <c r="Q433" i="5"/>
  <c r="S433" i="5"/>
  <c r="Q425" i="5"/>
  <c r="S425" i="5"/>
  <c r="Q409" i="5"/>
  <c r="S409" i="5"/>
  <c r="S401" i="5"/>
  <c r="S393" i="5"/>
  <c r="Q385" i="5"/>
  <c r="S385" i="5"/>
  <c r="Q369" i="5"/>
  <c r="S369" i="5"/>
  <c r="S361" i="5"/>
  <c r="Q353" i="5"/>
  <c r="S353" i="5"/>
  <c r="Q345" i="5"/>
  <c r="S345" i="5"/>
  <c r="S337" i="5"/>
  <c r="S329" i="5"/>
  <c r="Q313" i="5"/>
  <c r="S313" i="5"/>
  <c r="Q305" i="5"/>
  <c r="S305" i="5"/>
  <c r="Q297" i="5"/>
  <c r="S297" i="5"/>
  <c r="Q289" i="5"/>
  <c r="S289" i="5"/>
  <c r="Q281" i="5"/>
  <c r="S281" i="5"/>
  <c r="S273" i="5"/>
  <c r="S265" i="5"/>
  <c r="Q257" i="5"/>
  <c r="S257" i="5"/>
  <c r="Q249" i="5"/>
  <c r="S249" i="5"/>
  <c r="Q241" i="5"/>
  <c r="S241" i="5"/>
  <c r="Q233" i="5"/>
  <c r="S233" i="5"/>
  <c r="Q225" i="5"/>
  <c r="S225" i="5"/>
  <c r="S209" i="5"/>
  <c r="S201" i="5"/>
  <c r="Q193" i="5"/>
  <c r="S193" i="5"/>
  <c r="S185" i="5"/>
  <c r="Q185" i="5"/>
  <c r="Q177" i="5"/>
  <c r="S177" i="5"/>
  <c r="S169" i="5"/>
  <c r="Q169" i="5"/>
  <c r="Q153" i="5"/>
  <c r="S153" i="5"/>
  <c r="S145" i="5"/>
  <c r="S137" i="5"/>
  <c r="Q129" i="5"/>
  <c r="S129" i="5"/>
  <c r="Q113" i="5"/>
  <c r="S113" i="5"/>
  <c r="S1150" i="5"/>
  <c r="S1047" i="5"/>
  <c r="S894" i="5"/>
  <c r="S791" i="5"/>
  <c r="S738" i="5"/>
  <c r="S688" i="5"/>
  <c r="S536" i="5"/>
  <c r="S121" i="5"/>
  <c r="Q728" i="5"/>
  <c r="S728" i="5"/>
  <c r="S720" i="5"/>
  <c r="Q704" i="5"/>
  <c r="S704" i="5"/>
  <c r="Q696" i="5"/>
  <c r="S696" i="5"/>
  <c r="S680" i="5"/>
  <c r="S672" i="5"/>
  <c r="S656" i="5"/>
  <c r="Q648" i="5"/>
  <c r="S648" i="5"/>
  <c r="Q640" i="5"/>
  <c r="S640" i="5"/>
  <c r="Q624" i="5"/>
  <c r="S624" i="5"/>
  <c r="S616" i="5"/>
  <c r="S608" i="5"/>
  <c r="Q600" i="5"/>
  <c r="S600" i="5"/>
  <c r="S592" i="5"/>
  <c r="Q584" i="5"/>
  <c r="S584" i="5"/>
  <c r="Q568" i="5"/>
  <c r="S568" i="5"/>
  <c r="Q560" i="5"/>
  <c r="S560" i="5"/>
  <c r="S552" i="5"/>
  <c r="S544" i="5"/>
  <c r="S528" i="5"/>
  <c r="Q512" i="5"/>
  <c r="S512" i="5"/>
  <c r="Q504" i="5"/>
  <c r="S504" i="5"/>
  <c r="Q496" i="5"/>
  <c r="S496" i="5"/>
  <c r="S488" i="5"/>
  <c r="Q472" i="5"/>
  <c r="S472" i="5"/>
  <c r="S464" i="5"/>
  <c r="Q456" i="5"/>
  <c r="S456" i="5"/>
  <c r="Q448" i="5"/>
  <c r="S448" i="5"/>
  <c r="Q440" i="5"/>
  <c r="S440" i="5"/>
  <c r="Q432" i="5"/>
  <c r="S432" i="5"/>
  <c r="S416" i="5"/>
  <c r="Q408" i="5"/>
  <c r="S408" i="5"/>
  <c r="S400" i="5"/>
  <c r="Q392" i="5"/>
  <c r="S392" i="5"/>
  <c r="Q384" i="5"/>
  <c r="S384" i="5"/>
  <c r="Q368" i="5"/>
  <c r="S368" i="5"/>
  <c r="Q360" i="5"/>
  <c r="N360" i="5"/>
  <c r="S360" i="5"/>
  <c r="Q352" i="5"/>
  <c r="S352" i="5"/>
  <c r="Q344" i="5"/>
  <c r="S344" i="5"/>
  <c r="S336" i="5"/>
  <c r="Q328" i="5"/>
  <c r="S328" i="5"/>
  <c r="Q312" i="5"/>
  <c r="S312" i="5"/>
  <c r="Q304" i="5"/>
  <c r="S304" i="5"/>
  <c r="S296" i="5"/>
  <c r="S288" i="5"/>
  <c r="S272" i="5"/>
  <c r="Q256" i="5"/>
  <c r="S256" i="5"/>
  <c r="Q248" i="5"/>
  <c r="S248" i="5"/>
  <c r="Q240" i="5"/>
  <c r="S240" i="5"/>
  <c r="S232" i="5"/>
  <c r="Q216" i="5"/>
  <c r="S216" i="5"/>
  <c r="S208" i="5"/>
  <c r="Q200" i="5"/>
  <c r="S200" i="5"/>
  <c r="Q192" i="5"/>
  <c r="S192" i="5"/>
  <c r="Q184" i="5"/>
  <c r="S184" i="5"/>
  <c r="Q176" i="5"/>
  <c r="S176" i="5"/>
  <c r="S160" i="5"/>
  <c r="Q152" i="5"/>
  <c r="S152" i="5"/>
  <c r="S144" i="5"/>
  <c r="Q136" i="5"/>
  <c r="S136" i="5"/>
  <c r="S104" i="5"/>
  <c r="S96" i="5"/>
  <c r="S32" i="5"/>
  <c r="S1191" i="5"/>
  <c r="S1046" i="5"/>
  <c r="S943" i="5"/>
  <c r="S790" i="5"/>
  <c r="S737" i="5"/>
  <c r="S687" i="5"/>
  <c r="S520" i="5"/>
  <c r="S320" i="5"/>
  <c r="Q1167" i="5"/>
  <c r="S1167" i="5"/>
  <c r="Q1159" i="5"/>
  <c r="S1159" i="5"/>
  <c r="Q1151" i="5"/>
  <c r="S1151" i="5"/>
  <c r="Q1143" i="5"/>
  <c r="S1143" i="5"/>
  <c r="Q1127" i="5"/>
  <c r="S1127" i="5"/>
  <c r="Q1119" i="5"/>
  <c r="S1119" i="5"/>
  <c r="Q1103" i="5"/>
  <c r="S1103" i="5"/>
  <c r="Q1095" i="5"/>
  <c r="S1095" i="5"/>
  <c r="Q1087" i="5"/>
  <c r="S1087" i="5"/>
  <c r="Q1079" i="5"/>
  <c r="S1079" i="5"/>
  <c r="Q1063" i="5"/>
  <c r="S1063" i="5"/>
  <c r="Q1055" i="5"/>
  <c r="S1055" i="5"/>
  <c r="Q1039" i="5"/>
  <c r="S1039" i="5"/>
  <c r="Q1031" i="5"/>
  <c r="S1031" i="5"/>
  <c r="Q1023" i="5"/>
  <c r="S1023" i="5"/>
  <c r="Q1015" i="5"/>
  <c r="S1015" i="5"/>
  <c r="Q999" i="5"/>
  <c r="S999" i="5"/>
  <c r="Q991" i="5"/>
  <c r="S991" i="5"/>
  <c r="Q975" i="5"/>
  <c r="S975" i="5"/>
  <c r="Q967" i="5"/>
  <c r="S967" i="5"/>
  <c r="Q959" i="5"/>
  <c r="S959" i="5"/>
  <c r="Q951" i="5"/>
  <c r="S951" i="5"/>
  <c r="Q935" i="5"/>
  <c r="S935" i="5"/>
  <c r="Q927" i="5"/>
  <c r="S927" i="5"/>
  <c r="Q911" i="5"/>
  <c r="S911" i="5"/>
  <c r="Q903" i="5"/>
  <c r="S903" i="5"/>
  <c r="Q895" i="5"/>
  <c r="S895" i="5"/>
  <c r="Q887" i="5"/>
  <c r="S887" i="5"/>
  <c r="Q871" i="5"/>
  <c r="S871" i="5"/>
  <c r="Q863" i="5"/>
  <c r="S863" i="5"/>
  <c r="Q847" i="5"/>
  <c r="S847" i="5"/>
  <c r="Q839" i="5"/>
  <c r="S839" i="5"/>
  <c r="Q831" i="5"/>
  <c r="S831" i="5"/>
  <c r="Q823" i="5"/>
  <c r="S823" i="5"/>
  <c r="Q807" i="5"/>
  <c r="S807" i="5"/>
  <c r="Q799" i="5"/>
  <c r="S799" i="5"/>
  <c r="Q783" i="5"/>
  <c r="S783" i="5"/>
  <c r="Q775" i="5"/>
  <c r="S775" i="5"/>
  <c r="Q767" i="5"/>
  <c r="S767" i="5"/>
  <c r="Q759" i="5"/>
  <c r="S759" i="5"/>
  <c r="Q743" i="5"/>
  <c r="S743" i="5"/>
  <c r="Q735" i="5"/>
  <c r="S735" i="5"/>
  <c r="Q719" i="5"/>
  <c r="S719" i="5"/>
  <c r="Q711" i="5"/>
  <c r="S711" i="5"/>
  <c r="Q703" i="5"/>
  <c r="S703" i="5"/>
  <c r="Q695" i="5"/>
  <c r="S695" i="5"/>
  <c r="Q679" i="5"/>
  <c r="S679" i="5"/>
  <c r="Q671" i="5"/>
  <c r="S671" i="5"/>
  <c r="Q663" i="5"/>
  <c r="S663" i="5"/>
  <c r="Q655" i="5"/>
  <c r="S655" i="5"/>
  <c r="Q647" i="5"/>
  <c r="S647" i="5"/>
  <c r="Q639" i="5"/>
  <c r="S639" i="5"/>
  <c r="Q631" i="5"/>
  <c r="S631" i="5"/>
  <c r="Q623" i="5"/>
  <c r="S623" i="5"/>
  <c r="Q615" i="5"/>
  <c r="S615" i="5"/>
  <c r="Q607" i="5"/>
  <c r="S607" i="5"/>
  <c r="Q599" i="5"/>
  <c r="S599" i="5"/>
  <c r="Q591" i="5"/>
  <c r="S591" i="5"/>
  <c r="Q583" i="5"/>
  <c r="S583" i="5"/>
  <c r="Q575" i="5"/>
  <c r="S575" i="5"/>
  <c r="Q567" i="5"/>
  <c r="S567" i="5"/>
  <c r="Q559" i="5"/>
  <c r="S559" i="5"/>
  <c r="Q551" i="5"/>
  <c r="S551" i="5"/>
  <c r="Q543" i="5"/>
  <c r="S543" i="5"/>
  <c r="Q535" i="5"/>
  <c r="S535" i="5"/>
  <c r="Q527" i="5"/>
  <c r="S527" i="5"/>
  <c r="Q519" i="5"/>
  <c r="S519" i="5"/>
  <c r="Q511" i="5"/>
  <c r="S511" i="5"/>
  <c r="Q503" i="5"/>
  <c r="S503" i="5"/>
  <c r="Q495" i="5"/>
  <c r="S495" i="5"/>
  <c r="Q487" i="5"/>
  <c r="S487" i="5"/>
  <c r="Q479" i="5"/>
  <c r="S479" i="5"/>
  <c r="Q471" i="5"/>
  <c r="S471" i="5"/>
  <c r="Q463" i="5"/>
  <c r="S463" i="5"/>
  <c r="Q455" i="5"/>
  <c r="S455" i="5"/>
  <c r="Q447" i="5"/>
  <c r="S447" i="5"/>
  <c r="Q439" i="5"/>
  <c r="S439" i="5"/>
  <c r="Q431" i="5"/>
  <c r="S431" i="5"/>
  <c r="Q423" i="5"/>
  <c r="S423" i="5"/>
  <c r="Q415" i="5"/>
  <c r="S415" i="5"/>
  <c r="Q407" i="5"/>
  <c r="S407" i="5"/>
  <c r="Q399" i="5"/>
  <c r="S399" i="5"/>
  <c r="Q391" i="5"/>
  <c r="S391" i="5"/>
  <c r="Q383" i="5"/>
  <c r="S383" i="5"/>
  <c r="Q375" i="5"/>
  <c r="S375" i="5"/>
  <c r="Q367" i="5"/>
  <c r="S367" i="5"/>
  <c r="Q359" i="5"/>
  <c r="S359" i="5"/>
  <c r="Q351" i="5"/>
  <c r="S351" i="5"/>
  <c r="Q343" i="5"/>
  <c r="S343" i="5"/>
  <c r="Q335" i="5"/>
  <c r="S335" i="5"/>
  <c r="Q327" i="5"/>
  <c r="S327" i="5"/>
  <c r="Q319" i="5"/>
  <c r="S319" i="5"/>
  <c r="Q311" i="5"/>
  <c r="S311" i="5"/>
  <c r="Q303" i="5"/>
  <c r="S303" i="5"/>
  <c r="Q295" i="5"/>
  <c r="S295" i="5"/>
  <c r="S1086" i="5"/>
  <c r="S983" i="5"/>
  <c r="S727" i="5"/>
  <c r="S664" i="5"/>
  <c r="S280" i="5"/>
  <c r="Q1230" i="5"/>
  <c r="S1230" i="5"/>
  <c r="Q1222" i="5"/>
  <c r="S1222" i="5"/>
  <c r="Q1214" i="5"/>
  <c r="S1214" i="5"/>
  <c r="Q1206" i="5"/>
  <c r="S1206" i="5"/>
  <c r="Q1198" i="5"/>
  <c r="S1198" i="5"/>
  <c r="Q1190" i="5"/>
  <c r="S1190" i="5"/>
  <c r="Q1182" i="5"/>
  <c r="S1182" i="5"/>
  <c r="Q1166" i="5"/>
  <c r="S1166" i="5"/>
  <c r="Q1158" i="5"/>
  <c r="S1158" i="5"/>
  <c r="Q1142" i="5"/>
  <c r="S1142" i="5"/>
  <c r="S1134" i="5"/>
  <c r="Q1126" i="5"/>
  <c r="S1126" i="5"/>
  <c r="Q1118" i="5"/>
  <c r="S1118" i="5"/>
  <c r="Q1102" i="5"/>
  <c r="S1102" i="5"/>
  <c r="Q1094" i="5"/>
  <c r="S1094" i="5"/>
  <c r="Q1078" i="5"/>
  <c r="S1078" i="5"/>
  <c r="Q1070" i="5"/>
  <c r="S1070" i="5"/>
  <c r="Q1062" i="5"/>
  <c r="S1062" i="5"/>
  <c r="Q1054" i="5"/>
  <c r="S1054" i="5"/>
  <c r="Q1038" i="5"/>
  <c r="S1038" i="5"/>
  <c r="Q1030" i="5"/>
  <c r="S1030" i="5"/>
  <c r="Q1014" i="5"/>
  <c r="S1014" i="5"/>
  <c r="Q1006" i="5"/>
  <c r="S1006" i="5"/>
  <c r="Q998" i="5"/>
  <c r="S998" i="5"/>
  <c r="Q990" i="5"/>
  <c r="S990" i="5"/>
  <c r="S974" i="5"/>
  <c r="Q966" i="5"/>
  <c r="S966" i="5"/>
  <c r="Q950" i="5"/>
  <c r="S950" i="5"/>
  <c r="Q942" i="5"/>
  <c r="S942" i="5"/>
  <c r="Q934" i="5"/>
  <c r="S934" i="5"/>
  <c r="Q926" i="5"/>
  <c r="S926" i="5"/>
  <c r="Q910" i="5"/>
  <c r="S910" i="5"/>
  <c r="Q902" i="5"/>
  <c r="S902" i="5"/>
  <c r="Q886" i="5"/>
  <c r="S886" i="5"/>
  <c r="Q878" i="5"/>
  <c r="S878" i="5"/>
  <c r="Q870" i="5"/>
  <c r="S870" i="5"/>
  <c r="Q862" i="5"/>
  <c r="S862" i="5"/>
  <c r="Q846" i="5"/>
  <c r="S846" i="5"/>
  <c r="Q838" i="5"/>
  <c r="S838" i="5"/>
  <c r="Q822" i="5"/>
  <c r="S822" i="5"/>
  <c r="S814" i="5"/>
  <c r="Q806" i="5"/>
  <c r="S806" i="5"/>
  <c r="Q798" i="5"/>
  <c r="S798" i="5"/>
  <c r="S782" i="5"/>
  <c r="Q774" i="5"/>
  <c r="S774" i="5"/>
  <c r="Q758" i="5"/>
  <c r="S758" i="5"/>
  <c r="Q750" i="5"/>
  <c r="S750" i="5"/>
  <c r="Q742" i="5"/>
  <c r="S742" i="5"/>
  <c r="Q734" i="5"/>
  <c r="S734" i="5"/>
  <c r="S718" i="5"/>
  <c r="Q710" i="5"/>
  <c r="S710" i="5"/>
  <c r="Q694" i="5"/>
  <c r="S694" i="5"/>
  <c r="S686" i="5"/>
  <c r="Q678" i="5"/>
  <c r="S678" i="5"/>
  <c r="Q670" i="5"/>
  <c r="S670" i="5"/>
  <c r="Q662" i="5"/>
  <c r="S662" i="5"/>
  <c r="Q654" i="5"/>
  <c r="S654" i="5"/>
  <c r="Q646" i="5"/>
  <c r="S646" i="5"/>
  <c r="Q638" i="5"/>
  <c r="S638" i="5"/>
  <c r="Q630" i="5"/>
  <c r="S630" i="5"/>
  <c r="S622" i="5"/>
  <c r="Q614" i="5"/>
  <c r="S614" i="5"/>
  <c r="S606" i="5"/>
  <c r="Q598" i="5"/>
  <c r="S598" i="5"/>
  <c r="Q590" i="5"/>
  <c r="S590" i="5"/>
  <c r="Q582" i="5"/>
  <c r="S582" i="5"/>
  <c r="Q574" i="5"/>
  <c r="S574" i="5"/>
  <c r="Q566" i="5"/>
  <c r="S566" i="5"/>
  <c r="Q558" i="5"/>
  <c r="S558" i="5"/>
  <c r="Q550" i="5"/>
  <c r="S550" i="5"/>
  <c r="S542" i="5"/>
  <c r="Q534" i="5"/>
  <c r="S534" i="5"/>
  <c r="S526" i="5"/>
  <c r="Q518" i="5"/>
  <c r="S518" i="5"/>
  <c r="S510" i="5"/>
  <c r="Q502" i="5"/>
  <c r="S502" i="5"/>
  <c r="Q494" i="5"/>
  <c r="S494" i="5"/>
  <c r="Q486" i="5"/>
  <c r="S486" i="5"/>
  <c r="Q478" i="5"/>
  <c r="S478" i="5"/>
  <c r="Q470" i="5"/>
  <c r="S470" i="5"/>
  <c r="S462" i="5"/>
  <c r="Q454" i="5"/>
  <c r="S454" i="5"/>
  <c r="S446" i="5"/>
  <c r="Q438" i="5"/>
  <c r="S438" i="5"/>
  <c r="S430" i="5"/>
  <c r="Q422" i="5"/>
  <c r="S422" i="5"/>
  <c r="Q414" i="5"/>
  <c r="S414" i="5"/>
  <c r="Q406" i="5"/>
  <c r="S406" i="5"/>
  <c r="Q398" i="5"/>
  <c r="S398" i="5"/>
  <c r="Q390" i="5"/>
  <c r="S390" i="5"/>
  <c r="Q382" i="5"/>
  <c r="S382" i="5"/>
  <c r="Q374" i="5"/>
  <c r="S374" i="5"/>
  <c r="S366" i="5"/>
  <c r="Q358" i="5"/>
  <c r="S358" i="5"/>
  <c r="S350" i="5"/>
  <c r="Q342" i="5"/>
  <c r="S342" i="5"/>
  <c r="Q334" i="5"/>
  <c r="S334" i="5"/>
  <c r="Q326" i="5"/>
  <c r="S326" i="5"/>
  <c r="Q318" i="5"/>
  <c r="S318" i="5"/>
  <c r="Q310" i="5"/>
  <c r="S310" i="5"/>
  <c r="Q302" i="5"/>
  <c r="S302" i="5"/>
  <c r="Q294" i="5"/>
  <c r="S294" i="5"/>
  <c r="S286" i="5"/>
  <c r="S1183" i="5"/>
  <c r="S1135" i="5"/>
  <c r="S982" i="5"/>
  <c r="S879" i="5"/>
  <c r="S726" i="5"/>
  <c r="S473" i="5"/>
  <c r="S264" i="5"/>
  <c r="S100" i="5"/>
  <c r="S92" i="5"/>
  <c r="Q84" i="5"/>
  <c r="S84" i="5"/>
  <c r="S76" i="5"/>
  <c r="S68" i="5"/>
  <c r="S60" i="5"/>
  <c r="S52" i="5"/>
  <c r="Q44" i="5"/>
  <c r="S44" i="5"/>
  <c r="S36" i="5"/>
  <c r="S28" i="5"/>
  <c r="Q20" i="5"/>
  <c r="S20" i="5"/>
  <c r="S12" i="5"/>
  <c r="S4" i="5"/>
  <c r="S128" i="5"/>
  <c r="S65" i="5"/>
  <c r="Q105" i="5"/>
  <c r="S105" i="5"/>
  <c r="S81" i="5"/>
  <c r="S73" i="5"/>
  <c r="Q49" i="5"/>
  <c r="S49" i="5"/>
  <c r="Q41" i="5"/>
  <c r="S41" i="5"/>
  <c r="Q17" i="5"/>
  <c r="S17" i="5"/>
  <c r="Q9" i="5"/>
  <c r="S9" i="5"/>
  <c r="S56" i="5"/>
  <c r="Q112" i="5"/>
  <c r="S112" i="5"/>
  <c r="S80" i="5"/>
  <c r="Q72" i="5"/>
  <c r="S72" i="5"/>
  <c r="Q48" i="5"/>
  <c r="S48" i="5"/>
  <c r="S40" i="5"/>
  <c r="S16" i="5"/>
  <c r="Q8" i="5"/>
  <c r="S8" i="5"/>
  <c r="S97" i="5"/>
  <c r="S33" i="5"/>
  <c r="Q287" i="5"/>
  <c r="S287" i="5"/>
  <c r="Q279" i="5"/>
  <c r="S279" i="5"/>
  <c r="Q271" i="5"/>
  <c r="S271" i="5"/>
  <c r="Q263" i="5"/>
  <c r="S263" i="5"/>
  <c r="Q255" i="5"/>
  <c r="S255" i="5"/>
  <c r="Q247" i="5"/>
  <c r="S247" i="5"/>
  <c r="Q239" i="5"/>
  <c r="S239" i="5"/>
  <c r="Q231" i="5"/>
  <c r="S231" i="5"/>
  <c r="Q223" i="5"/>
  <c r="S223" i="5"/>
  <c r="Q215" i="5"/>
  <c r="S215" i="5"/>
  <c r="Q207" i="5"/>
  <c r="S207" i="5"/>
  <c r="Q199" i="5"/>
  <c r="S199" i="5"/>
  <c r="Q191" i="5"/>
  <c r="S191" i="5"/>
  <c r="Q183" i="5"/>
  <c r="S183" i="5"/>
  <c r="Q175" i="5"/>
  <c r="S175" i="5"/>
  <c r="Q167" i="5"/>
  <c r="S167" i="5"/>
  <c r="Q159" i="5"/>
  <c r="S159" i="5"/>
  <c r="Q151" i="5"/>
  <c r="S151" i="5"/>
  <c r="Q143" i="5"/>
  <c r="S143" i="5"/>
  <c r="Q135" i="5"/>
  <c r="S135" i="5"/>
  <c r="Q127" i="5"/>
  <c r="S127" i="5"/>
  <c r="Q119" i="5"/>
  <c r="S119" i="5"/>
  <c r="Q111" i="5"/>
  <c r="S111" i="5"/>
  <c r="S103" i="5"/>
  <c r="Q95" i="5"/>
  <c r="S95" i="5"/>
  <c r="Q87" i="5"/>
  <c r="S87" i="5"/>
  <c r="Q79" i="5"/>
  <c r="S79" i="5"/>
  <c r="Q71" i="5"/>
  <c r="S71" i="5"/>
  <c r="Q63" i="5"/>
  <c r="S63" i="5"/>
  <c r="Q55" i="5"/>
  <c r="S55" i="5"/>
  <c r="Q47" i="5"/>
  <c r="S47" i="5"/>
  <c r="Q39" i="5"/>
  <c r="S39" i="5"/>
  <c r="Q31" i="5"/>
  <c r="S31" i="5"/>
  <c r="Q23" i="5"/>
  <c r="S23" i="5"/>
  <c r="Q15" i="5"/>
  <c r="S15" i="5"/>
  <c r="Q7" i="5"/>
  <c r="S7" i="5"/>
  <c r="Q278" i="5"/>
  <c r="S278" i="5"/>
  <c r="S270" i="5"/>
  <c r="Q262" i="5"/>
  <c r="S262" i="5"/>
  <c r="S254" i="5"/>
  <c r="Q246" i="5"/>
  <c r="S246" i="5"/>
  <c r="Q238" i="5"/>
  <c r="S238" i="5"/>
  <c r="Q230" i="5"/>
  <c r="S230" i="5"/>
  <c r="Q222" i="5"/>
  <c r="S222" i="5"/>
  <c r="Q214" i="5"/>
  <c r="S214" i="5"/>
  <c r="S206" i="5"/>
  <c r="Q198" i="5"/>
  <c r="S198" i="5"/>
  <c r="S190" i="5"/>
  <c r="Q182" i="5"/>
  <c r="S182" i="5"/>
  <c r="S174" i="5"/>
  <c r="Q166" i="5"/>
  <c r="S166" i="5"/>
  <c r="Q158" i="5"/>
  <c r="S158" i="5"/>
  <c r="Q150" i="5"/>
  <c r="S150" i="5"/>
  <c r="Q142" i="5"/>
  <c r="S142" i="5"/>
  <c r="Q134" i="5"/>
  <c r="S134" i="5"/>
  <c r="Q126" i="5"/>
  <c r="S126" i="5"/>
  <c r="Q118" i="5"/>
  <c r="S118" i="5"/>
  <c r="Q110" i="5"/>
  <c r="S110" i="5"/>
  <c r="Q102" i="5"/>
  <c r="S102" i="5"/>
  <c r="Q94" i="5"/>
  <c r="S94" i="5"/>
  <c r="Q86" i="5"/>
  <c r="S86" i="5"/>
  <c r="Q78" i="5"/>
  <c r="S78" i="5"/>
  <c r="Q70" i="5"/>
  <c r="S70" i="5"/>
  <c r="Q62" i="5"/>
  <c r="S62" i="5"/>
  <c r="Q54" i="5"/>
  <c r="S54" i="5"/>
  <c r="Q46" i="5"/>
  <c r="S46" i="5"/>
  <c r="Q38" i="5"/>
  <c r="S38" i="5"/>
  <c r="Q30" i="5"/>
  <c r="S30" i="5"/>
  <c r="Q22" i="5"/>
  <c r="S22" i="5"/>
  <c r="Q14" i="5"/>
  <c r="S14" i="5"/>
  <c r="Q6" i="5"/>
  <c r="S6" i="5"/>
  <c r="S89" i="5"/>
  <c r="S25" i="5"/>
  <c r="Q285" i="5"/>
  <c r="S285" i="5"/>
  <c r="Q277" i="5"/>
  <c r="S277" i="5"/>
  <c r="Q269" i="5"/>
  <c r="S269" i="5"/>
  <c r="Q261" i="5"/>
  <c r="S261" i="5"/>
  <c r="Q253" i="5"/>
  <c r="S253" i="5"/>
  <c r="Q245" i="5"/>
  <c r="S245" i="5"/>
  <c r="Q237" i="5"/>
  <c r="S237" i="5"/>
  <c r="Q229" i="5"/>
  <c r="S229" i="5"/>
  <c r="Q221" i="5"/>
  <c r="S221" i="5"/>
  <c r="Q213" i="5"/>
  <c r="S213" i="5"/>
  <c r="Q205" i="5"/>
  <c r="S205" i="5"/>
  <c r="Q197" i="5"/>
  <c r="S197" i="5"/>
  <c r="Q189" i="5"/>
  <c r="S189" i="5"/>
  <c r="Q181" i="5"/>
  <c r="S181" i="5"/>
  <c r="Q173" i="5"/>
  <c r="S173" i="5"/>
  <c r="Q165" i="5"/>
  <c r="S165" i="5"/>
  <c r="Q157" i="5"/>
  <c r="S157" i="5"/>
  <c r="Q149" i="5"/>
  <c r="S149" i="5"/>
  <c r="Q141" i="5"/>
  <c r="S141" i="5"/>
  <c r="Q133" i="5"/>
  <c r="S133" i="5"/>
  <c r="Q125" i="5"/>
  <c r="S125" i="5"/>
  <c r="Q117" i="5"/>
  <c r="S117" i="5"/>
  <c r="Q109" i="5"/>
  <c r="S109" i="5"/>
  <c r="Q101" i="5"/>
  <c r="S101" i="5"/>
  <c r="Q93" i="5"/>
  <c r="S93" i="5"/>
  <c r="Q85" i="5"/>
  <c r="S85" i="5"/>
  <c r="Q77" i="5"/>
  <c r="S77" i="5"/>
  <c r="Q69" i="5"/>
  <c r="S69" i="5"/>
  <c r="Q61" i="5"/>
  <c r="S61" i="5"/>
  <c r="Q53" i="5"/>
  <c r="S53" i="5"/>
  <c r="Q45" i="5"/>
  <c r="S45" i="5"/>
  <c r="Q37" i="5"/>
  <c r="S37" i="5"/>
  <c r="Q29" i="5"/>
  <c r="S29" i="5"/>
  <c r="Q21" i="5"/>
  <c r="S21" i="5"/>
  <c r="Q13" i="5"/>
  <c r="S13" i="5"/>
  <c r="Q5" i="5"/>
  <c r="S5" i="5"/>
  <c r="S88" i="5"/>
  <c r="S24" i="5"/>
  <c r="N1321" i="5"/>
  <c r="Q1321" i="5"/>
  <c r="N1313" i="5"/>
  <c r="Q1313" i="5"/>
  <c r="N1305" i="5"/>
  <c r="Q1305" i="5"/>
  <c r="N1225" i="5"/>
  <c r="Q1225" i="5"/>
  <c r="N1217" i="5"/>
  <c r="Q1217" i="5"/>
  <c r="N1209" i="5"/>
  <c r="Q1209" i="5"/>
  <c r="N1161" i="5"/>
  <c r="Q1161" i="5"/>
  <c r="N1153" i="5"/>
  <c r="Q1153" i="5"/>
  <c r="N1145" i="5"/>
  <c r="Q1145" i="5"/>
  <c r="Q1129" i="5"/>
  <c r="N1129" i="5"/>
  <c r="N1121" i="5"/>
  <c r="Q1121" i="5"/>
  <c r="N1113" i="5"/>
  <c r="Q1113" i="5"/>
  <c r="N1033" i="5"/>
  <c r="Q1033" i="5"/>
  <c r="N1025" i="5"/>
  <c r="Q1025" i="5"/>
  <c r="N1017" i="5"/>
  <c r="Q1017" i="5"/>
  <c r="N961" i="5"/>
  <c r="Q961" i="5"/>
  <c r="N937" i="5"/>
  <c r="Q937" i="5"/>
  <c r="N929" i="5"/>
  <c r="Q929" i="5"/>
  <c r="N921" i="5"/>
  <c r="Q921" i="5"/>
  <c r="N905" i="5"/>
  <c r="Q905" i="5"/>
  <c r="N889" i="5"/>
  <c r="Q889" i="5"/>
  <c r="N881" i="5"/>
  <c r="Q881" i="5"/>
  <c r="N1289" i="5"/>
  <c r="Q1289" i="5"/>
  <c r="N1281" i="5"/>
  <c r="Q1281" i="5"/>
  <c r="N1273" i="5"/>
  <c r="Q1273" i="5"/>
  <c r="Q1257" i="5"/>
  <c r="N1257" i="5"/>
  <c r="N1249" i="5"/>
  <c r="Q1249" i="5"/>
  <c r="N1241" i="5"/>
  <c r="Q1241" i="5"/>
  <c r="N1193" i="5"/>
  <c r="Q1193" i="5"/>
  <c r="N1185" i="5"/>
  <c r="Q1185" i="5"/>
  <c r="N1177" i="5"/>
  <c r="Q1177" i="5"/>
  <c r="O1097" i="5"/>
  <c r="Q1097" i="5"/>
  <c r="N1089" i="5"/>
  <c r="Q1089" i="5"/>
  <c r="N1081" i="5"/>
  <c r="Q1081" i="5"/>
  <c r="N1065" i="5"/>
  <c r="Q1065" i="5"/>
  <c r="N1057" i="5"/>
  <c r="Q1057" i="5"/>
  <c r="N1049" i="5"/>
  <c r="Q1049" i="5"/>
  <c r="N1001" i="5"/>
  <c r="Q1001" i="5"/>
  <c r="N993" i="5"/>
  <c r="Q993" i="5"/>
  <c r="N985" i="5"/>
  <c r="Q985" i="5"/>
  <c r="N969" i="5"/>
  <c r="Q969" i="5"/>
  <c r="N953" i="5"/>
  <c r="Q953" i="5"/>
  <c r="N897" i="5"/>
  <c r="Q897" i="5"/>
  <c r="N744" i="5"/>
  <c r="Q744" i="5"/>
  <c r="N736" i="5"/>
  <c r="Q736" i="5"/>
  <c r="N720" i="5"/>
  <c r="Q720" i="5"/>
  <c r="N680" i="5"/>
  <c r="Q680" i="5"/>
  <c r="N672" i="5"/>
  <c r="Q672" i="5"/>
  <c r="Q1178" i="5"/>
  <c r="P103" i="5"/>
  <c r="Q103" i="5"/>
  <c r="P1262" i="5"/>
  <c r="Q1262" i="5"/>
  <c r="P1254" i="5"/>
  <c r="Q1254" i="5"/>
  <c r="P1134" i="5"/>
  <c r="Q1134" i="5"/>
  <c r="P974" i="5"/>
  <c r="Q974" i="5"/>
  <c r="O830" i="5"/>
  <c r="Q830" i="5"/>
  <c r="O814" i="5"/>
  <c r="Q814" i="5"/>
  <c r="O782" i="5"/>
  <c r="Q782" i="5"/>
  <c r="P766" i="5"/>
  <c r="Q766" i="5"/>
  <c r="P718" i="5"/>
  <c r="Q718" i="5"/>
  <c r="P702" i="5"/>
  <c r="Q702" i="5"/>
  <c r="P686" i="5"/>
  <c r="Q686" i="5"/>
  <c r="P622" i="5"/>
  <c r="Q622" i="5"/>
  <c r="P606" i="5"/>
  <c r="Q606" i="5"/>
  <c r="P542" i="5"/>
  <c r="Q542" i="5"/>
  <c r="P526" i="5"/>
  <c r="Q526" i="5"/>
  <c r="P510" i="5"/>
  <c r="Q510" i="5"/>
  <c r="P462" i="5"/>
  <c r="Q462" i="5"/>
  <c r="P446" i="5"/>
  <c r="Q446" i="5"/>
  <c r="P430" i="5"/>
  <c r="Q430" i="5"/>
  <c r="P366" i="5"/>
  <c r="Q366" i="5"/>
  <c r="P350" i="5"/>
  <c r="Q350" i="5"/>
  <c r="P286" i="5"/>
  <c r="Q286" i="5"/>
  <c r="P270" i="5"/>
  <c r="Q270" i="5"/>
  <c r="P254" i="5"/>
  <c r="Q254" i="5"/>
  <c r="P206" i="5"/>
  <c r="Q206" i="5"/>
  <c r="P190" i="5"/>
  <c r="Q190" i="5"/>
  <c r="P174" i="5"/>
  <c r="Q174" i="5"/>
  <c r="N1324" i="5"/>
  <c r="Q1324" i="5"/>
  <c r="N1316" i="5"/>
  <c r="Q1316" i="5"/>
  <c r="N1292" i="5"/>
  <c r="Q1292" i="5"/>
  <c r="N1284" i="5"/>
  <c r="Q1284" i="5"/>
  <c r="N1260" i="5"/>
  <c r="Q1260" i="5"/>
  <c r="N1252" i="5"/>
  <c r="Q1252" i="5"/>
  <c r="N1228" i="5"/>
  <c r="Q1228" i="5"/>
  <c r="N1220" i="5"/>
  <c r="Q1220" i="5"/>
  <c r="N1196" i="5"/>
  <c r="Q1196" i="5"/>
  <c r="N1188" i="5"/>
  <c r="Q1188" i="5"/>
  <c r="N1164" i="5"/>
  <c r="Q1164" i="5"/>
  <c r="N1156" i="5"/>
  <c r="Q1156" i="5"/>
  <c r="N1132" i="5"/>
  <c r="Q1132" i="5"/>
  <c r="O1124" i="5"/>
  <c r="Q1124" i="5"/>
  <c r="O1108" i="5"/>
  <c r="Q1108" i="5"/>
  <c r="N1100" i="5"/>
  <c r="Q1100" i="5"/>
  <c r="N1092" i="5"/>
  <c r="Q1092" i="5"/>
  <c r="N1068" i="5"/>
  <c r="Q1068" i="5"/>
  <c r="P1219" i="5"/>
  <c r="Q1219" i="5"/>
  <c r="P1155" i="5"/>
  <c r="Q1155" i="5"/>
  <c r="P1147" i="5"/>
  <c r="Q1147" i="5"/>
  <c r="P1067" i="5"/>
  <c r="Q1067" i="5"/>
  <c r="P1043" i="5"/>
  <c r="Q1043" i="5"/>
  <c r="N843" i="5"/>
  <c r="Q843" i="5"/>
  <c r="N835" i="5"/>
  <c r="Q835" i="5"/>
  <c r="N827" i="5"/>
  <c r="Q827" i="5"/>
  <c r="O819" i="5"/>
  <c r="Q819" i="5"/>
  <c r="N811" i="5"/>
  <c r="Q811" i="5"/>
  <c r="N803" i="5"/>
  <c r="Q803" i="5"/>
  <c r="N795" i="5"/>
  <c r="Q795" i="5"/>
  <c r="O787" i="5"/>
  <c r="Q787" i="5"/>
  <c r="N779" i="5"/>
  <c r="Q779" i="5"/>
  <c r="P755" i="5"/>
  <c r="Q755" i="5"/>
  <c r="P691" i="5"/>
  <c r="Q691" i="5"/>
  <c r="P659" i="5"/>
  <c r="Q659" i="5"/>
  <c r="P1306" i="5"/>
  <c r="Q1306" i="5"/>
  <c r="P1298" i="5"/>
  <c r="Q1298" i="5"/>
  <c r="P1234" i="5"/>
  <c r="Q1234" i="5"/>
  <c r="P1170" i="5"/>
  <c r="Q1170" i="5"/>
  <c r="Q1242" i="5"/>
  <c r="N352" i="5"/>
  <c r="N1060" i="5"/>
  <c r="Q1060" i="5"/>
  <c r="N1036" i="5"/>
  <c r="Q1036" i="5"/>
  <c r="N1028" i="5"/>
  <c r="Q1028" i="5"/>
  <c r="N1004" i="5"/>
  <c r="Q1004" i="5"/>
  <c r="N996" i="5"/>
  <c r="Q996" i="5"/>
  <c r="N972" i="5"/>
  <c r="Q972" i="5"/>
  <c r="N964" i="5"/>
  <c r="Q964" i="5"/>
  <c r="N940" i="5"/>
  <c r="Q940" i="5"/>
  <c r="N932" i="5"/>
  <c r="Q932" i="5"/>
  <c r="N908" i="5"/>
  <c r="Q908" i="5"/>
  <c r="N900" i="5"/>
  <c r="Q900" i="5"/>
  <c r="N884" i="5"/>
  <c r="Q884" i="5"/>
  <c r="N876" i="5"/>
  <c r="Q876" i="5"/>
  <c r="N868" i="5"/>
  <c r="Q868" i="5"/>
  <c r="N860" i="5"/>
  <c r="Q860" i="5"/>
  <c r="N852" i="5"/>
  <c r="Q852" i="5"/>
  <c r="N844" i="5"/>
  <c r="Q844" i="5"/>
  <c r="N836" i="5"/>
  <c r="Q836" i="5"/>
  <c r="N828" i="5"/>
  <c r="Q828" i="5"/>
  <c r="N820" i="5"/>
  <c r="Q820" i="5"/>
  <c r="N812" i="5"/>
  <c r="Q812" i="5"/>
  <c r="N804" i="5"/>
  <c r="Q804" i="5"/>
  <c r="N796" i="5"/>
  <c r="Q796" i="5"/>
  <c r="N788" i="5"/>
  <c r="Q788" i="5"/>
  <c r="N780" i="5"/>
  <c r="Q780" i="5"/>
  <c r="N772" i="5"/>
  <c r="Q772" i="5"/>
  <c r="N764" i="5"/>
  <c r="Q764" i="5"/>
  <c r="N756" i="5"/>
  <c r="Q756" i="5"/>
  <c r="N740" i="5"/>
  <c r="Q740" i="5"/>
  <c r="N732" i="5"/>
  <c r="Q732" i="5"/>
  <c r="N716" i="5"/>
  <c r="Q716" i="5"/>
  <c r="N708" i="5"/>
  <c r="Q708" i="5"/>
  <c r="N700" i="5"/>
  <c r="Q700" i="5"/>
  <c r="N692" i="5"/>
  <c r="Q692" i="5"/>
  <c r="N676" i="5"/>
  <c r="Q676" i="5"/>
  <c r="N668" i="5"/>
  <c r="Q668" i="5"/>
  <c r="N652" i="5"/>
  <c r="Q652" i="5"/>
  <c r="N644" i="5"/>
  <c r="Q644" i="5"/>
  <c r="N636" i="5"/>
  <c r="Q636" i="5"/>
  <c r="N628" i="5"/>
  <c r="Q628" i="5"/>
  <c r="N612" i="5"/>
  <c r="Q612" i="5"/>
  <c r="N604" i="5"/>
  <c r="Q604" i="5"/>
  <c r="N588" i="5"/>
  <c r="Q588" i="5"/>
  <c r="N580" i="5"/>
  <c r="Q580" i="5"/>
  <c r="N572" i="5"/>
  <c r="Q572" i="5"/>
  <c r="N564" i="5"/>
  <c r="Q564" i="5"/>
  <c r="N548" i="5"/>
  <c r="Q548" i="5"/>
  <c r="N540" i="5"/>
  <c r="Q540" i="5"/>
  <c r="N524" i="5"/>
  <c r="Q524" i="5"/>
  <c r="N516" i="5"/>
  <c r="Q516" i="5"/>
  <c r="N508" i="5"/>
  <c r="Q508" i="5"/>
  <c r="N500" i="5"/>
  <c r="Q500" i="5"/>
  <c r="N484" i="5"/>
  <c r="Q484" i="5"/>
  <c r="N476" i="5"/>
  <c r="Q476" i="5"/>
  <c r="N460" i="5"/>
  <c r="Q460" i="5"/>
  <c r="N452" i="5"/>
  <c r="Q452" i="5"/>
  <c r="N444" i="5"/>
  <c r="Q444" i="5"/>
  <c r="N436" i="5"/>
  <c r="Q436" i="5"/>
  <c r="N420" i="5"/>
  <c r="Q420" i="5"/>
  <c r="N412" i="5"/>
  <c r="Q412" i="5"/>
  <c r="N396" i="5"/>
  <c r="Q396" i="5"/>
  <c r="N388" i="5"/>
  <c r="Q388" i="5"/>
  <c r="N380" i="5"/>
  <c r="Q380" i="5"/>
  <c r="N372" i="5"/>
  <c r="Q372" i="5"/>
  <c r="N356" i="5"/>
  <c r="Q356" i="5"/>
  <c r="N348" i="5"/>
  <c r="Q348" i="5"/>
  <c r="N332" i="5"/>
  <c r="Q332" i="5"/>
  <c r="N324" i="5"/>
  <c r="Q324" i="5"/>
  <c r="N316" i="5"/>
  <c r="Q316" i="5"/>
  <c r="N308" i="5"/>
  <c r="Q308" i="5"/>
  <c r="N292" i="5"/>
  <c r="Q292" i="5"/>
  <c r="N284" i="5"/>
  <c r="Q284" i="5"/>
  <c r="N268" i="5"/>
  <c r="Q268" i="5"/>
  <c r="N260" i="5"/>
  <c r="Q260" i="5"/>
  <c r="N252" i="5"/>
  <c r="Q252" i="5"/>
  <c r="N244" i="5"/>
  <c r="Q244" i="5"/>
  <c r="N228" i="5"/>
  <c r="Q228" i="5"/>
  <c r="N220" i="5"/>
  <c r="Q220" i="5"/>
  <c r="N204" i="5"/>
  <c r="Q204" i="5"/>
  <c r="N196" i="5"/>
  <c r="Q196" i="5"/>
  <c r="N188" i="5"/>
  <c r="Q188" i="5"/>
  <c r="N180" i="5"/>
  <c r="Q180" i="5"/>
  <c r="N164" i="5"/>
  <c r="Q164" i="5"/>
  <c r="N156" i="5"/>
  <c r="Q156" i="5"/>
  <c r="N140" i="5"/>
  <c r="Q140" i="5"/>
  <c r="N132" i="5"/>
  <c r="Q132" i="5"/>
  <c r="N124" i="5"/>
  <c r="Q124" i="5"/>
  <c r="N116" i="5"/>
  <c r="Q116" i="5"/>
  <c r="N100" i="5"/>
  <c r="Q100" i="5"/>
  <c r="N92" i="5"/>
  <c r="Q92" i="5"/>
  <c r="N76" i="5"/>
  <c r="Q76" i="5"/>
  <c r="N68" i="5"/>
  <c r="Q68" i="5"/>
  <c r="N60" i="5"/>
  <c r="Q60" i="5"/>
  <c r="N52" i="5"/>
  <c r="Q52" i="5"/>
  <c r="N36" i="5"/>
  <c r="Q36" i="5"/>
  <c r="N28" i="5"/>
  <c r="Q28" i="5"/>
  <c r="N12" i="5"/>
  <c r="Q12" i="5"/>
  <c r="N4" i="5"/>
  <c r="Q4" i="5"/>
  <c r="N17" i="5"/>
  <c r="P627" i="5"/>
  <c r="Q627" i="5"/>
  <c r="P595" i="5"/>
  <c r="Q595" i="5"/>
  <c r="P563" i="5"/>
  <c r="Q563" i="5"/>
  <c r="P531" i="5"/>
  <c r="Q531" i="5"/>
  <c r="P499" i="5"/>
  <c r="Q499" i="5"/>
  <c r="P435" i="5"/>
  <c r="Q435" i="5"/>
  <c r="P403" i="5"/>
  <c r="Q403" i="5"/>
  <c r="P371" i="5"/>
  <c r="Q371" i="5"/>
  <c r="P339" i="5"/>
  <c r="Q339" i="5"/>
  <c r="P307" i="5"/>
  <c r="Q307" i="5"/>
  <c r="P275" i="5"/>
  <c r="Q275" i="5"/>
  <c r="P243" i="5"/>
  <c r="Q243" i="5"/>
  <c r="P179" i="5"/>
  <c r="Q179" i="5"/>
  <c r="P147" i="5"/>
  <c r="Q147" i="5"/>
  <c r="N9" i="5"/>
  <c r="N865" i="5"/>
  <c r="Q865" i="5"/>
  <c r="N857" i="5"/>
  <c r="Q857" i="5"/>
  <c r="N849" i="5"/>
  <c r="Q849" i="5"/>
  <c r="N841" i="5"/>
  <c r="Q841" i="5"/>
  <c r="N833" i="5"/>
  <c r="Q833" i="5"/>
  <c r="N825" i="5"/>
  <c r="Q825" i="5"/>
  <c r="N817" i="5"/>
  <c r="Q817" i="5"/>
  <c r="N809" i="5"/>
  <c r="Q809" i="5"/>
  <c r="N801" i="5"/>
  <c r="Q801" i="5"/>
  <c r="N793" i="5"/>
  <c r="Q793" i="5"/>
  <c r="N785" i="5"/>
  <c r="Q785" i="5"/>
  <c r="N777" i="5"/>
  <c r="Q777" i="5"/>
  <c r="N721" i="5"/>
  <c r="Q721" i="5"/>
  <c r="N713" i="5"/>
  <c r="Q713" i="5"/>
  <c r="N657" i="5"/>
  <c r="Q657" i="5"/>
  <c r="N649" i="5"/>
  <c r="Q649" i="5"/>
  <c r="N593" i="5"/>
  <c r="Q593" i="5"/>
  <c r="N585" i="5"/>
  <c r="Q585" i="5"/>
  <c r="N529" i="5"/>
  <c r="Q529" i="5"/>
  <c r="N521" i="5"/>
  <c r="Q521" i="5"/>
  <c r="N465" i="5"/>
  <c r="Q465" i="5"/>
  <c r="N457" i="5"/>
  <c r="Q457" i="5"/>
  <c r="N401" i="5"/>
  <c r="Q401" i="5"/>
  <c r="N393" i="5"/>
  <c r="Q393" i="5"/>
  <c r="N337" i="5"/>
  <c r="Q337" i="5"/>
  <c r="N329" i="5"/>
  <c r="Q329" i="5"/>
  <c r="N273" i="5"/>
  <c r="Q273" i="5"/>
  <c r="N265" i="5"/>
  <c r="Q265" i="5"/>
  <c r="N209" i="5"/>
  <c r="Q209" i="5"/>
  <c r="N201" i="5"/>
  <c r="Q201" i="5"/>
  <c r="N145" i="5"/>
  <c r="Q145" i="5"/>
  <c r="N137" i="5"/>
  <c r="Q137" i="5"/>
  <c r="N81" i="5"/>
  <c r="Q81" i="5"/>
  <c r="N73" i="5"/>
  <c r="Q73" i="5"/>
  <c r="N656" i="5"/>
  <c r="Q656" i="5"/>
  <c r="N616" i="5"/>
  <c r="Q616" i="5"/>
  <c r="N608" i="5"/>
  <c r="Q608" i="5"/>
  <c r="N592" i="5"/>
  <c r="Q592" i="5"/>
  <c r="N552" i="5"/>
  <c r="Q552" i="5"/>
  <c r="N544" i="5"/>
  <c r="Q544" i="5"/>
  <c r="N528" i="5"/>
  <c r="Q528" i="5"/>
  <c r="N488" i="5"/>
  <c r="Q488" i="5"/>
  <c r="N480" i="5"/>
  <c r="Q480" i="5"/>
  <c r="N464" i="5"/>
  <c r="Q464" i="5"/>
  <c r="N424" i="5"/>
  <c r="Q424" i="5"/>
  <c r="N416" i="5"/>
  <c r="Q416" i="5"/>
  <c r="N400" i="5"/>
  <c r="Q400" i="5"/>
  <c r="N336" i="5"/>
  <c r="Q336" i="5"/>
  <c r="N296" i="5"/>
  <c r="Q296" i="5"/>
  <c r="N288" i="5"/>
  <c r="Q288" i="5"/>
  <c r="N272" i="5"/>
  <c r="Q272" i="5"/>
  <c r="N232" i="5"/>
  <c r="Q232" i="5"/>
  <c r="N224" i="5"/>
  <c r="Q224" i="5"/>
  <c r="N208" i="5"/>
  <c r="Q208" i="5"/>
  <c r="N168" i="5"/>
  <c r="Q168" i="5"/>
  <c r="N160" i="5"/>
  <c r="Q160" i="5"/>
  <c r="N144" i="5"/>
  <c r="Q144" i="5"/>
  <c r="O120" i="5"/>
  <c r="Q120" i="5"/>
  <c r="N104" i="5"/>
  <c r="Q104" i="5"/>
  <c r="N96" i="5"/>
  <c r="Q96" i="5"/>
  <c r="N80" i="5"/>
  <c r="Q80" i="5"/>
  <c r="N40" i="5"/>
  <c r="Q40" i="5"/>
  <c r="N32" i="5"/>
  <c r="Q32" i="5"/>
  <c r="N16" i="5"/>
  <c r="Q16" i="5"/>
  <c r="J684" i="5"/>
  <c r="K684" i="5"/>
  <c r="J812" i="5"/>
  <c r="K812" i="5"/>
  <c r="J1004" i="5"/>
  <c r="K1004" i="5"/>
  <c r="J1132" i="5"/>
  <c r="K1132" i="5"/>
  <c r="O851" i="5"/>
  <c r="P851" i="5"/>
  <c r="N1097" i="5"/>
  <c r="J438" i="5"/>
  <c r="K438" i="5"/>
  <c r="J192" i="5"/>
  <c r="K192" i="5"/>
  <c r="O798" i="5"/>
  <c r="P798" i="5"/>
  <c r="J39" i="5"/>
  <c r="I39" i="5"/>
  <c r="J87" i="5"/>
  <c r="I87" i="5"/>
  <c r="J143" i="5"/>
  <c r="I143" i="5"/>
  <c r="J191" i="5"/>
  <c r="I191" i="5"/>
  <c r="J239" i="5"/>
  <c r="I239" i="5"/>
  <c r="J287" i="5"/>
  <c r="I287" i="5"/>
  <c r="J335" i="5"/>
  <c r="I335" i="5"/>
  <c r="J391" i="5"/>
  <c r="I391" i="5"/>
  <c r="J447" i="5"/>
  <c r="I447" i="5"/>
  <c r="J495" i="5"/>
  <c r="I495" i="5"/>
  <c r="J543" i="5"/>
  <c r="I543" i="5"/>
  <c r="J591" i="5"/>
  <c r="I591" i="5"/>
  <c r="J639" i="5"/>
  <c r="I639" i="5"/>
  <c r="J687" i="5"/>
  <c r="I687" i="5"/>
  <c r="J727" i="5"/>
  <c r="I727" i="5"/>
  <c r="J791" i="5"/>
  <c r="I791" i="5"/>
  <c r="J831" i="5"/>
  <c r="I831" i="5"/>
  <c r="J887" i="5"/>
  <c r="I887" i="5"/>
  <c r="J943" i="5"/>
  <c r="I943" i="5"/>
  <c r="J991" i="5"/>
  <c r="I991" i="5"/>
  <c r="J1039" i="5"/>
  <c r="I1039" i="5"/>
  <c r="J1087" i="5"/>
  <c r="I1087" i="5"/>
  <c r="J1135" i="5"/>
  <c r="I1135" i="5"/>
  <c r="H1191" i="5"/>
  <c r="J1191" i="5"/>
  <c r="I1191" i="5"/>
  <c r="J1231" i="5"/>
  <c r="I1231" i="5"/>
  <c r="J1279" i="5"/>
  <c r="I1279" i="5"/>
  <c r="J1327" i="5"/>
  <c r="I1327" i="5"/>
  <c r="O1288" i="5"/>
  <c r="P1288" i="5"/>
  <c r="N1288" i="5"/>
  <c r="O1240" i="5"/>
  <c r="P1240" i="5"/>
  <c r="N1240" i="5"/>
  <c r="O1200" i="5"/>
  <c r="P1200" i="5"/>
  <c r="N1200" i="5"/>
  <c r="O1160" i="5"/>
  <c r="P1160" i="5"/>
  <c r="N1160" i="5"/>
  <c r="O1120" i="5"/>
  <c r="P1120" i="5"/>
  <c r="N1120" i="5"/>
  <c r="O1072" i="5"/>
  <c r="P1072" i="5"/>
  <c r="N1072" i="5"/>
  <c r="O1032" i="5"/>
  <c r="P1032" i="5"/>
  <c r="N1032" i="5"/>
  <c r="O992" i="5"/>
  <c r="P992" i="5"/>
  <c r="N992" i="5"/>
  <c r="O944" i="5"/>
  <c r="P944" i="5"/>
  <c r="N944" i="5"/>
  <c r="O904" i="5"/>
  <c r="P904" i="5"/>
  <c r="N904" i="5"/>
  <c r="O872" i="5"/>
  <c r="P872" i="5"/>
  <c r="N872" i="5"/>
  <c r="O840" i="5"/>
  <c r="P840" i="5"/>
  <c r="N840" i="5"/>
  <c r="J24" i="5"/>
  <c r="I24" i="5"/>
  <c r="J80" i="5"/>
  <c r="I80" i="5"/>
  <c r="J128" i="5"/>
  <c r="I128" i="5"/>
  <c r="J240" i="5"/>
  <c r="I240" i="5"/>
  <c r="J288" i="5"/>
  <c r="I288" i="5"/>
  <c r="J336" i="5"/>
  <c r="I336" i="5"/>
  <c r="J384" i="5"/>
  <c r="I384" i="5"/>
  <c r="J432" i="5"/>
  <c r="I432" i="5"/>
  <c r="J496" i="5"/>
  <c r="I496" i="5"/>
  <c r="J544" i="5"/>
  <c r="I544" i="5"/>
  <c r="J592" i="5"/>
  <c r="I592" i="5"/>
  <c r="J640" i="5"/>
  <c r="I640" i="5"/>
  <c r="J688" i="5"/>
  <c r="I688" i="5"/>
  <c r="J736" i="5"/>
  <c r="I736" i="5"/>
  <c r="J784" i="5"/>
  <c r="I784" i="5"/>
  <c r="J832" i="5"/>
  <c r="I832" i="5"/>
  <c r="J888" i="5"/>
  <c r="I888" i="5"/>
  <c r="J944" i="5"/>
  <c r="I944" i="5"/>
  <c r="J992" i="5"/>
  <c r="I992" i="5"/>
  <c r="J1040" i="5"/>
  <c r="I1040" i="5"/>
  <c r="J1096" i="5"/>
  <c r="I1096" i="5"/>
  <c r="J1144" i="5"/>
  <c r="I1144" i="5"/>
  <c r="J1200" i="5"/>
  <c r="I1200" i="5"/>
  <c r="J1248" i="5"/>
  <c r="I1248" i="5"/>
  <c r="J1288" i="5"/>
  <c r="I1288" i="5"/>
  <c r="O1327" i="5"/>
  <c r="P1327" i="5"/>
  <c r="N1327" i="5"/>
  <c r="O1279" i="5"/>
  <c r="P1279" i="5"/>
  <c r="N1279" i="5"/>
  <c r="O1231" i="5"/>
  <c r="P1231" i="5"/>
  <c r="N1231" i="5"/>
  <c r="O1183" i="5"/>
  <c r="P1183" i="5"/>
  <c r="N1183" i="5"/>
  <c r="O1135" i="5"/>
  <c r="P1135" i="5"/>
  <c r="N1135" i="5"/>
  <c r="O1095" i="5"/>
  <c r="P1095" i="5"/>
  <c r="N1095" i="5"/>
  <c r="O1047" i="5"/>
  <c r="P1047" i="5"/>
  <c r="N1047" i="5"/>
  <c r="O999" i="5"/>
  <c r="P999" i="5"/>
  <c r="N999" i="5"/>
  <c r="O951" i="5"/>
  <c r="P951" i="5"/>
  <c r="N951" i="5"/>
  <c r="P895" i="5"/>
  <c r="O895" i="5"/>
  <c r="N895" i="5"/>
  <c r="O847" i="5"/>
  <c r="P847" i="5"/>
  <c r="N847" i="5"/>
  <c r="O799" i="5"/>
  <c r="P799" i="5"/>
  <c r="N799" i="5"/>
  <c r="O751" i="5"/>
  <c r="P751" i="5"/>
  <c r="N751" i="5"/>
  <c r="O703" i="5"/>
  <c r="P703" i="5"/>
  <c r="N703" i="5"/>
  <c r="O655" i="5"/>
  <c r="P655" i="5"/>
  <c r="N655" i="5"/>
  <c r="O607" i="5"/>
  <c r="P607" i="5"/>
  <c r="N607" i="5"/>
  <c r="O543" i="5"/>
  <c r="P543" i="5"/>
  <c r="N543" i="5"/>
  <c r="O495" i="5"/>
  <c r="P495" i="5"/>
  <c r="N495" i="5"/>
  <c r="O447" i="5"/>
  <c r="P447" i="5"/>
  <c r="N447" i="5"/>
  <c r="O399" i="5"/>
  <c r="P399" i="5"/>
  <c r="N399" i="5"/>
  <c r="O351" i="5"/>
  <c r="P351" i="5"/>
  <c r="N351" i="5"/>
  <c r="O303" i="5"/>
  <c r="P303" i="5"/>
  <c r="N303" i="5"/>
  <c r="O255" i="5"/>
  <c r="P255" i="5"/>
  <c r="N255" i="5"/>
  <c r="O207" i="5"/>
  <c r="P207" i="5"/>
  <c r="N207" i="5"/>
  <c r="O167" i="5"/>
  <c r="P167" i="5"/>
  <c r="N167" i="5"/>
  <c r="O135" i="5"/>
  <c r="P135" i="5"/>
  <c r="N135" i="5"/>
  <c r="O111" i="5"/>
  <c r="P111" i="5"/>
  <c r="N111" i="5"/>
  <c r="O55" i="5"/>
  <c r="P55" i="5"/>
  <c r="N55" i="5"/>
  <c r="O23" i="5"/>
  <c r="P23" i="5"/>
  <c r="N23" i="5"/>
  <c r="J9" i="5"/>
  <c r="I9" i="5"/>
  <c r="J17" i="5"/>
  <c r="I17" i="5"/>
  <c r="J25" i="5"/>
  <c r="I25" i="5"/>
  <c r="J33" i="5"/>
  <c r="I33" i="5"/>
  <c r="J41" i="5"/>
  <c r="I41" i="5"/>
  <c r="J49" i="5"/>
  <c r="I49" i="5"/>
  <c r="J57" i="5"/>
  <c r="I57" i="5"/>
  <c r="J65" i="5"/>
  <c r="I65" i="5"/>
  <c r="J73" i="5"/>
  <c r="I73" i="5"/>
  <c r="J81" i="5"/>
  <c r="I81" i="5"/>
  <c r="J89" i="5"/>
  <c r="I89" i="5"/>
  <c r="J97" i="5"/>
  <c r="I97" i="5"/>
  <c r="J105" i="5"/>
  <c r="I105" i="5"/>
  <c r="J113" i="5"/>
  <c r="I113" i="5"/>
  <c r="J121" i="5"/>
  <c r="I121" i="5"/>
  <c r="J129" i="5"/>
  <c r="I129" i="5"/>
  <c r="J137" i="5"/>
  <c r="I137" i="5"/>
  <c r="J145" i="5"/>
  <c r="I145" i="5"/>
  <c r="J153" i="5"/>
  <c r="I153" i="5"/>
  <c r="J161" i="5"/>
  <c r="I161" i="5"/>
  <c r="J169" i="5"/>
  <c r="I169" i="5"/>
  <c r="J177" i="5"/>
  <c r="I177" i="5"/>
  <c r="J185" i="5"/>
  <c r="I185" i="5"/>
  <c r="J193" i="5"/>
  <c r="I193" i="5"/>
  <c r="J201" i="5"/>
  <c r="I201" i="5"/>
  <c r="J209" i="5"/>
  <c r="I209" i="5"/>
  <c r="J217" i="5"/>
  <c r="I217" i="5"/>
  <c r="J225" i="5"/>
  <c r="I225" i="5"/>
  <c r="J233" i="5"/>
  <c r="I233" i="5"/>
  <c r="J241" i="5"/>
  <c r="I241" i="5"/>
  <c r="J249" i="5"/>
  <c r="I249" i="5"/>
  <c r="J257" i="5"/>
  <c r="I257" i="5"/>
  <c r="J265" i="5"/>
  <c r="I265" i="5"/>
  <c r="J273" i="5"/>
  <c r="I273" i="5"/>
  <c r="J281" i="5"/>
  <c r="I281" i="5"/>
  <c r="J289" i="5"/>
  <c r="I289" i="5"/>
  <c r="J297" i="5"/>
  <c r="I297" i="5"/>
  <c r="J305" i="5"/>
  <c r="I305" i="5"/>
  <c r="J313" i="5"/>
  <c r="I313" i="5"/>
  <c r="J321" i="5"/>
  <c r="I321" i="5"/>
  <c r="J329" i="5"/>
  <c r="I329" i="5"/>
  <c r="J337" i="5"/>
  <c r="I337" i="5"/>
  <c r="J345" i="5"/>
  <c r="I345" i="5"/>
  <c r="J353" i="5"/>
  <c r="I353" i="5"/>
  <c r="J361" i="5"/>
  <c r="I361" i="5"/>
  <c r="J369" i="5"/>
  <c r="I369" i="5"/>
  <c r="J377" i="5"/>
  <c r="I377" i="5"/>
  <c r="J385" i="5"/>
  <c r="I385" i="5"/>
  <c r="J393" i="5"/>
  <c r="I393" i="5"/>
  <c r="J401" i="5"/>
  <c r="I401" i="5"/>
  <c r="J409" i="5"/>
  <c r="I409" i="5"/>
  <c r="J417" i="5"/>
  <c r="I417" i="5"/>
  <c r="J425" i="5"/>
  <c r="I425" i="5"/>
  <c r="J433" i="5"/>
  <c r="I433" i="5"/>
  <c r="J441" i="5"/>
  <c r="I441" i="5"/>
  <c r="J449" i="5"/>
  <c r="I449" i="5"/>
  <c r="J457" i="5"/>
  <c r="I457" i="5"/>
  <c r="J465" i="5"/>
  <c r="I465" i="5"/>
  <c r="J473" i="5"/>
  <c r="I473" i="5"/>
  <c r="J481" i="5"/>
  <c r="I481" i="5"/>
  <c r="J489" i="5"/>
  <c r="I489" i="5"/>
  <c r="J497" i="5"/>
  <c r="I497" i="5"/>
  <c r="J505" i="5"/>
  <c r="I505" i="5"/>
  <c r="J513" i="5"/>
  <c r="I513" i="5"/>
  <c r="J521" i="5"/>
  <c r="I521" i="5"/>
  <c r="J529" i="5"/>
  <c r="I529" i="5"/>
  <c r="J537" i="5"/>
  <c r="I537" i="5"/>
  <c r="J545" i="5"/>
  <c r="I545" i="5"/>
  <c r="J553" i="5"/>
  <c r="I553" i="5"/>
  <c r="J561" i="5"/>
  <c r="I561" i="5"/>
  <c r="J569" i="5"/>
  <c r="I569" i="5"/>
  <c r="J577" i="5"/>
  <c r="I577" i="5"/>
  <c r="J585" i="5"/>
  <c r="I585" i="5"/>
  <c r="J593" i="5"/>
  <c r="I593" i="5"/>
  <c r="J601" i="5"/>
  <c r="I601" i="5"/>
  <c r="J609" i="5"/>
  <c r="I609" i="5"/>
  <c r="J617" i="5"/>
  <c r="I617" i="5"/>
  <c r="J625" i="5"/>
  <c r="I625" i="5"/>
  <c r="J633" i="5"/>
  <c r="I633" i="5"/>
  <c r="J641" i="5"/>
  <c r="I641" i="5"/>
  <c r="J649" i="5"/>
  <c r="I649" i="5"/>
  <c r="J657" i="5"/>
  <c r="I657" i="5"/>
  <c r="J665" i="5"/>
  <c r="I665" i="5"/>
  <c r="J673" i="5"/>
  <c r="I673" i="5"/>
  <c r="J681" i="5"/>
  <c r="I681" i="5"/>
  <c r="J689" i="5"/>
  <c r="I689" i="5"/>
  <c r="J697" i="5"/>
  <c r="I697" i="5"/>
  <c r="J705" i="5"/>
  <c r="I705" i="5"/>
  <c r="J713" i="5"/>
  <c r="I713" i="5"/>
  <c r="J721" i="5"/>
  <c r="I721" i="5"/>
  <c r="J729" i="5"/>
  <c r="I729" i="5"/>
  <c r="J737" i="5"/>
  <c r="I737" i="5"/>
  <c r="J745" i="5"/>
  <c r="I745" i="5"/>
  <c r="J753" i="5"/>
  <c r="I753" i="5"/>
  <c r="J761" i="5"/>
  <c r="I761" i="5"/>
  <c r="J769" i="5"/>
  <c r="I769" i="5"/>
  <c r="J777" i="5"/>
  <c r="I777" i="5"/>
  <c r="J785" i="5"/>
  <c r="I785" i="5"/>
  <c r="J793" i="5"/>
  <c r="I793" i="5"/>
  <c r="J801" i="5"/>
  <c r="I801" i="5"/>
  <c r="J809" i="5"/>
  <c r="I809" i="5"/>
  <c r="J817" i="5"/>
  <c r="I817" i="5"/>
  <c r="J825" i="5"/>
  <c r="I825" i="5"/>
  <c r="J833" i="5"/>
  <c r="I833" i="5"/>
  <c r="J841" i="5"/>
  <c r="I841" i="5"/>
  <c r="J849" i="5"/>
  <c r="I849" i="5"/>
  <c r="J857" i="5"/>
  <c r="I857" i="5"/>
  <c r="J865" i="5"/>
  <c r="I865" i="5"/>
  <c r="J873" i="5"/>
  <c r="I873" i="5"/>
  <c r="J881" i="5"/>
  <c r="I881" i="5"/>
  <c r="J889" i="5"/>
  <c r="I889" i="5"/>
  <c r="J897" i="5"/>
  <c r="I897" i="5"/>
  <c r="J905" i="5"/>
  <c r="I905" i="5"/>
  <c r="J913" i="5"/>
  <c r="I913" i="5"/>
  <c r="J921" i="5"/>
  <c r="I921" i="5"/>
  <c r="J929" i="5"/>
  <c r="I929" i="5"/>
  <c r="J937" i="5"/>
  <c r="I937" i="5"/>
  <c r="J945" i="5"/>
  <c r="I945" i="5"/>
  <c r="J953" i="5"/>
  <c r="I953" i="5"/>
  <c r="J961" i="5"/>
  <c r="I961" i="5"/>
  <c r="J969" i="5"/>
  <c r="I969" i="5"/>
  <c r="J977" i="5"/>
  <c r="I977" i="5"/>
  <c r="J985" i="5"/>
  <c r="I985" i="5"/>
  <c r="J993" i="5"/>
  <c r="I993" i="5"/>
  <c r="J1001" i="5"/>
  <c r="I1001" i="5"/>
  <c r="J1009" i="5"/>
  <c r="I1009" i="5"/>
  <c r="J1017" i="5"/>
  <c r="I1017" i="5"/>
  <c r="J1025" i="5"/>
  <c r="I1025" i="5"/>
  <c r="J1033" i="5"/>
  <c r="I1033" i="5"/>
  <c r="J1041" i="5"/>
  <c r="I1041" i="5"/>
  <c r="J1049" i="5"/>
  <c r="I1049" i="5"/>
  <c r="J1057" i="5"/>
  <c r="I1057" i="5"/>
  <c r="J1065" i="5"/>
  <c r="I1065" i="5"/>
  <c r="J1073" i="5"/>
  <c r="I1073" i="5"/>
  <c r="J1081" i="5"/>
  <c r="I1081" i="5"/>
  <c r="J1089" i="5"/>
  <c r="I1089" i="5"/>
  <c r="J1097" i="5"/>
  <c r="I1097" i="5"/>
  <c r="J1105" i="5"/>
  <c r="I1105" i="5"/>
  <c r="J1113" i="5"/>
  <c r="I1113" i="5"/>
  <c r="J1121" i="5"/>
  <c r="I1121" i="5"/>
  <c r="J1129" i="5"/>
  <c r="I1129" i="5"/>
  <c r="J1137" i="5"/>
  <c r="I1137" i="5"/>
  <c r="J1145" i="5"/>
  <c r="I1145" i="5"/>
  <c r="J1153" i="5"/>
  <c r="I1153" i="5"/>
  <c r="J1161" i="5"/>
  <c r="I1161" i="5"/>
  <c r="J1169" i="5"/>
  <c r="I1169" i="5"/>
  <c r="J1177" i="5"/>
  <c r="I1177" i="5"/>
  <c r="J1185" i="5"/>
  <c r="I1185" i="5"/>
  <c r="J1193" i="5"/>
  <c r="I1193" i="5"/>
  <c r="J1201" i="5"/>
  <c r="I1201" i="5"/>
  <c r="J1209" i="5"/>
  <c r="I1209" i="5"/>
  <c r="J1217" i="5"/>
  <c r="I1217" i="5"/>
  <c r="J1225" i="5"/>
  <c r="I1225" i="5"/>
  <c r="J1233" i="5"/>
  <c r="I1233" i="5"/>
  <c r="J1241" i="5"/>
  <c r="I1241" i="5"/>
  <c r="J1249" i="5"/>
  <c r="I1249" i="5"/>
  <c r="J1257" i="5"/>
  <c r="I1257" i="5"/>
  <c r="J1265" i="5"/>
  <c r="I1265" i="5"/>
  <c r="J1273" i="5"/>
  <c r="I1273" i="5"/>
  <c r="H1281" i="5"/>
  <c r="J1281" i="5"/>
  <c r="I1281" i="5"/>
  <c r="H1289" i="5"/>
  <c r="J1289" i="5"/>
  <c r="I1289" i="5"/>
  <c r="J1297" i="5"/>
  <c r="I1297" i="5"/>
  <c r="J1305" i="5"/>
  <c r="I1305" i="5"/>
  <c r="J1313" i="5"/>
  <c r="I1313" i="5"/>
  <c r="J1321" i="5"/>
  <c r="I1321" i="5"/>
  <c r="J1329" i="5"/>
  <c r="I1329" i="5"/>
  <c r="O1326" i="5"/>
  <c r="N1326" i="5"/>
  <c r="O1318" i="5"/>
  <c r="N1318" i="5"/>
  <c r="O1310" i="5"/>
  <c r="P1310" i="5"/>
  <c r="N1310" i="5"/>
  <c r="O1302" i="5"/>
  <c r="N1302" i="5"/>
  <c r="P1302" i="5"/>
  <c r="O1294" i="5"/>
  <c r="N1294" i="5"/>
  <c r="P1294" i="5"/>
  <c r="O1286" i="5"/>
  <c r="P1286" i="5"/>
  <c r="N1286" i="5"/>
  <c r="O1278" i="5"/>
  <c r="N1278" i="5"/>
  <c r="P1278" i="5"/>
  <c r="O1270" i="5"/>
  <c r="N1270" i="5"/>
  <c r="P1270" i="5"/>
  <c r="O1262" i="5"/>
  <c r="N1262" i="5"/>
  <c r="O1254" i="5"/>
  <c r="N1254" i="5"/>
  <c r="O1246" i="5"/>
  <c r="P1246" i="5"/>
  <c r="N1246" i="5"/>
  <c r="O1238" i="5"/>
  <c r="N1238" i="5"/>
  <c r="P1238" i="5"/>
  <c r="O1230" i="5"/>
  <c r="N1230" i="5"/>
  <c r="P1230" i="5"/>
  <c r="O1222" i="5"/>
  <c r="P1222" i="5"/>
  <c r="N1222" i="5"/>
  <c r="O1214" i="5"/>
  <c r="N1214" i="5"/>
  <c r="P1214" i="5"/>
  <c r="O1206" i="5"/>
  <c r="N1206" i="5"/>
  <c r="P1206" i="5"/>
  <c r="O1198" i="5"/>
  <c r="N1198" i="5"/>
  <c r="O1190" i="5"/>
  <c r="N1190" i="5"/>
  <c r="O1182" i="5"/>
  <c r="P1182" i="5"/>
  <c r="N1182" i="5"/>
  <c r="O1174" i="5"/>
  <c r="N1174" i="5"/>
  <c r="P1174" i="5"/>
  <c r="O1166" i="5"/>
  <c r="N1166" i="5"/>
  <c r="P1166" i="5"/>
  <c r="O1158" i="5"/>
  <c r="P1158" i="5"/>
  <c r="N1158" i="5"/>
  <c r="O1150" i="5"/>
  <c r="N1150" i="5"/>
  <c r="P1150" i="5"/>
  <c r="O1142" i="5"/>
  <c r="N1142" i="5"/>
  <c r="P1142" i="5"/>
  <c r="O1134" i="5"/>
  <c r="N1134" i="5"/>
  <c r="O1126" i="5"/>
  <c r="P1126" i="5"/>
  <c r="N1126" i="5"/>
  <c r="O1118" i="5"/>
  <c r="N1118" i="5"/>
  <c r="P1118" i="5"/>
  <c r="O1110" i="5"/>
  <c r="P1110" i="5"/>
  <c r="N1110" i="5"/>
  <c r="O1102" i="5"/>
  <c r="N1102" i="5"/>
  <c r="P1102" i="5"/>
  <c r="O1094" i="5"/>
  <c r="P1094" i="5"/>
  <c r="N1094" i="5"/>
  <c r="O1086" i="5"/>
  <c r="P1086" i="5"/>
  <c r="N1086" i="5"/>
  <c r="O1078" i="5"/>
  <c r="P1078" i="5"/>
  <c r="N1078" i="5"/>
  <c r="O1070" i="5"/>
  <c r="N1070" i="5"/>
  <c r="P1070" i="5"/>
  <c r="O1062" i="5"/>
  <c r="P1062" i="5"/>
  <c r="N1062" i="5"/>
  <c r="O1054" i="5"/>
  <c r="P1054" i="5"/>
  <c r="N1054" i="5"/>
  <c r="O1046" i="5"/>
  <c r="P1046" i="5"/>
  <c r="N1046" i="5"/>
  <c r="O1038" i="5"/>
  <c r="P1038" i="5"/>
  <c r="N1038" i="5"/>
  <c r="O1030" i="5"/>
  <c r="P1030" i="5"/>
  <c r="N1030" i="5"/>
  <c r="O1022" i="5"/>
  <c r="N1022" i="5"/>
  <c r="O1014" i="5"/>
  <c r="P1014" i="5"/>
  <c r="N1014" i="5"/>
  <c r="O1006" i="5"/>
  <c r="N1006" i="5"/>
  <c r="P1006" i="5"/>
  <c r="O998" i="5"/>
  <c r="P998" i="5"/>
  <c r="N998" i="5"/>
  <c r="O990" i="5"/>
  <c r="P990" i="5"/>
  <c r="N990" i="5"/>
  <c r="O982" i="5"/>
  <c r="P982" i="5"/>
  <c r="N982" i="5"/>
  <c r="O974" i="5"/>
  <c r="N974" i="5"/>
  <c r="O966" i="5"/>
  <c r="P966" i="5"/>
  <c r="N966" i="5"/>
  <c r="O958" i="5"/>
  <c r="N958" i="5"/>
  <c r="P958" i="5"/>
  <c r="O950" i="5"/>
  <c r="P950" i="5"/>
  <c r="N950" i="5"/>
  <c r="O942" i="5"/>
  <c r="N942" i="5"/>
  <c r="O934" i="5"/>
  <c r="P934" i="5"/>
  <c r="N934" i="5"/>
  <c r="O926" i="5"/>
  <c r="N926" i="5"/>
  <c r="P926" i="5"/>
  <c r="O918" i="5"/>
  <c r="P918" i="5"/>
  <c r="N918" i="5"/>
  <c r="O910" i="5"/>
  <c r="P910" i="5"/>
  <c r="N910" i="5"/>
  <c r="O902" i="5"/>
  <c r="P902" i="5"/>
  <c r="N902" i="5"/>
  <c r="O894" i="5"/>
  <c r="P894" i="5"/>
  <c r="N894" i="5"/>
  <c r="O886" i="5"/>
  <c r="P886" i="5"/>
  <c r="N886" i="5"/>
  <c r="O878" i="5"/>
  <c r="N878" i="5"/>
  <c r="P878" i="5"/>
  <c r="O870" i="5"/>
  <c r="P870" i="5"/>
  <c r="N870" i="5"/>
  <c r="O862" i="5"/>
  <c r="N862" i="5"/>
  <c r="P862" i="5"/>
  <c r="O854" i="5"/>
  <c r="P854" i="5"/>
  <c r="N854" i="5"/>
  <c r="O846" i="5"/>
  <c r="N846" i="5"/>
  <c r="P846" i="5"/>
  <c r="O838" i="5"/>
  <c r="P838" i="5"/>
  <c r="N838" i="5"/>
  <c r="N1124" i="5"/>
  <c r="P1326" i="5"/>
  <c r="I1132" i="5"/>
  <c r="J47" i="5"/>
  <c r="I47" i="5"/>
  <c r="J95" i="5"/>
  <c r="I95" i="5"/>
  <c r="J135" i="5"/>
  <c r="I135" i="5"/>
  <c r="J175" i="5"/>
  <c r="I175" i="5"/>
  <c r="J223" i="5"/>
  <c r="I223" i="5"/>
  <c r="J271" i="5"/>
  <c r="I271" i="5"/>
  <c r="J319" i="5"/>
  <c r="I319" i="5"/>
  <c r="J367" i="5"/>
  <c r="I367" i="5"/>
  <c r="J399" i="5"/>
  <c r="I399" i="5"/>
  <c r="J439" i="5"/>
  <c r="I439" i="5"/>
  <c r="J471" i="5"/>
  <c r="I471" i="5"/>
  <c r="J519" i="5"/>
  <c r="I519" i="5"/>
  <c r="J567" i="5"/>
  <c r="I567" i="5"/>
  <c r="J615" i="5"/>
  <c r="I615" i="5"/>
  <c r="J663" i="5"/>
  <c r="I663" i="5"/>
  <c r="J711" i="5"/>
  <c r="I711" i="5"/>
  <c r="J743" i="5"/>
  <c r="I743" i="5"/>
  <c r="J775" i="5"/>
  <c r="I775" i="5"/>
  <c r="J823" i="5"/>
  <c r="I823" i="5"/>
  <c r="J871" i="5"/>
  <c r="I871" i="5"/>
  <c r="J919" i="5"/>
  <c r="I919" i="5"/>
  <c r="J967" i="5"/>
  <c r="I967" i="5"/>
  <c r="J1015" i="5"/>
  <c r="I1015" i="5"/>
  <c r="J1063" i="5"/>
  <c r="I1063" i="5"/>
  <c r="J1103" i="5"/>
  <c r="I1103" i="5"/>
  <c r="J1143" i="5"/>
  <c r="I1143" i="5"/>
  <c r="J1183" i="5"/>
  <c r="I1183" i="5"/>
  <c r="J1215" i="5"/>
  <c r="I1215" i="5"/>
  <c r="J1263" i="5"/>
  <c r="I1263" i="5"/>
  <c r="J1311" i="5"/>
  <c r="I1311" i="5"/>
  <c r="O1304" i="5"/>
  <c r="P1304" i="5"/>
  <c r="N1304" i="5"/>
  <c r="O1256" i="5"/>
  <c r="P1256" i="5"/>
  <c r="N1256" i="5"/>
  <c r="O1216" i="5"/>
  <c r="P1216" i="5"/>
  <c r="N1216" i="5"/>
  <c r="O1184" i="5"/>
  <c r="P1184" i="5"/>
  <c r="N1184" i="5"/>
  <c r="O1136" i="5"/>
  <c r="P1136" i="5"/>
  <c r="N1136" i="5"/>
  <c r="O1096" i="5"/>
  <c r="P1096" i="5"/>
  <c r="N1096" i="5"/>
  <c r="O1080" i="5"/>
  <c r="P1080" i="5"/>
  <c r="N1080" i="5"/>
  <c r="O1040" i="5"/>
  <c r="P1040" i="5"/>
  <c r="N1040" i="5"/>
  <c r="O1000" i="5"/>
  <c r="P1000" i="5"/>
  <c r="N1000" i="5"/>
  <c r="O960" i="5"/>
  <c r="P960" i="5"/>
  <c r="N960" i="5"/>
  <c r="O920" i="5"/>
  <c r="P920" i="5"/>
  <c r="N920" i="5"/>
  <c r="O848" i="5"/>
  <c r="P848" i="5"/>
  <c r="N848" i="5"/>
  <c r="J8" i="5"/>
  <c r="I8" i="5"/>
  <c r="J56" i="5"/>
  <c r="I56" i="5"/>
  <c r="J104" i="5"/>
  <c r="I104" i="5"/>
  <c r="J152" i="5"/>
  <c r="I152" i="5"/>
  <c r="J184" i="5"/>
  <c r="I184" i="5"/>
  <c r="J224" i="5"/>
  <c r="I224" i="5"/>
  <c r="J272" i="5"/>
  <c r="I272" i="5"/>
  <c r="J312" i="5"/>
  <c r="I312" i="5"/>
  <c r="J360" i="5"/>
  <c r="I360" i="5"/>
  <c r="J408" i="5"/>
  <c r="I408" i="5"/>
  <c r="J440" i="5"/>
  <c r="I440" i="5"/>
  <c r="J488" i="5"/>
  <c r="I488" i="5"/>
  <c r="J536" i="5"/>
  <c r="I536" i="5"/>
  <c r="J568" i="5"/>
  <c r="I568" i="5"/>
  <c r="J624" i="5"/>
  <c r="I624" i="5"/>
  <c r="J664" i="5"/>
  <c r="I664" i="5"/>
  <c r="J712" i="5"/>
  <c r="I712" i="5"/>
  <c r="J760" i="5"/>
  <c r="I760" i="5"/>
  <c r="J808" i="5"/>
  <c r="I808" i="5"/>
  <c r="J856" i="5"/>
  <c r="I856" i="5"/>
  <c r="J896" i="5"/>
  <c r="I896" i="5"/>
  <c r="J936" i="5"/>
  <c r="I936" i="5"/>
  <c r="J984" i="5"/>
  <c r="I984" i="5"/>
  <c r="J1024" i="5"/>
  <c r="I1024" i="5"/>
  <c r="J1072" i="5"/>
  <c r="I1072" i="5"/>
  <c r="J1120" i="5"/>
  <c r="I1120" i="5"/>
  <c r="J1176" i="5"/>
  <c r="I1176" i="5"/>
  <c r="J1216" i="5"/>
  <c r="I1216" i="5"/>
  <c r="J1328" i="5"/>
  <c r="I1328" i="5"/>
  <c r="P1295" i="5"/>
  <c r="O1295" i="5"/>
  <c r="N1295" i="5"/>
  <c r="O1247" i="5"/>
  <c r="P1247" i="5"/>
  <c r="N1247" i="5"/>
  <c r="O1199" i="5"/>
  <c r="P1199" i="5"/>
  <c r="N1199" i="5"/>
  <c r="O1159" i="5"/>
  <c r="P1159" i="5"/>
  <c r="N1159" i="5"/>
  <c r="O1111" i="5"/>
  <c r="P1111" i="5"/>
  <c r="N1111" i="5"/>
  <c r="O1063" i="5"/>
  <c r="P1063" i="5"/>
  <c r="N1063" i="5"/>
  <c r="O1023" i="5"/>
  <c r="P1023" i="5"/>
  <c r="N1023" i="5"/>
  <c r="O983" i="5"/>
  <c r="P983" i="5"/>
  <c r="N983" i="5"/>
  <c r="O935" i="5"/>
  <c r="P935" i="5"/>
  <c r="N935" i="5"/>
  <c r="O903" i="5"/>
  <c r="P903" i="5"/>
  <c r="N903" i="5"/>
  <c r="O855" i="5"/>
  <c r="P855" i="5"/>
  <c r="N855" i="5"/>
  <c r="O807" i="5"/>
  <c r="P807" i="5"/>
  <c r="N807" i="5"/>
  <c r="O759" i="5"/>
  <c r="P759" i="5"/>
  <c r="N759" i="5"/>
  <c r="O711" i="5"/>
  <c r="P711" i="5"/>
  <c r="N711" i="5"/>
  <c r="O671" i="5"/>
  <c r="P671" i="5"/>
  <c r="N671" i="5"/>
  <c r="O623" i="5"/>
  <c r="P623" i="5"/>
  <c r="N623" i="5"/>
  <c r="O591" i="5"/>
  <c r="P591" i="5"/>
  <c r="N591" i="5"/>
  <c r="O559" i="5"/>
  <c r="P559" i="5"/>
  <c r="N559" i="5"/>
  <c r="O511" i="5"/>
  <c r="P511" i="5"/>
  <c r="N511" i="5"/>
  <c r="O463" i="5"/>
  <c r="P463" i="5"/>
  <c r="N463" i="5"/>
  <c r="O423" i="5"/>
  <c r="P423" i="5"/>
  <c r="N423" i="5"/>
  <c r="O375" i="5"/>
  <c r="P375" i="5"/>
  <c r="N375" i="5"/>
  <c r="O327" i="5"/>
  <c r="P327" i="5"/>
  <c r="N327" i="5"/>
  <c r="O287" i="5"/>
  <c r="P287" i="5"/>
  <c r="N287" i="5"/>
  <c r="O247" i="5"/>
  <c r="P247" i="5"/>
  <c r="N247" i="5"/>
  <c r="O199" i="5"/>
  <c r="P199" i="5"/>
  <c r="N199" i="5"/>
  <c r="O159" i="5"/>
  <c r="P159" i="5"/>
  <c r="N159" i="5"/>
  <c r="O119" i="5"/>
  <c r="P119" i="5"/>
  <c r="N119" i="5"/>
  <c r="O79" i="5"/>
  <c r="P79" i="5"/>
  <c r="N79" i="5"/>
  <c r="O31" i="5"/>
  <c r="P31" i="5"/>
  <c r="N31" i="5"/>
  <c r="J2" i="5"/>
  <c r="I2" i="5"/>
  <c r="J10" i="5"/>
  <c r="I10" i="5"/>
  <c r="J18" i="5"/>
  <c r="I18" i="5"/>
  <c r="J26" i="5"/>
  <c r="I26" i="5"/>
  <c r="J34" i="5"/>
  <c r="I34" i="5"/>
  <c r="J42" i="5"/>
  <c r="I42" i="5"/>
  <c r="J50" i="5"/>
  <c r="I50" i="5"/>
  <c r="J58" i="5"/>
  <c r="I58" i="5"/>
  <c r="J66" i="5"/>
  <c r="I66" i="5"/>
  <c r="J74" i="5"/>
  <c r="I74" i="5"/>
  <c r="J82" i="5"/>
  <c r="I82" i="5"/>
  <c r="J90" i="5"/>
  <c r="I90" i="5"/>
  <c r="J98" i="5"/>
  <c r="I98" i="5"/>
  <c r="J106" i="5"/>
  <c r="I106" i="5"/>
  <c r="J114" i="5"/>
  <c r="I114" i="5"/>
  <c r="J122" i="5"/>
  <c r="I122" i="5"/>
  <c r="J130" i="5"/>
  <c r="I130" i="5"/>
  <c r="J138" i="5"/>
  <c r="I138" i="5"/>
  <c r="J146" i="5"/>
  <c r="I146" i="5"/>
  <c r="J154" i="5"/>
  <c r="I154" i="5"/>
  <c r="J162" i="5"/>
  <c r="I162" i="5"/>
  <c r="J170" i="5"/>
  <c r="I170" i="5"/>
  <c r="J178" i="5"/>
  <c r="I178" i="5"/>
  <c r="J186" i="5"/>
  <c r="I186" i="5"/>
  <c r="J194" i="5"/>
  <c r="I194" i="5"/>
  <c r="J202" i="5"/>
  <c r="I202" i="5"/>
  <c r="J210" i="5"/>
  <c r="I210" i="5"/>
  <c r="J218" i="5"/>
  <c r="I218" i="5"/>
  <c r="J226" i="5"/>
  <c r="I226" i="5"/>
  <c r="J234" i="5"/>
  <c r="I234" i="5"/>
  <c r="J242" i="5"/>
  <c r="I242" i="5"/>
  <c r="J250" i="5"/>
  <c r="I250" i="5"/>
  <c r="J258" i="5"/>
  <c r="I258" i="5"/>
  <c r="J266" i="5"/>
  <c r="I266" i="5"/>
  <c r="J274" i="5"/>
  <c r="I274" i="5"/>
  <c r="J282" i="5"/>
  <c r="I282" i="5"/>
  <c r="J290" i="5"/>
  <c r="I290" i="5"/>
  <c r="J298" i="5"/>
  <c r="I298" i="5"/>
  <c r="J306" i="5"/>
  <c r="I306" i="5"/>
  <c r="J314" i="5"/>
  <c r="I314" i="5"/>
  <c r="J322" i="5"/>
  <c r="I322" i="5"/>
  <c r="J330" i="5"/>
  <c r="I330" i="5"/>
  <c r="J338" i="5"/>
  <c r="I338" i="5"/>
  <c r="J346" i="5"/>
  <c r="I346" i="5"/>
  <c r="J354" i="5"/>
  <c r="I354" i="5"/>
  <c r="J362" i="5"/>
  <c r="I362" i="5"/>
  <c r="J370" i="5"/>
  <c r="I370" i="5"/>
  <c r="J378" i="5"/>
  <c r="I378" i="5"/>
  <c r="J386" i="5"/>
  <c r="I386" i="5"/>
  <c r="J394" i="5"/>
  <c r="I394" i="5"/>
  <c r="J402" i="5"/>
  <c r="I402" i="5"/>
  <c r="J410" i="5"/>
  <c r="I410" i="5"/>
  <c r="J418" i="5"/>
  <c r="I418" i="5"/>
  <c r="J426" i="5"/>
  <c r="I426" i="5"/>
  <c r="J434" i="5"/>
  <c r="I434" i="5"/>
  <c r="J442" i="5"/>
  <c r="I442" i="5"/>
  <c r="J450" i="5"/>
  <c r="I450" i="5"/>
  <c r="J458" i="5"/>
  <c r="I458" i="5"/>
  <c r="J466" i="5"/>
  <c r="I466" i="5"/>
  <c r="J474" i="5"/>
  <c r="I474" i="5"/>
  <c r="J482" i="5"/>
  <c r="I482" i="5"/>
  <c r="J490" i="5"/>
  <c r="I490" i="5"/>
  <c r="J498" i="5"/>
  <c r="I498" i="5"/>
  <c r="J506" i="5"/>
  <c r="I506" i="5"/>
  <c r="J514" i="5"/>
  <c r="I514" i="5"/>
  <c r="J522" i="5"/>
  <c r="I522" i="5"/>
  <c r="J530" i="5"/>
  <c r="I530" i="5"/>
  <c r="J538" i="5"/>
  <c r="I538" i="5"/>
  <c r="J546" i="5"/>
  <c r="I546" i="5"/>
  <c r="J554" i="5"/>
  <c r="I554" i="5"/>
  <c r="J562" i="5"/>
  <c r="I562" i="5"/>
  <c r="J570" i="5"/>
  <c r="I570" i="5"/>
  <c r="J578" i="5"/>
  <c r="I578" i="5"/>
  <c r="J586" i="5"/>
  <c r="I586" i="5"/>
  <c r="J594" i="5"/>
  <c r="I594" i="5"/>
  <c r="J602" i="5"/>
  <c r="I602" i="5"/>
  <c r="J610" i="5"/>
  <c r="I610" i="5"/>
  <c r="J618" i="5"/>
  <c r="I618" i="5"/>
  <c r="J626" i="5"/>
  <c r="I626" i="5"/>
  <c r="J634" i="5"/>
  <c r="I634" i="5"/>
  <c r="J642" i="5"/>
  <c r="I642" i="5"/>
  <c r="J650" i="5"/>
  <c r="I650" i="5"/>
  <c r="J658" i="5"/>
  <c r="I658" i="5"/>
  <c r="J666" i="5"/>
  <c r="I666" i="5"/>
  <c r="J674" i="5"/>
  <c r="I674" i="5"/>
  <c r="J682" i="5"/>
  <c r="I682" i="5"/>
  <c r="J690" i="5"/>
  <c r="I690" i="5"/>
  <c r="J698" i="5"/>
  <c r="I698" i="5"/>
  <c r="J706" i="5"/>
  <c r="I706" i="5"/>
  <c r="J714" i="5"/>
  <c r="I714" i="5"/>
  <c r="J722" i="5"/>
  <c r="I722" i="5"/>
  <c r="J730" i="5"/>
  <c r="I730" i="5"/>
  <c r="J738" i="5"/>
  <c r="I738" i="5"/>
  <c r="J746" i="5"/>
  <c r="I746" i="5"/>
  <c r="J754" i="5"/>
  <c r="I754" i="5"/>
  <c r="J762" i="5"/>
  <c r="I762" i="5"/>
  <c r="J770" i="5"/>
  <c r="I770" i="5"/>
  <c r="J778" i="5"/>
  <c r="I778" i="5"/>
  <c r="J786" i="5"/>
  <c r="I786" i="5"/>
  <c r="J794" i="5"/>
  <c r="I794" i="5"/>
  <c r="J802" i="5"/>
  <c r="I802" i="5"/>
  <c r="J810" i="5"/>
  <c r="I810" i="5"/>
  <c r="J818" i="5"/>
  <c r="I818" i="5"/>
  <c r="J826" i="5"/>
  <c r="I826" i="5"/>
  <c r="J834" i="5"/>
  <c r="I834" i="5"/>
  <c r="J842" i="5"/>
  <c r="I842" i="5"/>
  <c r="J850" i="5"/>
  <c r="I850" i="5"/>
  <c r="J858" i="5"/>
  <c r="I858" i="5"/>
  <c r="J866" i="5"/>
  <c r="I866" i="5"/>
  <c r="J874" i="5"/>
  <c r="I874" i="5"/>
  <c r="J882" i="5"/>
  <c r="I882" i="5"/>
  <c r="J890" i="5"/>
  <c r="I890" i="5"/>
  <c r="J898" i="5"/>
  <c r="I898" i="5"/>
  <c r="J906" i="5"/>
  <c r="I906" i="5"/>
  <c r="J914" i="5"/>
  <c r="I914" i="5"/>
  <c r="J922" i="5"/>
  <c r="I922" i="5"/>
  <c r="J930" i="5"/>
  <c r="I930" i="5"/>
  <c r="J938" i="5"/>
  <c r="I938" i="5"/>
  <c r="J946" i="5"/>
  <c r="I946" i="5"/>
  <c r="J954" i="5"/>
  <c r="I954" i="5"/>
  <c r="J962" i="5"/>
  <c r="I962" i="5"/>
  <c r="J970" i="5"/>
  <c r="I970" i="5"/>
  <c r="J978" i="5"/>
  <c r="I978" i="5"/>
  <c r="J986" i="5"/>
  <c r="I986" i="5"/>
  <c r="J994" i="5"/>
  <c r="I994" i="5"/>
  <c r="J1002" i="5"/>
  <c r="I1002" i="5"/>
  <c r="J1010" i="5"/>
  <c r="I1010" i="5"/>
  <c r="J1018" i="5"/>
  <c r="I1018" i="5"/>
  <c r="J1026" i="5"/>
  <c r="I1026" i="5"/>
  <c r="J1034" i="5"/>
  <c r="I1034" i="5"/>
  <c r="J1042" i="5"/>
  <c r="I1042" i="5"/>
  <c r="J1050" i="5"/>
  <c r="I1050" i="5"/>
  <c r="J1058" i="5"/>
  <c r="I1058" i="5"/>
  <c r="J1066" i="5"/>
  <c r="I1066" i="5"/>
  <c r="J1074" i="5"/>
  <c r="I1074" i="5"/>
  <c r="J1082" i="5"/>
  <c r="I1082" i="5"/>
  <c r="J1090" i="5"/>
  <c r="I1090" i="5"/>
  <c r="J1098" i="5"/>
  <c r="I1098" i="5"/>
  <c r="J1106" i="5"/>
  <c r="I1106" i="5"/>
  <c r="J1114" i="5"/>
  <c r="I1114" i="5"/>
  <c r="J1122" i="5"/>
  <c r="I1122" i="5"/>
  <c r="J1130" i="5"/>
  <c r="I1130" i="5"/>
  <c r="J1138" i="5"/>
  <c r="I1138" i="5"/>
  <c r="J1146" i="5"/>
  <c r="I1146" i="5"/>
  <c r="J1154" i="5"/>
  <c r="I1154" i="5"/>
  <c r="J1162" i="5"/>
  <c r="I1162" i="5"/>
  <c r="J1170" i="5"/>
  <c r="I1170" i="5"/>
  <c r="J1178" i="5"/>
  <c r="I1178" i="5"/>
  <c r="J1186" i="5"/>
  <c r="I1186" i="5"/>
  <c r="J1194" i="5"/>
  <c r="I1194" i="5"/>
  <c r="J1202" i="5"/>
  <c r="I1202" i="5"/>
  <c r="J1210" i="5"/>
  <c r="I1210" i="5"/>
  <c r="J1218" i="5"/>
  <c r="I1218" i="5"/>
  <c r="J1226" i="5"/>
  <c r="I1226" i="5"/>
  <c r="J1234" i="5"/>
  <c r="I1234" i="5"/>
  <c r="J1242" i="5"/>
  <c r="I1242" i="5"/>
  <c r="J1250" i="5"/>
  <c r="I1250" i="5"/>
  <c r="J1258" i="5"/>
  <c r="I1258" i="5"/>
  <c r="J1266" i="5"/>
  <c r="I1266" i="5"/>
  <c r="J1274" i="5"/>
  <c r="I1274" i="5"/>
  <c r="J1282" i="5"/>
  <c r="I1282" i="5"/>
  <c r="J1290" i="5"/>
  <c r="I1290" i="5"/>
  <c r="J1298" i="5"/>
  <c r="I1298" i="5"/>
  <c r="J1306" i="5"/>
  <c r="I1306" i="5"/>
  <c r="J1314" i="5"/>
  <c r="I1314" i="5"/>
  <c r="J1322" i="5"/>
  <c r="I1322" i="5"/>
  <c r="J1330" i="5"/>
  <c r="I1330" i="5"/>
  <c r="O1325" i="5"/>
  <c r="P1325" i="5"/>
  <c r="N1325" i="5"/>
  <c r="O1317" i="5"/>
  <c r="P1317" i="5"/>
  <c r="N1317" i="5"/>
  <c r="O1309" i="5"/>
  <c r="P1309" i="5"/>
  <c r="N1309" i="5"/>
  <c r="O1301" i="5"/>
  <c r="P1301" i="5"/>
  <c r="N1301" i="5"/>
  <c r="O1293" i="5"/>
  <c r="P1293" i="5"/>
  <c r="N1293" i="5"/>
  <c r="O1285" i="5"/>
  <c r="P1285" i="5"/>
  <c r="N1285" i="5"/>
  <c r="O1277" i="5"/>
  <c r="P1277" i="5"/>
  <c r="N1277" i="5"/>
  <c r="O1269" i="5"/>
  <c r="P1269" i="5"/>
  <c r="N1269" i="5"/>
  <c r="O1261" i="5"/>
  <c r="P1261" i="5"/>
  <c r="N1261" i="5"/>
  <c r="O1253" i="5"/>
  <c r="P1253" i="5"/>
  <c r="N1253" i="5"/>
  <c r="O1245" i="5"/>
  <c r="P1245" i="5"/>
  <c r="N1245" i="5"/>
  <c r="O1237" i="5"/>
  <c r="P1237" i="5"/>
  <c r="N1237" i="5"/>
  <c r="O1229" i="5"/>
  <c r="P1229" i="5"/>
  <c r="N1229" i="5"/>
  <c r="O1221" i="5"/>
  <c r="P1221" i="5"/>
  <c r="N1221" i="5"/>
  <c r="O1213" i="5"/>
  <c r="P1213" i="5"/>
  <c r="N1213" i="5"/>
  <c r="O1205" i="5"/>
  <c r="P1205" i="5"/>
  <c r="N1205" i="5"/>
  <c r="O1197" i="5"/>
  <c r="P1197" i="5"/>
  <c r="N1197" i="5"/>
  <c r="O1189" i="5"/>
  <c r="P1189" i="5"/>
  <c r="N1189" i="5"/>
  <c r="O1181" i="5"/>
  <c r="P1181" i="5"/>
  <c r="N1181" i="5"/>
  <c r="O1173" i="5"/>
  <c r="P1173" i="5"/>
  <c r="N1173" i="5"/>
  <c r="O1165" i="5"/>
  <c r="P1165" i="5"/>
  <c r="N1165" i="5"/>
  <c r="O1157" i="5"/>
  <c r="P1157" i="5"/>
  <c r="N1157" i="5"/>
  <c r="O1149" i="5"/>
  <c r="P1149" i="5"/>
  <c r="N1149" i="5"/>
  <c r="O1141" i="5"/>
  <c r="P1141" i="5"/>
  <c r="N1141" i="5"/>
  <c r="O1133" i="5"/>
  <c r="P1133" i="5"/>
  <c r="N1133" i="5"/>
  <c r="O1125" i="5"/>
  <c r="P1125" i="5"/>
  <c r="N1125" i="5"/>
  <c r="O1117" i="5"/>
  <c r="P1117" i="5"/>
  <c r="N1117" i="5"/>
  <c r="O1109" i="5"/>
  <c r="P1109" i="5"/>
  <c r="N1109" i="5"/>
  <c r="O1101" i="5"/>
  <c r="P1101" i="5"/>
  <c r="N1101" i="5"/>
  <c r="O1093" i="5"/>
  <c r="P1093" i="5"/>
  <c r="N1093" i="5"/>
  <c r="O1085" i="5"/>
  <c r="P1085" i="5"/>
  <c r="N1085" i="5"/>
  <c r="O1077" i="5"/>
  <c r="N1077" i="5"/>
  <c r="O1069" i="5"/>
  <c r="P1069" i="5"/>
  <c r="N1069" i="5"/>
  <c r="O1061" i="5"/>
  <c r="P1061" i="5"/>
  <c r="N1061" i="5"/>
  <c r="O1053" i="5"/>
  <c r="N1053" i="5"/>
  <c r="P1053" i="5"/>
  <c r="O1045" i="5"/>
  <c r="P1045" i="5"/>
  <c r="N1045" i="5"/>
  <c r="O1037" i="5"/>
  <c r="P1037" i="5"/>
  <c r="N1037" i="5"/>
  <c r="O1029" i="5"/>
  <c r="P1029" i="5"/>
  <c r="N1029" i="5"/>
  <c r="O1021" i="5"/>
  <c r="P1021" i="5"/>
  <c r="N1021" i="5"/>
  <c r="O1013" i="5"/>
  <c r="P1013" i="5"/>
  <c r="N1013" i="5"/>
  <c r="O1005" i="5"/>
  <c r="P1005" i="5"/>
  <c r="N1005" i="5"/>
  <c r="O997" i="5"/>
  <c r="P997" i="5"/>
  <c r="N997" i="5"/>
  <c r="O989" i="5"/>
  <c r="P989" i="5"/>
  <c r="N989" i="5"/>
  <c r="O981" i="5"/>
  <c r="P981" i="5"/>
  <c r="N981" i="5"/>
  <c r="O973" i="5"/>
  <c r="P973" i="5"/>
  <c r="N973" i="5"/>
  <c r="O965" i="5"/>
  <c r="P965" i="5"/>
  <c r="N965" i="5"/>
  <c r="O957" i="5"/>
  <c r="P957" i="5"/>
  <c r="N957" i="5"/>
  <c r="O949" i="5"/>
  <c r="P949" i="5"/>
  <c r="N949" i="5"/>
  <c r="O941" i="5"/>
  <c r="P941" i="5"/>
  <c r="N941" i="5"/>
  <c r="O933" i="5"/>
  <c r="P933" i="5"/>
  <c r="N933" i="5"/>
  <c r="O925" i="5"/>
  <c r="P925" i="5"/>
  <c r="N925" i="5"/>
  <c r="O917" i="5"/>
  <c r="P917" i="5"/>
  <c r="N917" i="5"/>
  <c r="O909" i="5"/>
  <c r="P909" i="5"/>
  <c r="N909" i="5"/>
  <c r="O901" i="5"/>
  <c r="P901" i="5"/>
  <c r="N901" i="5"/>
  <c r="O893" i="5"/>
  <c r="P893" i="5"/>
  <c r="N893" i="5"/>
  <c r="P1318" i="5"/>
  <c r="P1022" i="5"/>
  <c r="I1004" i="5"/>
  <c r="J7" i="5"/>
  <c r="I7" i="5"/>
  <c r="J55" i="5"/>
  <c r="I55" i="5"/>
  <c r="J103" i="5"/>
  <c r="I103" i="5"/>
  <c r="J151" i="5"/>
  <c r="I151" i="5"/>
  <c r="J199" i="5"/>
  <c r="I199" i="5"/>
  <c r="J247" i="5"/>
  <c r="I247" i="5"/>
  <c r="J295" i="5"/>
  <c r="I295" i="5"/>
  <c r="J343" i="5"/>
  <c r="I343" i="5"/>
  <c r="J375" i="5"/>
  <c r="I375" i="5"/>
  <c r="J423" i="5"/>
  <c r="I423" i="5"/>
  <c r="J479" i="5"/>
  <c r="I479" i="5"/>
  <c r="J527" i="5"/>
  <c r="I527" i="5"/>
  <c r="J575" i="5"/>
  <c r="I575" i="5"/>
  <c r="J623" i="5"/>
  <c r="I623" i="5"/>
  <c r="J671" i="5"/>
  <c r="I671" i="5"/>
  <c r="J719" i="5"/>
  <c r="I719" i="5"/>
  <c r="J767" i="5"/>
  <c r="I767" i="5"/>
  <c r="J815" i="5"/>
  <c r="I815" i="5"/>
  <c r="J863" i="5"/>
  <c r="I863" i="5"/>
  <c r="J911" i="5"/>
  <c r="I911" i="5"/>
  <c r="J959" i="5"/>
  <c r="I959" i="5"/>
  <c r="J999" i="5"/>
  <c r="I999" i="5"/>
  <c r="J1047" i="5"/>
  <c r="I1047" i="5"/>
  <c r="J1095" i="5"/>
  <c r="I1095" i="5"/>
  <c r="J1151" i="5"/>
  <c r="I1151" i="5"/>
  <c r="J1199" i="5"/>
  <c r="I1199" i="5"/>
  <c r="J1247" i="5"/>
  <c r="I1247" i="5"/>
  <c r="J1295" i="5"/>
  <c r="I1295" i="5"/>
  <c r="O1328" i="5"/>
  <c r="P1328" i="5"/>
  <c r="N1328" i="5"/>
  <c r="O1280" i="5"/>
  <c r="P1280" i="5"/>
  <c r="N1280" i="5"/>
  <c r="P1168" i="5"/>
  <c r="O1168" i="5"/>
  <c r="N1168" i="5"/>
  <c r="J32" i="5"/>
  <c r="I32" i="5"/>
  <c r="J72" i="5"/>
  <c r="I72" i="5"/>
  <c r="J120" i="5"/>
  <c r="I120" i="5"/>
  <c r="J168" i="5"/>
  <c r="I168" i="5"/>
  <c r="J216" i="5"/>
  <c r="I216" i="5"/>
  <c r="J256" i="5"/>
  <c r="I256" i="5"/>
  <c r="J304" i="5"/>
  <c r="I304" i="5"/>
  <c r="J352" i="5"/>
  <c r="I352" i="5"/>
  <c r="J400" i="5"/>
  <c r="I400" i="5"/>
  <c r="J448" i="5"/>
  <c r="I448" i="5"/>
  <c r="J480" i="5"/>
  <c r="I480" i="5"/>
  <c r="J528" i="5"/>
  <c r="I528" i="5"/>
  <c r="J576" i="5"/>
  <c r="I576" i="5"/>
  <c r="J616" i="5"/>
  <c r="I616" i="5"/>
  <c r="J656" i="5"/>
  <c r="I656" i="5"/>
  <c r="J704" i="5"/>
  <c r="I704" i="5"/>
  <c r="J752" i="5"/>
  <c r="I752" i="5"/>
  <c r="J800" i="5"/>
  <c r="I800" i="5"/>
  <c r="J840" i="5"/>
  <c r="I840" i="5"/>
  <c r="J880" i="5"/>
  <c r="I880" i="5"/>
  <c r="J920" i="5"/>
  <c r="I920" i="5"/>
  <c r="J968" i="5"/>
  <c r="I968" i="5"/>
  <c r="J1008" i="5"/>
  <c r="I1008" i="5"/>
  <c r="J1048" i="5"/>
  <c r="I1048" i="5"/>
  <c r="J1088" i="5"/>
  <c r="I1088" i="5"/>
  <c r="J1128" i="5"/>
  <c r="I1128" i="5"/>
  <c r="J1160" i="5"/>
  <c r="I1160" i="5"/>
  <c r="J1192" i="5"/>
  <c r="I1192" i="5"/>
  <c r="J1240" i="5"/>
  <c r="I1240" i="5"/>
  <c r="J1272" i="5"/>
  <c r="I1272" i="5"/>
  <c r="J1312" i="5"/>
  <c r="I1312" i="5"/>
  <c r="O1303" i="5"/>
  <c r="P1303" i="5"/>
  <c r="N1303" i="5"/>
  <c r="O1255" i="5"/>
  <c r="P1255" i="5"/>
  <c r="N1255" i="5"/>
  <c r="O1207" i="5"/>
  <c r="P1207" i="5"/>
  <c r="N1207" i="5"/>
  <c r="O1151" i="5"/>
  <c r="P1151" i="5"/>
  <c r="N1151" i="5"/>
  <c r="O1103" i="5"/>
  <c r="P1103" i="5"/>
  <c r="N1103" i="5"/>
  <c r="O1055" i="5"/>
  <c r="P1055" i="5"/>
  <c r="N1055" i="5"/>
  <c r="O1007" i="5"/>
  <c r="P1007" i="5"/>
  <c r="N1007" i="5"/>
  <c r="O959" i="5"/>
  <c r="P959" i="5"/>
  <c r="N959" i="5"/>
  <c r="O911" i="5"/>
  <c r="P911" i="5"/>
  <c r="N911" i="5"/>
  <c r="O863" i="5"/>
  <c r="P863" i="5"/>
  <c r="N863" i="5"/>
  <c r="O823" i="5"/>
  <c r="P823" i="5"/>
  <c r="N823" i="5"/>
  <c r="O775" i="5"/>
  <c r="P775" i="5"/>
  <c r="N775" i="5"/>
  <c r="O735" i="5"/>
  <c r="P735" i="5"/>
  <c r="N735" i="5"/>
  <c r="O687" i="5"/>
  <c r="P687" i="5"/>
  <c r="N687" i="5"/>
  <c r="O647" i="5"/>
  <c r="P647" i="5"/>
  <c r="N647" i="5"/>
  <c r="O599" i="5"/>
  <c r="P599" i="5"/>
  <c r="N599" i="5"/>
  <c r="O551" i="5"/>
  <c r="P551" i="5"/>
  <c r="N551" i="5"/>
  <c r="O503" i="5"/>
  <c r="P503" i="5"/>
  <c r="N503" i="5"/>
  <c r="O455" i="5"/>
  <c r="P455" i="5"/>
  <c r="N455" i="5"/>
  <c r="O407" i="5"/>
  <c r="P407" i="5"/>
  <c r="N407" i="5"/>
  <c r="O359" i="5"/>
  <c r="P359" i="5"/>
  <c r="N359" i="5"/>
  <c r="O311" i="5"/>
  <c r="P311" i="5"/>
  <c r="N311" i="5"/>
  <c r="O263" i="5"/>
  <c r="P263" i="5"/>
  <c r="N263" i="5"/>
  <c r="O215" i="5"/>
  <c r="P215" i="5"/>
  <c r="N215" i="5"/>
  <c r="O175" i="5"/>
  <c r="P175" i="5"/>
  <c r="N175" i="5"/>
  <c r="O127" i="5"/>
  <c r="P127" i="5"/>
  <c r="N127" i="5"/>
  <c r="O87" i="5"/>
  <c r="P87" i="5"/>
  <c r="N87" i="5"/>
  <c r="O39" i="5"/>
  <c r="P39" i="5"/>
  <c r="N39" i="5"/>
  <c r="J3" i="5"/>
  <c r="I3" i="5"/>
  <c r="J11" i="5"/>
  <c r="I11" i="5"/>
  <c r="J19" i="5"/>
  <c r="I19" i="5"/>
  <c r="J27" i="5"/>
  <c r="I27" i="5"/>
  <c r="J35" i="5"/>
  <c r="I35" i="5"/>
  <c r="J43" i="5"/>
  <c r="I43" i="5"/>
  <c r="J51" i="5"/>
  <c r="I51" i="5"/>
  <c r="J59" i="5"/>
  <c r="I59" i="5"/>
  <c r="J67" i="5"/>
  <c r="I67" i="5"/>
  <c r="J75" i="5"/>
  <c r="I75" i="5"/>
  <c r="J83" i="5"/>
  <c r="I83" i="5"/>
  <c r="J91" i="5"/>
  <c r="I91" i="5"/>
  <c r="J99" i="5"/>
  <c r="I99" i="5"/>
  <c r="J107" i="5"/>
  <c r="I107" i="5"/>
  <c r="J115" i="5"/>
  <c r="I115" i="5"/>
  <c r="J123" i="5"/>
  <c r="I123" i="5"/>
  <c r="J131" i="5"/>
  <c r="I131" i="5"/>
  <c r="J139" i="5"/>
  <c r="I139" i="5"/>
  <c r="J147" i="5"/>
  <c r="I147" i="5"/>
  <c r="J155" i="5"/>
  <c r="I155" i="5"/>
  <c r="J163" i="5"/>
  <c r="I163" i="5"/>
  <c r="J171" i="5"/>
  <c r="I171" i="5"/>
  <c r="J179" i="5"/>
  <c r="I179" i="5"/>
  <c r="J187" i="5"/>
  <c r="I187" i="5"/>
  <c r="J195" i="5"/>
  <c r="I195" i="5"/>
  <c r="J203" i="5"/>
  <c r="I203" i="5"/>
  <c r="J211" i="5"/>
  <c r="I211" i="5"/>
  <c r="J219" i="5"/>
  <c r="I219" i="5"/>
  <c r="J227" i="5"/>
  <c r="I227" i="5"/>
  <c r="J235" i="5"/>
  <c r="I235" i="5"/>
  <c r="J243" i="5"/>
  <c r="I243" i="5"/>
  <c r="J251" i="5"/>
  <c r="I251" i="5"/>
  <c r="J259" i="5"/>
  <c r="I259" i="5"/>
  <c r="J267" i="5"/>
  <c r="I267" i="5"/>
  <c r="J275" i="5"/>
  <c r="I275" i="5"/>
  <c r="J283" i="5"/>
  <c r="I283" i="5"/>
  <c r="J291" i="5"/>
  <c r="I291" i="5"/>
  <c r="J299" i="5"/>
  <c r="I299" i="5"/>
  <c r="J307" i="5"/>
  <c r="I307" i="5"/>
  <c r="J315" i="5"/>
  <c r="I315" i="5"/>
  <c r="J323" i="5"/>
  <c r="I323" i="5"/>
  <c r="J331" i="5"/>
  <c r="I331" i="5"/>
  <c r="J339" i="5"/>
  <c r="I339" i="5"/>
  <c r="J347" i="5"/>
  <c r="I347" i="5"/>
  <c r="J355" i="5"/>
  <c r="I355" i="5"/>
  <c r="J363" i="5"/>
  <c r="I363" i="5"/>
  <c r="J371" i="5"/>
  <c r="I371" i="5"/>
  <c r="J379" i="5"/>
  <c r="I379" i="5"/>
  <c r="J387" i="5"/>
  <c r="I387" i="5"/>
  <c r="J395" i="5"/>
  <c r="I395" i="5"/>
  <c r="J403" i="5"/>
  <c r="I403" i="5"/>
  <c r="J411" i="5"/>
  <c r="I411" i="5"/>
  <c r="J419" i="5"/>
  <c r="I419" i="5"/>
  <c r="J427" i="5"/>
  <c r="I427" i="5"/>
  <c r="J435" i="5"/>
  <c r="I435" i="5"/>
  <c r="J443" i="5"/>
  <c r="I443" i="5"/>
  <c r="J451" i="5"/>
  <c r="I451" i="5"/>
  <c r="J459" i="5"/>
  <c r="I459" i="5"/>
  <c r="J467" i="5"/>
  <c r="I467" i="5"/>
  <c r="J475" i="5"/>
  <c r="I475" i="5"/>
  <c r="J483" i="5"/>
  <c r="I483" i="5"/>
  <c r="J491" i="5"/>
  <c r="I491" i="5"/>
  <c r="J499" i="5"/>
  <c r="I499" i="5"/>
  <c r="J507" i="5"/>
  <c r="I507" i="5"/>
  <c r="J515" i="5"/>
  <c r="I515" i="5"/>
  <c r="J523" i="5"/>
  <c r="I523" i="5"/>
  <c r="J531" i="5"/>
  <c r="I531" i="5"/>
  <c r="J539" i="5"/>
  <c r="I539" i="5"/>
  <c r="J547" i="5"/>
  <c r="I547" i="5"/>
  <c r="J555" i="5"/>
  <c r="I555" i="5"/>
  <c r="J563" i="5"/>
  <c r="I563" i="5"/>
  <c r="J571" i="5"/>
  <c r="I571" i="5"/>
  <c r="J579" i="5"/>
  <c r="I579" i="5"/>
  <c r="J587" i="5"/>
  <c r="I587" i="5"/>
  <c r="J595" i="5"/>
  <c r="I595" i="5"/>
  <c r="J603" i="5"/>
  <c r="I603" i="5"/>
  <c r="J611" i="5"/>
  <c r="I611" i="5"/>
  <c r="J619" i="5"/>
  <c r="I619" i="5"/>
  <c r="J627" i="5"/>
  <c r="I627" i="5"/>
  <c r="J635" i="5"/>
  <c r="I635" i="5"/>
  <c r="J643" i="5"/>
  <c r="I643" i="5"/>
  <c r="J651" i="5"/>
  <c r="I651" i="5"/>
  <c r="J659" i="5"/>
  <c r="I659" i="5"/>
  <c r="J667" i="5"/>
  <c r="I667" i="5"/>
  <c r="J675" i="5"/>
  <c r="I675" i="5"/>
  <c r="J683" i="5"/>
  <c r="I683" i="5"/>
  <c r="J691" i="5"/>
  <c r="I691" i="5"/>
  <c r="J699" i="5"/>
  <c r="I699" i="5"/>
  <c r="J707" i="5"/>
  <c r="I707" i="5"/>
  <c r="J715" i="5"/>
  <c r="I715" i="5"/>
  <c r="J723" i="5"/>
  <c r="I723" i="5"/>
  <c r="J731" i="5"/>
  <c r="I731" i="5"/>
  <c r="J739" i="5"/>
  <c r="I739" i="5"/>
  <c r="J747" i="5"/>
  <c r="I747" i="5"/>
  <c r="J755" i="5"/>
  <c r="I755" i="5"/>
  <c r="J763" i="5"/>
  <c r="I763" i="5"/>
  <c r="J771" i="5"/>
  <c r="I771" i="5"/>
  <c r="J779" i="5"/>
  <c r="I779" i="5"/>
  <c r="J787" i="5"/>
  <c r="I787" i="5"/>
  <c r="J795" i="5"/>
  <c r="I795" i="5"/>
  <c r="J803" i="5"/>
  <c r="I803" i="5"/>
  <c r="J811" i="5"/>
  <c r="I811" i="5"/>
  <c r="J819" i="5"/>
  <c r="I819" i="5"/>
  <c r="J827" i="5"/>
  <c r="I827" i="5"/>
  <c r="J835" i="5"/>
  <c r="I835" i="5"/>
  <c r="J843" i="5"/>
  <c r="I843" i="5"/>
  <c r="J851" i="5"/>
  <c r="I851" i="5"/>
  <c r="J859" i="5"/>
  <c r="I859" i="5"/>
  <c r="J867" i="5"/>
  <c r="I867" i="5"/>
  <c r="J875" i="5"/>
  <c r="I875" i="5"/>
  <c r="J883" i="5"/>
  <c r="I883" i="5"/>
  <c r="J891" i="5"/>
  <c r="I891" i="5"/>
  <c r="J899" i="5"/>
  <c r="I899" i="5"/>
  <c r="J907" i="5"/>
  <c r="I907" i="5"/>
  <c r="J915" i="5"/>
  <c r="I915" i="5"/>
  <c r="J923" i="5"/>
  <c r="I923" i="5"/>
  <c r="J931" i="5"/>
  <c r="I931" i="5"/>
  <c r="J939" i="5"/>
  <c r="I939" i="5"/>
  <c r="J947" i="5"/>
  <c r="I947" i="5"/>
  <c r="J955" i="5"/>
  <c r="I955" i="5"/>
  <c r="J963" i="5"/>
  <c r="I963" i="5"/>
  <c r="J971" i="5"/>
  <c r="I971" i="5"/>
  <c r="J979" i="5"/>
  <c r="I979" i="5"/>
  <c r="J987" i="5"/>
  <c r="I987" i="5"/>
  <c r="J995" i="5"/>
  <c r="I995" i="5"/>
  <c r="J1003" i="5"/>
  <c r="I1003" i="5"/>
  <c r="J1011" i="5"/>
  <c r="I1011" i="5"/>
  <c r="J1019" i="5"/>
  <c r="I1019" i="5"/>
  <c r="J1027" i="5"/>
  <c r="I1027" i="5"/>
  <c r="J1035" i="5"/>
  <c r="I1035" i="5"/>
  <c r="J1043" i="5"/>
  <c r="I1043" i="5"/>
  <c r="J1051" i="5"/>
  <c r="I1051" i="5"/>
  <c r="J1059" i="5"/>
  <c r="I1059" i="5"/>
  <c r="J1067" i="5"/>
  <c r="I1067" i="5"/>
  <c r="J1075" i="5"/>
  <c r="I1075" i="5"/>
  <c r="J1083" i="5"/>
  <c r="I1083" i="5"/>
  <c r="J1091" i="5"/>
  <c r="I1091" i="5"/>
  <c r="J1099" i="5"/>
  <c r="I1099" i="5"/>
  <c r="J1107" i="5"/>
  <c r="I1107" i="5"/>
  <c r="J1115" i="5"/>
  <c r="I1115" i="5"/>
  <c r="J1123" i="5"/>
  <c r="I1123" i="5"/>
  <c r="J1131" i="5"/>
  <c r="I1131" i="5"/>
  <c r="J1139" i="5"/>
  <c r="I1139" i="5"/>
  <c r="J1147" i="5"/>
  <c r="I1147" i="5"/>
  <c r="J1155" i="5"/>
  <c r="I1155" i="5"/>
  <c r="J1163" i="5"/>
  <c r="I1163" i="5"/>
  <c r="J1171" i="5"/>
  <c r="I1171" i="5"/>
  <c r="J1179" i="5"/>
  <c r="I1179" i="5"/>
  <c r="J1187" i="5"/>
  <c r="I1187" i="5"/>
  <c r="J1195" i="5"/>
  <c r="I1195" i="5"/>
  <c r="J1203" i="5"/>
  <c r="I1203" i="5"/>
  <c r="J1211" i="5"/>
  <c r="I1211" i="5"/>
  <c r="J1219" i="5"/>
  <c r="I1219" i="5"/>
  <c r="J1227" i="5"/>
  <c r="I1227" i="5"/>
  <c r="J1235" i="5"/>
  <c r="I1235" i="5"/>
  <c r="J1243" i="5"/>
  <c r="I1243" i="5"/>
  <c r="J1251" i="5"/>
  <c r="I1251" i="5"/>
  <c r="J1259" i="5"/>
  <c r="I1259" i="5"/>
  <c r="J1267" i="5"/>
  <c r="I1267" i="5"/>
  <c r="J1275" i="5"/>
  <c r="I1275" i="5"/>
  <c r="H1283" i="5"/>
  <c r="J1283" i="5"/>
  <c r="I1283" i="5"/>
  <c r="J1291" i="5"/>
  <c r="I1291" i="5"/>
  <c r="J1299" i="5"/>
  <c r="I1299" i="5"/>
  <c r="J1307" i="5"/>
  <c r="I1307" i="5"/>
  <c r="J1315" i="5"/>
  <c r="I1315" i="5"/>
  <c r="J1323" i="5"/>
  <c r="I1323" i="5"/>
  <c r="J1331" i="5"/>
  <c r="I1331" i="5"/>
  <c r="O1324" i="5"/>
  <c r="P1324" i="5"/>
  <c r="O1316" i="5"/>
  <c r="P1316" i="5"/>
  <c r="O1308" i="5"/>
  <c r="P1308" i="5"/>
  <c r="O1300" i="5"/>
  <c r="P1300" i="5"/>
  <c r="O1292" i="5"/>
  <c r="P1292" i="5"/>
  <c r="O1284" i="5"/>
  <c r="P1284" i="5"/>
  <c r="O1276" i="5"/>
  <c r="P1276" i="5"/>
  <c r="O1268" i="5"/>
  <c r="P1268" i="5"/>
  <c r="O1260" i="5"/>
  <c r="P1260" i="5"/>
  <c r="O1252" i="5"/>
  <c r="P1252" i="5"/>
  <c r="O1244" i="5"/>
  <c r="P1244" i="5"/>
  <c r="O1236" i="5"/>
  <c r="P1236" i="5"/>
  <c r="O1228" i="5"/>
  <c r="P1228" i="5"/>
  <c r="O1220" i="5"/>
  <c r="P1220" i="5"/>
  <c r="O1212" i="5"/>
  <c r="P1212" i="5"/>
  <c r="O1204" i="5"/>
  <c r="P1204" i="5"/>
  <c r="O1196" i="5"/>
  <c r="P1196" i="5"/>
  <c r="O1188" i="5"/>
  <c r="P1188" i="5"/>
  <c r="O1180" i="5"/>
  <c r="P1180" i="5"/>
  <c r="O1172" i="5"/>
  <c r="P1172" i="5"/>
  <c r="O1164" i="5"/>
  <c r="P1164" i="5"/>
  <c r="O1156" i="5"/>
  <c r="P1156" i="5"/>
  <c r="O1148" i="5"/>
  <c r="P1148" i="5"/>
  <c r="O1140" i="5"/>
  <c r="P1140" i="5"/>
  <c r="O1132" i="5"/>
  <c r="P1132" i="5"/>
  <c r="O1116" i="5"/>
  <c r="P1116" i="5"/>
  <c r="O1100" i="5"/>
  <c r="P1100" i="5"/>
  <c r="O1092" i="5"/>
  <c r="P1092" i="5"/>
  <c r="O1084" i="5"/>
  <c r="P1084" i="5"/>
  <c r="O1076" i="5"/>
  <c r="P1076" i="5"/>
  <c r="O1068" i="5"/>
  <c r="P1068" i="5"/>
  <c r="O1060" i="5"/>
  <c r="P1060" i="5"/>
  <c r="O1052" i="5"/>
  <c r="P1052" i="5"/>
  <c r="O1044" i="5"/>
  <c r="P1044" i="5"/>
  <c r="O1036" i="5"/>
  <c r="P1036" i="5"/>
  <c r="P1028" i="5"/>
  <c r="O1028" i="5"/>
  <c r="O1020" i="5"/>
  <c r="P1020" i="5"/>
  <c r="O1012" i="5"/>
  <c r="P1012" i="5"/>
  <c r="O1004" i="5"/>
  <c r="P1004" i="5"/>
  <c r="O996" i="5"/>
  <c r="P996" i="5"/>
  <c r="O988" i="5"/>
  <c r="P988" i="5"/>
  <c r="O980" i="5"/>
  <c r="P980" i="5"/>
  <c r="O972" i="5"/>
  <c r="P972" i="5"/>
  <c r="O964" i="5"/>
  <c r="P964" i="5"/>
  <c r="O956" i="5"/>
  <c r="P956" i="5"/>
  <c r="O948" i="5"/>
  <c r="P948" i="5"/>
  <c r="O940" i="5"/>
  <c r="P940" i="5"/>
  <c r="O932" i="5"/>
  <c r="P932" i="5"/>
  <c r="O924" i="5"/>
  <c r="P924" i="5"/>
  <c r="O916" i="5"/>
  <c r="P916" i="5"/>
  <c r="O908" i="5"/>
  <c r="P908" i="5"/>
  <c r="O900" i="5"/>
  <c r="P900" i="5"/>
  <c r="O892" i="5"/>
  <c r="P892" i="5"/>
  <c r="N1308" i="5"/>
  <c r="N1276" i="5"/>
  <c r="N1244" i="5"/>
  <c r="N1212" i="5"/>
  <c r="N1180" i="5"/>
  <c r="N1148" i="5"/>
  <c r="N1116" i="5"/>
  <c r="N1084" i="5"/>
  <c r="N1052" i="5"/>
  <c r="N1020" i="5"/>
  <c r="N988" i="5"/>
  <c r="N956" i="5"/>
  <c r="N924" i="5"/>
  <c r="N892" i="5"/>
  <c r="I812" i="5"/>
  <c r="J15" i="5"/>
  <c r="I15" i="5"/>
  <c r="J71" i="5"/>
  <c r="I71" i="5"/>
  <c r="J119" i="5"/>
  <c r="I119" i="5"/>
  <c r="J167" i="5"/>
  <c r="I167" i="5"/>
  <c r="J215" i="5"/>
  <c r="I215" i="5"/>
  <c r="J263" i="5"/>
  <c r="I263" i="5"/>
  <c r="J311" i="5"/>
  <c r="I311" i="5"/>
  <c r="J359" i="5"/>
  <c r="I359" i="5"/>
  <c r="J415" i="5"/>
  <c r="I415" i="5"/>
  <c r="J463" i="5"/>
  <c r="I463" i="5"/>
  <c r="J511" i="5"/>
  <c r="I511" i="5"/>
  <c r="J559" i="5"/>
  <c r="I559" i="5"/>
  <c r="J607" i="5"/>
  <c r="I607" i="5"/>
  <c r="J655" i="5"/>
  <c r="I655" i="5"/>
  <c r="J703" i="5"/>
  <c r="I703" i="5"/>
  <c r="J759" i="5"/>
  <c r="I759" i="5"/>
  <c r="J807" i="5"/>
  <c r="I807" i="5"/>
  <c r="J855" i="5"/>
  <c r="I855" i="5"/>
  <c r="J903" i="5"/>
  <c r="I903" i="5"/>
  <c r="J951" i="5"/>
  <c r="I951" i="5"/>
  <c r="J1007" i="5"/>
  <c r="I1007" i="5"/>
  <c r="J1055" i="5"/>
  <c r="I1055" i="5"/>
  <c r="J1111" i="5"/>
  <c r="I1111" i="5"/>
  <c r="J1159" i="5"/>
  <c r="I1159" i="5"/>
  <c r="J1207" i="5"/>
  <c r="I1207" i="5"/>
  <c r="J1255" i="5"/>
  <c r="I1255" i="5"/>
  <c r="J1303" i="5"/>
  <c r="I1303" i="5"/>
  <c r="O1312" i="5"/>
  <c r="P1312" i="5"/>
  <c r="N1312" i="5"/>
  <c r="O1264" i="5"/>
  <c r="P1264" i="5"/>
  <c r="N1264" i="5"/>
  <c r="O1224" i="5"/>
  <c r="P1224" i="5"/>
  <c r="N1224" i="5"/>
  <c r="O1176" i="5"/>
  <c r="P1176" i="5"/>
  <c r="N1176" i="5"/>
  <c r="O1128" i="5"/>
  <c r="P1128" i="5"/>
  <c r="N1128" i="5"/>
  <c r="O1088" i="5"/>
  <c r="P1088" i="5"/>
  <c r="N1088" i="5"/>
  <c r="O1048" i="5"/>
  <c r="P1048" i="5"/>
  <c r="N1048" i="5"/>
  <c r="O1008" i="5"/>
  <c r="P1008" i="5"/>
  <c r="N1008" i="5"/>
  <c r="O968" i="5"/>
  <c r="P968" i="5"/>
  <c r="N968" i="5"/>
  <c r="O928" i="5"/>
  <c r="P928" i="5"/>
  <c r="N928" i="5"/>
  <c r="O888" i="5"/>
  <c r="P888" i="5"/>
  <c r="N888" i="5"/>
  <c r="O856" i="5"/>
  <c r="P856" i="5"/>
  <c r="N856" i="5"/>
  <c r="O816" i="5"/>
  <c r="P816" i="5"/>
  <c r="N816" i="5"/>
  <c r="J40" i="5"/>
  <c r="I40" i="5"/>
  <c r="J88" i="5"/>
  <c r="I88" i="5"/>
  <c r="J136" i="5"/>
  <c r="I136" i="5"/>
  <c r="J176" i="5"/>
  <c r="I176" i="5"/>
  <c r="J232" i="5"/>
  <c r="I232" i="5"/>
  <c r="J280" i="5"/>
  <c r="I280" i="5"/>
  <c r="J328" i="5"/>
  <c r="I328" i="5"/>
  <c r="J376" i="5"/>
  <c r="I376" i="5"/>
  <c r="J424" i="5"/>
  <c r="I424" i="5"/>
  <c r="J472" i="5"/>
  <c r="I472" i="5"/>
  <c r="J520" i="5"/>
  <c r="I520" i="5"/>
  <c r="J584" i="5"/>
  <c r="I584" i="5"/>
  <c r="J632" i="5"/>
  <c r="I632" i="5"/>
  <c r="J680" i="5"/>
  <c r="I680" i="5"/>
  <c r="J728" i="5"/>
  <c r="I728" i="5"/>
  <c r="J776" i="5"/>
  <c r="I776" i="5"/>
  <c r="J824" i="5"/>
  <c r="I824" i="5"/>
  <c r="J872" i="5"/>
  <c r="I872" i="5"/>
  <c r="J928" i="5"/>
  <c r="I928" i="5"/>
  <c r="J976" i="5"/>
  <c r="I976" i="5"/>
  <c r="J1032" i="5"/>
  <c r="I1032" i="5"/>
  <c r="J1080" i="5"/>
  <c r="I1080" i="5"/>
  <c r="J1136" i="5"/>
  <c r="I1136" i="5"/>
  <c r="J1184" i="5"/>
  <c r="I1184" i="5"/>
  <c r="J1232" i="5"/>
  <c r="I1232" i="5"/>
  <c r="J1280" i="5"/>
  <c r="I1280" i="5"/>
  <c r="J1320" i="5"/>
  <c r="I1320" i="5"/>
  <c r="O1287" i="5"/>
  <c r="P1287" i="5"/>
  <c r="N1287" i="5"/>
  <c r="O1239" i="5"/>
  <c r="P1239" i="5"/>
  <c r="N1239" i="5"/>
  <c r="O1191" i="5"/>
  <c r="P1191" i="5"/>
  <c r="N1191" i="5"/>
  <c r="O1143" i="5"/>
  <c r="P1143" i="5"/>
  <c r="N1143" i="5"/>
  <c r="O1087" i="5"/>
  <c r="P1087" i="5"/>
  <c r="N1087" i="5"/>
  <c r="O1039" i="5"/>
  <c r="P1039" i="5"/>
  <c r="N1039" i="5"/>
  <c r="O991" i="5"/>
  <c r="P991" i="5"/>
  <c r="N991" i="5"/>
  <c r="O943" i="5"/>
  <c r="P943" i="5"/>
  <c r="N943" i="5"/>
  <c r="O887" i="5"/>
  <c r="P887" i="5"/>
  <c r="N887" i="5"/>
  <c r="O839" i="5"/>
  <c r="P839" i="5"/>
  <c r="N839" i="5"/>
  <c r="O791" i="5"/>
  <c r="P791" i="5"/>
  <c r="N791" i="5"/>
  <c r="O743" i="5"/>
  <c r="P743" i="5"/>
  <c r="N743" i="5"/>
  <c r="O695" i="5"/>
  <c r="P695" i="5"/>
  <c r="N695" i="5"/>
  <c r="O639" i="5"/>
  <c r="P639" i="5"/>
  <c r="N639" i="5"/>
  <c r="O583" i="5"/>
  <c r="P583" i="5"/>
  <c r="N583" i="5"/>
  <c r="O527" i="5"/>
  <c r="P527" i="5"/>
  <c r="N527" i="5"/>
  <c r="O479" i="5"/>
  <c r="P479" i="5"/>
  <c r="N479" i="5"/>
  <c r="O439" i="5"/>
  <c r="P439" i="5"/>
  <c r="N439" i="5"/>
  <c r="O391" i="5"/>
  <c r="P391" i="5"/>
  <c r="N391" i="5"/>
  <c r="O335" i="5"/>
  <c r="P335" i="5"/>
  <c r="N335" i="5"/>
  <c r="O279" i="5"/>
  <c r="P279" i="5"/>
  <c r="N279" i="5"/>
  <c r="O231" i="5"/>
  <c r="P231" i="5"/>
  <c r="N231" i="5"/>
  <c r="O183" i="5"/>
  <c r="P183" i="5"/>
  <c r="N183" i="5"/>
  <c r="O151" i="5"/>
  <c r="P151" i="5"/>
  <c r="N151" i="5"/>
  <c r="O103" i="5"/>
  <c r="N103" i="5"/>
  <c r="O71" i="5"/>
  <c r="P71" i="5"/>
  <c r="N71" i="5"/>
  <c r="O7" i="5"/>
  <c r="P7" i="5"/>
  <c r="N7" i="5"/>
  <c r="J4" i="5"/>
  <c r="I4" i="5"/>
  <c r="J12" i="5"/>
  <c r="I12" i="5"/>
  <c r="J20" i="5"/>
  <c r="I20" i="5"/>
  <c r="J28" i="5"/>
  <c r="I28" i="5"/>
  <c r="J36" i="5"/>
  <c r="I36" i="5"/>
  <c r="J44" i="5"/>
  <c r="I44" i="5"/>
  <c r="J52" i="5"/>
  <c r="I52" i="5"/>
  <c r="J60" i="5"/>
  <c r="I60" i="5"/>
  <c r="J68" i="5"/>
  <c r="I68" i="5"/>
  <c r="J76" i="5"/>
  <c r="I76" i="5"/>
  <c r="J84" i="5"/>
  <c r="I84" i="5"/>
  <c r="J92" i="5"/>
  <c r="I92" i="5"/>
  <c r="J100" i="5"/>
  <c r="I100" i="5"/>
  <c r="J108" i="5"/>
  <c r="I108" i="5"/>
  <c r="J116" i="5"/>
  <c r="I116" i="5"/>
  <c r="J124" i="5"/>
  <c r="I124" i="5"/>
  <c r="J132" i="5"/>
  <c r="I132" i="5"/>
  <c r="J140" i="5"/>
  <c r="I140" i="5"/>
  <c r="J148" i="5"/>
  <c r="I148" i="5"/>
  <c r="J156" i="5"/>
  <c r="I156" i="5"/>
  <c r="J164" i="5"/>
  <c r="I164" i="5"/>
  <c r="J172" i="5"/>
  <c r="I172" i="5"/>
  <c r="J180" i="5"/>
  <c r="I180" i="5"/>
  <c r="J188" i="5"/>
  <c r="I188" i="5"/>
  <c r="J196" i="5"/>
  <c r="I196" i="5"/>
  <c r="J204" i="5"/>
  <c r="I204" i="5"/>
  <c r="J212" i="5"/>
  <c r="I212" i="5"/>
  <c r="J220" i="5"/>
  <c r="I220" i="5"/>
  <c r="J228" i="5"/>
  <c r="I228" i="5"/>
  <c r="J236" i="5"/>
  <c r="I236" i="5"/>
  <c r="J244" i="5"/>
  <c r="I244" i="5"/>
  <c r="J252" i="5"/>
  <c r="I252" i="5"/>
  <c r="J260" i="5"/>
  <c r="I260" i="5"/>
  <c r="J268" i="5"/>
  <c r="I268" i="5"/>
  <c r="J276" i="5"/>
  <c r="I276" i="5"/>
  <c r="J284" i="5"/>
  <c r="I284" i="5"/>
  <c r="J292" i="5"/>
  <c r="I292" i="5"/>
  <c r="J300" i="5"/>
  <c r="I300" i="5"/>
  <c r="J308" i="5"/>
  <c r="I308" i="5"/>
  <c r="J316" i="5"/>
  <c r="I316" i="5"/>
  <c r="J324" i="5"/>
  <c r="I324" i="5"/>
  <c r="J332" i="5"/>
  <c r="I332" i="5"/>
  <c r="J340" i="5"/>
  <c r="I340" i="5"/>
  <c r="J348" i="5"/>
  <c r="I348" i="5"/>
  <c r="J356" i="5"/>
  <c r="I356" i="5"/>
  <c r="J364" i="5"/>
  <c r="I364" i="5"/>
  <c r="J372" i="5"/>
  <c r="I372" i="5"/>
  <c r="J380" i="5"/>
  <c r="I380" i="5"/>
  <c r="J388" i="5"/>
  <c r="I388" i="5"/>
  <c r="J396" i="5"/>
  <c r="I396" i="5"/>
  <c r="J404" i="5"/>
  <c r="I404" i="5"/>
  <c r="J412" i="5"/>
  <c r="I412" i="5"/>
  <c r="J420" i="5"/>
  <c r="I420" i="5"/>
  <c r="J428" i="5"/>
  <c r="I428" i="5"/>
  <c r="J436" i="5"/>
  <c r="I436" i="5"/>
  <c r="J444" i="5"/>
  <c r="I444" i="5"/>
  <c r="J452" i="5"/>
  <c r="I452" i="5"/>
  <c r="J460" i="5"/>
  <c r="I460" i="5"/>
  <c r="J468" i="5"/>
  <c r="I468" i="5"/>
  <c r="J476" i="5"/>
  <c r="I476" i="5"/>
  <c r="J484" i="5"/>
  <c r="I484" i="5"/>
  <c r="J492" i="5"/>
  <c r="I492" i="5"/>
  <c r="J500" i="5"/>
  <c r="I500" i="5"/>
  <c r="J508" i="5"/>
  <c r="I508" i="5"/>
  <c r="J516" i="5"/>
  <c r="I516" i="5"/>
  <c r="J524" i="5"/>
  <c r="I524" i="5"/>
  <c r="J532" i="5"/>
  <c r="I532" i="5"/>
  <c r="J540" i="5"/>
  <c r="I540" i="5"/>
  <c r="J548" i="5"/>
  <c r="I548" i="5"/>
  <c r="J556" i="5"/>
  <c r="I556" i="5"/>
  <c r="J564" i="5"/>
  <c r="I564" i="5"/>
  <c r="J572" i="5"/>
  <c r="I572" i="5"/>
  <c r="J580" i="5"/>
  <c r="I580" i="5"/>
  <c r="J588" i="5"/>
  <c r="I588" i="5"/>
  <c r="J596" i="5"/>
  <c r="I596" i="5"/>
  <c r="J604" i="5"/>
  <c r="I604" i="5"/>
  <c r="J612" i="5"/>
  <c r="I612" i="5"/>
  <c r="J620" i="5"/>
  <c r="I620" i="5"/>
  <c r="J628" i="5"/>
  <c r="I628" i="5"/>
  <c r="J636" i="5"/>
  <c r="I636" i="5"/>
  <c r="J644" i="5"/>
  <c r="I644" i="5"/>
  <c r="J652" i="5"/>
  <c r="I652" i="5"/>
  <c r="J660" i="5"/>
  <c r="I660" i="5"/>
  <c r="J668" i="5"/>
  <c r="I668" i="5"/>
  <c r="J676" i="5"/>
  <c r="I676" i="5"/>
  <c r="J692" i="5"/>
  <c r="I692" i="5"/>
  <c r="J700" i="5"/>
  <c r="I700" i="5"/>
  <c r="J708" i="5"/>
  <c r="I708" i="5"/>
  <c r="J716" i="5"/>
  <c r="I716" i="5"/>
  <c r="J724" i="5"/>
  <c r="I724" i="5"/>
  <c r="J732" i="5"/>
  <c r="I732" i="5"/>
  <c r="H740" i="5"/>
  <c r="J740" i="5"/>
  <c r="I740" i="5"/>
  <c r="J748" i="5"/>
  <c r="I748" i="5"/>
  <c r="J756" i="5"/>
  <c r="I756" i="5"/>
  <c r="J764" i="5"/>
  <c r="I764" i="5"/>
  <c r="J772" i="5"/>
  <c r="I772" i="5"/>
  <c r="J780" i="5"/>
  <c r="I780" i="5"/>
  <c r="J788" i="5"/>
  <c r="I788" i="5"/>
  <c r="J796" i="5"/>
  <c r="I796" i="5"/>
  <c r="J804" i="5"/>
  <c r="I804" i="5"/>
  <c r="J820" i="5"/>
  <c r="I820" i="5"/>
  <c r="J828" i="5"/>
  <c r="I828" i="5"/>
  <c r="J836" i="5"/>
  <c r="I836" i="5"/>
  <c r="J844" i="5"/>
  <c r="I844" i="5"/>
  <c r="J852" i="5"/>
  <c r="I852" i="5"/>
  <c r="J860" i="5"/>
  <c r="I860" i="5"/>
  <c r="J868" i="5"/>
  <c r="I868" i="5"/>
  <c r="J876" i="5"/>
  <c r="I876" i="5"/>
  <c r="J884" i="5"/>
  <c r="I884" i="5"/>
  <c r="J892" i="5"/>
  <c r="I892" i="5"/>
  <c r="J900" i="5"/>
  <c r="I900" i="5"/>
  <c r="J908" i="5"/>
  <c r="I908" i="5"/>
  <c r="J916" i="5"/>
  <c r="I916" i="5"/>
  <c r="J924" i="5"/>
  <c r="I924" i="5"/>
  <c r="J932" i="5"/>
  <c r="I932" i="5"/>
  <c r="J940" i="5"/>
  <c r="I940" i="5"/>
  <c r="J948" i="5"/>
  <c r="I948" i="5"/>
  <c r="J956" i="5"/>
  <c r="I956" i="5"/>
  <c r="J964" i="5"/>
  <c r="I964" i="5"/>
  <c r="J972" i="5"/>
  <c r="I972" i="5"/>
  <c r="J980" i="5"/>
  <c r="I980" i="5"/>
  <c r="J988" i="5"/>
  <c r="I988" i="5"/>
  <c r="H996" i="5"/>
  <c r="J996" i="5"/>
  <c r="I996" i="5"/>
  <c r="J1012" i="5"/>
  <c r="I1012" i="5"/>
  <c r="J1020" i="5"/>
  <c r="I1020" i="5"/>
  <c r="J1028" i="5"/>
  <c r="I1028" i="5"/>
  <c r="J1036" i="5"/>
  <c r="I1036" i="5"/>
  <c r="J1044" i="5"/>
  <c r="I1044" i="5"/>
  <c r="J1052" i="5"/>
  <c r="I1052" i="5"/>
  <c r="J1060" i="5"/>
  <c r="I1060" i="5"/>
  <c r="J1068" i="5"/>
  <c r="I1068" i="5"/>
  <c r="J1076" i="5"/>
  <c r="I1076" i="5"/>
  <c r="J1084" i="5"/>
  <c r="I1084" i="5"/>
  <c r="J1092" i="5"/>
  <c r="I1092" i="5"/>
  <c r="J1100" i="5"/>
  <c r="I1100" i="5"/>
  <c r="J1108" i="5"/>
  <c r="I1108" i="5"/>
  <c r="J1116" i="5"/>
  <c r="I1116" i="5"/>
  <c r="H1124" i="5"/>
  <c r="J1124" i="5"/>
  <c r="I1124" i="5"/>
  <c r="J1140" i="5"/>
  <c r="I1140" i="5"/>
  <c r="J1148" i="5"/>
  <c r="I1148" i="5"/>
  <c r="J1156" i="5"/>
  <c r="I1156" i="5"/>
  <c r="J1164" i="5"/>
  <c r="I1164" i="5"/>
  <c r="H1172" i="5"/>
  <c r="J1172" i="5"/>
  <c r="I1172" i="5"/>
  <c r="J1180" i="5"/>
  <c r="I1180" i="5"/>
  <c r="J1188" i="5"/>
  <c r="I1188" i="5"/>
  <c r="J1196" i="5"/>
  <c r="I1196" i="5"/>
  <c r="J1204" i="5"/>
  <c r="I1204" i="5"/>
  <c r="J1212" i="5"/>
  <c r="I1212" i="5"/>
  <c r="J1220" i="5"/>
  <c r="I1220" i="5"/>
  <c r="J1228" i="5"/>
  <c r="I1228" i="5"/>
  <c r="H1236" i="5"/>
  <c r="J1236" i="5"/>
  <c r="I1236" i="5"/>
  <c r="J1244" i="5"/>
  <c r="I1244" i="5"/>
  <c r="J1252" i="5"/>
  <c r="I1252" i="5"/>
  <c r="J1260" i="5"/>
  <c r="I1260" i="5"/>
  <c r="J1268" i="5"/>
  <c r="I1268" i="5"/>
  <c r="J1276" i="5"/>
  <c r="I1276" i="5"/>
  <c r="J1284" i="5"/>
  <c r="I1284" i="5"/>
  <c r="J1292" i="5"/>
  <c r="I1292" i="5"/>
  <c r="J1300" i="5"/>
  <c r="I1300" i="5"/>
  <c r="J1308" i="5"/>
  <c r="I1308" i="5"/>
  <c r="H1316" i="5"/>
  <c r="J1316" i="5"/>
  <c r="I1316" i="5"/>
  <c r="J1324" i="5"/>
  <c r="I1324" i="5"/>
  <c r="O1331" i="5"/>
  <c r="P1331" i="5"/>
  <c r="N1331" i="5"/>
  <c r="O1323" i="5"/>
  <c r="P1323" i="5"/>
  <c r="N1323" i="5"/>
  <c r="O1315" i="5"/>
  <c r="P1315" i="5"/>
  <c r="N1315" i="5"/>
  <c r="O1307" i="5"/>
  <c r="P1307" i="5"/>
  <c r="N1307" i="5"/>
  <c r="O1299" i="5"/>
  <c r="P1299" i="5"/>
  <c r="N1299" i="5"/>
  <c r="O1291" i="5"/>
  <c r="P1291" i="5"/>
  <c r="N1291" i="5"/>
  <c r="O1283" i="5"/>
  <c r="N1283" i="5"/>
  <c r="O1275" i="5"/>
  <c r="N1275" i="5"/>
  <c r="O1267" i="5"/>
  <c r="P1267" i="5"/>
  <c r="N1267" i="5"/>
  <c r="O1259" i="5"/>
  <c r="P1259" i="5"/>
  <c r="N1259" i="5"/>
  <c r="O1251" i="5"/>
  <c r="P1251" i="5"/>
  <c r="N1251" i="5"/>
  <c r="O1243" i="5"/>
  <c r="P1243" i="5"/>
  <c r="N1243" i="5"/>
  <c r="O1235" i="5"/>
  <c r="P1235" i="5"/>
  <c r="N1235" i="5"/>
  <c r="O1227" i="5"/>
  <c r="P1227" i="5"/>
  <c r="N1227" i="5"/>
  <c r="O1219" i="5"/>
  <c r="N1219" i="5"/>
  <c r="O1211" i="5"/>
  <c r="N1211" i="5"/>
  <c r="O1203" i="5"/>
  <c r="P1203" i="5"/>
  <c r="N1203" i="5"/>
  <c r="O1195" i="5"/>
  <c r="P1195" i="5"/>
  <c r="N1195" i="5"/>
  <c r="O1187" i="5"/>
  <c r="P1187" i="5"/>
  <c r="N1187" i="5"/>
  <c r="O1179" i="5"/>
  <c r="P1179" i="5"/>
  <c r="N1179" i="5"/>
  <c r="O1171" i="5"/>
  <c r="P1171" i="5"/>
  <c r="N1171" i="5"/>
  <c r="O1163" i="5"/>
  <c r="P1163" i="5"/>
  <c r="N1163" i="5"/>
  <c r="O1155" i="5"/>
  <c r="N1155" i="5"/>
  <c r="O1147" i="5"/>
  <c r="N1147" i="5"/>
  <c r="O1139" i="5"/>
  <c r="P1139" i="5"/>
  <c r="N1139" i="5"/>
  <c r="O1131" i="5"/>
  <c r="P1131" i="5"/>
  <c r="N1131" i="5"/>
  <c r="O1123" i="5"/>
  <c r="P1123" i="5"/>
  <c r="N1123" i="5"/>
  <c r="O1115" i="5"/>
  <c r="P1115" i="5"/>
  <c r="N1115" i="5"/>
  <c r="O1107" i="5"/>
  <c r="P1107" i="5"/>
  <c r="N1107" i="5"/>
  <c r="O1099" i="5"/>
  <c r="P1099" i="5"/>
  <c r="N1099" i="5"/>
  <c r="O1091" i="5"/>
  <c r="P1091" i="5"/>
  <c r="N1091" i="5"/>
  <c r="O1083" i="5"/>
  <c r="P1083" i="5"/>
  <c r="N1083" i="5"/>
  <c r="O1075" i="5"/>
  <c r="P1075" i="5"/>
  <c r="N1075" i="5"/>
  <c r="O1067" i="5"/>
  <c r="N1067" i="5"/>
  <c r="O1059" i="5"/>
  <c r="P1059" i="5"/>
  <c r="N1059" i="5"/>
  <c r="O1051" i="5"/>
  <c r="P1051" i="5"/>
  <c r="N1051" i="5"/>
  <c r="O1043" i="5"/>
  <c r="N1043" i="5"/>
  <c r="O1035" i="5"/>
  <c r="P1035" i="5"/>
  <c r="N1035" i="5"/>
  <c r="O1027" i="5"/>
  <c r="P1027" i="5"/>
  <c r="N1027" i="5"/>
  <c r="O1019" i="5"/>
  <c r="P1019" i="5"/>
  <c r="N1019" i="5"/>
  <c r="O1011" i="5"/>
  <c r="P1011" i="5"/>
  <c r="N1011" i="5"/>
  <c r="O1003" i="5"/>
  <c r="P1003" i="5"/>
  <c r="N1003" i="5"/>
  <c r="O995" i="5"/>
  <c r="P995" i="5"/>
  <c r="N995" i="5"/>
  <c r="O987" i="5"/>
  <c r="P987" i="5"/>
  <c r="N987" i="5"/>
  <c r="O979" i="5"/>
  <c r="P979" i="5"/>
  <c r="N979" i="5"/>
  <c r="O971" i="5"/>
  <c r="P971" i="5"/>
  <c r="N971" i="5"/>
  <c r="O963" i="5"/>
  <c r="P963" i="5"/>
  <c r="N963" i="5"/>
  <c r="O955" i="5"/>
  <c r="P955" i="5"/>
  <c r="N955" i="5"/>
  <c r="O947" i="5"/>
  <c r="P947" i="5"/>
  <c r="N947" i="5"/>
  <c r="O939" i="5"/>
  <c r="P939" i="5"/>
  <c r="N939" i="5"/>
  <c r="O931" i="5"/>
  <c r="P931" i="5"/>
  <c r="N931" i="5"/>
  <c r="O923" i="5"/>
  <c r="P923" i="5"/>
  <c r="N923" i="5"/>
  <c r="O915" i="5"/>
  <c r="P915" i="5"/>
  <c r="N915" i="5"/>
  <c r="O907" i="5"/>
  <c r="P907" i="5"/>
  <c r="N907" i="5"/>
  <c r="O899" i="5"/>
  <c r="P899" i="5"/>
  <c r="N899" i="5"/>
  <c r="O891" i="5"/>
  <c r="P891" i="5"/>
  <c r="N891" i="5"/>
  <c r="O883" i="5"/>
  <c r="N883" i="5"/>
  <c r="O875" i="5"/>
  <c r="P875" i="5"/>
  <c r="N875" i="5"/>
  <c r="O867" i="5"/>
  <c r="P867" i="5"/>
  <c r="N867" i="5"/>
  <c r="O859" i="5"/>
  <c r="P859" i="5"/>
  <c r="N859" i="5"/>
  <c r="P1211" i="5"/>
  <c r="P1124" i="5"/>
  <c r="P942" i="5"/>
  <c r="I684" i="5"/>
  <c r="J31" i="5"/>
  <c r="I31" i="5"/>
  <c r="J79" i="5"/>
  <c r="I79" i="5"/>
  <c r="J127" i="5"/>
  <c r="I127" i="5"/>
  <c r="J183" i="5"/>
  <c r="I183" i="5"/>
  <c r="J231" i="5"/>
  <c r="I231" i="5"/>
  <c r="J279" i="5"/>
  <c r="I279" i="5"/>
  <c r="J327" i="5"/>
  <c r="I327" i="5"/>
  <c r="J383" i="5"/>
  <c r="I383" i="5"/>
  <c r="J431" i="5"/>
  <c r="I431" i="5"/>
  <c r="J487" i="5"/>
  <c r="I487" i="5"/>
  <c r="J535" i="5"/>
  <c r="I535" i="5"/>
  <c r="J583" i="5"/>
  <c r="I583" i="5"/>
  <c r="J631" i="5"/>
  <c r="I631" i="5"/>
  <c r="J679" i="5"/>
  <c r="I679" i="5"/>
  <c r="J735" i="5"/>
  <c r="I735" i="5"/>
  <c r="J783" i="5"/>
  <c r="I783" i="5"/>
  <c r="J839" i="5"/>
  <c r="I839" i="5"/>
  <c r="J879" i="5"/>
  <c r="I879" i="5"/>
  <c r="J927" i="5"/>
  <c r="I927" i="5"/>
  <c r="J975" i="5"/>
  <c r="I975" i="5"/>
  <c r="J1023" i="5"/>
  <c r="I1023" i="5"/>
  <c r="J1071" i="5"/>
  <c r="I1071" i="5"/>
  <c r="J1119" i="5"/>
  <c r="I1119" i="5"/>
  <c r="J1167" i="5"/>
  <c r="I1167" i="5"/>
  <c r="J1223" i="5"/>
  <c r="I1223" i="5"/>
  <c r="J1271" i="5"/>
  <c r="I1271" i="5"/>
  <c r="J1319" i="5"/>
  <c r="I1319" i="5"/>
  <c r="O1296" i="5"/>
  <c r="P1296" i="5"/>
  <c r="N1296" i="5"/>
  <c r="O1248" i="5"/>
  <c r="P1248" i="5"/>
  <c r="N1248" i="5"/>
  <c r="O1208" i="5"/>
  <c r="P1208" i="5"/>
  <c r="N1208" i="5"/>
  <c r="O1152" i="5"/>
  <c r="P1152" i="5"/>
  <c r="N1152" i="5"/>
  <c r="O1104" i="5"/>
  <c r="P1104" i="5"/>
  <c r="N1104" i="5"/>
  <c r="O1064" i="5"/>
  <c r="P1064" i="5"/>
  <c r="N1064" i="5"/>
  <c r="O1024" i="5"/>
  <c r="P1024" i="5"/>
  <c r="N1024" i="5"/>
  <c r="O984" i="5"/>
  <c r="P984" i="5"/>
  <c r="N984" i="5"/>
  <c r="O952" i="5"/>
  <c r="P952" i="5"/>
  <c r="N952" i="5"/>
  <c r="O912" i="5"/>
  <c r="P912" i="5"/>
  <c r="N912" i="5"/>
  <c r="O880" i="5"/>
  <c r="P880" i="5"/>
  <c r="N880" i="5"/>
  <c r="O832" i="5"/>
  <c r="P832" i="5"/>
  <c r="N832" i="5"/>
  <c r="J48" i="5"/>
  <c r="I48" i="5"/>
  <c r="J96" i="5"/>
  <c r="I96" i="5"/>
  <c r="J144" i="5"/>
  <c r="I144" i="5"/>
  <c r="J200" i="5"/>
  <c r="I200" i="5"/>
  <c r="J248" i="5"/>
  <c r="I248" i="5"/>
  <c r="J296" i="5"/>
  <c r="I296" i="5"/>
  <c r="J344" i="5"/>
  <c r="I344" i="5"/>
  <c r="J392" i="5"/>
  <c r="I392" i="5"/>
  <c r="J456" i="5"/>
  <c r="I456" i="5"/>
  <c r="J504" i="5"/>
  <c r="I504" i="5"/>
  <c r="J552" i="5"/>
  <c r="I552" i="5"/>
  <c r="J600" i="5"/>
  <c r="I600" i="5"/>
  <c r="J648" i="5"/>
  <c r="I648" i="5"/>
  <c r="J696" i="5"/>
  <c r="I696" i="5"/>
  <c r="J744" i="5"/>
  <c r="I744" i="5"/>
  <c r="J792" i="5"/>
  <c r="I792" i="5"/>
  <c r="J848" i="5"/>
  <c r="I848" i="5"/>
  <c r="J904" i="5"/>
  <c r="I904" i="5"/>
  <c r="J952" i="5"/>
  <c r="I952" i="5"/>
  <c r="J1000" i="5"/>
  <c r="I1000" i="5"/>
  <c r="J1056" i="5"/>
  <c r="I1056" i="5"/>
  <c r="J1104" i="5"/>
  <c r="I1104" i="5"/>
  <c r="J1152" i="5"/>
  <c r="I1152" i="5"/>
  <c r="J1208" i="5"/>
  <c r="I1208" i="5"/>
  <c r="J1256" i="5"/>
  <c r="I1256" i="5"/>
  <c r="J1296" i="5"/>
  <c r="I1296" i="5"/>
  <c r="O1319" i="5"/>
  <c r="P1319" i="5"/>
  <c r="N1319" i="5"/>
  <c r="O1271" i="5"/>
  <c r="P1271" i="5"/>
  <c r="N1271" i="5"/>
  <c r="O1223" i="5"/>
  <c r="P1223" i="5"/>
  <c r="N1223" i="5"/>
  <c r="O1175" i="5"/>
  <c r="P1175" i="5"/>
  <c r="N1175" i="5"/>
  <c r="O1127" i="5"/>
  <c r="P1127" i="5"/>
  <c r="N1127" i="5"/>
  <c r="O1079" i="5"/>
  <c r="P1079" i="5"/>
  <c r="N1079" i="5"/>
  <c r="O1031" i="5"/>
  <c r="P1031" i="5"/>
  <c r="N1031" i="5"/>
  <c r="O975" i="5"/>
  <c r="P975" i="5"/>
  <c r="N975" i="5"/>
  <c r="O927" i="5"/>
  <c r="P927" i="5"/>
  <c r="N927" i="5"/>
  <c r="O879" i="5"/>
  <c r="P879" i="5"/>
  <c r="N879" i="5"/>
  <c r="O831" i="5"/>
  <c r="P831" i="5"/>
  <c r="N831" i="5"/>
  <c r="P783" i="5"/>
  <c r="O783" i="5"/>
  <c r="N783" i="5"/>
  <c r="O727" i="5"/>
  <c r="P727" i="5"/>
  <c r="N727" i="5"/>
  <c r="O679" i="5"/>
  <c r="P679" i="5"/>
  <c r="N679" i="5"/>
  <c r="O631" i="5"/>
  <c r="P631" i="5"/>
  <c r="N631" i="5"/>
  <c r="O575" i="5"/>
  <c r="P575" i="5"/>
  <c r="N575" i="5"/>
  <c r="O535" i="5"/>
  <c r="P535" i="5"/>
  <c r="N535" i="5"/>
  <c r="O487" i="5"/>
  <c r="P487" i="5"/>
  <c r="N487" i="5"/>
  <c r="O431" i="5"/>
  <c r="P431" i="5"/>
  <c r="N431" i="5"/>
  <c r="O383" i="5"/>
  <c r="P383" i="5"/>
  <c r="N383" i="5"/>
  <c r="O343" i="5"/>
  <c r="P343" i="5"/>
  <c r="N343" i="5"/>
  <c r="O295" i="5"/>
  <c r="P295" i="5"/>
  <c r="N295" i="5"/>
  <c r="O239" i="5"/>
  <c r="P239" i="5"/>
  <c r="N239" i="5"/>
  <c r="O191" i="5"/>
  <c r="P191" i="5"/>
  <c r="N191" i="5"/>
  <c r="O143" i="5"/>
  <c r="P143" i="5"/>
  <c r="N143" i="5"/>
  <c r="O15" i="5"/>
  <c r="N15" i="5"/>
  <c r="J5" i="5"/>
  <c r="I5" i="5"/>
  <c r="J13" i="5"/>
  <c r="I13" i="5"/>
  <c r="J21" i="5"/>
  <c r="I21" i="5"/>
  <c r="J29" i="5"/>
  <c r="I29" i="5"/>
  <c r="J37" i="5"/>
  <c r="I37" i="5"/>
  <c r="J45" i="5"/>
  <c r="I45" i="5"/>
  <c r="J53" i="5"/>
  <c r="I53" i="5"/>
  <c r="J61" i="5"/>
  <c r="I61" i="5"/>
  <c r="J69" i="5"/>
  <c r="I69" i="5"/>
  <c r="J77" i="5"/>
  <c r="I77" i="5"/>
  <c r="J85" i="5"/>
  <c r="I85" i="5"/>
  <c r="J93" i="5"/>
  <c r="I93" i="5"/>
  <c r="J101" i="5"/>
  <c r="I101" i="5"/>
  <c r="J109" i="5"/>
  <c r="I109" i="5"/>
  <c r="J117" i="5"/>
  <c r="I117" i="5"/>
  <c r="J125" i="5"/>
  <c r="I125" i="5"/>
  <c r="J133" i="5"/>
  <c r="I133" i="5"/>
  <c r="J141" i="5"/>
  <c r="I141" i="5"/>
  <c r="J149" i="5"/>
  <c r="I149" i="5"/>
  <c r="J157" i="5"/>
  <c r="I157" i="5"/>
  <c r="J165" i="5"/>
  <c r="I165" i="5"/>
  <c r="J173" i="5"/>
  <c r="I173" i="5"/>
  <c r="J181" i="5"/>
  <c r="I181" i="5"/>
  <c r="J189" i="5"/>
  <c r="I189" i="5"/>
  <c r="J197" i="5"/>
  <c r="I197" i="5"/>
  <c r="J205" i="5"/>
  <c r="I205" i="5"/>
  <c r="J213" i="5"/>
  <c r="I213" i="5"/>
  <c r="J221" i="5"/>
  <c r="I221" i="5"/>
  <c r="J229" i="5"/>
  <c r="I229" i="5"/>
  <c r="J237" i="5"/>
  <c r="I237" i="5"/>
  <c r="J245" i="5"/>
  <c r="I245" i="5"/>
  <c r="J253" i="5"/>
  <c r="I253" i="5"/>
  <c r="J261" i="5"/>
  <c r="I261" i="5"/>
  <c r="J269" i="5"/>
  <c r="I269" i="5"/>
  <c r="J277" i="5"/>
  <c r="I277" i="5"/>
  <c r="J285" i="5"/>
  <c r="I285" i="5"/>
  <c r="J293" i="5"/>
  <c r="I293" i="5"/>
  <c r="J301" i="5"/>
  <c r="I301" i="5"/>
  <c r="J309" i="5"/>
  <c r="I309" i="5"/>
  <c r="J317" i="5"/>
  <c r="I317" i="5"/>
  <c r="J325" i="5"/>
  <c r="I325" i="5"/>
  <c r="J333" i="5"/>
  <c r="I333" i="5"/>
  <c r="J341" i="5"/>
  <c r="I341" i="5"/>
  <c r="J349" i="5"/>
  <c r="I349" i="5"/>
  <c r="J357" i="5"/>
  <c r="I357" i="5"/>
  <c r="J365" i="5"/>
  <c r="I365" i="5"/>
  <c r="J373" i="5"/>
  <c r="I373" i="5"/>
  <c r="J381" i="5"/>
  <c r="I381" i="5"/>
  <c r="J389" i="5"/>
  <c r="I389" i="5"/>
  <c r="J397" i="5"/>
  <c r="I397" i="5"/>
  <c r="J405" i="5"/>
  <c r="I405" i="5"/>
  <c r="J413" i="5"/>
  <c r="I413" i="5"/>
  <c r="J421" i="5"/>
  <c r="I421" i="5"/>
  <c r="J429" i="5"/>
  <c r="I429" i="5"/>
  <c r="J437" i="5"/>
  <c r="I437" i="5"/>
  <c r="J445" i="5"/>
  <c r="I445" i="5"/>
  <c r="J453" i="5"/>
  <c r="I453" i="5"/>
  <c r="J461" i="5"/>
  <c r="I461" i="5"/>
  <c r="J469" i="5"/>
  <c r="I469" i="5"/>
  <c r="J477" i="5"/>
  <c r="I477" i="5"/>
  <c r="J485" i="5"/>
  <c r="I485" i="5"/>
  <c r="J493" i="5"/>
  <c r="I493" i="5"/>
  <c r="J501" i="5"/>
  <c r="I501" i="5"/>
  <c r="J509" i="5"/>
  <c r="I509" i="5"/>
  <c r="J517" i="5"/>
  <c r="I517" i="5"/>
  <c r="J525" i="5"/>
  <c r="I525" i="5"/>
  <c r="J533" i="5"/>
  <c r="I533" i="5"/>
  <c r="J541" i="5"/>
  <c r="I541" i="5"/>
  <c r="J549" i="5"/>
  <c r="I549" i="5"/>
  <c r="J557" i="5"/>
  <c r="I557" i="5"/>
  <c r="J565" i="5"/>
  <c r="I565" i="5"/>
  <c r="J573" i="5"/>
  <c r="I573" i="5"/>
  <c r="J581" i="5"/>
  <c r="I581" i="5"/>
  <c r="J589" i="5"/>
  <c r="I589" i="5"/>
  <c r="J597" i="5"/>
  <c r="I597" i="5"/>
  <c r="J605" i="5"/>
  <c r="I605" i="5"/>
  <c r="J613" i="5"/>
  <c r="I613" i="5"/>
  <c r="J621" i="5"/>
  <c r="I621" i="5"/>
  <c r="J629" i="5"/>
  <c r="I629" i="5"/>
  <c r="J637" i="5"/>
  <c r="I637" i="5"/>
  <c r="J645" i="5"/>
  <c r="I645" i="5"/>
  <c r="J653" i="5"/>
  <c r="I653" i="5"/>
  <c r="J661" i="5"/>
  <c r="I661" i="5"/>
  <c r="J669" i="5"/>
  <c r="I669" i="5"/>
  <c r="J677" i="5"/>
  <c r="I677" i="5"/>
  <c r="J685" i="5"/>
  <c r="I685" i="5"/>
  <c r="J693" i="5"/>
  <c r="I693" i="5"/>
  <c r="J701" i="5"/>
  <c r="I701" i="5"/>
  <c r="J709" i="5"/>
  <c r="I709" i="5"/>
  <c r="J717" i="5"/>
  <c r="I717" i="5"/>
  <c r="J725" i="5"/>
  <c r="I725" i="5"/>
  <c r="J733" i="5"/>
  <c r="I733" i="5"/>
  <c r="J741" i="5"/>
  <c r="I741" i="5"/>
  <c r="J749" i="5"/>
  <c r="I749" i="5"/>
  <c r="J757" i="5"/>
  <c r="I757" i="5"/>
  <c r="J765" i="5"/>
  <c r="I765" i="5"/>
  <c r="J773" i="5"/>
  <c r="I773" i="5"/>
  <c r="J781" i="5"/>
  <c r="I781" i="5"/>
  <c r="J789" i="5"/>
  <c r="I789" i="5"/>
  <c r="J797" i="5"/>
  <c r="I797" i="5"/>
  <c r="J805" i="5"/>
  <c r="I805" i="5"/>
  <c r="J813" i="5"/>
  <c r="I813" i="5"/>
  <c r="J821" i="5"/>
  <c r="I821" i="5"/>
  <c r="J829" i="5"/>
  <c r="I829" i="5"/>
  <c r="J837" i="5"/>
  <c r="I837" i="5"/>
  <c r="J845" i="5"/>
  <c r="I845" i="5"/>
  <c r="J853" i="5"/>
  <c r="I853" i="5"/>
  <c r="J861" i="5"/>
  <c r="I861" i="5"/>
  <c r="J869" i="5"/>
  <c r="I869" i="5"/>
  <c r="J877" i="5"/>
  <c r="I877" i="5"/>
  <c r="J885" i="5"/>
  <c r="I885" i="5"/>
  <c r="J893" i="5"/>
  <c r="I893" i="5"/>
  <c r="J901" i="5"/>
  <c r="I901" i="5"/>
  <c r="J909" i="5"/>
  <c r="I909" i="5"/>
  <c r="J917" i="5"/>
  <c r="I917" i="5"/>
  <c r="J925" i="5"/>
  <c r="I925" i="5"/>
  <c r="J933" i="5"/>
  <c r="I933" i="5"/>
  <c r="J941" i="5"/>
  <c r="I941" i="5"/>
  <c r="J949" i="5"/>
  <c r="I949" i="5"/>
  <c r="J957" i="5"/>
  <c r="I957" i="5"/>
  <c r="J965" i="5"/>
  <c r="I965" i="5"/>
  <c r="J973" i="5"/>
  <c r="I973" i="5"/>
  <c r="H981" i="5"/>
  <c r="J981" i="5"/>
  <c r="I981" i="5"/>
  <c r="J989" i="5"/>
  <c r="I989" i="5"/>
  <c r="J997" i="5"/>
  <c r="I997" i="5"/>
  <c r="J1005" i="5"/>
  <c r="I1005" i="5"/>
  <c r="J1013" i="5"/>
  <c r="I1013" i="5"/>
  <c r="J1021" i="5"/>
  <c r="I1021" i="5"/>
  <c r="J1029" i="5"/>
  <c r="I1029" i="5"/>
  <c r="J1037" i="5"/>
  <c r="I1037" i="5"/>
  <c r="J1045" i="5"/>
  <c r="I1045" i="5"/>
  <c r="J1053" i="5"/>
  <c r="I1053" i="5"/>
  <c r="J1061" i="5"/>
  <c r="I1061" i="5"/>
  <c r="H1069" i="5"/>
  <c r="J1069" i="5"/>
  <c r="I1069" i="5"/>
  <c r="J1077" i="5"/>
  <c r="I1077" i="5"/>
  <c r="J1085" i="5"/>
  <c r="I1085" i="5"/>
  <c r="J1093" i="5"/>
  <c r="I1093" i="5"/>
  <c r="J1101" i="5"/>
  <c r="I1101" i="5"/>
  <c r="J1109" i="5"/>
  <c r="I1109" i="5"/>
  <c r="J1117" i="5"/>
  <c r="I1117" i="5"/>
  <c r="J1125" i="5"/>
  <c r="I1125" i="5"/>
  <c r="J1133" i="5"/>
  <c r="I1133" i="5"/>
  <c r="J1141" i="5"/>
  <c r="I1141" i="5"/>
  <c r="J1149" i="5"/>
  <c r="I1149" i="5"/>
  <c r="J1157" i="5"/>
  <c r="I1157" i="5"/>
  <c r="J1165" i="5"/>
  <c r="I1165" i="5"/>
  <c r="J1173" i="5"/>
  <c r="I1173" i="5"/>
  <c r="J1181" i="5"/>
  <c r="I1181" i="5"/>
  <c r="J1189" i="5"/>
  <c r="I1189" i="5"/>
  <c r="J1197" i="5"/>
  <c r="I1197" i="5"/>
  <c r="J1205" i="5"/>
  <c r="I1205" i="5"/>
  <c r="J1213" i="5"/>
  <c r="I1213" i="5"/>
  <c r="J1221" i="5"/>
  <c r="I1221" i="5"/>
  <c r="J1229" i="5"/>
  <c r="I1229" i="5"/>
  <c r="J1237" i="5"/>
  <c r="I1237" i="5"/>
  <c r="J1245" i="5"/>
  <c r="I1245" i="5"/>
  <c r="J1253" i="5"/>
  <c r="I1253" i="5"/>
  <c r="J1261" i="5"/>
  <c r="I1261" i="5"/>
  <c r="J1269" i="5"/>
  <c r="I1269" i="5"/>
  <c r="J1277" i="5"/>
  <c r="I1277" i="5"/>
  <c r="J1285" i="5"/>
  <c r="I1285" i="5"/>
  <c r="J1293" i="5"/>
  <c r="I1293" i="5"/>
  <c r="J1301" i="5"/>
  <c r="I1301" i="5"/>
  <c r="J1309" i="5"/>
  <c r="I1309" i="5"/>
  <c r="J1317" i="5"/>
  <c r="I1317" i="5"/>
  <c r="J1325" i="5"/>
  <c r="I1325" i="5"/>
  <c r="O1330" i="5"/>
  <c r="P1330" i="5"/>
  <c r="N1330" i="5"/>
  <c r="O1322" i="5"/>
  <c r="P1322" i="5"/>
  <c r="N1322" i="5"/>
  <c r="O1314" i="5"/>
  <c r="P1314" i="5"/>
  <c r="N1314" i="5"/>
  <c r="O1306" i="5"/>
  <c r="N1306" i="5"/>
  <c r="O1298" i="5"/>
  <c r="N1298" i="5"/>
  <c r="O1290" i="5"/>
  <c r="P1290" i="5"/>
  <c r="N1290" i="5"/>
  <c r="O1282" i="5"/>
  <c r="N1282" i="5"/>
  <c r="P1282" i="5"/>
  <c r="O1274" i="5"/>
  <c r="P1274" i="5"/>
  <c r="N1274" i="5"/>
  <c r="O1266" i="5"/>
  <c r="P1266" i="5"/>
  <c r="N1266" i="5"/>
  <c r="O1258" i="5"/>
  <c r="P1258" i="5"/>
  <c r="N1258" i="5"/>
  <c r="O1250" i="5"/>
  <c r="P1250" i="5"/>
  <c r="N1250" i="5"/>
  <c r="O1242" i="5"/>
  <c r="N1242" i="5"/>
  <c r="O1234" i="5"/>
  <c r="N1234" i="5"/>
  <c r="O1226" i="5"/>
  <c r="P1226" i="5"/>
  <c r="N1226" i="5"/>
  <c r="O1218" i="5"/>
  <c r="N1218" i="5"/>
  <c r="P1218" i="5"/>
  <c r="O1210" i="5"/>
  <c r="P1210" i="5"/>
  <c r="N1210" i="5"/>
  <c r="O1202" i="5"/>
  <c r="P1202" i="5"/>
  <c r="N1202" i="5"/>
  <c r="O1194" i="5"/>
  <c r="P1194" i="5"/>
  <c r="N1194" i="5"/>
  <c r="O1186" i="5"/>
  <c r="P1186" i="5"/>
  <c r="N1186" i="5"/>
  <c r="O1178" i="5"/>
  <c r="N1178" i="5"/>
  <c r="O1170" i="5"/>
  <c r="N1170" i="5"/>
  <c r="O1162" i="5"/>
  <c r="P1162" i="5"/>
  <c r="N1162" i="5"/>
  <c r="O1154" i="5"/>
  <c r="N1154" i="5"/>
  <c r="P1154" i="5"/>
  <c r="O1146" i="5"/>
  <c r="P1146" i="5"/>
  <c r="N1146" i="5"/>
  <c r="O1138" i="5"/>
  <c r="P1138" i="5"/>
  <c r="N1138" i="5"/>
  <c r="O1130" i="5"/>
  <c r="P1130" i="5"/>
  <c r="N1130" i="5"/>
  <c r="O1122" i="5"/>
  <c r="P1122" i="5"/>
  <c r="N1122" i="5"/>
  <c r="O1114" i="5"/>
  <c r="P1114" i="5"/>
  <c r="N1114" i="5"/>
  <c r="O1106" i="5"/>
  <c r="P1106" i="5"/>
  <c r="N1106" i="5"/>
  <c r="O1098" i="5"/>
  <c r="P1098" i="5"/>
  <c r="N1098" i="5"/>
  <c r="O1090" i="5"/>
  <c r="P1090" i="5"/>
  <c r="N1090" i="5"/>
  <c r="P1082" i="5"/>
  <c r="O1082" i="5"/>
  <c r="N1082" i="5"/>
  <c r="O1074" i="5"/>
  <c r="P1074" i="5"/>
  <c r="N1074" i="5"/>
  <c r="O1066" i="5"/>
  <c r="P1066" i="5"/>
  <c r="N1066" i="5"/>
  <c r="O1058" i="5"/>
  <c r="P1058" i="5"/>
  <c r="N1058" i="5"/>
  <c r="O1050" i="5"/>
  <c r="P1050" i="5"/>
  <c r="N1050" i="5"/>
  <c r="O1042" i="5"/>
  <c r="P1042" i="5"/>
  <c r="N1042" i="5"/>
  <c r="O1034" i="5"/>
  <c r="P1034" i="5"/>
  <c r="N1034" i="5"/>
  <c r="O1026" i="5"/>
  <c r="P1026" i="5"/>
  <c r="N1026" i="5"/>
  <c r="O1018" i="5"/>
  <c r="P1018" i="5"/>
  <c r="N1018" i="5"/>
  <c r="O1010" i="5"/>
  <c r="P1010" i="5"/>
  <c r="N1010" i="5"/>
  <c r="O1002" i="5"/>
  <c r="P1002" i="5"/>
  <c r="N1002" i="5"/>
  <c r="O994" i="5"/>
  <c r="P994" i="5"/>
  <c r="N994" i="5"/>
  <c r="O986" i="5"/>
  <c r="P986" i="5"/>
  <c r="N986" i="5"/>
  <c r="O978" i="5"/>
  <c r="P978" i="5"/>
  <c r="N978" i="5"/>
  <c r="O970" i="5"/>
  <c r="P970" i="5"/>
  <c r="N970" i="5"/>
  <c r="O962" i="5"/>
  <c r="P962" i="5"/>
  <c r="N962" i="5"/>
  <c r="O954" i="5"/>
  <c r="P954" i="5"/>
  <c r="N954" i="5"/>
  <c r="O946" i="5"/>
  <c r="P946" i="5"/>
  <c r="N946" i="5"/>
  <c r="O938" i="5"/>
  <c r="P938" i="5"/>
  <c r="N938" i="5"/>
  <c r="O930" i="5"/>
  <c r="P930" i="5"/>
  <c r="N930" i="5"/>
  <c r="O922" i="5"/>
  <c r="P922" i="5"/>
  <c r="N922" i="5"/>
  <c r="O914" i="5"/>
  <c r="P914" i="5"/>
  <c r="N914" i="5"/>
  <c r="O906" i="5"/>
  <c r="P906" i="5"/>
  <c r="N906" i="5"/>
  <c r="O898" i="5"/>
  <c r="P898" i="5"/>
  <c r="N898" i="5"/>
  <c r="O890" i="5"/>
  <c r="P890" i="5"/>
  <c r="N890" i="5"/>
  <c r="O882" i="5"/>
  <c r="P882" i="5"/>
  <c r="N882" i="5"/>
  <c r="O874" i="5"/>
  <c r="P874" i="5"/>
  <c r="N874" i="5"/>
  <c r="O866" i="5"/>
  <c r="P866" i="5"/>
  <c r="N866" i="5"/>
  <c r="O858" i="5"/>
  <c r="P858" i="5"/>
  <c r="N858" i="5"/>
  <c r="O850" i="5"/>
  <c r="P850" i="5"/>
  <c r="N850" i="5"/>
  <c r="O842" i="5"/>
  <c r="P842" i="5"/>
  <c r="N842" i="5"/>
  <c r="O834" i="5"/>
  <c r="P834" i="5"/>
  <c r="N834" i="5"/>
  <c r="O826" i="5"/>
  <c r="P826" i="5"/>
  <c r="N826" i="5"/>
  <c r="O818" i="5"/>
  <c r="P818" i="5"/>
  <c r="N818" i="5"/>
  <c r="O810" i="5"/>
  <c r="P810" i="5"/>
  <c r="N810" i="5"/>
  <c r="O802" i="5"/>
  <c r="P802" i="5"/>
  <c r="N802" i="5"/>
  <c r="O794" i="5"/>
  <c r="P794" i="5"/>
  <c r="N794" i="5"/>
  <c r="O786" i="5"/>
  <c r="P786" i="5"/>
  <c r="N786" i="5"/>
  <c r="O778" i="5"/>
  <c r="P778" i="5"/>
  <c r="N778" i="5"/>
  <c r="O770" i="5"/>
  <c r="P770" i="5"/>
  <c r="N770" i="5"/>
  <c r="O762" i="5"/>
  <c r="P762" i="5"/>
  <c r="N762" i="5"/>
  <c r="O754" i="5"/>
  <c r="P754" i="5"/>
  <c r="N754" i="5"/>
  <c r="O746" i="5"/>
  <c r="P746" i="5"/>
  <c r="N746" i="5"/>
  <c r="O738" i="5"/>
  <c r="P738" i="5"/>
  <c r="N738" i="5"/>
  <c r="P730" i="5"/>
  <c r="O730" i="5"/>
  <c r="N730" i="5"/>
  <c r="O722" i="5"/>
  <c r="P722" i="5"/>
  <c r="N722" i="5"/>
  <c r="O714" i="5"/>
  <c r="P714" i="5"/>
  <c r="N714" i="5"/>
  <c r="O706" i="5"/>
  <c r="P706" i="5"/>
  <c r="N706" i="5"/>
  <c r="P698" i="5"/>
  <c r="O698" i="5"/>
  <c r="N698" i="5"/>
  <c r="O690" i="5"/>
  <c r="P690" i="5"/>
  <c r="N690" i="5"/>
  <c r="O682" i="5"/>
  <c r="P682" i="5"/>
  <c r="N682" i="5"/>
  <c r="O674" i="5"/>
  <c r="P674" i="5"/>
  <c r="N674" i="5"/>
  <c r="O666" i="5"/>
  <c r="P666" i="5"/>
  <c r="N666" i="5"/>
  <c r="O658" i="5"/>
  <c r="P658" i="5"/>
  <c r="N658" i="5"/>
  <c r="O650" i="5"/>
  <c r="P650" i="5"/>
  <c r="N650" i="5"/>
  <c r="O642" i="5"/>
  <c r="P642" i="5"/>
  <c r="N642" i="5"/>
  <c r="O634" i="5"/>
  <c r="P634" i="5"/>
  <c r="N634" i="5"/>
  <c r="O626" i="5"/>
  <c r="P626" i="5"/>
  <c r="N626" i="5"/>
  <c r="O618" i="5"/>
  <c r="P618" i="5"/>
  <c r="N618" i="5"/>
  <c r="O610" i="5"/>
  <c r="P610" i="5"/>
  <c r="N610" i="5"/>
  <c r="O602" i="5"/>
  <c r="P602" i="5"/>
  <c r="N602" i="5"/>
  <c r="O594" i="5"/>
  <c r="P594" i="5"/>
  <c r="N594" i="5"/>
  <c r="O586" i="5"/>
  <c r="P586" i="5"/>
  <c r="N586" i="5"/>
  <c r="O578" i="5"/>
  <c r="P578" i="5"/>
  <c r="N578" i="5"/>
  <c r="O570" i="5"/>
  <c r="P570" i="5"/>
  <c r="N570" i="5"/>
  <c r="O562" i="5"/>
  <c r="P562" i="5"/>
  <c r="N562" i="5"/>
  <c r="O554" i="5"/>
  <c r="P554" i="5"/>
  <c r="N554" i="5"/>
  <c r="O546" i="5"/>
  <c r="P546" i="5"/>
  <c r="N546" i="5"/>
  <c r="O538" i="5"/>
  <c r="P538" i="5"/>
  <c r="N538" i="5"/>
  <c r="O530" i="5"/>
  <c r="P530" i="5"/>
  <c r="N530" i="5"/>
  <c r="O522" i="5"/>
  <c r="P522" i="5"/>
  <c r="N522" i="5"/>
  <c r="O514" i="5"/>
  <c r="P514" i="5"/>
  <c r="N514" i="5"/>
  <c r="O506" i="5"/>
  <c r="P506" i="5"/>
  <c r="N506" i="5"/>
  <c r="O498" i="5"/>
  <c r="P498" i="5"/>
  <c r="N498" i="5"/>
  <c r="O490" i="5"/>
  <c r="P490" i="5"/>
  <c r="N490" i="5"/>
  <c r="O482" i="5"/>
  <c r="P482" i="5"/>
  <c r="N482" i="5"/>
  <c r="O474" i="5"/>
  <c r="P474" i="5"/>
  <c r="N474" i="5"/>
  <c r="O466" i="5"/>
  <c r="P466" i="5"/>
  <c r="N466" i="5"/>
  <c r="O458" i="5"/>
  <c r="P458" i="5"/>
  <c r="N458" i="5"/>
  <c r="O450" i="5"/>
  <c r="P450" i="5"/>
  <c r="N450" i="5"/>
  <c r="O442" i="5"/>
  <c r="P442" i="5"/>
  <c r="N442" i="5"/>
  <c r="O434" i="5"/>
  <c r="P434" i="5"/>
  <c r="N434" i="5"/>
  <c r="O426" i="5"/>
  <c r="P426" i="5"/>
  <c r="N426" i="5"/>
  <c r="O418" i="5"/>
  <c r="P418" i="5"/>
  <c r="N418" i="5"/>
  <c r="O410" i="5"/>
  <c r="P410" i="5"/>
  <c r="N410" i="5"/>
  <c r="O402" i="5"/>
  <c r="P402" i="5"/>
  <c r="N402" i="5"/>
  <c r="O394" i="5"/>
  <c r="P394" i="5"/>
  <c r="N394" i="5"/>
  <c r="O386" i="5"/>
  <c r="P386" i="5"/>
  <c r="N386" i="5"/>
  <c r="O378" i="5"/>
  <c r="P378" i="5"/>
  <c r="N378" i="5"/>
  <c r="O370" i="5"/>
  <c r="P370" i="5"/>
  <c r="N370" i="5"/>
  <c r="O362" i="5"/>
  <c r="P362" i="5"/>
  <c r="N362" i="5"/>
  <c r="O354" i="5"/>
  <c r="P354" i="5"/>
  <c r="N354" i="5"/>
  <c r="O346" i="5"/>
  <c r="P346" i="5"/>
  <c r="N346" i="5"/>
  <c r="O338" i="5"/>
  <c r="P338" i="5"/>
  <c r="N338" i="5"/>
  <c r="O330" i="5"/>
  <c r="P330" i="5"/>
  <c r="N330" i="5"/>
  <c r="O322" i="5"/>
  <c r="P322" i="5"/>
  <c r="N322" i="5"/>
  <c r="O314" i="5"/>
  <c r="P314" i="5"/>
  <c r="N314" i="5"/>
  <c r="O306" i="5"/>
  <c r="P306" i="5"/>
  <c r="N306" i="5"/>
  <c r="O298" i="5"/>
  <c r="P298" i="5"/>
  <c r="N298" i="5"/>
  <c r="O290" i="5"/>
  <c r="P290" i="5"/>
  <c r="N290" i="5"/>
  <c r="O282" i="5"/>
  <c r="P282" i="5"/>
  <c r="N282" i="5"/>
  <c r="O274" i="5"/>
  <c r="P274" i="5"/>
  <c r="N274" i="5"/>
  <c r="O266" i="5"/>
  <c r="P266" i="5"/>
  <c r="N266" i="5"/>
  <c r="O258" i="5"/>
  <c r="P258" i="5"/>
  <c r="N258" i="5"/>
  <c r="O250" i="5"/>
  <c r="P250" i="5"/>
  <c r="N250" i="5"/>
  <c r="O242" i="5"/>
  <c r="P242" i="5"/>
  <c r="N242" i="5"/>
  <c r="O234" i="5"/>
  <c r="P234" i="5"/>
  <c r="N234" i="5"/>
  <c r="O226" i="5"/>
  <c r="P226" i="5"/>
  <c r="N226" i="5"/>
  <c r="O218" i="5"/>
  <c r="P218" i="5"/>
  <c r="N218" i="5"/>
  <c r="O210" i="5"/>
  <c r="P210" i="5"/>
  <c r="N210" i="5"/>
  <c r="O202" i="5"/>
  <c r="P202" i="5"/>
  <c r="N202" i="5"/>
  <c r="O194" i="5"/>
  <c r="P194" i="5"/>
  <c r="N194" i="5"/>
  <c r="O186" i="5"/>
  <c r="P186" i="5"/>
  <c r="N186" i="5"/>
  <c r="O178" i="5"/>
  <c r="P178" i="5"/>
  <c r="N178" i="5"/>
  <c r="O170" i="5"/>
  <c r="P170" i="5"/>
  <c r="N170" i="5"/>
  <c r="O162" i="5"/>
  <c r="P162" i="5"/>
  <c r="N162" i="5"/>
  <c r="O154" i="5"/>
  <c r="P154" i="5"/>
  <c r="N154" i="5"/>
  <c r="O146" i="5"/>
  <c r="P146" i="5"/>
  <c r="N146" i="5"/>
  <c r="O138" i="5"/>
  <c r="P138" i="5"/>
  <c r="N138" i="5"/>
  <c r="O130" i="5"/>
  <c r="P130" i="5"/>
  <c r="N130" i="5"/>
  <c r="O122" i="5"/>
  <c r="P122" i="5"/>
  <c r="N122" i="5"/>
  <c r="O114" i="5"/>
  <c r="P114" i="5"/>
  <c r="N114" i="5"/>
  <c r="O106" i="5"/>
  <c r="P106" i="5"/>
  <c r="N106" i="5"/>
  <c r="O98" i="5"/>
  <c r="P98" i="5"/>
  <c r="N98" i="5"/>
  <c r="O90" i="5"/>
  <c r="P90" i="5"/>
  <c r="N90" i="5"/>
  <c r="O82" i="5"/>
  <c r="P82" i="5"/>
  <c r="N82" i="5"/>
  <c r="O74" i="5"/>
  <c r="P74" i="5"/>
  <c r="N74" i="5"/>
  <c r="O66" i="5"/>
  <c r="P66" i="5"/>
  <c r="N66" i="5"/>
  <c r="O58" i="5"/>
  <c r="N58" i="5"/>
  <c r="P58" i="5"/>
  <c r="O50" i="5"/>
  <c r="P50" i="5"/>
  <c r="N50" i="5"/>
  <c r="O42" i="5"/>
  <c r="P42" i="5"/>
  <c r="N42" i="5"/>
  <c r="O34" i="5"/>
  <c r="P34" i="5"/>
  <c r="N34" i="5"/>
  <c r="O26" i="5"/>
  <c r="P26" i="5"/>
  <c r="N26" i="5"/>
  <c r="O18" i="5"/>
  <c r="P18" i="5"/>
  <c r="N18" i="5"/>
  <c r="O10" i="5"/>
  <c r="P10" i="5"/>
  <c r="N10" i="5"/>
  <c r="O2" i="5"/>
  <c r="P2" i="5"/>
  <c r="N2" i="5"/>
  <c r="N1300" i="5"/>
  <c r="N1268" i="5"/>
  <c r="N1236" i="5"/>
  <c r="N1204" i="5"/>
  <c r="N1172" i="5"/>
  <c r="N1140" i="5"/>
  <c r="N1108" i="5"/>
  <c r="N1076" i="5"/>
  <c r="N1044" i="5"/>
  <c r="N1012" i="5"/>
  <c r="N980" i="5"/>
  <c r="N948" i="5"/>
  <c r="N916" i="5"/>
  <c r="P1283" i="5"/>
  <c r="P1198" i="5"/>
  <c r="P1108" i="5"/>
  <c r="P883" i="5"/>
  <c r="I438" i="5"/>
  <c r="J23" i="5"/>
  <c r="I23" i="5"/>
  <c r="J63" i="5"/>
  <c r="I63" i="5"/>
  <c r="J111" i="5"/>
  <c r="I111" i="5"/>
  <c r="J159" i="5"/>
  <c r="I159" i="5"/>
  <c r="J207" i="5"/>
  <c r="I207" i="5"/>
  <c r="J255" i="5"/>
  <c r="I255" i="5"/>
  <c r="J303" i="5"/>
  <c r="I303" i="5"/>
  <c r="J351" i="5"/>
  <c r="I351" i="5"/>
  <c r="J407" i="5"/>
  <c r="I407" i="5"/>
  <c r="J455" i="5"/>
  <c r="I455" i="5"/>
  <c r="J503" i="5"/>
  <c r="I503" i="5"/>
  <c r="J551" i="5"/>
  <c r="I551" i="5"/>
  <c r="J599" i="5"/>
  <c r="I599" i="5"/>
  <c r="J647" i="5"/>
  <c r="I647" i="5"/>
  <c r="J695" i="5"/>
  <c r="I695" i="5"/>
  <c r="J751" i="5"/>
  <c r="I751" i="5"/>
  <c r="J799" i="5"/>
  <c r="I799" i="5"/>
  <c r="J847" i="5"/>
  <c r="I847" i="5"/>
  <c r="J895" i="5"/>
  <c r="I895" i="5"/>
  <c r="J935" i="5"/>
  <c r="I935" i="5"/>
  <c r="J983" i="5"/>
  <c r="I983" i="5"/>
  <c r="J1031" i="5"/>
  <c r="I1031" i="5"/>
  <c r="J1079" i="5"/>
  <c r="I1079" i="5"/>
  <c r="J1127" i="5"/>
  <c r="I1127" i="5"/>
  <c r="J1175" i="5"/>
  <c r="I1175" i="5"/>
  <c r="H1239" i="5"/>
  <c r="J1239" i="5"/>
  <c r="I1239" i="5"/>
  <c r="J1287" i="5"/>
  <c r="I1287" i="5"/>
  <c r="O1320" i="5"/>
  <c r="P1320" i="5"/>
  <c r="N1320" i="5"/>
  <c r="O1272" i="5"/>
  <c r="P1272" i="5"/>
  <c r="N1272" i="5"/>
  <c r="O1232" i="5"/>
  <c r="P1232" i="5"/>
  <c r="N1232" i="5"/>
  <c r="O1192" i="5"/>
  <c r="P1192" i="5"/>
  <c r="N1192" i="5"/>
  <c r="O1144" i="5"/>
  <c r="P1144" i="5"/>
  <c r="N1144" i="5"/>
  <c r="O1112" i="5"/>
  <c r="P1112" i="5"/>
  <c r="N1112" i="5"/>
  <c r="O1056" i="5"/>
  <c r="P1056" i="5"/>
  <c r="N1056" i="5"/>
  <c r="O1016" i="5"/>
  <c r="P1016" i="5"/>
  <c r="N1016" i="5"/>
  <c r="O976" i="5"/>
  <c r="P976" i="5"/>
  <c r="N976" i="5"/>
  <c r="O936" i="5"/>
  <c r="P936" i="5"/>
  <c r="N936" i="5"/>
  <c r="O896" i="5"/>
  <c r="P896" i="5"/>
  <c r="N896" i="5"/>
  <c r="O864" i="5"/>
  <c r="P864" i="5"/>
  <c r="N864" i="5"/>
  <c r="O824" i="5"/>
  <c r="P824" i="5"/>
  <c r="N824" i="5"/>
  <c r="J16" i="5"/>
  <c r="I16" i="5"/>
  <c r="J64" i="5"/>
  <c r="I64" i="5"/>
  <c r="J112" i="5"/>
  <c r="I112" i="5"/>
  <c r="J160" i="5"/>
  <c r="I160" i="5"/>
  <c r="J208" i="5"/>
  <c r="I208" i="5"/>
  <c r="J264" i="5"/>
  <c r="I264" i="5"/>
  <c r="J320" i="5"/>
  <c r="I320" i="5"/>
  <c r="J368" i="5"/>
  <c r="I368" i="5"/>
  <c r="J416" i="5"/>
  <c r="I416" i="5"/>
  <c r="J464" i="5"/>
  <c r="I464" i="5"/>
  <c r="J512" i="5"/>
  <c r="I512" i="5"/>
  <c r="J560" i="5"/>
  <c r="I560" i="5"/>
  <c r="J608" i="5"/>
  <c r="I608" i="5"/>
  <c r="J672" i="5"/>
  <c r="I672" i="5"/>
  <c r="J720" i="5"/>
  <c r="I720" i="5"/>
  <c r="J768" i="5"/>
  <c r="I768" i="5"/>
  <c r="J816" i="5"/>
  <c r="I816" i="5"/>
  <c r="J864" i="5"/>
  <c r="I864" i="5"/>
  <c r="J912" i="5"/>
  <c r="I912" i="5"/>
  <c r="J960" i="5"/>
  <c r="I960" i="5"/>
  <c r="J1016" i="5"/>
  <c r="I1016" i="5"/>
  <c r="J1064" i="5"/>
  <c r="I1064" i="5"/>
  <c r="J1112" i="5"/>
  <c r="I1112" i="5"/>
  <c r="J1168" i="5"/>
  <c r="I1168" i="5"/>
  <c r="J1224" i="5"/>
  <c r="I1224" i="5"/>
  <c r="J1264" i="5"/>
  <c r="I1264" i="5"/>
  <c r="J1304" i="5"/>
  <c r="I1304" i="5"/>
  <c r="O1311" i="5"/>
  <c r="P1311" i="5"/>
  <c r="N1311" i="5"/>
  <c r="O1263" i="5"/>
  <c r="P1263" i="5"/>
  <c r="N1263" i="5"/>
  <c r="O1215" i="5"/>
  <c r="P1215" i="5"/>
  <c r="N1215" i="5"/>
  <c r="O1167" i="5"/>
  <c r="P1167" i="5"/>
  <c r="N1167" i="5"/>
  <c r="O1119" i="5"/>
  <c r="N1119" i="5"/>
  <c r="P1119" i="5"/>
  <c r="O1071" i="5"/>
  <c r="P1071" i="5"/>
  <c r="N1071" i="5"/>
  <c r="O1015" i="5"/>
  <c r="P1015" i="5"/>
  <c r="N1015" i="5"/>
  <c r="O967" i="5"/>
  <c r="P967" i="5"/>
  <c r="N967" i="5"/>
  <c r="O919" i="5"/>
  <c r="P919" i="5"/>
  <c r="N919" i="5"/>
  <c r="O871" i="5"/>
  <c r="P871" i="5"/>
  <c r="N871" i="5"/>
  <c r="P815" i="5"/>
  <c r="O815" i="5"/>
  <c r="N815" i="5"/>
  <c r="O767" i="5"/>
  <c r="P767" i="5"/>
  <c r="N767" i="5"/>
  <c r="O719" i="5"/>
  <c r="P719" i="5"/>
  <c r="N719" i="5"/>
  <c r="O663" i="5"/>
  <c r="P663" i="5"/>
  <c r="N663" i="5"/>
  <c r="O615" i="5"/>
  <c r="P615" i="5"/>
  <c r="N615" i="5"/>
  <c r="O567" i="5"/>
  <c r="P567" i="5"/>
  <c r="N567" i="5"/>
  <c r="O519" i="5"/>
  <c r="P519" i="5"/>
  <c r="N519" i="5"/>
  <c r="O471" i="5"/>
  <c r="P471" i="5"/>
  <c r="N471" i="5"/>
  <c r="O415" i="5"/>
  <c r="P415" i="5"/>
  <c r="N415" i="5"/>
  <c r="O367" i="5"/>
  <c r="P367" i="5"/>
  <c r="N367" i="5"/>
  <c r="O319" i="5"/>
  <c r="P319" i="5"/>
  <c r="N319" i="5"/>
  <c r="O271" i="5"/>
  <c r="P271" i="5"/>
  <c r="N271" i="5"/>
  <c r="O223" i="5"/>
  <c r="P223" i="5"/>
  <c r="N223" i="5"/>
  <c r="O95" i="5"/>
  <c r="N95" i="5"/>
  <c r="P95" i="5"/>
  <c r="O63" i="5"/>
  <c r="P63" i="5"/>
  <c r="N63" i="5"/>
  <c r="O47" i="5"/>
  <c r="N47" i="5"/>
  <c r="P47" i="5"/>
  <c r="P15" i="5"/>
  <c r="J6" i="5"/>
  <c r="I6" i="5"/>
  <c r="J14" i="5"/>
  <c r="I14" i="5"/>
  <c r="J22" i="5"/>
  <c r="I22" i="5"/>
  <c r="J30" i="5"/>
  <c r="I30" i="5"/>
  <c r="J38" i="5"/>
  <c r="I38" i="5"/>
  <c r="J46" i="5"/>
  <c r="I46" i="5"/>
  <c r="J54" i="5"/>
  <c r="I54" i="5"/>
  <c r="J62" i="5"/>
  <c r="I62" i="5"/>
  <c r="J70" i="5"/>
  <c r="I70" i="5"/>
  <c r="J78" i="5"/>
  <c r="I78" i="5"/>
  <c r="J86" i="5"/>
  <c r="I86" i="5"/>
  <c r="J94" i="5"/>
  <c r="I94" i="5"/>
  <c r="J102" i="5"/>
  <c r="I102" i="5"/>
  <c r="J110" i="5"/>
  <c r="I110" i="5"/>
  <c r="J118" i="5"/>
  <c r="I118" i="5"/>
  <c r="J126" i="5"/>
  <c r="I126" i="5"/>
  <c r="J134" i="5"/>
  <c r="I134" i="5"/>
  <c r="J142" i="5"/>
  <c r="I142" i="5"/>
  <c r="J150" i="5"/>
  <c r="I150" i="5"/>
  <c r="J158" i="5"/>
  <c r="I158" i="5"/>
  <c r="J166" i="5"/>
  <c r="I166" i="5"/>
  <c r="J174" i="5"/>
  <c r="I174" i="5"/>
  <c r="J182" i="5"/>
  <c r="I182" i="5"/>
  <c r="J190" i="5"/>
  <c r="I190" i="5"/>
  <c r="J198" i="5"/>
  <c r="I198" i="5"/>
  <c r="J206" i="5"/>
  <c r="I206" i="5"/>
  <c r="J214" i="5"/>
  <c r="I214" i="5"/>
  <c r="J222" i="5"/>
  <c r="I222" i="5"/>
  <c r="J230" i="5"/>
  <c r="I230" i="5"/>
  <c r="J238" i="5"/>
  <c r="I238" i="5"/>
  <c r="J246" i="5"/>
  <c r="I246" i="5"/>
  <c r="J254" i="5"/>
  <c r="I254" i="5"/>
  <c r="J262" i="5"/>
  <c r="I262" i="5"/>
  <c r="J270" i="5"/>
  <c r="I270" i="5"/>
  <c r="J278" i="5"/>
  <c r="I278" i="5"/>
  <c r="J286" i="5"/>
  <c r="I286" i="5"/>
  <c r="J294" i="5"/>
  <c r="I294" i="5"/>
  <c r="J302" i="5"/>
  <c r="I302" i="5"/>
  <c r="J310" i="5"/>
  <c r="I310" i="5"/>
  <c r="J318" i="5"/>
  <c r="I318" i="5"/>
  <c r="J326" i="5"/>
  <c r="I326" i="5"/>
  <c r="J334" i="5"/>
  <c r="I334" i="5"/>
  <c r="J342" i="5"/>
  <c r="I342" i="5"/>
  <c r="J350" i="5"/>
  <c r="I350" i="5"/>
  <c r="J358" i="5"/>
  <c r="I358" i="5"/>
  <c r="J366" i="5"/>
  <c r="I366" i="5"/>
  <c r="J374" i="5"/>
  <c r="I374" i="5"/>
  <c r="J382" i="5"/>
  <c r="I382" i="5"/>
  <c r="J390" i="5"/>
  <c r="I390" i="5"/>
  <c r="J398" i="5"/>
  <c r="I398" i="5"/>
  <c r="J406" i="5"/>
  <c r="I406" i="5"/>
  <c r="J414" i="5"/>
  <c r="I414" i="5"/>
  <c r="J422" i="5"/>
  <c r="I422" i="5"/>
  <c r="J430" i="5"/>
  <c r="I430" i="5"/>
  <c r="J446" i="5"/>
  <c r="I446" i="5"/>
  <c r="J454" i="5"/>
  <c r="I454" i="5"/>
  <c r="J462" i="5"/>
  <c r="I462" i="5"/>
  <c r="J470" i="5"/>
  <c r="I470" i="5"/>
  <c r="J478" i="5"/>
  <c r="I478" i="5"/>
  <c r="J486" i="5"/>
  <c r="I486" i="5"/>
  <c r="J494" i="5"/>
  <c r="I494" i="5"/>
  <c r="J502" i="5"/>
  <c r="I502" i="5"/>
  <c r="J510" i="5"/>
  <c r="I510" i="5"/>
  <c r="J518" i="5"/>
  <c r="I518" i="5"/>
  <c r="J526" i="5"/>
  <c r="I526" i="5"/>
  <c r="J534" i="5"/>
  <c r="I534" i="5"/>
  <c r="J542" i="5"/>
  <c r="I542" i="5"/>
  <c r="J550" i="5"/>
  <c r="I550" i="5"/>
  <c r="J558" i="5"/>
  <c r="I558" i="5"/>
  <c r="J566" i="5"/>
  <c r="I566" i="5"/>
  <c r="J574" i="5"/>
  <c r="I574" i="5"/>
  <c r="J582" i="5"/>
  <c r="I582" i="5"/>
  <c r="J590" i="5"/>
  <c r="I590" i="5"/>
  <c r="J598" i="5"/>
  <c r="I598" i="5"/>
  <c r="J606" i="5"/>
  <c r="I606" i="5"/>
  <c r="J614" i="5"/>
  <c r="I614" i="5"/>
  <c r="J622" i="5"/>
  <c r="I622" i="5"/>
  <c r="J630" i="5"/>
  <c r="I630" i="5"/>
  <c r="J638" i="5"/>
  <c r="I638" i="5"/>
  <c r="J646" i="5"/>
  <c r="I646" i="5"/>
  <c r="J654" i="5"/>
  <c r="I654" i="5"/>
  <c r="J662" i="5"/>
  <c r="I662" i="5"/>
  <c r="J670" i="5"/>
  <c r="I670" i="5"/>
  <c r="J678" i="5"/>
  <c r="I678" i="5"/>
  <c r="J686" i="5"/>
  <c r="I686" i="5"/>
  <c r="J694" i="5"/>
  <c r="I694" i="5"/>
  <c r="J702" i="5"/>
  <c r="I702" i="5"/>
  <c r="J710" i="5"/>
  <c r="I710" i="5"/>
  <c r="J718" i="5"/>
  <c r="I718" i="5"/>
  <c r="J726" i="5"/>
  <c r="I726" i="5"/>
  <c r="J734" i="5"/>
  <c r="I734" i="5"/>
  <c r="J742" i="5"/>
  <c r="I742" i="5"/>
  <c r="J750" i="5"/>
  <c r="I750" i="5"/>
  <c r="J758" i="5"/>
  <c r="I758" i="5"/>
  <c r="J766" i="5"/>
  <c r="I766" i="5"/>
  <c r="J774" i="5"/>
  <c r="I774" i="5"/>
  <c r="J782" i="5"/>
  <c r="I782" i="5"/>
  <c r="J790" i="5"/>
  <c r="I790" i="5"/>
  <c r="J798" i="5"/>
  <c r="I798" i="5"/>
  <c r="J806" i="5"/>
  <c r="I806" i="5"/>
  <c r="J814" i="5"/>
  <c r="I814" i="5"/>
  <c r="J822" i="5"/>
  <c r="I822" i="5"/>
  <c r="J830" i="5"/>
  <c r="I830" i="5"/>
  <c r="J838" i="5"/>
  <c r="I838" i="5"/>
  <c r="J846" i="5"/>
  <c r="I846" i="5"/>
  <c r="J854" i="5"/>
  <c r="I854" i="5"/>
  <c r="J862" i="5"/>
  <c r="I862" i="5"/>
  <c r="J870" i="5"/>
  <c r="I870" i="5"/>
  <c r="J878" i="5"/>
  <c r="I878" i="5"/>
  <c r="J886" i="5"/>
  <c r="I886" i="5"/>
  <c r="J894" i="5"/>
  <c r="I894" i="5"/>
  <c r="J902" i="5"/>
  <c r="I902" i="5"/>
  <c r="J910" i="5"/>
  <c r="I910" i="5"/>
  <c r="J918" i="5"/>
  <c r="I918" i="5"/>
  <c r="J926" i="5"/>
  <c r="I926" i="5"/>
  <c r="J934" i="5"/>
  <c r="I934" i="5"/>
  <c r="J942" i="5"/>
  <c r="I942" i="5"/>
  <c r="J950" i="5"/>
  <c r="I950" i="5"/>
  <c r="J958" i="5"/>
  <c r="I958" i="5"/>
  <c r="J966" i="5"/>
  <c r="I966" i="5"/>
  <c r="J974" i="5"/>
  <c r="I974" i="5"/>
  <c r="J982" i="5"/>
  <c r="I982" i="5"/>
  <c r="J990" i="5"/>
  <c r="I990" i="5"/>
  <c r="J998" i="5"/>
  <c r="I998" i="5"/>
  <c r="J1006" i="5"/>
  <c r="I1006" i="5"/>
  <c r="J1014" i="5"/>
  <c r="I1014" i="5"/>
  <c r="J1022" i="5"/>
  <c r="I1022" i="5"/>
  <c r="J1030" i="5"/>
  <c r="I1030" i="5"/>
  <c r="J1038" i="5"/>
  <c r="I1038" i="5"/>
  <c r="J1046" i="5"/>
  <c r="I1046" i="5"/>
  <c r="J1054" i="5"/>
  <c r="I1054" i="5"/>
  <c r="J1062" i="5"/>
  <c r="I1062" i="5"/>
  <c r="J1070" i="5"/>
  <c r="I1070" i="5"/>
  <c r="J1078" i="5"/>
  <c r="I1078" i="5"/>
  <c r="J1086" i="5"/>
  <c r="I1086" i="5"/>
  <c r="J1094" i="5"/>
  <c r="I1094" i="5"/>
  <c r="J1102" i="5"/>
  <c r="I1102" i="5"/>
  <c r="J1110" i="5"/>
  <c r="I1110" i="5"/>
  <c r="J1118" i="5"/>
  <c r="I1118" i="5"/>
  <c r="J1126" i="5"/>
  <c r="I1126" i="5"/>
  <c r="J1134" i="5"/>
  <c r="I1134" i="5"/>
  <c r="J1142" i="5"/>
  <c r="I1142" i="5"/>
  <c r="J1150" i="5"/>
  <c r="I1150" i="5"/>
  <c r="J1158" i="5"/>
  <c r="I1158" i="5"/>
  <c r="J1166" i="5"/>
  <c r="I1166" i="5"/>
  <c r="J1174" i="5"/>
  <c r="I1174" i="5"/>
  <c r="J1182" i="5"/>
  <c r="I1182" i="5"/>
  <c r="J1190" i="5"/>
  <c r="I1190" i="5"/>
  <c r="J1198" i="5"/>
  <c r="I1198" i="5"/>
  <c r="J1206" i="5"/>
  <c r="I1206" i="5"/>
  <c r="J1214" i="5"/>
  <c r="I1214" i="5"/>
  <c r="J1222" i="5"/>
  <c r="I1222" i="5"/>
  <c r="J1230" i="5"/>
  <c r="I1230" i="5"/>
  <c r="J1238" i="5"/>
  <c r="I1238" i="5"/>
  <c r="J1246" i="5"/>
  <c r="I1246" i="5"/>
  <c r="J1254" i="5"/>
  <c r="I1254" i="5"/>
  <c r="J1262" i="5"/>
  <c r="I1262" i="5"/>
  <c r="J1270" i="5"/>
  <c r="I1270" i="5"/>
  <c r="J1278" i="5"/>
  <c r="I1278" i="5"/>
  <c r="J1286" i="5"/>
  <c r="I1286" i="5"/>
  <c r="J1294" i="5"/>
  <c r="I1294" i="5"/>
  <c r="J1302" i="5"/>
  <c r="I1302" i="5"/>
  <c r="J1310" i="5"/>
  <c r="I1310" i="5"/>
  <c r="J1318" i="5"/>
  <c r="I1318" i="5"/>
  <c r="J1326" i="5"/>
  <c r="I1326" i="5"/>
  <c r="O1329" i="5"/>
  <c r="P1329" i="5"/>
  <c r="O1321" i="5"/>
  <c r="P1321" i="5"/>
  <c r="O1313" i="5"/>
  <c r="P1313" i="5"/>
  <c r="O1305" i="5"/>
  <c r="P1305" i="5"/>
  <c r="O1297" i="5"/>
  <c r="P1297" i="5"/>
  <c r="O1289" i="5"/>
  <c r="P1289" i="5"/>
  <c r="O1281" i="5"/>
  <c r="P1281" i="5"/>
  <c r="O1273" i="5"/>
  <c r="P1273" i="5"/>
  <c r="O1265" i="5"/>
  <c r="P1265" i="5"/>
  <c r="O1257" i="5"/>
  <c r="P1257" i="5"/>
  <c r="O1249" i="5"/>
  <c r="P1249" i="5"/>
  <c r="O1241" i="5"/>
  <c r="P1241" i="5"/>
  <c r="O1233" i="5"/>
  <c r="P1233" i="5"/>
  <c r="O1225" i="5"/>
  <c r="P1225" i="5"/>
  <c r="O1217" i="5"/>
  <c r="P1217" i="5"/>
  <c r="O1209" i="5"/>
  <c r="P1209" i="5"/>
  <c r="O1201" i="5"/>
  <c r="P1201" i="5"/>
  <c r="O1193" i="5"/>
  <c r="P1193" i="5"/>
  <c r="O1185" i="5"/>
  <c r="P1185" i="5"/>
  <c r="O1177" i="5"/>
  <c r="P1177" i="5"/>
  <c r="O1169" i="5"/>
  <c r="P1169" i="5"/>
  <c r="O1161" i="5"/>
  <c r="P1161" i="5"/>
  <c r="O1153" i="5"/>
  <c r="P1153" i="5"/>
  <c r="O1145" i="5"/>
  <c r="P1145" i="5"/>
  <c r="O1137" i="5"/>
  <c r="P1137" i="5"/>
  <c r="O1129" i="5"/>
  <c r="P1129" i="5"/>
  <c r="O1121" i="5"/>
  <c r="P1121" i="5"/>
  <c r="O1113" i="5"/>
  <c r="P1113" i="5"/>
  <c r="O1105" i="5"/>
  <c r="P1105" i="5"/>
  <c r="O1089" i="5"/>
  <c r="P1089" i="5"/>
  <c r="O1081" i="5"/>
  <c r="P1081" i="5"/>
  <c r="O1073" i="5"/>
  <c r="P1073" i="5"/>
  <c r="O1065" i="5"/>
  <c r="P1065" i="5"/>
  <c r="O1057" i="5"/>
  <c r="P1057" i="5"/>
  <c r="O1049" i="5"/>
  <c r="P1049" i="5"/>
  <c r="O1041" i="5"/>
  <c r="P1041" i="5"/>
  <c r="O1033" i="5"/>
  <c r="P1033" i="5"/>
  <c r="O1025" i="5"/>
  <c r="P1025" i="5"/>
  <c r="O1017" i="5"/>
  <c r="P1017" i="5"/>
  <c r="O1009" i="5"/>
  <c r="P1009" i="5"/>
  <c r="O1001" i="5"/>
  <c r="P1001" i="5"/>
  <c r="O993" i="5"/>
  <c r="P993" i="5"/>
  <c r="O985" i="5"/>
  <c r="P985" i="5"/>
  <c r="O977" i="5"/>
  <c r="P977" i="5"/>
  <c r="O969" i="5"/>
  <c r="P969" i="5"/>
  <c r="O961" i="5"/>
  <c r="P961" i="5"/>
  <c r="O953" i="5"/>
  <c r="P953" i="5"/>
  <c r="O945" i="5"/>
  <c r="P945" i="5"/>
  <c r="O937" i="5"/>
  <c r="P937" i="5"/>
  <c r="O929" i="5"/>
  <c r="P929" i="5"/>
  <c r="O921" i="5"/>
  <c r="P921" i="5"/>
  <c r="O913" i="5"/>
  <c r="P913" i="5"/>
  <c r="O905" i="5"/>
  <c r="P905" i="5"/>
  <c r="O897" i="5"/>
  <c r="P897" i="5"/>
  <c r="O889" i="5"/>
  <c r="P889" i="5"/>
  <c r="N1329" i="5"/>
  <c r="N1297" i="5"/>
  <c r="N1265" i="5"/>
  <c r="N1233" i="5"/>
  <c r="N1201" i="5"/>
  <c r="N1169" i="5"/>
  <c r="N1137" i="5"/>
  <c r="N1105" i="5"/>
  <c r="N1073" i="5"/>
  <c r="N1041" i="5"/>
  <c r="N1009" i="5"/>
  <c r="N977" i="5"/>
  <c r="N945" i="5"/>
  <c r="N913" i="5"/>
  <c r="P1275" i="5"/>
  <c r="P1190" i="5"/>
  <c r="P1097" i="5"/>
  <c r="I192" i="5"/>
  <c r="O881" i="5"/>
  <c r="P881" i="5"/>
  <c r="O873" i="5"/>
  <c r="P873" i="5"/>
  <c r="O865" i="5"/>
  <c r="P865" i="5"/>
  <c r="O857" i="5"/>
  <c r="P857" i="5"/>
  <c r="O849" i="5"/>
  <c r="P849" i="5"/>
  <c r="O841" i="5"/>
  <c r="P841" i="5"/>
  <c r="O833" i="5"/>
  <c r="P833" i="5"/>
  <c r="O825" i="5"/>
  <c r="P825" i="5"/>
  <c r="O817" i="5"/>
  <c r="P817" i="5"/>
  <c r="O809" i="5"/>
  <c r="P809" i="5"/>
  <c r="O801" i="5"/>
  <c r="P801" i="5"/>
  <c r="O793" i="5"/>
  <c r="P793" i="5"/>
  <c r="O785" i="5"/>
  <c r="P785" i="5"/>
  <c r="O777" i="5"/>
  <c r="P777" i="5"/>
  <c r="O769" i="5"/>
  <c r="P769" i="5"/>
  <c r="O761" i="5"/>
  <c r="P761" i="5"/>
  <c r="O753" i="5"/>
  <c r="P753" i="5"/>
  <c r="O745" i="5"/>
  <c r="P745" i="5"/>
  <c r="O737" i="5"/>
  <c r="P737" i="5"/>
  <c r="O729" i="5"/>
  <c r="P729" i="5"/>
  <c r="O721" i="5"/>
  <c r="P721" i="5"/>
  <c r="O713" i="5"/>
  <c r="P713" i="5"/>
  <c r="O705" i="5"/>
  <c r="P705" i="5"/>
  <c r="O697" i="5"/>
  <c r="P697" i="5"/>
  <c r="O689" i="5"/>
  <c r="P689" i="5"/>
  <c r="O681" i="5"/>
  <c r="P681" i="5"/>
  <c r="O673" i="5"/>
  <c r="P673" i="5"/>
  <c r="O665" i="5"/>
  <c r="P665" i="5"/>
  <c r="O657" i="5"/>
  <c r="P657" i="5"/>
  <c r="O649" i="5"/>
  <c r="P649" i="5"/>
  <c r="O641" i="5"/>
  <c r="P641" i="5"/>
  <c r="O633" i="5"/>
  <c r="P633" i="5"/>
  <c r="O625" i="5"/>
  <c r="P625" i="5"/>
  <c r="O617" i="5"/>
  <c r="P617" i="5"/>
  <c r="O609" i="5"/>
  <c r="P609" i="5"/>
  <c r="O601" i="5"/>
  <c r="P601" i="5"/>
  <c r="O593" i="5"/>
  <c r="P593" i="5"/>
  <c r="O585" i="5"/>
  <c r="P585" i="5"/>
  <c r="O577" i="5"/>
  <c r="P577" i="5"/>
  <c r="O569" i="5"/>
  <c r="P569" i="5"/>
  <c r="O561" i="5"/>
  <c r="P561" i="5"/>
  <c r="O553" i="5"/>
  <c r="P553" i="5"/>
  <c r="O545" i="5"/>
  <c r="P545" i="5"/>
  <c r="O537" i="5"/>
  <c r="P537" i="5"/>
  <c r="O529" i="5"/>
  <c r="P529" i="5"/>
  <c r="O521" i="5"/>
  <c r="P521" i="5"/>
  <c r="O513" i="5"/>
  <c r="P513" i="5"/>
  <c r="O505" i="5"/>
  <c r="P505" i="5"/>
  <c r="O497" i="5"/>
  <c r="P497" i="5"/>
  <c r="O489" i="5"/>
  <c r="P489" i="5"/>
  <c r="O481" i="5"/>
  <c r="P481" i="5"/>
  <c r="O473" i="5"/>
  <c r="P473" i="5"/>
  <c r="O465" i="5"/>
  <c r="P465" i="5"/>
  <c r="O457" i="5"/>
  <c r="P457" i="5"/>
  <c r="O449" i="5"/>
  <c r="P449" i="5"/>
  <c r="O441" i="5"/>
  <c r="P441" i="5"/>
  <c r="O433" i="5"/>
  <c r="P433" i="5"/>
  <c r="O425" i="5"/>
  <c r="P425" i="5"/>
  <c r="O417" i="5"/>
  <c r="P417" i="5"/>
  <c r="O409" i="5"/>
  <c r="P409" i="5"/>
  <c r="O401" i="5"/>
  <c r="P401" i="5"/>
  <c r="O393" i="5"/>
  <c r="P393" i="5"/>
  <c r="O385" i="5"/>
  <c r="P385" i="5"/>
  <c r="O377" i="5"/>
  <c r="P377" i="5"/>
  <c r="O369" i="5"/>
  <c r="P369" i="5"/>
  <c r="O361" i="5"/>
  <c r="P361" i="5"/>
  <c r="O353" i="5"/>
  <c r="P353" i="5"/>
  <c r="O345" i="5"/>
  <c r="P345" i="5"/>
  <c r="O337" i="5"/>
  <c r="P337" i="5"/>
  <c r="O329" i="5"/>
  <c r="P329" i="5"/>
  <c r="O321" i="5"/>
  <c r="P321" i="5"/>
  <c r="O313" i="5"/>
  <c r="P313" i="5"/>
  <c r="O305" i="5"/>
  <c r="P305" i="5"/>
  <c r="O297" i="5"/>
  <c r="P297" i="5"/>
  <c r="O289" i="5"/>
  <c r="P289" i="5"/>
  <c r="O281" i="5"/>
  <c r="P281" i="5"/>
  <c r="O273" i="5"/>
  <c r="P273" i="5"/>
  <c r="O265" i="5"/>
  <c r="P265" i="5"/>
  <c r="O257" i="5"/>
  <c r="P257" i="5"/>
  <c r="O249" i="5"/>
  <c r="P249" i="5"/>
  <c r="O241" i="5"/>
  <c r="P241" i="5"/>
  <c r="O233" i="5"/>
  <c r="P233" i="5"/>
  <c r="O225" i="5"/>
  <c r="P225" i="5"/>
  <c r="O217" i="5"/>
  <c r="P217" i="5"/>
  <c r="O209" i="5"/>
  <c r="P209" i="5"/>
  <c r="O201" i="5"/>
  <c r="P201" i="5"/>
  <c r="O193" i="5"/>
  <c r="P193" i="5"/>
  <c r="O185" i="5"/>
  <c r="P185" i="5"/>
  <c r="O177" i="5"/>
  <c r="P177" i="5"/>
  <c r="O169" i="5"/>
  <c r="P169" i="5"/>
  <c r="O161" i="5"/>
  <c r="P161" i="5"/>
  <c r="O153" i="5"/>
  <c r="P153" i="5"/>
  <c r="O145" i="5"/>
  <c r="P145" i="5"/>
  <c r="O137" i="5"/>
  <c r="P137" i="5"/>
  <c r="O129" i="5"/>
  <c r="P129" i="5"/>
  <c r="O121" i="5"/>
  <c r="P121" i="5"/>
  <c r="O113" i="5"/>
  <c r="P113" i="5"/>
  <c r="O105" i="5"/>
  <c r="P105" i="5"/>
  <c r="O97" i="5"/>
  <c r="P97" i="5"/>
  <c r="O89" i="5"/>
  <c r="P89" i="5"/>
  <c r="O81" i="5"/>
  <c r="P81" i="5"/>
  <c r="O73" i="5"/>
  <c r="P73" i="5"/>
  <c r="O65" i="5"/>
  <c r="P65" i="5"/>
  <c r="O57" i="5"/>
  <c r="P57" i="5"/>
  <c r="O49" i="5"/>
  <c r="P49" i="5"/>
  <c r="O41" i="5"/>
  <c r="P41" i="5"/>
  <c r="O33" i="5"/>
  <c r="P33" i="5"/>
  <c r="O25" i="5"/>
  <c r="P25" i="5"/>
  <c r="O17" i="5"/>
  <c r="P17" i="5"/>
  <c r="O9" i="5"/>
  <c r="P9" i="5"/>
  <c r="N851" i="5"/>
  <c r="N819" i="5"/>
  <c r="N787" i="5"/>
  <c r="N761" i="5"/>
  <c r="N697" i="5"/>
  <c r="N633" i="5"/>
  <c r="N569" i="5"/>
  <c r="N505" i="5"/>
  <c r="N441" i="5"/>
  <c r="N377" i="5"/>
  <c r="N313" i="5"/>
  <c r="N249" i="5"/>
  <c r="N185" i="5"/>
  <c r="N121" i="5"/>
  <c r="N57" i="5"/>
  <c r="P787" i="5"/>
  <c r="O808" i="5"/>
  <c r="P808" i="5"/>
  <c r="O800" i="5"/>
  <c r="P800" i="5"/>
  <c r="O792" i="5"/>
  <c r="P792" i="5"/>
  <c r="O784" i="5"/>
  <c r="P784" i="5"/>
  <c r="O776" i="5"/>
  <c r="P776" i="5"/>
  <c r="O768" i="5"/>
  <c r="P768" i="5"/>
  <c r="O760" i="5"/>
  <c r="P760" i="5"/>
  <c r="O752" i="5"/>
  <c r="P752" i="5"/>
  <c r="O744" i="5"/>
  <c r="P744" i="5"/>
  <c r="O736" i="5"/>
  <c r="P736" i="5"/>
  <c r="O728" i="5"/>
  <c r="P728" i="5"/>
  <c r="O720" i="5"/>
  <c r="P720" i="5"/>
  <c r="O712" i="5"/>
  <c r="P712" i="5"/>
  <c r="O704" i="5"/>
  <c r="P704" i="5"/>
  <c r="O696" i="5"/>
  <c r="P696" i="5"/>
  <c r="O688" i="5"/>
  <c r="P688" i="5"/>
  <c r="O680" i="5"/>
  <c r="P680" i="5"/>
  <c r="O672" i="5"/>
  <c r="P672" i="5"/>
  <c r="O664" i="5"/>
  <c r="P664" i="5"/>
  <c r="O656" i="5"/>
  <c r="P656" i="5"/>
  <c r="O648" i="5"/>
  <c r="P648" i="5"/>
  <c r="O640" i="5"/>
  <c r="P640" i="5"/>
  <c r="O632" i="5"/>
  <c r="P632" i="5"/>
  <c r="O624" i="5"/>
  <c r="P624" i="5"/>
  <c r="O616" i="5"/>
  <c r="P616" i="5"/>
  <c r="O608" i="5"/>
  <c r="P608" i="5"/>
  <c r="O600" i="5"/>
  <c r="P600" i="5"/>
  <c r="O592" i="5"/>
  <c r="P592" i="5"/>
  <c r="O584" i="5"/>
  <c r="P584" i="5"/>
  <c r="O576" i="5"/>
  <c r="P576" i="5"/>
  <c r="O568" i="5"/>
  <c r="P568" i="5"/>
  <c r="O560" i="5"/>
  <c r="P560" i="5"/>
  <c r="O552" i="5"/>
  <c r="P552" i="5"/>
  <c r="O544" i="5"/>
  <c r="P544" i="5"/>
  <c r="O536" i="5"/>
  <c r="P536" i="5"/>
  <c r="O528" i="5"/>
  <c r="P528" i="5"/>
  <c r="O520" i="5"/>
  <c r="P520" i="5"/>
  <c r="O512" i="5"/>
  <c r="P512" i="5"/>
  <c r="O504" i="5"/>
  <c r="P504" i="5"/>
  <c r="O496" i="5"/>
  <c r="P496" i="5"/>
  <c r="O488" i="5"/>
  <c r="P488" i="5"/>
  <c r="O480" i="5"/>
  <c r="P480" i="5"/>
  <c r="O472" i="5"/>
  <c r="P472" i="5"/>
  <c r="O464" i="5"/>
  <c r="P464" i="5"/>
  <c r="O456" i="5"/>
  <c r="P456" i="5"/>
  <c r="O448" i="5"/>
  <c r="P448" i="5"/>
  <c r="O440" i="5"/>
  <c r="P440" i="5"/>
  <c r="O432" i="5"/>
  <c r="P432" i="5"/>
  <c r="O424" i="5"/>
  <c r="P424" i="5"/>
  <c r="O416" i="5"/>
  <c r="P416" i="5"/>
  <c r="O408" i="5"/>
  <c r="P408" i="5"/>
  <c r="O400" i="5"/>
  <c r="P400" i="5"/>
  <c r="O392" i="5"/>
  <c r="P392" i="5"/>
  <c r="O384" i="5"/>
  <c r="P384" i="5"/>
  <c r="O376" i="5"/>
  <c r="P376" i="5"/>
  <c r="O368" i="5"/>
  <c r="P368" i="5"/>
  <c r="O360" i="5"/>
  <c r="P360" i="5"/>
  <c r="O352" i="5"/>
  <c r="P352" i="5"/>
  <c r="O344" i="5"/>
  <c r="P344" i="5"/>
  <c r="O336" i="5"/>
  <c r="P336" i="5"/>
  <c r="O328" i="5"/>
  <c r="P328" i="5"/>
  <c r="O320" i="5"/>
  <c r="P320" i="5"/>
  <c r="O312" i="5"/>
  <c r="P312" i="5"/>
  <c r="O304" i="5"/>
  <c r="P304" i="5"/>
  <c r="O296" i="5"/>
  <c r="P296" i="5"/>
  <c r="O288" i="5"/>
  <c r="P288" i="5"/>
  <c r="O280" i="5"/>
  <c r="P280" i="5"/>
  <c r="O272" i="5"/>
  <c r="P272" i="5"/>
  <c r="O264" i="5"/>
  <c r="P264" i="5"/>
  <c r="O256" i="5"/>
  <c r="P256" i="5"/>
  <c r="O248" i="5"/>
  <c r="P248" i="5"/>
  <c r="O240" i="5"/>
  <c r="P240" i="5"/>
  <c r="O232" i="5"/>
  <c r="P232" i="5"/>
  <c r="O224" i="5"/>
  <c r="P224" i="5"/>
  <c r="O216" i="5"/>
  <c r="P216" i="5"/>
  <c r="O208" i="5"/>
  <c r="P208" i="5"/>
  <c r="O200" i="5"/>
  <c r="P200" i="5"/>
  <c r="O192" i="5"/>
  <c r="P192" i="5"/>
  <c r="O184" i="5"/>
  <c r="P184" i="5"/>
  <c r="O176" i="5"/>
  <c r="P176" i="5"/>
  <c r="O168" i="5"/>
  <c r="P168" i="5"/>
  <c r="O160" i="5"/>
  <c r="P160" i="5"/>
  <c r="O152" i="5"/>
  <c r="P152" i="5"/>
  <c r="O144" i="5"/>
  <c r="P144" i="5"/>
  <c r="O136" i="5"/>
  <c r="P136" i="5"/>
  <c r="O128" i="5"/>
  <c r="P128" i="5"/>
  <c r="O112" i="5"/>
  <c r="P112" i="5"/>
  <c r="O104" i="5"/>
  <c r="P104" i="5"/>
  <c r="O96" i="5"/>
  <c r="P96" i="5"/>
  <c r="O88" i="5"/>
  <c r="P88" i="5"/>
  <c r="O80" i="5"/>
  <c r="P80" i="5"/>
  <c r="O72" i="5"/>
  <c r="P72" i="5"/>
  <c r="O64" i="5"/>
  <c r="P64" i="5"/>
  <c r="O56" i="5"/>
  <c r="P56" i="5"/>
  <c r="O48" i="5"/>
  <c r="P48" i="5"/>
  <c r="O40" i="5"/>
  <c r="P40" i="5"/>
  <c r="O32" i="5"/>
  <c r="P32" i="5"/>
  <c r="O24" i="5"/>
  <c r="P24" i="5"/>
  <c r="O16" i="5"/>
  <c r="P16" i="5"/>
  <c r="O8" i="5"/>
  <c r="P8" i="5"/>
  <c r="N760" i="5"/>
  <c r="N737" i="5"/>
  <c r="N696" i="5"/>
  <c r="N673" i="5"/>
  <c r="N632" i="5"/>
  <c r="N609" i="5"/>
  <c r="N568" i="5"/>
  <c r="N545" i="5"/>
  <c r="N504" i="5"/>
  <c r="N481" i="5"/>
  <c r="N440" i="5"/>
  <c r="N417" i="5"/>
  <c r="N376" i="5"/>
  <c r="N353" i="5"/>
  <c r="N312" i="5"/>
  <c r="N289" i="5"/>
  <c r="N248" i="5"/>
  <c r="N225" i="5"/>
  <c r="N184" i="5"/>
  <c r="N161" i="5"/>
  <c r="N120" i="5"/>
  <c r="N97" i="5"/>
  <c r="N56" i="5"/>
  <c r="N33" i="5"/>
  <c r="P782" i="5"/>
  <c r="O822" i="5"/>
  <c r="P822" i="5"/>
  <c r="O806" i="5"/>
  <c r="P806" i="5"/>
  <c r="O790" i="5"/>
  <c r="P790" i="5"/>
  <c r="O774" i="5"/>
  <c r="P774" i="5"/>
  <c r="N774" i="5"/>
  <c r="O766" i="5"/>
  <c r="N766" i="5"/>
  <c r="O758" i="5"/>
  <c r="N758" i="5"/>
  <c r="P758" i="5"/>
  <c r="O750" i="5"/>
  <c r="N750" i="5"/>
  <c r="O742" i="5"/>
  <c r="P742" i="5"/>
  <c r="N742" i="5"/>
  <c r="O734" i="5"/>
  <c r="N734" i="5"/>
  <c r="O726" i="5"/>
  <c r="N726" i="5"/>
  <c r="P726" i="5"/>
  <c r="O718" i="5"/>
  <c r="N718" i="5"/>
  <c r="O710" i="5"/>
  <c r="P710" i="5"/>
  <c r="N710" i="5"/>
  <c r="O702" i="5"/>
  <c r="N702" i="5"/>
  <c r="O694" i="5"/>
  <c r="N694" i="5"/>
  <c r="P694" i="5"/>
  <c r="O686" i="5"/>
  <c r="N686" i="5"/>
  <c r="O678" i="5"/>
  <c r="P678" i="5"/>
  <c r="N678" i="5"/>
  <c r="O670" i="5"/>
  <c r="N670" i="5"/>
  <c r="O662" i="5"/>
  <c r="N662" i="5"/>
  <c r="P662" i="5"/>
  <c r="O654" i="5"/>
  <c r="N654" i="5"/>
  <c r="O646" i="5"/>
  <c r="P646" i="5"/>
  <c r="N646" i="5"/>
  <c r="O638" i="5"/>
  <c r="N638" i="5"/>
  <c r="O630" i="5"/>
  <c r="N630" i="5"/>
  <c r="P630" i="5"/>
  <c r="O622" i="5"/>
  <c r="N622" i="5"/>
  <c r="O614" i="5"/>
  <c r="P614" i="5"/>
  <c r="N614" i="5"/>
  <c r="O606" i="5"/>
  <c r="N606" i="5"/>
  <c r="O598" i="5"/>
  <c r="N598" i="5"/>
  <c r="P598" i="5"/>
  <c r="O590" i="5"/>
  <c r="N590" i="5"/>
  <c r="O582" i="5"/>
  <c r="P582" i="5"/>
  <c r="N582" i="5"/>
  <c r="O574" i="5"/>
  <c r="N574" i="5"/>
  <c r="O566" i="5"/>
  <c r="N566" i="5"/>
  <c r="P566" i="5"/>
  <c r="O558" i="5"/>
  <c r="N558" i="5"/>
  <c r="O550" i="5"/>
  <c r="P550" i="5"/>
  <c r="N550" i="5"/>
  <c r="O542" i="5"/>
  <c r="N542" i="5"/>
  <c r="O534" i="5"/>
  <c r="N534" i="5"/>
  <c r="P534" i="5"/>
  <c r="O526" i="5"/>
  <c r="N526" i="5"/>
  <c r="O518" i="5"/>
  <c r="P518" i="5"/>
  <c r="N518" i="5"/>
  <c r="O510" i="5"/>
  <c r="N510" i="5"/>
  <c r="O502" i="5"/>
  <c r="N502" i="5"/>
  <c r="P502" i="5"/>
  <c r="O494" i="5"/>
  <c r="N494" i="5"/>
  <c r="O486" i="5"/>
  <c r="P486" i="5"/>
  <c r="N486" i="5"/>
  <c r="O478" i="5"/>
  <c r="N478" i="5"/>
  <c r="O470" i="5"/>
  <c r="N470" i="5"/>
  <c r="P470" i="5"/>
  <c r="O462" i="5"/>
  <c r="N462" i="5"/>
  <c r="O454" i="5"/>
  <c r="P454" i="5"/>
  <c r="N454" i="5"/>
  <c r="O446" i="5"/>
  <c r="N446" i="5"/>
  <c r="O438" i="5"/>
  <c r="N438" i="5"/>
  <c r="P438" i="5"/>
  <c r="O430" i="5"/>
  <c r="N430" i="5"/>
  <c r="O422" i="5"/>
  <c r="P422" i="5"/>
  <c r="N422" i="5"/>
  <c r="O414" i="5"/>
  <c r="N414" i="5"/>
  <c r="O406" i="5"/>
  <c r="N406" i="5"/>
  <c r="P406" i="5"/>
  <c r="O398" i="5"/>
  <c r="N398" i="5"/>
  <c r="O390" i="5"/>
  <c r="P390" i="5"/>
  <c r="N390" i="5"/>
  <c r="O382" i="5"/>
  <c r="N382" i="5"/>
  <c r="O374" i="5"/>
  <c r="N374" i="5"/>
  <c r="P374" i="5"/>
  <c r="O366" i="5"/>
  <c r="N366" i="5"/>
  <c r="O358" i="5"/>
  <c r="P358" i="5"/>
  <c r="N358" i="5"/>
  <c r="O350" i="5"/>
  <c r="N350" i="5"/>
  <c r="O342" i="5"/>
  <c r="N342" i="5"/>
  <c r="P342" i="5"/>
  <c r="O334" i="5"/>
  <c r="N334" i="5"/>
  <c r="O326" i="5"/>
  <c r="P326" i="5"/>
  <c r="N326" i="5"/>
  <c r="O318" i="5"/>
  <c r="N318" i="5"/>
  <c r="O310" i="5"/>
  <c r="N310" i="5"/>
  <c r="P310" i="5"/>
  <c r="O302" i="5"/>
  <c r="N302" i="5"/>
  <c r="O294" i="5"/>
  <c r="P294" i="5"/>
  <c r="N294" i="5"/>
  <c r="O286" i="5"/>
  <c r="N286" i="5"/>
  <c r="O278" i="5"/>
  <c r="N278" i="5"/>
  <c r="P278" i="5"/>
  <c r="O270" i="5"/>
  <c r="N270" i="5"/>
  <c r="O262" i="5"/>
  <c r="P262" i="5"/>
  <c r="N262" i="5"/>
  <c r="O254" i="5"/>
  <c r="N254" i="5"/>
  <c r="O246" i="5"/>
  <c r="N246" i="5"/>
  <c r="P246" i="5"/>
  <c r="O238" i="5"/>
  <c r="N238" i="5"/>
  <c r="O230" i="5"/>
  <c r="P230" i="5"/>
  <c r="N230" i="5"/>
  <c r="O222" i="5"/>
  <c r="N222" i="5"/>
  <c r="O214" i="5"/>
  <c r="N214" i="5"/>
  <c r="P214" i="5"/>
  <c r="O206" i="5"/>
  <c r="N206" i="5"/>
  <c r="O198" i="5"/>
  <c r="P198" i="5"/>
  <c r="N198" i="5"/>
  <c r="O190" i="5"/>
  <c r="N190" i="5"/>
  <c r="O182" i="5"/>
  <c r="N182" i="5"/>
  <c r="P182" i="5"/>
  <c r="O174" i="5"/>
  <c r="N174" i="5"/>
  <c r="O166" i="5"/>
  <c r="P166" i="5"/>
  <c r="N166" i="5"/>
  <c r="O158" i="5"/>
  <c r="N158" i="5"/>
  <c r="O150" i="5"/>
  <c r="N150" i="5"/>
  <c r="P150" i="5"/>
  <c r="O142" i="5"/>
  <c r="N142" i="5"/>
  <c r="O134" i="5"/>
  <c r="P134" i="5"/>
  <c r="N134" i="5"/>
  <c r="O126" i="5"/>
  <c r="P126" i="5"/>
  <c r="N126" i="5"/>
  <c r="O118" i="5"/>
  <c r="P118" i="5"/>
  <c r="N118" i="5"/>
  <c r="O110" i="5"/>
  <c r="P110" i="5"/>
  <c r="N110" i="5"/>
  <c r="O102" i="5"/>
  <c r="P102" i="5"/>
  <c r="N102" i="5"/>
  <c r="O94" i="5"/>
  <c r="P94" i="5"/>
  <c r="N94" i="5"/>
  <c r="O86" i="5"/>
  <c r="P86" i="5"/>
  <c r="N86" i="5"/>
  <c r="O78" i="5"/>
  <c r="P78" i="5"/>
  <c r="N78" i="5"/>
  <c r="O70" i="5"/>
  <c r="P70" i="5"/>
  <c r="N70" i="5"/>
  <c r="O62" i="5"/>
  <c r="P62" i="5"/>
  <c r="N62" i="5"/>
  <c r="O54" i="5"/>
  <c r="P54" i="5"/>
  <c r="N54" i="5"/>
  <c r="O46" i="5"/>
  <c r="P46" i="5"/>
  <c r="N46" i="5"/>
  <c r="O38" i="5"/>
  <c r="P38" i="5"/>
  <c r="N38" i="5"/>
  <c r="O30" i="5"/>
  <c r="P30" i="5"/>
  <c r="N30" i="5"/>
  <c r="O22" i="5"/>
  <c r="P22" i="5"/>
  <c r="N22" i="5"/>
  <c r="O14" i="5"/>
  <c r="P14" i="5"/>
  <c r="N14" i="5"/>
  <c r="O6" i="5"/>
  <c r="P6" i="5"/>
  <c r="N6" i="5"/>
  <c r="N808" i="5"/>
  <c r="N800" i="5"/>
  <c r="N792" i="5"/>
  <c r="N784" i="5"/>
  <c r="N776" i="5"/>
  <c r="N753" i="5"/>
  <c r="N712" i="5"/>
  <c r="N689" i="5"/>
  <c r="N648" i="5"/>
  <c r="N625" i="5"/>
  <c r="N584" i="5"/>
  <c r="N561" i="5"/>
  <c r="N520" i="5"/>
  <c r="N497" i="5"/>
  <c r="N456" i="5"/>
  <c r="N433" i="5"/>
  <c r="N392" i="5"/>
  <c r="N369" i="5"/>
  <c r="N328" i="5"/>
  <c r="N305" i="5"/>
  <c r="N264" i="5"/>
  <c r="N241" i="5"/>
  <c r="N200" i="5"/>
  <c r="N177" i="5"/>
  <c r="N136" i="5"/>
  <c r="N113" i="5"/>
  <c r="N72" i="5"/>
  <c r="N49" i="5"/>
  <c r="N8" i="5"/>
  <c r="P670" i="5"/>
  <c r="P590" i="5"/>
  <c r="P414" i="5"/>
  <c r="P334" i="5"/>
  <c r="P158" i="5"/>
  <c r="O885" i="5"/>
  <c r="P885" i="5"/>
  <c r="O877" i="5"/>
  <c r="P877" i="5"/>
  <c r="O869" i="5"/>
  <c r="P869" i="5"/>
  <c r="O861" i="5"/>
  <c r="P861" i="5"/>
  <c r="O853" i="5"/>
  <c r="P853" i="5"/>
  <c r="O845" i="5"/>
  <c r="P845" i="5"/>
  <c r="O837" i="5"/>
  <c r="P837" i="5"/>
  <c r="O829" i="5"/>
  <c r="P829" i="5"/>
  <c r="O821" i="5"/>
  <c r="P821" i="5"/>
  <c r="O813" i="5"/>
  <c r="P813" i="5"/>
  <c r="O805" i="5"/>
  <c r="P805" i="5"/>
  <c r="O797" i="5"/>
  <c r="P797" i="5"/>
  <c r="O789" i="5"/>
  <c r="P789" i="5"/>
  <c r="O781" i="5"/>
  <c r="P781" i="5"/>
  <c r="O773" i="5"/>
  <c r="P773" i="5"/>
  <c r="N773" i="5"/>
  <c r="O765" i="5"/>
  <c r="P765" i="5"/>
  <c r="N765" i="5"/>
  <c r="O757" i="5"/>
  <c r="P757" i="5"/>
  <c r="N757" i="5"/>
  <c r="O749" i="5"/>
  <c r="P749" i="5"/>
  <c r="N749" i="5"/>
  <c r="O741" i="5"/>
  <c r="P741" i="5"/>
  <c r="N741" i="5"/>
  <c r="O733" i="5"/>
  <c r="P733" i="5"/>
  <c r="N733" i="5"/>
  <c r="O725" i="5"/>
  <c r="P725" i="5"/>
  <c r="N725" i="5"/>
  <c r="O717" i="5"/>
  <c r="P717" i="5"/>
  <c r="N717" i="5"/>
  <c r="O709" i="5"/>
  <c r="P709" i="5"/>
  <c r="N709" i="5"/>
  <c r="O701" i="5"/>
  <c r="P701" i="5"/>
  <c r="N701" i="5"/>
  <c r="O693" i="5"/>
  <c r="P693" i="5"/>
  <c r="N693" i="5"/>
  <c r="O685" i="5"/>
  <c r="P685" i="5"/>
  <c r="N685" i="5"/>
  <c r="O677" i="5"/>
  <c r="P677" i="5"/>
  <c r="N677" i="5"/>
  <c r="O669" i="5"/>
  <c r="P669" i="5"/>
  <c r="N669" i="5"/>
  <c r="O661" i="5"/>
  <c r="P661" i="5"/>
  <c r="N661" i="5"/>
  <c r="O653" i="5"/>
  <c r="P653" i="5"/>
  <c r="N653" i="5"/>
  <c r="O645" i="5"/>
  <c r="P645" i="5"/>
  <c r="N645" i="5"/>
  <c r="O637" i="5"/>
  <c r="P637" i="5"/>
  <c r="N637" i="5"/>
  <c r="O629" i="5"/>
  <c r="P629" i="5"/>
  <c r="N629" i="5"/>
  <c r="O621" i="5"/>
  <c r="P621" i="5"/>
  <c r="N621" i="5"/>
  <c r="O613" i="5"/>
  <c r="P613" i="5"/>
  <c r="N613" i="5"/>
  <c r="O605" i="5"/>
  <c r="P605" i="5"/>
  <c r="N605" i="5"/>
  <c r="O597" i="5"/>
  <c r="P597" i="5"/>
  <c r="N597" i="5"/>
  <c r="O589" i="5"/>
  <c r="P589" i="5"/>
  <c r="N589" i="5"/>
  <c r="O581" i="5"/>
  <c r="P581" i="5"/>
  <c r="N581" i="5"/>
  <c r="O573" i="5"/>
  <c r="P573" i="5"/>
  <c r="N573" i="5"/>
  <c r="O565" i="5"/>
  <c r="P565" i="5"/>
  <c r="N565" i="5"/>
  <c r="O557" i="5"/>
  <c r="P557" i="5"/>
  <c r="N557" i="5"/>
  <c r="O549" i="5"/>
  <c r="P549" i="5"/>
  <c r="N549" i="5"/>
  <c r="O541" i="5"/>
  <c r="P541" i="5"/>
  <c r="N541" i="5"/>
  <c r="O533" i="5"/>
  <c r="P533" i="5"/>
  <c r="N533" i="5"/>
  <c r="O525" i="5"/>
  <c r="P525" i="5"/>
  <c r="N525" i="5"/>
  <c r="O517" i="5"/>
  <c r="P517" i="5"/>
  <c r="N517" i="5"/>
  <c r="O509" i="5"/>
  <c r="P509" i="5"/>
  <c r="N509" i="5"/>
  <c r="O501" i="5"/>
  <c r="P501" i="5"/>
  <c r="N501" i="5"/>
  <c r="O493" i="5"/>
  <c r="P493" i="5"/>
  <c r="N493" i="5"/>
  <c r="O485" i="5"/>
  <c r="P485" i="5"/>
  <c r="N485" i="5"/>
  <c r="O477" i="5"/>
  <c r="P477" i="5"/>
  <c r="N477" i="5"/>
  <c r="O469" i="5"/>
  <c r="P469" i="5"/>
  <c r="N469" i="5"/>
  <c r="O461" i="5"/>
  <c r="P461" i="5"/>
  <c r="N461" i="5"/>
  <c r="O453" i="5"/>
  <c r="P453" i="5"/>
  <c r="N453" i="5"/>
  <c r="O445" i="5"/>
  <c r="P445" i="5"/>
  <c r="N445" i="5"/>
  <c r="O437" i="5"/>
  <c r="P437" i="5"/>
  <c r="N437" i="5"/>
  <c r="O429" i="5"/>
  <c r="P429" i="5"/>
  <c r="N429" i="5"/>
  <c r="O421" i="5"/>
  <c r="P421" i="5"/>
  <c r="N421" i="5"/>
  <c r="O413" i="5"/>
  <c r="P413" i="5"/>
  <c r="N413" i="5"/>
  <c r="O405" i="5"/>
  <c r="P405" i="5"/>
  <c r="N405" i="5"/>
  <c r="O397" i="5"/>
  <c r="P397" i="5"/>
  <c r="N397" i="5"/>
  <c r="O389" i="5"/>
  <c r="P389" i="5"/>
  <c r="N389" i="5"/>
  <c r="O381" i="5"/>
  <c r="P381" i="5"/>
  <c r="N381" i="5"/>
  <c r="O373" i="5"/>
  <c r="P373" i="5"/>
  <c r="N373" i="5"/>
  <c r="O365" i="5"/>
  <c r="P365" i="5"/>
  <c r="N365" i="5"/>
  <c r="O357" i="5"/>
  <c r="P357" i="5"/>
  <c r="N357" i="5"/>
  <c r="O349" i="5"/>
  <c r="P349" i="5"/>
  <c r="N349" i="5"/>
  <c r="O341" i="5"/>
  <c r="P341" i="5"/>
  <c r="N341" i="5"/>
  <c r="O333" i="5"/>
  <c r="P333" i="5"/>
  <c r="N333" i="5"/>
  <c r="O325" i="5"/>
  <c r="P325" i="5"/>
  <c r="N325" i="5"/>
  <c r="O317" i="5"/>
  <c r="P317" i="5"/>
  <c r="N317" i="5"/>
  <c r="O309" i="5"/>
  <c r="P309" i="5"/>
  <c r="N309" i="5"/>
  <c r="O301" i="5"/>
  <c r="P301" i="5"/>
  <c r="N301" i="5"/>
  <c r="O293" i="5"/>
  <c r="P293" i="5"/>
  <c r="N293" i="5"/>
  <c r="O285" i="5"/>
  <c r="P285" i="5"/>
  <c r="N285" i="5"/>
  <c r="O277" i="5"/>
  <c r="P277" i="5"/>
  <c r="N277" i="5"/>
  <c r="O269" i="5"/>
  <c r="P269" i="5"/>
  <c r="N269" i="5"/>
  <c r="O261" i="5"/>
  <c r="P261" i="5"/>
  <c r="N261" i="5"/>
  <c r="O253" i="5"/>
  <c r="P253" i="5"/>
  <c r="N253" i="5"/>
  <c r="O245" i="5"/>
  <c r="P245" i="5"/>
  <c r="N245" i="5"/>
  <c r="O237" i="5"/>
  <c r="P237" i="5"/>
  <c r="N237" i="5"/>
  <c r="O229" i="5"/>
  <c r="P229" i="5"/>
  <c r="N229" i="5"/>
  <c r="O221" i="5"/>
  <c r="P221" i="5"/>
  <c r="N221" i="5"/>
  <c r="O213" i="5"/>
  <c r="P213" i="5"/>
  <c r="N213" i="5"/>
  <c r="O205" i="5"/>
  <c r="P205" i="5"/>
  <c r="N205" i="5"/>
  <c r="O197" i="5"/>
  <c r="P197" i="5"/>
  <c r="N197" i="5"/>
  <c r="O189" i="5"/>
  <c r="P189" i="5"/>
  <c r="N189" i="5"/>
  <c r="O181" i="5"/>
  <c r="P181" i="5"/>
  <c r="N181" i="5"/>
  <c r="O173" i="5"/>
  <c r="P173" i="5"/>
  <c r="N173" i="5"/>
  <c r="O165" i="5"/>
  <c r="P165" i="5"/>
  <c r="N165" i="5"/>
  <c r="O157" i="5"/>
  <c r="P157" i="5"/>
  <c r="N157" i="5"/>
  <c r="O149" i="5"/>
  <c r="P149" i="5"/>
  <c r="N149" i="5"/>
  <c r="O141" i="5"/>
  <c r="P141" i="5"/>
  <c r="N141" i="5"/>
  <c r="O133" i="5"/>
  <c r="P133" i="5"/>
  <c r="N133" i="5"/>
  <c r="O125" i="5"/>
  <c r="P125" i="5"/>
  <c r="N125" i="5"/>
  <c r="O117" i="5"/>
  <c r="P117" i="5"/>
  <c r="N117" i="5"/>
  <c r="O109" i="5"/>
  <c r="P109" i="5"/>
  <c r="N109" i="5"/>
  <c r="O101" i="5"/>
  <c r="P101" i="5"/>
  <c r="N101" i="5"/>
  <c r="O93" i="5"/>
  <c r="P93" i="5"/>
  <c r="N93" i="5"/>
  <c r="O85" i="5"/>
  <c r="P85" i="5"/>
  <c r="N85" i="5"/>
  <c r="O77" i="5"/>
  <c r="P77" i="5"/>
  <c r="N77" i="5"/>
  <c r="O69" i="5"/>
  <c r="P69" i="5"/>
  <c r="N69" i="5"/>
  <c r="O61" i="5"/>
  <c r="P61" i="5"/>
  <c r="N61" i="5"/>
  <c r="O53" i="5"/>
  <c r="P53" i="5"/>
  <c r="N53" i="5"/>
  <c r="O45" i="5"/>
  <c r="P45" i="5"/>
  <c r="N45" i="5"/>
  <c r="O37" i="5"/>
  <c r="P37" i="5"/>
  <c r="N37" i="5"/>
  <c r="O29" i="5"/>
  <c r="P29" i="5"/>
  <c r="N29" i="5"/>
  <c r="O21" i="5"/>
  <c r="P21" i="5"/>
  <c r="N21" i="5"/>
  <c r="O13" i="5"/>
  <c r="P13" i="5"/>
  <c r="N13" i="5"/>
  <c r="O5" i="5"/>
  <c r="P5" i="5"/>
  <c r="N5" i="5"/>
  <c r="N752" i="5"/>
  <c r="N729" i="5"/>
  <c r="N688" i="5"/>
  <c r="N665" i="5"/>
  <c r="N624" i="5"/>
  <c r="N601" i="5"/>
  <c r="N560" i="5"/>
  <c r="N537" i="5"/>
  <c r="N496" i="5"/>
  <c r="N473" i="5"/>
  <c r="N432" i="5"/>
  <c r="N409" i="5"/>
  <c r="N368" i="5"/>
  <c r="N345" i="5"/>
  <c r="N304" i="5"/>
  <c r="N281" i="5"/>
  <c r="N240" i="5"/>
  <c r="N217" i="5"/>
  <c r="N176" i="5"/>
  <c r="N153" i="5"/>
  <c r="N112" i="5"/>
  <c r="N89" i="5"/>
  <c r="N48" i="5"/>
  <c r="N25" i="5"/>
  <c r="P830" i="5"/>
  <c r="P750" i="5"/>
  <c r="P574" i="5"/>
  <c r="P494" i="5"/>
  <c r="P318" i="5"/>
  <c r="P238" i="5"/>
  <c r="O884" i="5"/>
  <c r="P884" i="5"/>
  <c r="O876" i="5"/>
  <c r="P876" i="5"/>
  <c r="O868" i="5"/>
  <c r="P868" i="5"/>
  <c r="O860" i="5"/>
  <c r="P860" i="5"/>
  <c r="O852" i="5"/>
  <c r="P852" i="5"/>
  <c r="O844" i="5"/>
  <c r="P844" i="5"/>
  <c r="O836" i="5"/>
  <c r="P836" i="5"/>
  <c r="O828" i="5"/>
  <c r="P828" i="5"/>
  <c r="O820" i="5"/>
  <c r="P820" i="5"/>
  <c r="O812" i="5"/>
  <c r="P812" i="5"/>
  <c r="O804" i="5"/>
  <c r="P804" i="5"/>
  <c r="O796" i="5"/>
  <c r="P796" i="5"/>
  <c r="O788" i="5"/>
  <c r="P788" i="5"/>
  <c r="O780" i="5"/>
  <c r="P780" i="5"/>
  <c r="O772" i="5"/>
  <c r="P772" i="5"/>
  <c r="O764" i="5"/>
  <c r="P764" i="5"/>
  <c r="O756" i="5"/>
  <c r="P756" i="5"/>
  <c r="O748" i="5"/>
  <c r="P748" i="5"/>
  <c r="O740" i="5"/>
  <c r="P740" i="5"/>
  <c r="O732" i="5"/>
  <c r="P732" i="5"/>
  <c r="O724" i="5"/>
  <c r="P724" i="5"/>
  <c r="O716" i="5"/>
  <c r="P716" i="5"/>
  <c r="O708" i="5"/>
  <c r="P708" i="5"/>
  <c r="O700" i="5"/>
  <c r="P700" i="5"/>
  <c r="O692" i="5"/>
  <c r="P692" i="5"/>
  <c r="O684" i="5"/>
  <c r="P684" i="5"/>
  <c r="O676" i="5"/>
  <c r="P676" i="5"/>
  <c r="O668" i="5"/>
  <c r="P668" i="5"/>
  <c r="O660" i="5"/>
  <c r="P660" i="5"/>
  <c r="O652" i="5"/>
  <c r="P652" i="5"/>
  <c r="O644" i="5"/>
  <c r="P644" i="5"/>
  <c r="O636" i="5"/>
  <c r="P636" i="5"/>
  <c r="O628" i="5"/>
  <c r="P628" i="5"/>
  <c r="O620" i="5"/>
  <c r="P620" i="5"/>
  <c r="O612" i="5"/>
  <c r="P612" i="5"/>
  <c r="O604" i="5"/>
  <c r="P604" i="5"/>
  <c r="O596" i="5"/>
  <c r="P596" i="5"/>
  <c r="O588" i="5"/>
  <c r="P588" i="5"/>
  <c r="O580" i="5"/>
  <c r="P580" i="5"/>
  <c r="O572" i="5"/>
  <c r="P572" i="5"/>
  <c r="O564" i="5"/>
  <c r="P564" i="5"/>
  <c r="O556" i="5"/>
  <c r="P556" i="5"/>
  <c r="O548" i="5"/>
  <c r="P548" i="5"/>
  <c r="O540" i="5"/>
  <c r="P540" i="5"/>
  <c r="O532" i="5"/>
  <c r="P532" i="5"/>
  <c r="O524" i="5"/>
  <c r="P524" i="5"/>
  <c r="O516" i="5"/>
  <c r="P516" i="5"/>
  <c r="O508" i="5"/>
  <c r="P508" i="5"/>
  <c r="O500" i="5"/>
  <c r="P500" i="5"/>
  <c r="O492" i="5"/>
  <c r="P492" i="5"/>
  <c r="O484" i="5"/>
  <c r="P484" i="5"/>
  <c r="O476" i="5"/>
  <c r="P476" i="5"/>
  <c r="O468" i="5"/>
  <c r="P468" i="5"/>
  <c r="O460" i="5"/>
  <c r="P460" i="5"/>
  <c r="O452" i="5"/>
  <c r="P452" i="5"/>
  <c r="O444" i="5"/>
  <c r="P444" i="5"/>
  <c r="O436" i="5"/>
  <c r="P436" i="5"/>
  <c r="O428" i="5"/>
  <c r="P428" i="5"/>
  <c r="O420" i="5"/>
  <c r="P420" i="5"/>
  <c r="O412" i="5"/>
  <c r="P412" i="5"/>
  <c r="O404" i="5"/>
  <c r="P404" i="5"/>
  <c r="O396" i="5"/>
  <c r="P396" i="5"/>
  <c r="O388" i="5"/>
  <c r="P388" i="5"/>
  <c r="O380" i="5"/>
  <c r="P380" i="5"/>
  <c r="O372" i="5"/>
  <c r="P372" i="5"/>
  <c r="O364" i="5"/>
  <c r="P364" i="5"/>
  <c r="O356" i="5"/>
  <c r="P356" i="5"/>
  <c r="O348" i="5"/>
  <c r="P348" i="5"/>
  <c r="O340" i="5"/>
  <c r="P340" i="5"/>
  <c r="O332" i="5"/>
  <c r="P332" i="5"/>
  <c r="O324" i="5"/>
  <c r="P324" i="5"/>
  <c r="O316" i="5"/>
  <c r="P316" i="5"/>
  <c r="O308" i="5"/>
  <c r="P308" i="5"/>
  <c r="O300" i="5"/>
  <c r="P300" i="5"/>
  <c r="O292" i="5"/>
  <c r="P292" i="5"/>
  <c r="O284" i="5"/>
  <c r="P284" i="5"/>
  <c r="O276" i="5"/>
  <c r="P276" i="5"/>
  <c r="O268" i="5"/>
  <c r="P268" i="5"/>
  <c r="O260" i="5"/>
  <c r="P260" i="5"/>
  <c r="O252" i="5"/>
  <c r="P252" i="5"/>
  <c r="O244" i="5"/>
  <c r="P244" i="5"/>
  <c r="O236" i="5"/>
  <c r="P236" i="5"/>
  <c r="O228" i="5"/>
  <c r="P228" i="5"/>
  <c r="O220" i="5"/>
  <c r="P220" i="5"/>
  <c r="O212" i="5"/>
  <c r="P212" i="5"/>
  <c r="O204" i="5"/>
  <c r="P204" i="5"/>
  <c r="O196" i="5"/>
  <c r="P196" i="5"/>
  <c r="O188" i="5"/>
  <c r="P188" i="5"/>
  <c r="O180" i="5"/>
  <c r="P180" i="5"/>
  <c r="O172" i="5"/>
  <c r="P172" i="5"/>
  <c r="O164" i="5"/>
  <c r="P164" i="5"/>
  <c r="O156" i="5"/>
  <c r="P156" i="5"/>
  <c r="O148" i="5"/>
  <c r="P148" i="5"/>
  <c r="O140" i="5"/>
  <c r="P140" i="5"/>
  <c r="O132" i="5"/>
  <c r="P132" i="5"/>
  <c r="O124" i="5"/>
  <c r="P124" i="5"/>
  <c r="O116" i="5"/>
  <c r="P116" i="5"/>
  <c r="O108" i="5"/>
  <c r="P108" i="5"/>
  <c r="O100" i="5"/>
  <c r="P100" i="5"/>
  <c r="O92" i="5"/>
  <c r="P92" i="5"/>
  <c r="O84" i="5"/>
  <c r="P84" i="5"/>
  <c r="O76" i="5"/>
  <c r="P76" i="5"/>
  <c r="O68" i="5"/>
  <c r="P68" i="5"/>
  <c r="O60" i="5"/>
  <c r="P60" i="5"/>
  <c r="O52" i="5"/>
  <c r="P52" i="5"/>
  <c r="O44" i="5"/>
  <c r="P44" i="5"/>
  <c r="O36" i="5"/>
  <c r="P36" i="5"/>
  <c r="O28" i="5"/>
  <c r="P28" i="5"/>
  <c r="O20" i="5"/>
  <c r="P20" i="5"/>
  <c r="O12" i="5"/>
  <c r="P12" i="5"/>
  <c r="O4" i="5"/>
  <c r="P4" i="5"/>
  <c r="N830" i="5"/>
  <c r="N822" i="5"/>
  <c r="N814" i="5"/>
  <c r="N806" i="5"/>
  <c r="N798" i="5"/>
  <c r="N790" i="5"/>
  <c r="N782" i="5"/>
  <c r="N769" i="5"/>
  <c r="N748" i="5"/>
  <c r="N728" i="5"/>
  <c r="N705" i="5"/>
  <c r="N684" i="5"/>
  <c r="N664" i="5"/>
  <c r="N641" i="5"/>
  <c r="N620" i="5"/>
  <c r="N600" i="5"/>
  <c r="N577" i="5"/>
  <c r="N556" i="5"/>
  <c r="N536" i="5"/>
  <c r="N513" i="5"/>
  <c r="N492" i="5"/>
  <c r="N472" i="5"/>
  <c r="N449" i="5"/>
  <c r="N428" i="5"/>
  <c r="N408" i="5"/>
  <c r="N385" i="5"/>
  <c r="N364" i="5"/>
  <c r="N344" i="5"/>
  <c r="N321" i="5"/>
  <c r="N300" i="5"/>
  <c r="N280" i="5"/>
  <c r="N257" i="5"/>
  <c r="N236" i="5"/>
  <c r="N216" i="5"/>
  <c r="N193" i="5"/>
  <c r="N172" i="5"/>
  <c r="N152" i="5"/>
  <c r="N129" i="5"/>
  <c r="N108" i="5"/>
  <c r="N88" i="5"/>
  <c r="N65" i="5"/>
  <c r="N44" i="5"/>
  <c r="N24" i="5"/>
  <c r="P819" i="5"/>
  <c r="P734" i="5"/>
  <c r="P654" i="5"/>
  <c r="P478" i="5"/>
  <c r="P398" i="5"/>
  <c r="P222" i="5"/>
  <c r="P142" i="5"/>
  <c r="O843" i="5"/>
  <c r="P843" i="5"/>
  <c r="O835" i="5"/>
  <c r="P835" i="5"/>
  <c r="O827" i="5"/>
  <c r="P827" i="5"/>
  <c r="O811" i="5"/>
  <c r="P811" i="5"/>
  <c r="O803" i="5"/>
  <c r="P803" i="5"/>
  <c r="O795" i="5"/>
  <c r="P795" i="5"/>
  <c r="O779" i="5"/>
  <c r="P779" i="5"/>
  <c r="O771" i="5"/>
  <c r="P771" i="5"/>
  <c r="N771" i="5"/>
  <c r="O763" i="5"/>
  <c r="P763" i="5"/>
  <c r="N763" i="5"/>
  <c r="O755" i="5"/>
  <c r="N755" i="5"/>
  <c r="O747" i="5"/>
  <c r="P747" i="5"/>
  <c r="N747" i="5"/>
  <c r="O739" i="5"/>
  <c r="P739" i="5"/>
  <c r="N739" i="5"/>
  <c r="O731" i="5"/>
  <c r="P731" i="5"/>
  <c r="N731" i="5"/>
  <c r="O723" i="5"/>
  <c r="N723" i="5"/>
  <c r="O715" i="5"/>
  <c r="P715" i="5"/>
  <c r="N715" i="5"/>
  <c r="O707" i="5"/>
  <c r="P707" i="5"/>
  <c r="N707" i="5"/>
  <c r="O699" i="5"/>
  <c r="P699" i="5"/>
  <c r="N699" i="5"/>
  <c r="O691" i="5"/>
  <c r="N691" i="5"/>
  <c r="O683" i="5"/>
  <c r="P683" i="5"/>
  <c r="N683" i="5"/>
  <c r="O675" i="5"/>
  <c r="P675" i="5"/>
  <c r="N675" i="5"/>
  <c r="O667" i="5"/>
  <c r="P667" i="5"/>
  <c r="N667" i="5"/>
  <c r="O659" i="5"/>
  <c r="N659" i="5"/>
  <c r="O651" i="5"/>
  <c r="P651" i="5"/>
  <c r="N651" i="5"/>
  <c r="O643" i="5"/>
  <c r="P643" i="5"/>
  <c r="N643" i="5"/>
  <c r="O635" i="5"/>
  <c r="P635" i="5"/>
  <c r="N635" i="5"/>
  <c r="O627" i="5"/>
  <c r="N627" i="5"/>
  <c r="O619" i="5"/>
  <c r="P619" i="5"/>
  <c r="N619" i="5"/>
  <c r="O611" i="5"/>
  <c r="P611" i="5"/>
  <c r="N611" i="5"/>
  <c r="O603" i="5"/>
  <c r="P603" i="5"/>
  <c r="N603" i="5"/>
  <c r="O595" i="5"/>
  <c r="N595" i="5"/>
  <c r="O587" i="5"/>
  <c r="P587" i="5"/>
  <c r="N587" i="5"/>
  <c r="O579" i="5"/>
  <c r="P579" i="5"/>
  <c r="N579" i="5"/>
  <c r="O571" i="5"/>
  <c r="P571" i="5"/>
  <c r="N571" i="5"/>
  <c r="O563" i="5"/>
  <c r="N563" i="5"/>
  <c r="O555" i="5"/>
  <c r="P555" i="5"/>
  <c r="N555" i="5"/>
  <c r="O547" i="5"/>
  <c r="P547" i="5"/>
  <c r="N547" i="5"/>
  <c r="O539" i="5"/>
  <c r="P539" i="5"/>
  <c r="N539" i="5"/>
  <c r="O531" i="5"/>
  <c r="N531" i="5"/>
  <c r="O523" i="5"/>
  <c r="P523" i="5"/>
  <c r="N523" i="5"/>
  <c r="O515" i="5"/>
  <c r="P515" i="5"/>
  <c r="N515" i="5"/>
  <c r="O507" i="5"/>
  <c r="P507" i="5"/>
  <c r="N507" i="5"/>
  <c r="O499" i="5"/>
  <c r="N499" i="5"/>
  <c r="O491" i="5"/>
  <c r="P491" i="5"/>
  <c r="N491" i="5"/>
  <c r="O483" i="5"/>
  <c r="P483" i="5"/>
  <c r="N483" i="5"/>
  <c r="O475" i="5"/>
  <c r="P475" i="5"/>
  <c r="N475" i="5"/>
  <c r="O467" i="5"/>
  <c r="N467" i="5"/>
  <c r="O459" i="5"/>
  <c r="P459" i="5"/>
  <c r="N459" i="5"/>
  <c r="O451" i="5"/>
  <c r="P451" i="5"/>
  <c r="N451" i="5"/>
  <c r="O443" i="5"/>
  <c r="P443" i="5"/>
  <c r="N443" i="5"/>
  <c r="O435" i="5"/>
  <c r="N435" i="5"/>
  <c r="O427" i="5"/>
  <c r="P427" i="5"/>
  <c r="N427" i="5"/>
  <c r="O419" i="5"/>
  <c r="P419" i="5"/>
  <c r="N419" i="5"/>
  <c r="O411" i="5"/>
  <c r="P411" i="5"/>
  <c r="N411" i="5"/>
  <c r="O403" i="5"/>
  <c r="N403" i="5"/>
  <c r="O395" i="5"/>
  <c r="P395" i="5"/>
  <c r="N395" i="5"/>
  <c r="O387" i="5"/>
  <c r="P387" i="5"/>
  <c r="N387" i="5"/>
  <c r="O379" i="5"/>
  <c r="P379" i="5"/>
  <c r="N379" i="5"/>
  <c r="O371" i="5"/>
  <c r="N371" i="5"/>
  <c r="O363" i="5"/>
  <c r="P363" i="5"/>
  <c r="N363" i="5"/>
  <c r="O355" i="5"/>
  <c r="P355" i="5"/>
  <c r="N355" i="5"/>
  <c r="O347" i="5"/>
  <c r="P347" i="5"/>
  <c r="N347" i="5"/>
  <c r="O339" i="5"/>
  <c r="N339" i="5"/>
  <c r="O331" i="5"/>
  <c r="P331" i="5"/>
  <c r="N331" i="5"/>
  <c r="O323" i="5"/>
  <c r="P323" i="5"/>
  <c r="N323" i="5"/>
  <c r="O315" i="5"/>
  <c r="P315" i="5"/>
  <c r="N315" i="5"/>
  <c r="O307" i="5"/>
  <c r="N307" i="5"/>
  <c r="O299" i="5"/>
  <c r="P299" i="5"/>
  <c r="N299" i="5"/>
  <c r="O291" i="5"/>
  <c r="P291" i="5"/>
  <c r="N291" i="5"/>
  <c r="O283" i="5"/>
  <c r="P283" i="5"/>
  <c r="N283" i="5"/>
  <c r="O275" i="5"/>
  <c r="N275" i="5"/>
  <c r="O267" i="5"/>
  <c r="P267" i="5"/>
  <c r="N267" i="5"/>
  <c r="O259" i="5"/>
  <c r="P259" i="5"/>
  <c r="N259" i="5"/>
  <c r="O251" i="5"/>
  <c r="P251" i="5"/>
  <c r="N251" i="5"/>
  <c r="O243" i="5"/>
  <c r="N243" i="5"/>
  <c r="O235" i="5"/>
  <c r="P235" i="5"/>
  <c r="N235" i="5"/>
  <c r="O227" i="5"/>
  <c r="P227" i="5"/>
  <c r="N227" i="5"/>
  <c r="O219" i="5"/>
  <c r="P219" i="5"/>
  <c r="N219" i="5"/>
  <c r="O211" i="5"/>
  <c r="N211" i="5"/>
  <c r="O203" i="5"/>
  <c r="P203" i="5"/>
  <c r="N203" i="5"/>
  <c r="O195" i="5"/>
  <c r="P195" i="5"/>
  <c r="N195" i="5"/>
  <c r="O187" i="5"/>
  <c r="P187" i="5"/>
  <c r="N187" i="5"/>
  <c r="O179" i="5"/>
  <c r="N179" i="5"/>
  <c r="O171" i="5"/>
  <c r="P171" i="5"/>
  <c r="N171" i="5"/>
  <c r="O163" i="5"/>
  <c r="P163" i="5"/>
  <c r="N163" i="5"/>
  <c r="O155" i="5"/>
  <c r="P155" i="5"/>
  <c r="N155" i="5"/>
  <c r="O147" i="5"/>
  <c r="N147" i="5"/>
  <c r="O139" i="5"/>
  <c r="P139" i="5"/>
  <c r="N139" i="5"/>
  <c r="O131" i="5"/>
  <c r="P131" i="5"/>
  <c r="N131" i="5"/>
  <c r="O123" i="5"/>
  <c r="P123" i="5"/>
  <c r="N123" i="5"/>
  <c r="O115" i="5"/>
  <c r="P115" i="5"/>
  <c r="N115" i="5"/>
  <c r="O107" i="5"/>
  <c r="P107" i="5"/>
  <c r="N107" i="5"/>
  <c r="O99" i="5"/>
  <c r="P99" i="5"/>
  <c r="N99" i="5"/>
  <c r="O91" i="5"/>
  <c r="P91" i="5"/>
  <c r="N91" i="5"/>
  <c r="O83" i="5"/>
  <c r="P83" i="5"/>
  <c r="N83" i="5"/>
  <c r="O75" i="5"/>
  <c r="P75" i="5"/>
  <c r="N75" i="5"/>
  <c r="O67" i="5"/>
  <c r="P67" i="5"/>
  <c r="N67" i="5"/>
  <c r="O59" i="5"/>
  <c r="P59" i="5"/>
  <c r="N59" i="5"/>
  <c r="O51" i="5"/>
  <c r="P51" i="5"/>
  <c r="N51" i="5"/>
  <c r="O43" i="5"/>
  <c r="P43" i="5"/>
  <c r="N43" i="5"/>
  <c r="O35" i="5"/>
  <c r="P35" i="5"/>
  <c r="N35" i="5"/>
  <c r="O27" i="5"/>
  <c r="P27" i="5"/>
  <c r="N27" i="5"/>
  <c r="O19" i="5"/>
  <c r="P19" i="5"/>
  <c r="N19" i="5"/>
  <c r="O11" i="5"/>
  <c r="P11" i="5"/>
  <c r="N11" i="5"/>
  <c r="O3" i="5"/>
  <c r="P3" i="5"/>
  <c r="N3" i="5"/>
  <c r="N885" i="5"/>
  <c r="N877" i="5"/>
  <c r="N869" i="5"/>
  <c r="N861" i="5"/>
  <c r="N853" i="5"/>
  <c r="N845" i="5"/>
  <c r="N837" i="5"/>
  <c r="N829" i="5"/>
  <c r="N821" i="5"/>
  <c r="N813" i="5"/>
  <c r="N805" i="5"/>
  <c r="N797" i="5"/>
  <c r="N789" i="5"/>
  <c r="N781" i="5"/>
  <c r="N768" i="5"/>
  <c r="N745" i="5"/>
  <c r="N724" i="5"/>
  <c r="N704" i="5"/>
  <c r="N681" i="5"/>
  <c r="N660" i="5"/>
  <c r="N640" i="5"/>
  <c r="N617" i="5"/>
  <c r="N596" i="5"/>
  <c r="N576" i="5"/>
  <c r="N553" i="5"/>
  <c r="N532" i="5"/>
  <c r="N512" i="5"/>
  <c r="N489" i="5"/>
  <c r="N468" i="5"/>
  <c r="N448" i="5"/>
  <c r="N425" i="5"/>
  <c r="N404" i="5"/>
  <c r="N384" i="5"/>
  <c r="N361" i="5"/>
  <c r="N340" i="5"/>
  <c r="N320" i="5"/>
  <c r="N297" i="5"/>
  <c r="N276" i="5"/>
  <c r="N256" i="5"/>
  <c r="N233" i="5"/>
  <c r="N212" i="5"/>
  <c r="N192" i="5"/>
  <c r="N169" i="5"/>
  <c r="N148" i="5"/>
  <c r="N128" i="5"/>
  <c r="N105" i="5"/>
  <c r="N84" i="5"/>
  <c r="N64" i="5"/>
  <c r="N41" i="5"/>
  <c r="N20" i="5"/>
  <c r="P814" i="5"/>
  <c r="P723" i="5"/>
  <c r="P638" i="5"/>
  <c r="P558" i="5"/>
  <c r="P467" i="5"/>
  <c r="P382" i="5"/>
  <c r="P302" i="5"/>
  <c r="P211" i="5"/>
  <c r="P120" i="5"/>
  <c r="H6" i="5"/>
  <c r="H30" i="5"/>
  <c r="H46" i="5"/>
  <c r="H62" i="5"/>
  <c r="H78" i="5"/>
  <c r="H110" i="5"/>
  <c r="H126" i="5"/>
  <c r="H142" i="5"/>
  <c r="H158" i="5"/>
  <c r="H174" i="5"/>
  <c r="H190" i="5"/>
  <c r="H206" i="5"/>
  <c r="H222" i="5"/>
  <c r="H238" i="5"/>
  <c r="H254" i="5"/>
  <c r="H270" i="5"/>
  <c r="H286" i="5"/>
  <c r="H302" i="5"/>
  <c r="H318" i="5"/>
  <c r="H334" i="5"/>
  <c r="H350" i="5"/>
  <c r="H366" i="5"/>
  <c r="H382" i="5"/>
  <c r="H398" i="5"/>
  <c r="H414" i="5"/>
  <c r="H430" i="5"/>
  <c r="H446" i="5"/>
  <c r="H462" i="5"/>
  <c r="H478" i="5"/>
  <c r="H494" i="5"/>
  <c r="H510" i="5"/>
  <c r="H526" i="5"/>
  <c r="H542" i="5"/>
  <c r="H558" i="5"/>
  <c r="H574" i="5"/>
  <c r="H590" i="5"/>
  <c r="H606" i="5"/>
  <c r="H622" i="5"/>
  <c r="H638" i="5"/>
  <c r="H654" i="5"/>
  <c r="H670" i="5"/>
  <c r="H686" i="5"/>
  <c r="H702" i="5"/>
  <c r="H718" i="5"/>
  <c r="H734" i="5"/>
  <c r="H750" i="5"/>
  <c r="H766" i="5"/>
  <c r="H782" i="5"/>
  <c r="H798" i="5"/>
  <c r="H814" i="5"/>
  <c r="H830" i="5"/>
  <c r="H846" i="5"/>
  <c r="H862" i="5"/>
  <c r="H878" i="5"/>
  <c r="H894" i="5"/>
  <c r="H910" i="5"/>
  <c r="H926" i="5"/>
  <c r="H942" i="5"/>
  <c r="H958" i="5"/>
  <c r="H974" i="5"/>
  <c r="H990" i="5"/>
  <c r="H1006" i="5"/>
  <c r="H1022" i="5"/>
  <c r="H1038" i="5"/>
  <c r="H1054" i="5"/>
  <c r="H1070" i="5"/>
  <c r="H1086" i="5"/>
  <c r="H1102" i="5"/>
  <c r="H1118" i="5"/>
  <c r="H1134" i="5"/>
  <c r="H1150" i="5"/>
  <c r="H1166" i="5"/>
  <c r="H1182" i="5"/>
  <c r="H1198" i="5"/>
  <c r="H1214" i="5"/>
  <c r="H1230" i="5"/>
  <c r="H1246" i="5"/>
  <c r="H1262" i="5"/>
  <c r="H1278" i="5"/>
  <c r="H1294" i="5"/>
  <c r="H1302" i="5"/>
  <c r="H1318" i="5"/>
  <c r="H15" i="5"/>
  <c r="H31" i="5"/>
  <c r="H39" i="5"/>
  <c r="H47" i="5"/>
  <c r="H55" i="5"/>
  <c r="H63" i="5"/>
  <c r="H71" i="5"/>
  <c r="H79" i="5"/>
  <c r="H87" i="5"/>
  <c r="H95" i="5"/>
  <c r="H103" i="5"/>
  <c r="H111" i="5"/>
  <c r="H119" i="5"/>
  <c r="H127" i="5"/>
  <c r="H135" i="5"/>
  <c r="H143" i="5"/>
  <c r="H151" i="5"/>
  <c r="H159" i="5"/>
  <c r="H167" i="5"/>
  <c r="H175" i="5"/>
  <c r="H183" i="5"/>
  <c r="H191" i="5"/>
  <c r="H199" i="5"/>
  <c r="H215" i="5"/>
  <c r="H223" i="5"/>
  <c r="H231" i="5"/>
  <c r="H239" i="5"/>
  <c r="H247" i="5"/>
  <c r="H255" i="5"/>
  <c r="H263" i="5"/>
  <c r="H271" i="5"/>
  <c r="H279" i="5"/>
  <c r="H287" i="5"/>
  <c r="H295" i="5"/>
  <c r="H303" i="5"/>
  <c r="H311" i="5"/>
  <c r="H319" i="5"/>
  <c r="H327" i="5"/>
  <c r="H335" i="5"/>
  <c r="H343" i="5"/>
  <c r="H351" i="5"/>
  <c r="H359" i="5"/>
  <c r="H367" i="5"/>
  <c r="H375" i="5"/>
  <c r="H383" i="5"/>
  <c r="H391" i="5"/>
  <c r="H399" i="5"/>
  <c r="H407" i="5"/>
  <c r="H415" i="5"/>
  <c r="H423" i="5"/>
  <c r="H431" i="5"/>
  <c r="H439" i="5"/>
  <c r="H447" i="5"/>
  <c r="H455" i="5"/>
  <c r="H463" i="5"/>
  <c r="H471" i="5"/>
  <c r="H479" i="5"/>
  <c r="H487" i="5"/>
  <c r="H495" i="5"/>
  <c r="H503" i="5"/>
  <c r="H511" i="5"/>
  <c r="H519" i="5"/>
  <c r="H527" i="5"/>
  <c r="H535" i="5"/>
  <c r="H543" i="5"/>
  <c r="H551" i="5"/>
  <c r="H559" i="5"/>
  <c r="H567" i="5"/>
  <c r="H575" i="5"/>
  <c r="H583" i="5"/>
  <c r="H591" i="5"/>
  <c r="H599" i="5"/>
  <c r="H607" i="5"/>
  <c r="H615" i="5"/>
  <c r="H623" i="5"/>
  <c r="H631" i="5"/>
  <c r="H639" i="5"/>
  <c r="H647" i="5"/>
  <c r="H655" i="5"/>
  <c r="H663" i="5"/>
  <c r="H671" i="5"/>
  <c r="H679" i="5"/>
  <c r="H687" i="5"/>
  <c r="H695" i="5"/>
  <c r="H703" i="5"/>
  <c r="H711" i="5"/>
  <c r="H719" i="5"/>
  <c r="H727" i="5"/>
  <c r="H735" i="5"/>
  <c r="H743" i="5"/>
  <c r="H751" i="5"/>
  <c r="H759" i="5"/>
  <c r="H767" i="5"/>
  <c r="H775" i="5"/>
  <c r="H783" i="5"/>
  <c r="H791" i="5"/>
  <c r="H799" i="5"/>
  <c r="H807" i="5"/>
  <c r="H815" i="5"/>
  <c r="H823" i="5"/>
  <c r="H831" i="5"/>
  <c r="H839" i="5"/>
  <c r="H847" i="5"/>
  <c r="H855" i="5"/>
  <c r="H863" i="5"/>
  <c r="H871" i="5"/>
  <c r="H879" i="5"/>
  <c r="H887" i="5"/>
  <c r="H895" i="5"/>
  <c r="H903" i="5"/>
  <c r="H911" i="5"/>
  <c r="H919" i="5"/>
  <c r="H927" i="5"/>
  <c r="H935" i="5"/>
  <c r="H943" i="5"/>
  <c r="H951" i="5"/>
  <c r="H959" i="5"/>
  <c r="H967" i="5"/>
  <c r="H975" i="5"/>
  <c r="H983" i="5"/>
  <c r="H991" i="5"/>
  <c r="H999" i="5"/>
  <c r="H1007" i="5"/>
  <c r="H1015" i="5"/>
  <c r="H1023" i="5"/>
  <c r="H1031" i="5"/>
  <c r="H1039" i="5"/>
  <c r="H1047" i="5"/>
  <c r="H1055" i="5"/>
  <c r="H1063" i="5"/>
  <c r="H1071" i="5"/>
  <c r="H1079" i="5"/>
  <c r="H1087" i="5"/>
  <c r="H1095" i="5"/>
  <c r="H1103" i="5"/>
  <c r="H1111" i="5"/>
  <c r="H1119" i="5"/>
  <c r="H1127" i="5"/>
  <c r="H1135" i="5"/>
  <c r="H1143" i="5"/>
  <c r="H1151" i="5"/>
  <c r="H1159" i="5"/>
  <c r="H1167" i="5"/>
  <c r="H1175" i="5"/>
  <c r="H1183" i="5"/>
  <c r="H1199" i="5"/>
  <c r="H1207" i="5"/>
  <c r="H1215" i="5"/>
  <c r="H1223" i="5"/>
  <c r="H1231" i="5"/>
  <c r="H1247" i="5"/>
  <c r="H1255" i="5"/>
  <c r="H1263" i="5"/>
  <c r="H1279" i="5"/>
  <c r="H1287" i="5"/>
  <c r="H1295" i="5"/>
  <c r="H1303" i="5"/>
  <c r="H1311" i="5"/>
  <c r="H1319" i="5"/>
  <c r="H14" i="5"/>
  <c r="H38" i="5"/>
  <c r="H54" i="5"/>
  <c r="H70" i="5"/>
  <c r="H86" i="5"/>
  <c r="H118" i="5"/>
  <c r="H134" i="5"/>
  <c r="H150" i="5"/>
  <c r="H166" i="5"/>
  <c r="H182" i="5"/>
  <c r="H198" i="5"/>
  <c r="H214" i="5"/>
  <c r="H230" i="5"/>
  <c r="H246" i="5"/>
  <c r="H262" i="5"/>
  <c r="H278" i="5"/>
  <c r="H294" i="5"/>
  <c r="H310" i="5"/>
  <c r="H326" i="5"/>
  <c r="H342" i="5"/>
  <c r="H358" i="5"/>
  <c r="H374" i="5"/>
  <c r="H390" i="5"/>
  <c r="H406" i="5"/>
  <c r="H422" i="5"/>
  <c r="H438" i="5"/>
  <c r="H454" i="5"/>
  <c r="H470" i="5"/>
  <c r="H486" i="5"/>
  <c r="H502" i="5"/>
  <c r="H518" i="5"/>
  <c r="H534" i="5"/>
  <c r="H550" i="5"/>
  <c r="H566" i="5"/>
  <c r="H582" i="5"/>
  <c r="H598" i="5"/>
  <c r="H614" i="5"/>
  <c r="H630" i="5"/>
  <c r="H646" i="5"/>
  <c r="H662" i="5"/>
  <c r="H678" i="5"/>
  <c r="H694" i="5"/>
  <c r="H710" i="5"/>
  <c r="H726" i="5"/>
  <c r="H742" i="5"/>
  <c r="H758" i="5"/>
  <c r="H774" i="5"/>
  <c r="H790" i="5"/>
  <c r="H806" i="5"/>
  <c r="H822" i="5"/>
  <c r="H838" i="5"/>
  <c r="H854" i="5"/>
  <c r="H870" i="5"/>
  <c r="H886" i="5"/>
  <c r="H902" i="5"/>
  <c r="H918" i="5"/>
  <c r="H934" i="5"/>
  <c r="H950" i="5"/>
  <c r="H966" i="5"/>
  <c r="H982" i="5"/>
  <c r="H998" i="5"/>
  <c r="H1014" i="5"/>
  <c r="H1030" i="5"/>
  <c r="H1046" i="5"/>
  <c r="H1062" i="5"/>
  <c r="H1078" i="5"/>
  <c r="H1094" i="5"/>
  <c r="H1110" i="5"/>
  <c r="H1126" i="5"/>
  <c r="H1142" i="5"/>
  <c r="H1158" i="5"/>
  <c r="H1174" i="5"/>
  <c r="H1190" i="5"/>
  <c r="H1206" i="5"/>
  <c r="H1222" i="5"/>
  <c r="H1238" i="5"/>
  <c r="H1254" i="5"/>
  <c r="H1270" i="5"/>
  <c r="H1286" i="5"/>
  <c r="H1310" i="5"/>
  <c r="H1326" i="5"/>
  <c r="H7" i="5"/>
  <c r="H23" i="5"/>
  <c r="H207" i="5"/>
  <c r="H8" i="5"/>
  <c r="H16" i="5"/>
  <c r="H24" i="5"/>
  <c r="H32" i="5"/>
  <c r="H40" i="5"/>
  <c r="H48" i="5"/>
  <c r="H56" i="5"/>
  <c r="H64" i="5"/>
  <c r="H72" i="5"/>
  <c r="H80" i="5"/>
  <c r="H88" i="5"/>
  <c r="H96" i="5"/>
  <c r="H104" i="5"/>
  <c r="H112" i="5"/>
  <c r="H120" i="5"/>
  <c r="H128" i="5"/>
  <c r="H136" i="5"/>
  <c r="H144" i="5"/>
  <c r="H152" i="5"/>
  <c r="H160" i="5"/>
  <c r="H168" i="5"/>
  <c r="H176" i="5"/>
  <c r="H184" i="5"/>
  <c r="H192" i="5"/>
  <c r="H200" i="5"/>
  <c r="H208" i="5"/>
  <c r="H216" i="5"/>
  <c r="H224" i="5"/>
  <c r="H232" i="5"/>
  <c r="H240" i="5"/>
  <c r="H248" i="5"/>
  <c r="H256" i="5"/>
  <c r="H264" i="5"/>
  <c r="H272" i="5"/>
  <c r="H280" i="5"/>
  <c r="H288" i="5"/>
  <c r="H296" i="5"/>
  <c r="H304" i="5"/>
  <c r="H312" i="5"/>
  <c r="H320" i="5"/>
  <c r="H328" i="5"/>
  <c r="H336" i="5"/>
  <c r="H344" i="5"/>
  <c r="H352" i="5"/>
  <c r="H360" i="5"/>
  <c r="H368" i="5"/>
  <c r="H376" i="5"/>
  <c r="H384" i="5"/>
  <c r="H392" i="5"/>
  <c r="H400" i="5"/>
  <c r="H408" i="5"/>
  <c r="H416" i="5"/>
  <c r="H424" i="5"/>
  <c r="H432" i="5"/>
  <c r="H440" i="5"/>
  <c r="H448" i="5"/>
  <c r="H456" i="5"/>
  <c r="H464" i="5"/>
  <c r="H472" i="5"/>
  <c r="H480" i="5"/>
  <c r="H488" i="5"/>
  <c r="H496" i="5"/>
  <c r="H504" i="5"/>
  <c r="H512" i="5"/>
  <c r="H520" i="5"/>
  <c r="H528" i="5"/>
  <c r="H536" i="5"/>
  <c r="H544" i="5"/>
  <c r="H552" i="5"/>
  <c r="H560" i="5"/>
  <c r="H568" i="5"/>
  <c r="H576" i="5"/>
  <c r="H584" i="5"/>
  <c r="H592" i="5"/>
  <c r="H600" i="5"/>
  <c r="H608" i="5"/>
  <c r="H616" i="5"/>
  <c r="H624" i="5"/>
  <c r="H632" i="5"/>
  <c r="H640" i="5"/>
  <c r="H648" i="5"/>
  <c r="H656" i="5"/>
  <c r="H664" i="5"/>
  <c r="H672" i="5"/>
  <c r="H680" i="5"/>
  <c r="H688" i="5"/>
  <c r="H696" i="5"/>
  <c r="H704" i="5"/>
  <c r="H712" i="5"/>
  <c r="H720" i="5"/>
  <c r="H728" i="5"/>
  <c r="H736" i="5"/>
  <c r="H744" i="5"/>
  <c r="H752" i="5"/>
  <c r="H760" i="5"/>
  <c r="H768" i="5"/>
  <c r="H776" i="5"/>
  <c r="H784" i="5"/>
  <c r="H792" i="5"/>
  <c r="H800" i="5"/>
  <c r="H808" i="5"/>
  <c r="H816" i="5"/>
  <c r="H824" i="5"/>
  <c r="H832" i="5"/>
  <c r="H840" i="5"/>
  <c r="H848" i="5"/>
  <c r="H856" i="5"/>
  <c r="H864" i="5"/>
  <c r="H872" i="5"/>
  <c r="H880" i="5"/>
  <c r="H888" i="5"/>
  <c r="H896" i="5"/>
  <c r="H904" i="5"/>
  <c r="H912" i="5"/>
  <c r="H920" i="5"/>
  <c r="H928" i="5"/>
  <c r="H936" i="5"/>
  <c r="H944" i="5"/>
  <c r="H952" i="5"/>
  <c r="H960" i="5"/>
  <c r="H968" i="5"/>
  <c r="H976" i="5"/>
  <c r="H984" i="5"/>
  <c r="H992" i="5"/>
  <c r="H1000" i="5"/>
  <c r="H1008" i="5"/>
  <c r="H1016" i="5"/>
  <c r="H1024" i="5"/>
  <c r="H1032" i="5"/>
  <c r="H1040" i="5"/>
  <c r="H1048" i="5"/>
  <c r="H1056" i="5"/>
  <c r="H1064" i="5"/>
  <c r="H1072" i="5"/>
  <c r="H1080" i="5"/>
  <c r="H1088" i="5"/>
  <c r="H1096" i="5"/>
  <c r="H1104" i="5"/>
  <c r="H1112" i="5"/>
  <c r="H1120" i="5"/>
  <c r="H1128" i="5"/>
  <c r="H1136" i="5"/>
  <c r="H1144" i="5"/>
  <c r="H1152" i="5"/>
  <c r="H1160" i="5"/>
  <c r="H1168" i="5"/>
  <c r="H1176" i="5"/>
  <c r="H1184" i="5"/>
  <c r="H1192" i="5"/>
  <c r="H1200" i="5"/>
  <c r="H1208" i="5"/>
  <c r="H1216" i="5"/>
  <c r="H1224" i="5"/>
  <c r="H1232" i="5"/>
  <c r="H1240" i="5"/>
  <c r="H1248" i="5"/>
  <c r="H1256" i="5"/>
  <c r="H1264" i="5"/>
  <c r="H1272" i="5"/>
  <c r="H1280" i="5"/>
  <c r="H1288" i="5"/>
  <c r="H1296" i="5"/>
  <c r="H1304" i="5"/>
  <c r="H1312" i="5"/>
  <c r="H1320" i="5"/>
  <c r="H1328" i="5"/>
  <c r="H74" i="5"/>
  <c r="H82" i="5"/>
  <c r="H90" i="5"/>
  <c r="H98" i="5"/>
  <c r="H106" i="5"/>
  <c r="H114" i="5"/>
  <c r="H122" i="5"/>
  <c r="H130" i="5"/>
  <c r="H138" i="5"/>
  <c r="H146" i="5"/>
  <c r="H154" i="5"/>
  <c r="H162" i="5"/>
  <c r="H170" i="5"/>
  <c r="H178" i="5"/>
  <c r="H186" i="5"/>
  <c r="H194" i="5"/>
  <c r="H202" i="5"/>
  <c r="H210" i="5"/>
  <c r="H218" i="5"/>
  <c r="H226" i="5"/>
  <c r="H234" i="5"/>
  <c r="H242" i="5"/>
  <c r="H250" i="5"/>
  <c r="H258" i="5"/>
  <c r="H266" i="5"/>
  <c r="H274" i="5"/>
  <c r="H282" i="5"/>
  <c r="H290" i="5"/>
  <c r="H298" i="5"/>
  <c r="H306" i="5"/>
  <c r="H314" i="5"/>
  <c r="H322" i="5"/>
  <c r="H330" i="5"/>
  <c r="H338" i="5"/>
  <c r="H346" i="5"/>
  <c r="H354" i="5"/>
  <c r="H362" i="5"/>
  <c r="H370" i="5"/>
  <c r="H378" i="5"/>
  <c r="H386" i="5"/>
  <c r="H394" i="5"/>
  <c r="H402" i="5"/>
  <c r="H410" i="5"/>
  <c r="H418" i="5"/>
  <c r="H426" i="5"/>
  <c r="H434" i="5"/>
  <c r="H442" i="5"/>
  <c r="H450" i="5"/>
  <c r="H458" i="5"/>
  <c r="H466" i="5"/>
  <c r="H474" i="5"/>
  <c r="H482" i="5"/>
  <c r="H490" i="5"/>
  <c r="H498" i="5"/>
  <c r="H506" i="5"/>
  <c r="H514" i="5"/>
  <c r="H522" i="5"/>
  <c r="H530" i="5"/>
  <c r="H538" i="5"/>
  <c r="H546" i="5"/>
  <c r="H554" i="5"/>
  <c r="H562" i="5"/>
  <c r="H570" i="5"/>
  <c r="H578" i="5"/>
  <c r="H586" i="5"/>
  <c r="H594" i="5"/>
  <c r="H602" i="5"/>
  <c r="H610" i="5"/>
  <c r="H618" i="5"/>
  <c r="H626" i="5"/>
  <c r="H634" i="5"/>
  <c r="H642" i="5"/>
  <c r="H650" i="5"/>
  <c r="H658" i="5"/>
  <c r="H666" i="5"/>
  <c r="H674" i="5"/>
  <c r="H682" i="5"/>
  <c r="H690" i="5"/>
  <c r="H698" i="5"/>
  <c r="H706" i="5"/>
  <c r="H714" i="5"/>
  <c r="H722" i="5"/>
  <c r="H730" i="5"/>
  <c r="H738" i="5"/>
  <c r="H746" i="5"/>
  <c r="H754" i="5"/>
  <c r="H762" i="5"/>
  <c r="H770" i="5"/>
  <c r="H778" i="5"/>
  <c r="H786" i="5"/>
  <c r="H794" i="5"/>
  <c r="H802" i="5"/>
  <c r="H810" i="5"/>
  <c r="H818" i="5"/>
  <c r="H826" i="5"/>
  <c r="H834" i="5"/>
  <c r="H842" i="5"/>
  <c r="H850" i="5"/>
  <c r="H858" i="5"/>
  <c r="H866" i="5"/>
  <c r="H874" i="5"/>
  <c r="H882" i="5"/>
  <c r="H890" i="5"/>
  <c r="H898" i="5"/>
  <c r="H906" i="5"/>
  <c r="H914" i="5"/>
  <c r="H922" i="5"/>
  <c r="H930" i="5"/>
  <c r="H938" i="5"/>
  <c r="H946" i="5"/>
  <c r="H954" i="5"/>
  <c r="H962" i="5"/>
  <c r="H970" i="5"/>
  <c r="H978" i="5"/>
  <c r="H986" i="5"/>
  <c r="H994" i="5"/>
  <c r="H1002" i="5"/>
  <c r="H1010" i="5"/>
  <c r="H1018" i="5"/>
  <c r="H1026" i="5"/>
  <c r="H1034" i="5"/>
  <c r="H1042" i="5"/>
  <c r="H1050" i="5"/>
  <c r="H1058" i="5"/>
  <c r="H1066" i="5"/>
  <c r="H1074" i="5"/>
  <c r="H1082" i="5"/>
  <c r="H1090" i="5"/>
  <c r="H1098" i="5"/>
  <c r="H1106" i="5"/>
  <c r="H1114" i="5"/>
  <c r="H1122" i="5"/>
  <c r="H1130" i="5"/>
  <c r="H1138" i="5"/>
  <c r="H1146" i="5"/>
  <c r="H1154" i="5"/>
  <c r="H1162" i="5"/>
  <c r="H1170" i="5"/>
  <c r="H1178" i="5"/>
  <c r="H1186" i="5"/>
  <c r="H1194" i="5"/>
  <c r="H1202" i="5"/>
  <c r="H1210" i="5"/>
  <c r="H1218" i="5"/>
  <c r="H1226" i="5"/>
  <c r="H1234" i="5"/>
  <c r="H1242" i="5"/>
  <c r="H1250" i="5"/>
  <c r="H1258" i="5"/>
  <c r="H1266" i="5"/>
  <c r="H1274" i="5"/>
  <c r="H1282" i="5"/>
  <c r="H1290" i="5"/>
  <c r="H1298" i="5"/>
  <c r="H1306" i="5"/>
  <c r="H1314" i="5"/>
  <c r="H1322" i="5"/>
  <c r="H1330" i="5"/>
  <c r="H94" i="5"/>
  <c r="H17" i="5"/>
  <c r="H33" i="5"/>
  <c r="H57" i="5"/>
  <c r="H81" i="5"/>
  <c r="H105" i="5"/>
  <c r="H129" i="5"/>
  <c r="H161" i="5"/>
  <c r="H185" i="5"/>
  <c r="H209" i="5"/>
  <c r="H233" i="5"/>
  <c r="H257" i="5"/>
  <c r="H289" i="5"/>
  <c r="H313" i="5"/>
  <c r="H337" i="5"/>
  <c r="H361" i="5"/>
  <c r="H385" i="5"/>
  <c r="H417" i="5"/>
  <c r="H441" i="5"/>
  <c r="H465" i="5"/>
  <c r="H481" i="5"/>
  <c r="H497" i="5"/>
  <c r="H521" i="5"/>
  <c r="H545" i="5"/>
  <c r="H569" i="5"/>
  <c r="H593" i="5"/>
  <c r="H617" i="5"/>
  <c r="H641" i="5"/>
  <c r="H665" i="5"/>
  <c r="H697" i="5"/>
  <c r="H721" i="5"/>
  <c r="H745" i="5"/>
  <c r="H769" i="5"/>
  <c r="H793" i="5"/>
  <c r="H825" i="5"/>
  <c r="H849" i="5"/>
  <c r="H873" i="5"/>
  <c r="H897" i="5"/>
  <c r="H921" i="5"/>
  <c r="H945" i="5"/>
  <c r="H969" i="5"/>
  <c r="H993" i="5"/>
  <c r="H1017" i="5"/>
  <c r="H1049" i="5"/>
  <c r="H1073" i="5"/>
  <c r="H1097" i="5"/>
  <c r="H1121" i="5"/>
  <c r="H1137" i="5"/>
  <c r="H1153" i="5"/>
  <c r="H1177" i="5"/>
  <c r="H1201" i="5"/>
  <c r="H1225" i="5"/>
  <c r="H1249" i="5"/>
  <c r="H1305" i="5"/>
  <c r="H1321" i="5"/>
  <c r="H10" i="5"/>
  <c r="H26" i="5"/>
  <c r="H42" i="5"/>
  <c r="H50" i="5"/>
  <c r="H3" i="5"/>
  <c r="H11" i="5"/>
  <c r="H19" i="5"/>
  <c r="H27" i="5"/>
  <c r="H35" i="5"/>
  <c r="H43" i="5"/>
  <c r="H51" i="5"/>
  <c r="H59" i="5"/>
  <c r="H67" i="5"/>
  <c r="H75" i="5"/>
  <c r="H83" i="5"/>
  <c r="H91" i="5"/>
  <c r="H99" i="5"/>
  <c r="H107" i="5"/>
  <c r="H115" i="5"/>
  <c r="H123" i="5"/>
  <c r="H131" i="5"/>
  <c r="H139" i="5"/>
  <c r="H147" i="5"/>
  <c r="H155" i="5"/>
  <c r="H163" i="5"/>
  <c r="H171" i="5"/>
  <c r="H179" i="5"/>
  <c r="H187" i="5"/>
  <c r="H195" i="5"/>
  <c r="H203" i="5"/>
  <c r="H211" i="5"/>
  <c r="H219" i="5"/>
  <c r="H227" i="5"/>
  <c r="H235" i="5"/>
  <c r="H243" i="5"/>
  <c r="H251" i="5"/>
  <c r="H259" i="5"/>
  <c r="H267" i="5"/>
  <c r="H275" i="5"/>
  <c r="H283" i="5"/>
  <c r="H291" i="5"/>
  <c r="H299" i="5"/>
  <c r="H307" i="5"/>
  <c r="H315" i="5"/>
  <c r="H323" i="5"/>
  <c r="H331" i="5"/>
  <c r="H339" i="5"/>
  <c r="H347" i="5"/>
  <c r="H355" i="5"/>
  <c r="H363" i="5"/>
  <c r="H371" i="5"/>
  <c r="H379" i="5"/>
  <c r="H387" i="5"/>
  <c r="H395" i="5"/>
  <c r="H403" i="5"/>
  <c r="H411" i="5"/>
  <c r="H419" i="5"/>
  <c r="H427" i="5"/>
  <c r="H435" i="5"/>
  <c r="H443" i="5"/>
  <c r="H451" i="5"/>
  <c r="H459" i="5"/>
  <c r="H467" i="5"/>
  <c r="H475" i="5"/>
  <c r="H483" i="5"/>
  <c r="H491" i="5"/>
  <c r="H499" i="5"/>
  <c r="H507" i="5"/>
  <c r="H515" i="5"/>
  <c r="H523" i="5"/>
  <c r="H531" i="5"/>
  <c r="H539" i="5"/>
  <c r="H547" i="5"/>
  <c r="H555" i="5"/>
  <c r="H563" i="5"/>
  <c r="H571" i="5"/>
  <c r="H579" i="5"/>
  <c r="H587" i="5"/>
  <c r="H595" i="5"/>
  <c r="H603" i="5"/>
  <c r="H611" i="5"/>
  <c r="H619" i="5"/>
  <c r="H627" i="5"/>
  <c r="H635" i="5"/>
  <c r="H643" i="5"/>
  <c r="H651" i="5"/>
  <c r="H659" i="5"/>
  <c r="H667" i="5"/>
  <c r="H675" i="5"/>
  <c r="H683" i="5"/>
  <c r="H691" i="5"/>
  <c r="H699" i="5"/>
  <c r="H707" i="5"/>
  <c r="H715" i="5"/>
  <c r="H723" i="5"/>
  <c r="H731" i="5"/>
  <c r="H739" i="5"/>
  <c r="H747" i="5"/>
  <c r="H755" i="5"/>
  <c r="H763" i="5"/>
  <c r="H771" i="5"/>
  <c r="H779" i="5"/>
  <c r="H787" i="5"/>
  <c r="H795" i="5"/>
  <c r="H803" i="5"/>
  <c r="H811" i="5"/>
  <c r="H819" i="5"/>
  <c r="H827" i="5"/>
  <c r="H835" i="5"/>
  <c r="H843" i="5"/>
  <c r="H851" i="5"/>
  <c r="H859" i="5"/>
  <c r="H867" i="5"/>
  <c r="H875" i="5"/>
  <c r="H883" i="5"/>
  <c r="H891" i="5"/>
  <c r="H899" i="5"/>
  <c r="H907" i="5"/>
  <c r="H915" i="5"/>
  <c r="H923" i="5"/>
  <c r="H931" i="5"/>
  <c r="H939" i="5"/>
  <c r="H947" i="5"/>
  <c r="H955" i="5"/>
  <c r="H963" i="5"/>
  <c r="H971" i="5"/>
  <c r="H979" i="5"/>
  <c r="H987" i="5"/>
  <c r="H995" i="5"/>
  <c r="H1003" i="5"/>
  <c r="H1011" i="5"/>
  <c r="H1019" i="5"/>
  <c r="H1027" i="5"/>
  <c r="H1035" i="5"/>
  <c r="H1043" i="5"/>
  <c r="H1051" i="5"/>
  <c r="H1059" i="5"/>
  <c r="H1067" i="5"/>
  <c r="H1075" i="5"/>
  <c r="H1083" i="5"/>
  <c r="H1091" i="5"/>
  <c r="H1099" i="5"/>
  <c r="H1107" i="5"/>
  <c r="H1115" i="5"/>
  <c r="H1123" i="5"/>
  <c r="H1131" i="5"/>
  <c r="H1139" i="5"/>
  <c r="H1147" i="5"/>
  <c r="H1155" i="5"/>
  <c r="H1163" i="5"/>
  <c r="H1171" i="5"/>
  <c r="H1179" i="5"/>
  <c r="H1187" i="5"/>
  <c r="H1195" i="5"/>
  <c r="H1203" i="5"/>
  <c r="H1211" i="5"/>
  <c r="H1219" i="5"/>
  <c r="H1227" i="5"/>
  <c r="H1235" i="5"/>
  <c r="H1243" i="5"/>
  <c r="H1251" i="5"/>
  <c r="H1259" i="5"/>
  <c r="H1267" i="5"/>
  <c r="H1275" i="5"/>
  <c r="H1291" i="5"/>
  <c r="H1299" i="5"/>
  <c r="H1307" i="5"/>
  <c r="H1315" i="5"/>
  <c r="H1323" i="5"/>
  <c r="H1331" i="5"/>
  <c r="H102" i="5"/>
  <c r="H25" i="5"/>
  <c r="H41" i="5"/>
  <c r="H73" i="5"/>
  <c r="H97" i="5"/>
  <c r="H121" i="5"/>
  <c r="H145" i="5"/>
  <c r="H169" i="5"/>
  <c r="H193" i="5"/>
  <c r="H225" i="5"/>
  <c r="H249" i="5"/>
  <c r="H273" i="5"/>
  <c r="H297" i="5"/>
  <c r="H321" i="5"/>
  <c r="H353" i="5"/>
  <c r="H377" i="5"/>
  <c r="H401" i="5"/>
  <c r="H425" i="5"/>
  <c r="H449" i="5"/>
  <c r="H473" i="5"/>
  <c r="H489" i="5"/>
  <c r="H505" i="5"/>
  <c r="H537" i="5"/>
  <c r="H561" i="5"/>
  <c r="H585" i="5"/>
  <c r="H609" i="5"/>
  <c r="H633" i="5"/>
  <c r="H657" i="5"/>
  <c r="H681" i="5"/>
  <c r="H705" i="5"/>
  <c r="H737" i="5"/>
  <c r="H761" i="5"/>
  <c r="H785" i="5"/>
  <c r="H809" i="5"/>
  <c r="H833" i="5"/>
  <c r="H857" i="5"/>
  <c r="H889" i="5"/>
  <c r="H913" i="5"/>
  <c r="H937" i="5"/>
  <c r="H961" i="5"/>
  <c r="H985" i="5"/>
  <c r="H1009" i="5"/>
  <c r="H1033" i="5"/>
  <c r="H1057" i="5"/>
  <c r="H1081" i="5"/>
  <c r="H1113" i="5"/>
  <c r="H1161" i="5"/>
  <c r="H1185" i="5"/>
  <c r="H1209" i="5"/>
  <c r="H1233" i="5"/>
  <c r="H1257" i="5"/>
  <c r="H1273" i="5"/>
  <c r="H1297" i="5"/>
  <c r="H1313" i="5"/>
  <c r="H2" i="5"/>
  <c r="H18" i="5"/>
  <c r="H34" i="5"/>
  <c r="H58" i="5"/>
  <c r="H4" i="5"/>
  <c r="H12" i="5"/>
  <c r="H20" i="5"/>
  <c r="H28" i="5"/>
  <c r="H36" i="5"/>
  <c r="H44" i="5"/>
  <c r="H52" i="5"/>
  <c r="H60" i="5"/>
  <c r="H68" i="5"/>
  <c r="H76" i="5"/>
  <c r="H84" i="5"/>
  <c r="H92" i="5"/>
  <c r="H100" i="5"/>
  <c r="H108" i="5"/>
  <c r="H116" i="5"/>
  <c r="H124" i="5"/>
  <c r="H132" i="5"/>
  <c r="H140" i="5"/>
  <c r="H148" i="5"/>
  <c r="H156" i="5"/>
  <c r="H164" i="5"/>
  <c r="H172" i="5"/>
  <c r="H180" i="5"/>
  <c r="H188" i="5"/>
  <c r="H196" i="5"/>
  <c r="H204" i="5"/>
  <c r="H212" i="5"/>
  <c r="H220" i="5"/>
  <c r="H228" i="5"/>
  <c r="H236" i="5"/>
  <c r="H244" i="5"/>
  <c r="H252" i="5"/>
  <c r="H260" i="5"/>
  <c r="H268" i="5"/>
  <c r="H276" i="5"/>
  <c r="H284" i="5"/>
  <c r="H292" i="5"/>
  <c r="H300" i="5"/>
  <c r="H308" i="5"/>
  <c r="H316" i="5"/>
  <c r="H324" i="5"/>
  <c r="H332" i="5"/>
  <c r="H340" i="5"/>
  <c r="H348" i="5"/>
  <c r="H356" i="5"/>
  <c r="H364" i="5"/>
  <c r="H372" i="5"/>
  <c r="H380" i="5"/>
  <c r="H388" i="5"/>
  <c r="H396" i="5"/>
  <c r="H404" i="5"/>
  <c r="H412" i="5"/>
  <c r="H420" i="5"/>
  <c r="H428" i="5"/>
  <c r="H436" i="5"/>
  <c r="H444" i="5"/>
  <c r="H452" i="5"/>
  <c r="H460" i="5"/>
  <c r="H468" i="5"/>
  <c r="H476" i="5"/>
  <c r="H484" i="5"/>
  <c r="H492" i="5"/>
  <c r="H500" i="5"/>
  <c r="H508" i="5"/>
  <c r="H516" i="5"/>
  <c r="H524" i="5"/>
  <c r="H532" i="5"/>
  <c r="H540" i="5"/>
  <c r="H548" i="5"/>
  <c r="H556" i="5"/>
  <c r="H564" i="5"/>
  <c r="H572" i="5"/>
  <c r="H580" i="5"/>
  <c r="H588" i="5"/>
  <c r="H596" i="5"/>
  <c r="H604" i="5"/>
  <c r="H612" i="5"/>
  <c r="H620" i="5"/>
  <c r="H628" i="5"/>
  <c r="H636" i="5"/>
  <c r="H644" i="5"/>
  <c r="H652" i="5"/>
  <c r="H660" i="5"/>
  <c r="H668" i="5"/>
  <c r="H676" i="5"/>
  <c r="H684" i="5"/>
  <c r="H692" i="5"/>
  <c r="H700" i="5"/>
  <c r="H708" i="5"/>
  <c r="H716" i="5"/>
  <c r="H724" i="5"/>
  <c r="H732" i="5"/>
  <c r="H748" i="5"/>
  <c r="H756" i="5"/>
  <c r="H764" i="5"/>
  <c r="H772" i="5"/>
  <c r="H780" i="5"/>
  <c r="H788" i="5"/>
  <c r="H796" i="5"/>
  <c r="H804" i="5"/>
  <c r="H812" i="5"/>
  <c r="H820" i="5"/>
  <c r="H828" i="5"/>
  <c r="H836" i="5"/>
  <c r="H844" i="5"/>
  <c r="H852" i="5"/>
  <c r="H860" i="5"/>
  <c r="H868" i="5"/>
  <c r="H876" i="5"/>
  <c r="H884" i="5"/>
  <c r="H892" i="5"/>
  <c r="H900" i="5"/>
  <c r="H908" i="5"/>
  <c r="H916" i="5"/>
  <c r="H924" i="5"/>
  <c r="H932" i="5"/>
  <c r="H940" i="5"/>
  <c r="H948" i="5"/>
  <c r="H956" i="5"/>
  <c r="H964" i="5"/>
  <c r="H972" i="5"/>
  <c r="H980" i="5"/>
  <c r="H988" i="5"/>
  <c r="H1004" i="5"/>
  <c r="H1012" i="5"/>
  <c r="H1020" i="5"/>
  <c r="H1028" i="5"/>
  <c r="H1044" i="5"/>
  <c r="H1052" i="5"/>
  <c r="H1060" i="5"/>
  <c r="H1068" i="5"/>
  <c r="H1076" i="5"/>
  <c r="H1084" i="5"/>
  <c r="H1092" i="5"/>
  <c r="H1100" i="5"/>
  <c r="H1108" i="5"/>
  <c r="H1116" i="5"/>
  <c r="H1132" i="5"/>
  <c r="H1140" i="5"/>
  <c r="H1148" i="5"/>
  <c r="H1156" i="5"/>
  <c r="H1164" i="5"/>
  <c r="H1180" i="5"/>
  <c r="H1188" i="5"/>
  <c r="H1196" i="5"/>
  <c r="H1204" i="5"/>
  <c r="H1212" i="5"/>
  <c r="H1220" i="5"/>
  <c r="H1228" i="5"/>
  <c r="H1244" i="5"/>
  <c r="H1252" i="5"/>
  <c r="H1260" i="5"/>
  <c r="H1268" i="5"/>
  <c r="H1276" i="5"/>
  <c r="H1284" i="5"/>
  <c r="H1292" i="5"/>
  <c r="H1300" i="5"/>
  <c r="H1308" i="5"/>
  <c r="H1324" i="5"/>
  <c r="H1271" i="5"/>
  <c r="H22" i="5"/>
  <c r="H9" i="5"/>
  <c r="H49" i="5"/>
  <c r="H65" i="5"/>
  <c r="H89" i="5"/>
  <c r="H113" i="5"/>
  <c r="H137" i="5"/>
  <c r="H153" i="5"/>
  <c r="H177" i="5"/>
  <c r="H201" i="5"/>
  <c r="H217" i="5"/>
  <c r="H241" i="5"/>
  <c r="H265" i="5"/>
  <c r="H281" i="5"/>
  <c r="H305" i="5"/>
  <c r="H329" i="5"/>
  <c r="H345" i="5"/>
  <c r="H369" i="5"/>
  <c r="H393" i="5"/>
  <c r="H409" i="5"/>
  <c r="H433" i="5"/>
  <c r="H457" i="5"/>
  <c r="H513" i="5"/>
  <c r="H529" i="5"/>
  <c r="H553" i="5"/>
  <c r="H577" i="5"/>
  <c r="H601" i="5"/>
  <c r="H625" i="5"/>
  <c r="H649" i="5"/>
  <c r="H673" i="5"/>
  <c r="H689" i="5"/>
  <c r="H713" i="5"/>
  <c r="H729" i="5"/>
  <c r="H753" i="5"/>
  <c r="H777" i="5"/>
  <c r="H801" i="5"/>
  <c r="H817" i="5"/>
  <c r="H841" i="5"/>
  <c r="H865" i="5"/>
  <c r="H881" i="5"/>
  <c r="H905" i="5"/>
  <c r="H929" i="5"/>
  <c r="H953" i="5"/>
  <c r="H977" i="5"/>
  <c r="H1001" i="5"/>
  <c r="H1025" i="5"/>
  <c r="H1041" i="5"/>
  <c r="H1065" i="5"/>
  <c r="H1089" i="5"/>
  <c r="H1105" i="5"/>
  <c r="H1129" i="5"/>
  <c r="H1145" i="5"/>
  <c r="H1169" i="5"/>
  <c r="H1193" i="5"/>
  <c r="H1217" i="5"/>
  <c r="H1241" i="5"/>
  <c r="H1265" i="5"/>
  <c r="H66" i="5"/>
  <c r="H5" i="5"/>
  <c r="H13" i="5"/>
  <c r="H21" i="5"/>
  <c r="H29" i="5"/>
  <c r="H37" i="5"/>
  <c r="H45" i="5"/>
  <c r="H53" i="5"/>
  <c r="H61" i="5"/>
  <c r="H69" i="5"/>
  <c r="H77" i="5"/>
  <c r="H85" i="5"/>
  <c r="H93" i="5"/>
  <c r="H101" i="5"/>
  <c r="H109" i="5"/>
  <c r="H117" i="5"/>
  <c r="H125" i="5"/>
  <c r="H133" i="5"/>
  <c r="H141" i="5"/>
  <c r="H149" i="5"/>
  <c r="H157" i="5"/>
  <c r="H165" i="5"/>
  <c r="H173" i="5"/>
  <c r="H181" i="5"/>
  <c r="H189" i="5"/>
  <c r="H197" i="5"/>
  <c r="H205" i="5"/>
  <c r="H213" i="5"/>
  <c r="H221" i="5"/>
  <c r="H229" i="5"/>
  <c r="H237" i="5"/>
  <c r="H245" i="5"/>
  <c r="H253" i="5"/>
  <c r="H261" i="5"/>
  <c r="H269" i="5"/>
  <c r="H277" i="5"/>
  <c r="H285" i="5"/>
  <c r="H293" i="5"/>
  <c r="H301" i="5"/>
  <c r="H309" i="5"/>
  <c r="H317" i="5"/>
  <c r="H325" i="5"/>
  <c r="H333" i="5"/>
  <c r="H341" i="5"/>
  <c r="H349" i="5"/>
  <c r="H357" i="5"/>
  <c r="H365" i="5"/>
  <c r="H373" i="5"/>
  <c r="H381" i="5"/>
  <c r="H389" i="5"/>
  <c r="H397" i="5"/>
  <c r="H405" i="5"/>
  <c r="H413" i="5"/>
  <c r="H421" i="5"/>
  <c r="H429" i="5"/>
  <c r="H437" i="5"/>
  <c r="H445" i="5"/>
  <c r="H453" i="5"/>
  <c r="H461" i="5"/>
  <c r="H469" i="5"/>
  <c r="H477" i="5"/>
  <c r="H485" i="5"/>
  <c r="H493" i="5"/>
  <c r="H501" i="5"/>
  <c r="H509" i="5"/>
  <c r="H517" i="5"/>
  <c r="H525" i="5"/>
  <c r="H533" i="5"/>
  <c r="H541" i="5"/>
  <c r="H549" i="5"/>
  <c r="H557" i="5"/>
  <c r="H565" i="5"/>
  <c r="H573" i="5"/>
  <c r="H581" i="5"/>
  <c r="H589" i="5"/>
  <c r="H597" i="5"/>
  <c r="H605" i="5"/>
  <c r="H613" i="5"/>
  <c r="H621" i="5"/>
  <c r="H629" i="5"/>
  <c r="H637" i="5"/>
  <c r="H645" i="5"/>
  <c r="H653" i="5"/>
  <c r="H661" i="5"/>
  <c r="H669" i="5"/>
  <c r="H677" i="5"/>
  <c r="H685" i="5"/>
  <c r="H693" i="5"/>
  <c r="H701" i="5"/>
  <c r="H709" i="5"/>
  <c r="H717" i="5"/>
  <c r="H725" i="5"/>
  <c r="H733" i="5"/>
  <c r="H741" i="5"/>
  <c r="H749" i="5"/>
  <c r="H757" i="5"/>
  <c r="H765" i="5"/>
  <c r="H773" i="5"/>
  <c r="H781" i="5"/>
  <c r="H789" i="5"/>
  <c r="H797" i="5"/>
  <c r="H805" i="5"/>
  <c r="H813" i="5"/>
  <c r="H821" i="5"/>
  <c r="H829" i="5"/>
  <c r="H837" i="5"/>
  <c r="H845" i="5"/>
  <c r="H853" i="5"/>
  <c r="H861" i="5"/>
  <c r="H869" i="5"/>
  <c r="H877" i="5"/>
  <c r="H885" i="5"/>
  <c r="H893" i="5"/>
  <c r="H901" i="5"/>
  <c r="H909" i="5"/>
  <c r="H917" i="5"/>
  <c r="H925" i="5"/>
  <c r="H933" i="5"/>
  <c r="H941" i="5"/>
  <c r="H949" i="5"/>
  <c r="H957" i="5"/>
  <c r="H965" i="5"/>
  <c r="H973" i="5"/>
  <c r="H989" i="5"/>
  <c r="H997" i="5"/>
  <c r="H1005" i="5"/>
  <c r="H1013" i="5"/>
  <c r="H1021" i="5"/>
  <c r="H1029" i="5"/>
  <c r="H1037" i="5"/>
  <c r="H1045" i="5"/>
  <c r="H1053" i="5"/>
  <c r="H1061" i="5"/>
  <c r="H1077" i="5"/>
  <c r="H1085" i="5"/>
  <c r="H1093" i="5"/>
  <c r="H1101" i="5"/>
  <c r="H1109" i="5"/>
  <c r="H1117" i="5"/>
  <c r="H1125" i="5"/>
  <c r="H1133" i="5"/>
  <c r="H1141" i="5"/>
  <c r="H1149" i="5"/>
  <c r="H1157" i="5"/>
  <c r="H1165" i="5"/>
  <c r="H1173" i="5"/>
  <c r="H1181" i="5"/>
  <c r="H1189" i="5"/>
  <c r="H1197" i="5"/>
  <c r="H1205" i="5"/>
  <c r="H1213" i="5"/>
  <c r="H1221" i="5"/>
  <c r="H1229" i="5"/>
  <c r="H1237" i="5"/>
  <c r="H1245" i="5"/>
  <c r="H1253" i="5"/>
  <c r="H1261" i="5"/>
  <c r="H1269" i="5"/>
  <c r="H1277" i="5"/>
  <c r="H1285" i="5"/>
  <c r="H1293" i="5"/>
  <c r="H1301" i="5"/>
  <c r="H1309" i="5"/>
  <c r="H1317" i="5"/>
  <c r="H1325" i="5"/>
  <c r="H1036" i="5"/>
  <c r="H1327" i="5"/>
  <c r="H132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65425D-D95C-4DF1-A0D1-C05017220FF5}" keepAlive="1" name="Query - Europe Sales Records" description="Connection to the 'Europe Sales Records' query in the workbook." type="5" refreshedVersion="8" background="1" saveData="1">
    <dbPr connection="Provider=Microsoft.Mashup.OleDb.1;Data Source=$Workbook$;Location=&quot;Europe Sales Records&quot;;Extended Properties=&quot;&quot;" command="SELECT * FROM [Europe Sales Records]"/>
  </connection>
  <connection id="2" xr16:uid="{C61E732A-AEE6-4D3D-83BD-5BCF38948F68}" keepAlive="1" name="Query - Europe Sales Records (2)" description="Connection to the 'Europe Sales Records (2)' query in the workbook." type="5" refreshedVersion="8" background="1" saveData="1">
    <dbPr connection="Provider=Microsoft.Mashup.OleDb.1;Data Source=$Workbook$;Location=&quot;Europe Sales Records (2)&quot;;Extended Properties=&quot;&quot;" command="SELECT * FROM [Europe Sales Records (2)]"/>
  </connection>
  <connection id="3" xr16:uid="{5DCB11D6-5DE3-4153-A09C-498BA336E78A}" keepAlive="1" name="Query - Europe Sales Records (3)" description="Connection to the 'Europe Sales Records (3)' query in the workbook." type="5" refreshedVersion="8" background="1" saveData="1">
    <dbPr connection="Provider=Microsoft.Mashup.OleDb.1;Data Source=$Workbook$;Location=&quot;Europe Sales Records (3)&quot;;Extended Properties=&quot;&quot;" command="SELECT * FROM [Europe Sales Records (3)]"/>
  </connection>
</connections>
</file>

<file path=xl/sharedStrings.xml><?xml version="1.0" encoding="utf-8"?>
<sst xmlns="http://schemas.openxmlformats.org/spreadsheetml/2006/main" count="18732" uniqueCount="1844">
  <si>
    <t>Region</t>
  </si>
  <si>
    <t>Country</t>
  </si>
  <si>
    <t>Item Type</t>
  </si>
  <si>
    <t>Sales Channel</t>
  </si>
  <si>
    <t>Order Priority</t>
  </si>
  <si>
    <t>Order Date</t>
  </si>
  <si>
    <t>Order ID</t>
  </si>
  <si>
    <t>Ship Date</t>
  </si>
  <si>
    <t>Units Sold</t>
  </si>
  <si>
    <t>Unit Price</t>
  </si>
  <si>
    <t>Unit Cost</t>
  </si>
  <si>
    <t>Total Revenue</t>
  </si>
  <si>
    <t>Total Cost</t>
  </si>
  <si>
    <t>Total Profit</t>
  </si>
  <si>
    <t>Europe</t>
  </si>
  <si>
    <t>Czech Republic</t>
  </si>
  <si>
    <t>Beverages</t>
  </si>
  <si>
    <t>Offline</t>
  </si>
  <si>
    <t>C</t>
  </si>
  <si>
    <t>9/12/2011</t>
  </si>
  <si>
    <t>9/29/2011</t>
  </si>
  <si>
    <t>Bosnia and Herzegovina</t>
  </si>
  <si>
    <t>Clothes</t>
  </si>
  <si>
    <t>Online</t>
  </si>
  <si>
    <t>M</t>
  </si>
  <si>
    <t>10/14/2013</t>
  </si>
  <si>
    <t>11/4/2013</t>
  </si>
  <si>
    <t>Austria</t>
  </si>
  <si>
    <t>Cereal</t>
  </si>
  <si>
    <t>8/13/2014</t>
  </si>
  <si>
    <t>9/6/2014</t>
  </si>
  <si>
    <t>Bulgaria</t>
  </si>
  <si>
    <t>Office Supplies</t>
  </si>
  <si>
    <t>L</t>
  </si>
  <si>
    <t>10/31/2010</t>
  </si>
  <si>
    <t>11/29/2010</t>
  </si>
  <si>
    <t>Estonia</t>
  </si>
  <si>
    <t>Fruits</t>
  </si>
  <si>
    <t>9/28/2016</t>
  </si>
  <si>
    <t>11/1/2016</t>
  </si>
  <si>
    <t>Montenegro</t>
  </si>
  <si>
    <t>5/29/2016</t>
  </si>
  <si>
    <t>7/10/2016</t>
  </si>
  <si>
    <t>7/8/2011</t>
  </si>
  <si>
    <t>8/5/2011</t>
  </si>
  <si>
    <t>Luxembourg</t>
  </si>
  <si>
    <t>Vegetables</t>
  </si>
  <si>
    <t>2/13/2010</t>
  </si>
  <si>
    <t>4/1/2010</t>
  </si>
  <si>
    <t>Switzerland</t>
  </si>
  <si>
    <t>Meat</t>
  </si>
  <si>
    <t>3/21/2014</t>
  </si>
  <si>
    <t>4/10/2014</t>
  </si>
  <si>
    <t>Finland</t>
  </si>
  <si>
    <t>H</t>
  </si>
  <si>
    <t>3/16/2012</t>
  </si>
  <si>
    <t>3/23/2012</t>
  </si>
  <si>
    <t>Belgium</t>
  </si>
  <si>
    <t>Snacks</t>
  </si>
  <si>
    <t>1/12/2015</t>
  </si>
  <si>
    <t>1/17/2015</t>
  </si>
  <si>
    <t>San Marino</t>
  </si>
  <si>
    <t>4/13/2014</t>
  </si>
  <si>
    <t>5/4/2014</t>
  </si>
  <si>
    <t>Baby Food</t>
  </si>
  <si>
    <t>4/4/2015</t>
  </si>
  <si>
    <t>4/7/2015</t>
  </si>
  <si>
    <t>Netherlands</t>
  </si>
  <si>
    <t>3/8/2017</t>
  </si>
  <si>
    <t>4/3/2017</t>
  </si>
  <si>
    <t>Russia</t>
  </si>
  <si>
    <t>Household</t>
  </si>
  <si>
    <t>7/10/2017</t>
  </si>
  <si>
    <t>8/20/2017</t>
  </si>
  <si>
    <t>Ukraine</t>
  </si>
  <si>
    <t>Cosmetics</t>
  </si>
  <si>
    <t>1/22/2011</t>
  </si>
  <si>
    <t>1/28/2011</t>
  </si>
  <si>
    <t>7/24/2012</t>
  </si>
  <si>
    <t>9/1/2012</t>
  </si>
  <si>
    <t>Latvia</t>
  </si>
  <si>
    <t>12/15/2011</t>
  </si>
  <si>
    <t>12/18/2011</t>
  </si>
  <si>
    <t>Serbia</t>
  </si>
  <si>
    <t>9/3/2012</t>
  </si>
  <si>
    <t>9/21/2012</t>
  </si>
  <si>
    <t>Portugal</t>
  </si>
  <si>
    <t>1/21/2014</t>
  </si>
  <si>
    <t>3/4/2014</t>
  </si>
  <si>
    <t>Poland</t>
  </si>
  <si>
    <t>7/7/2017</t>
  </si>
  <si>
    <t>8/4/2017</t>
  </si>
  <si>
    <t>Liechtenstein</t>
  </si>
  <si>
    <t>7/15/2012</t>
  </si>
  <si>
    <t>United Kingdom</t>
  </si>
  <si>
    <t>4/8/2017</t>
  </si>
  <si>
    <t>4/12/2017</t>
  </si>
  <si>
    <t>Slovenia</t>
  </si>
  <si>
    <t>10/22/2012</t>
  </si>
  <si>
    <t>11/20/2012</t>
  </si>
  <si>
    <t>Malta</t>
  </si>
  <si>
    <t>3/11/2014</t>
  </si>
  <si>
    <t>Personal Care</t>
  </si>
  <si>
    <t>7/16/2010</t>
  </si>
  <si>
    <t>8/27/2010</t>
  </si>
  <si>
    <t>Cyprus</t>
  </si>
  <si>
    <t>7/12/2015</t>
  </si>
  <si>
    <t>8/30/2015</t>
  </si>
  <si>
    <t>11/27/2015</t>
  </si>
  <si>
    <t>12/29/2015</t>
  </si>
  <si>
    <t>Monaco</t>
  </si>
  <si>
    <t>6/8/2014</t>
  </si>
  <si>
    <t>7/4/2014</t>
  </si>
  <si>
    <t>5/23/2011</t>
  </si>
  <si>
    <t>5/29/2011</t>
  </si>
  <si>
    <t>Norway</t>
  </si>
  <si>
    <t>10/8/2014</t>
  </si>
  <si>
    <t>10/18/2014</t>
  </si>
  <si>
    <t>2/1/2011</t>
  </si>
  <si>
    <t>3/10/2011</t>
  </si>
  <si>
    <t>9/7/2010</t>
  </si>
  <si>
    <t>9/23/2010</t>
  </si>
  <si>
    <t>Armenia</t>
  </si>
  <si>
    <t>3/23/2011</t>
  </si>
  <si>
    <t>5/2/2011</t>
  </si>
  <si>
    <t>3/11/2017</t>
  </si>
  <si>
    <t>3/27/2017</t>
  </si>
  <si>
    <t>Denmark</t>
  </si>
  <si>
    <t>6/5/2016</t>
  </si>
  <si>
    <t>6/26/2016</t>
  </si>
  <si>
    <t>2/14/2013</t>
  </si>
  <si>
    <t>3/21/2013</t>
  </si>
  <si>
    <t>Kosovo</t>
  </si>
  <si>
    <t>5/2/2010</t>
  </si>
  <si>
    <t>6/6/2010</t>
  </si>
  <si>
    <t>Hungary</t>
  </si>
  <si>
    <t>1/25/2011</t>
  </si>
  <si>
    <t>3/13/2011</t>
  </si>
  <si>
    <t>Lithuania</t>
  </si>
  <si>
    <t>1/6/2012</t>
  </si>
  <si>
    <t>2/18/2012</t>
  </si>
  <si>
    <t>Albania</t>
  </si>
  <si>
    <t>10/5/2012</t>
  </si>
  <si>
    <t>11/3/2012</t>
  </si>
  <si>
    <t>7/2/2014</t>
  </si>
  <si>
    <t>7/19/2014</t>
  </si>
  <si>
    <t xml:space="preserve">Moldova </t>
  </si>
  <si>
    <t>3/11/2013</t>
  </si>
  <si>
    <t>4/12/2013</t>
  </si>
  <si>
    <t>11/1/2012</t>
  </si>
  <si>
    <t>11/13/2012</t>
  </si>
  <si>
    <t>9/30/2016</t>
  </si>
  <si>
    <t>10/9/2016</t>
  </si>
  <si>
    <t>8/3/2015</t>
  </si>
  <si>
    <t>9/8/2015</t>
  </si>
  <si>
    <t>4/30/2014</t>
  </si>
  <si>
    <t>5/30/2014</t>
  </si>
  <si>
    <t>12/18/2012</t>
  </si>
  <si>
    <t>12/21/2012</t>
  </si>
  <si>
    <t>7/20/2017</t>
  </si>
  <si>
    <t>12/15/2016</t>
  </si>
  <si>
    <t>1/11/2017</t>
  </si>
  <si>
    <t>8/21/2014</t>
  </si>
  <si>
    <t>France</t>
  </si>
  <si>
    <t>11/28/2015</t>
  </si>
  <si>
    <t>12/17/2015</t>
  </si>
  <si>
    <t>Spain</t>
  </si>
  <si>
    <t>10/22/2011</t>
  </si>
  <si>
    <t>11/14/2011</t>
  </si>
  <si>
    <t>Sweden</t>
  </si>
  <si>
    <t>9/20/2010</t>
  </si>
  <si>
    <t>10/25/2010</t>
  </si>
  <si>
    <t>3/15/2017</t>
  </si>
  <si>
    <t>4/9/2017</t>
  </si>
  <si>
    <t>6/8/2012</t>
  </si>
  <si>
    <t>6/17/2012</t>
  </si>
  <si>
    <t>9/8/2012</t>
  </si>
  <si>
    <t>9/16/2012</t>
  </si>
  <si>
    <t>8/16/2011</t>
  </si>
  <si>
    <t>8/11/2015</t>
  </si>
  <si>
    <t>9/19/2015</t>
  </si>
  <si>
    <t>Macedonia</t>
  </si>
  <si>
    <t>12/26/2010</t>
  </si>
  <si>
    <t>Greece</t>
  </si>
  <si>
    <t>12/8/2011</t>
  </si>
  <si>
    <t>Italy</t>
  </si>
  <si>
    <t>2/25/2011</t>
  </si>
  <si>
    <t>3/28/2011</t>
  </si>
  <si>
    <t>3/20/2010</t>
  </si>
  <si>
    <t>4/26/2010</t>
  </si>
  <si>
    <t>1/17/2014</t>
  </si>
  <si>
    <t>2/18/2014</t>
  </si>
  <si>
    <t>12/26/2011</t>
  </si>
  <si>
    <t>12/29/2011</t>
  </si>
  <si>
    <t>3/2/2012</t>
  </si>
  <si>
    <t>3/26/2012</t>
  </si>
  <si>
    <t>Germany</t>
  </si>
  <si>
    <t>1/6/2017</t>
  </si>
  <si>
    <t>2/15/2017</t>
  </si>
  <si>
    <t>5/20/2014</t>
  </si>
  <si>
    <t>6/21/2014</t>
  </si>
  <si>
    <t>5/5/2012</t>
  </si>
  <si>
    <t>6/2/2012</t>
  </si>
  <si>
    <t>1/5/2013</t>
  </si>
  <si>
    <t>1/6/2013</t>
  </si>
  <si>
    <t>4/24/2015</t>
  </si>
  <si>
    <t>5/5/2015</t>
  </si>
  <si>
    <t>12/2/2010</t>
  </si>
  <si>
    <t>12/7/2010</t>
  </si>
  <si>
    <t>12/15/2013</t>
  </si>
  <si>
    <t>1/5/2014</t>
  </si>
  <si>
    <t>8/18/2014</t>
  </si>
  <si>
    <t>1/31/2013</t>
  </si>
  <si>
    <t>3/13/2013</t>
  </si>
  <si>
    <t>7/3/2017</t>
  </si>
  <si>
    <t>7/31/2017</t>
  </si>
  <si>
    <t>3/3/2017</t>
  </si>
  <si>
    <t>3/22/2017</t>
  </si>
  <si>
    <t>12/4/2010</t>
  </si>
  <si>
    <t>12/8/2010</t>
  </si>
  <si>
    <t>Andorra</t>
  </si>
  <si>
    <t>3/19/2010</t>
  </si>
  <si>
    <t>3/26/2010</t>
  </si>
  <si>
    <t>Iceland</t>
  </si>
  <si>
    <t>4/5/2012</t>
  </si>
  <si>
    <t>5/16/2012</t>
  </si>
  <si>
    <t>4/5/2014</t>
  </si>
  <si>
    <t>4/25/2014</t>
  </si>
  <si>
    <t>9/28/2012</t>
  </si>
  <si>
    <t>10/21/2012</t>
  </si>
  <si>
    <t>1/8/2014</t>
  </si>
  <si>
    <t>2/2/2014</t>
  </si>
  <si>
    <t>Croatia</t>
  </si>
  <si>
    <t>2/22/2013</t>
  </si>
  <si>
    <t>4/30/2013</t>
  </si>
  <si>
    <t>5/22/2013</t>
  </si>
  <si>
    <t>6/26/2010</t>
  </si>
  <si>
    <t>7/18/2010</t>
  </si>
  <si>
    <t>2/7/2010</t>
  </si>
  <si>
    <t>3/18/2010</t>
  </si>
  <si>
    <t>12/3/2010</t>
  </si>
  <si>
    <t>1/4/2011</t>
  </si>
  <si>
    <t>10/19/2012</t>
  </si>
  <si>
    <t>Slovakia</t>
  </si>
  <si>
    <t>2/20/2010</t>
  </si>
  <si>
    <t>4/11/2010</t>
  </si>
  <si>
    <t>7/18/2015</t>
  </si>
  <si>
    <t>8/1/2015</t>
  </si>
  <si>
    <t>11/8/2012</t>
  </si>
  <si>
    <t>11/24/2012</t>
  </si>
  <si>
    <t>2/17/2011</t>
  </si>
  <si>
    <t>3/29/2016</t>
  </si>
  <si>
    <t>5/8/2016</t>
  </si>
  <si>
    <t>1/20/2016</t>
  </si>
  <si>
    <t>1/28/2016</t>
  </si>
  <si>
    <t>2/19/2010</t>
  </si>
  <si>
    <t>3/2/2010</t>
  </si>
  <si>
    <t>Vatican City</t>
  </si>
  <si>
    <t>12/27/2015</t>
  </si>
  <si>
    <t>1/19/2016</t>
  </si>
  <si>
    <t>9/29/2013</t>
  </si>
  <si>
    <t>10/1/2013</t>
  </si>
  <si>
    <t>2/9/2017</t>
  </si>
  <si>
    <t>2/21/2017</t>
  </si>
  <si>
    <t>Belarus</t>
  </si>
  <si>
    <t>12/31/2012</t>
  </si>
  <si>
    <t>1/11/2013</t>
  </si>
  <si>
    <t>12/14/2010</t>
  </si>
  <si>
    <t>1/1/2011</t>
  </si>
  <si>
    <t>11/9/2011</t>
  </si>
  <si>
    <t>11/26/2011</t>
  </si>
  <si>
    <t>Ireland</t>
  </si>
  <si>
    <t>11/16/2010</t>
  </si>
  <si>
    <t>12/11/2010</t>
  </si>
  <si>
    <t>8/19/2012</t>
  </si>
  <si>
    <t>8/22/2012</t>
  </si>
  <si>
    <t>6/20/2013</t>
  </si>
  <si>
    <t>7/21/2013</t>
  </si>
  <si>
    <t>9/19/2013</t>
  </si>
  <si>
    <t>9/25/2013</t>
  </si>
  <si>
    <t>4/3/2013</t>
  </si>
  <si>
    <t>5/9/2013</t>
  </si>
  <si>
    <t>3/20/2014</t>
  </si>
  <si>
    <t>7/8/2012</t>
  </si>
  <si>
    <t>8/1/2012</t>
  </si>
  <si>
    <t>9/19/2012</t>
  </si>
  <si>
    <t>10/20/2012</t>
  </si>
  <si>
    <t>2/19/2014</t>
  </si>
  <si>
    <t>2/27/2014</t>
  </si>
  <si>
    <t>7/31/2012</t>
  </si>
  <si>
    <t>6/30/2017</t>
  </si>
  <si>
    <t>7/24/2017</t>
  </si>
  <si>
    <t>9/5/2016</t>
  </si>
  <si>
    <t>9/22/2016</t>
  </si>
  <si>
    <t>10/16/2011</t>
  </si>
  <si>
    <t>11/7/2011</t>
  </si>
  <si>
    <t>2/5/2013</t>
  </si>
  <si>
    <t>3/4/2013</t>
  </si>
  <si>
    <t>7/3/2015</t>
  </si>
  <si>
    <t>7/16/2015</t>
  </si>
  <si>
    <t>4/16/2015</t>
  </si>
  <si>
    <t>8/18/2013</t>
  </si>
  <si>
    <t>9/1/2013</t>
  </si>
  <si>
    <t>1/23/2010</t>
  </si>
  <si>
    <t>2/5/2010</t>
  </si>
  <si>
    <t>12/7/2016</t>
  </si>
  <si>
    <t>1/1/2017</t>
  </si>
  <si>
    <t>4/26/2013</t>
  </si>
  <si>
    <t>6/1/2013</t>
  </si>
  <si>
    <t>10/24/2012</t>
  </si>
  <si>
    <t>11/4/2012</t>
  </si>
  <si>
    <t>5/30/2010</t>
  </si>
  <si>
    <t>6/8/2010</t>
  </si>
  <si>
    <t>11/29/2011</t>
  </si>
  <si>
    <t>12/17/2011</t>
  </si>
  <si>
    <t>3/28/2016</t>
  </si>
  <si>
    <t>5/4/2016</t>
  </si>
  <si>
    <t>7/25/2011</t>
  </si>
  <si>
    <t>4/10/2010</t>
  </si>
  <si>
    <t>5/20/2010</t>
  </si>
  <si>
    <t>8/6/2011</t>
  </si>
  <si>
    <t>9/6/2011</t>
  </si>
  <si>
    <t>2/18/2017</t>
  </si>
  <si>
    <t>3/10/2017</t>
  </si>
  <si>
    <t>6/29/2016</t>
  </si>
  <si>
    <t>7/2/2016</t>
  </si>
  <si>
    <t>9/18/2011</t>
  </si>
  <si>
    <t>10/19/2011</t>
  </si>
  <si>
    <t>6/30/2012</t>
  </si>
  <si>
    <t>7/19/2012</t>
  </si>
  <si>
    <t>3/22/2014</t>
  </si>
  <si>
    <t>5/10/2014</t>
  </si>
  <si>
    <t>1/7/2014</t>
  </si>
  <si>
    <t>2/10/2014</t>
  </si>
  <si>
    <t>10/12/2010</t>
  </si>
  <si>
    <t>12/1/2010</t>
  </si>
  <si>
    <t>3/1/2012</t>
  </si>
  <si>
    <t>3/22/2012</t>
  </si>
  <si>
    <t>6/25/2012</t>
  </si>
  <si>
    <t>8/13/2012</t>
  </si>
  <si>
    <t>8/22/2011</t>
  </si>
  <si>
    <t>9/20/2011</t>
  </si>
  <si>
    <t>Romania</t>
  </si>
  <si>
    <t>9/15/2014</t>
  </si>
  <si>
    <t>10/10/2011</t>
  </si>
  <si>
    <t>11/21/2011</t>
  </si>
  <si>
    <t>3/31/2013</t>
  </si>
  <si>
    <t>4/5/2013</t>
  </si>
  <si>
    <t>2/8/2016</t>
  </si>
  <si>
    <t>2/16/2016</t>
  </si>
  <si>
    <t>12/9/2014</t>
  </si>
  <si>
    <t>1/2/2015</t>
  </si>
  <si>
    <t>2/4/2016</t>
  </si>
  <si>
    <t>3/7/2016</t>
  </si>
  <si>
    <t>12/21/2011</t>
  </si>
  <si>
    <t>2/1/2012</t>
  </si>
  <si>
    <t>2/2/2012</t>
  </si>
  <si>
    <t>9/10/2013</t>
  </si>
  <si>
    <t>10/7/2013</t>
  </si>
  <si>
    <t>6/27/2011</t>
  </si>
  <si>
    <t>8/12/2011</t>
  </si>
  <si>
    <t>4/20/2011</t>
  </si>
  <si>
    <t>5/28/2011</t>
  </si>
  <si>
    <t>1/9/2012</t>
  </si>
  <si>
    <t>Georgia</t>
  </si>
  <si>
    <t>1/26/2014</t>
  </si>
  <si>
    <t>3/8/2014</t>
  </si>
  <si>
    <t>5/14/2013</t>
  </si>
  <si>
    <t>3/21/2012</t>
  </si>
  <si>
    <t>3/27/2012</t>
  </si>
  <si>
    <t>8/27/2016</t>
  </si>
  <si>
    <t>9/6/2016</t>
  </si>
  <si>
    <t>6/9/2014</t>
  </si>
  <si>
    <t>6/11/2014</t>
  </si>
  <si>
    <t>11/7/2013</t>
  </si>
  <si>
    <t>11/23/2013</t>
  </si>
  <si>
    <t>4/2/2012</t>
  </si>
  <si>
    <t>5/1/2012</t>
  </si>
  <si>
    <t>6/3/2017</t>
  </si>
  <si>
    <t>7/21/2017</t>
  </si>
  <si>
    <t>12/20/2011</t>
  </si>
  <si>
    <t>1/8/2012</t>
  </si>
  <si>
    <t>5/23/2017</t>
  </si>
  <si>
    <t>5/30/2017</t>
  </si>
  <si>
    <t>5/7/2012</t>
  </si>
  <si>
    <t>5/19/2012</t>
  </si>
  <si>
    <t>6/24/2015</t>
  </si>
  <si>
    <t>7/28/2015</t>
  </si>
  <si>
    <t>1/25/2016</t>
  </si>
  <si>
    <t>3/3/2016</t>
  </si>
  <si>
    <t>7/22/2012</t>
  </si>
  <si>
    <t>8/6/2012</t>
  </si>
  <si>
    <t>7/11/2012</t>
  </si>
  <si>
    <t>7/27/2014</t>
  </si>
  <si>
    <t>7/29/2014</t>
  </si>
  <si>
    <t>2/6/2017</t>
  </si>
  <si>
    <t>2/10/2017</t>
  </si>
  <si>
    <t>1/9/2014</t>
  </si>
  <si>
    <t>1/28/2014</t>
  </si>
  <si>
    <t>9/10/2014</t>
  </si>
  <si>
    <t>9/17/2014</t>
  </si>
  <si>
    <t>6/25/2011</t>
  </si>
  <si>
    <t>8/4/2011</t>
  </si>
  <si>
    <t>4/16/2017</t>
  </si>
  <si>
    <t>5/14/2017</t>
  </si>
  <si>
    <t>5/10/2016</t>
  </si>
  <si>
    <t>5/11/2016</t>
  </si>
  <si>
    <t>1/9/2013</t>
  </si>
  <si>
    <t>2/9/2013</t>
  </si>
  <si>
    <t>2/11/2013</t>
  </si>
  <si>
    <t>3/28/2013</t>
  </si>
  <si>
    <t>7/14/2017</t>
  </si>
  <si>
    <t>7/16/2017</t>
  </si>
  <si>
    <t>1/16/2016</t>
  </si>
  <si>
    <t>2/23/2016</t>
  </si>
  <si>
    <t>10/30/2012</t>
  </si>
  <si>
    <t>11/18/2012</t>
  </si>
  <si>
    <t>7/13/2013</t>
  </si>
  <si>
    <t>8/3/2013</t>
  </si>
  <si>
    <t>8/16/2016</t>
  </si>
  <si>
    <t>9/9/2016</t>
  </si>
  <si>
    <t>2/8/2014</t>
  </si>
  <si>
    <t>6/27/2014</t>
  </si>
  <si>
    <t>7/28/2014</t>
  </si>
  <si>
    <t>12/6/2011</t>
  </si>
  <si>
    <t>1/7/2012</t>
  </si>
  <si>
    <t>2/21/2015</t>
  </si>
  <si>
    <t>7/26/2015</t>
  </si>
  <si>
    <t>8/4/2015</t>
  </si>
  <si>
    <t>12/12/2014</t>
  </si>
  <si>
    <t>12/19/2014</t>
  </si>
  <si>
    <t>3/16/2015</t>
  </si>
  <si>
    <t>3/26/2015</t>
  </si>
  <si>
    <t>3/10/2016</t>
  </si>
  <si>
    <t>4/8/2016</t>
  </si>
  <si>
    <t>5/26/2012</t>
  </si>
  <si>
    <t>5/28/2012</t>
  </si>
  <si>
    <t>7/27/2016</t>
  </si>
  <si>
    <t>9/11/2016</t>
  </si>
  <si>
    <t>10/6/2010</t>
  </si>
  <si>
    <t>11/22/2010</t>
  </si>
  <si>
    <t>8/8/2013</t>
  </si>
  <si>
    <t>8/29/2013</t>
  </si>
  <si>
    <t>10/19/2013</t>
  </si>
  <si>
    <t>12/6/2013</t>
  </si>
  <si>
    <t>2/17/2016</t>
  </si>
  <si>
    <t>3/22/2016</t>
  </si>
  <si>
    <t>1/3/2017</t>
  </si>
  <si>
    <t>1/8/2017</t>
  </si>
  <si>
    <t>8/7/2015</t>
  </si>
  <si>
    <t>9/3/2015</t>
  </si>
  <si>
    <t>12/22/2012</t>
  </si>
  <si>
    <t>1/17/2013</t>
  </si>
  <si>
    <t>11/27/2013</t>
  </si>
  <si>
    <t>12/11/2013</t>
  </si>
  <si>
    <t>6/23/2010</t>
  </si>
  <si>
    <t>8/7/2010</t>
  </si>
  <si>
    <t>6/17/2016</t>
  </si>
  <si>
    <t>8/1/2016</t>
  </si>
  <si>
    <t>3/17/2015</t>
  </si>
  <si>
    <t>10/1/2012</t>
  </si>
  <si>
    <t>6/26/2014</t>
  </si>
  <si>
    <t>7/11/2014</t>
  </si>
  <si>
    <t>1/22/2016</t>
  </si>
  <si>
    <t>2/22/2016</t>
  </si>
  <si>
    <t>7/12/2011</t>
  </si>
  <si>
    <t>12/25/2014</t>
  </si>
  <si>
    <t>12/31/2014</t>
  </si>
  <si>
    <t>6/10/2014</t>
  </si>
  <si>
    <t>4/15/2016</t>
  </si>
  <si>
    <t>5/5/2016</t>
  </si>
  <si>
    <t>1/21/2011</t>
  </si>
  <si>
    <t>2/26/2011</t>
  </si>
  <si>
    <t>3/3/2013</t>
  </si>
  <si>
    <t>4/1/2013</t>
  </si>
  <si>
    <t>3/4/2017</t>
  </si>
  <si>
    <t>4/20/2017</t>
  </si>
  <si>
    <t>8/21/2016</t>
  </si>
  <si>
    <t>10/2/2016</t>
  </si>
  <si>
    <t>9/19/2010</t>
  </si>
  <si>
    <t>11/3/2010</t>
  </si>
  <si>
    <t>9/20/2012</t>
  </si>
  <si>
    <t>11/6/2012</t>
  </si>
  <si>
    <t>9/24/2011</t>
  </si>
  <si>
    <t>4/19/2016</t>
  </si>
  <si>
    <t>1/10/2012</t>
  </si>
  <si>
    <t>2/23/2012</t>
  </si>
  <si>
    <t>5/17/2014</t>
  </si>
  <si>
    <t>5/26/2014</t>
  </si>
  <si>
    <t>11/2/2013</t>
  </si>
  <si>
    <t>12/17/2013</t>
  </si>
  <si>
    <t>5/27/2014</t>
  </si>
  <si>
    <t>6/15/2014</t>
  </si>
  <si>
    <t>7/12/2010</t>
  </si>
  <si>
    <t>7/14/2010</t>
  </si>
  <si>
    <t>11/20/2016</t>
  </si>
  <si>
    <t>3/4/2012</t>
  </si>
  <si>
    <t>3/25/2012</t>
  </si>
  <si>
    <t>9/2/2011</t>
  </si>
  <si>
    <t>10/21/2011</t>
  </si>
  <si>
    <t>5/3/2017</t>
  </si>
  <si>
    <t>10/18/2013</t>
  </si>
  <si>
    <t>7/31/2010</t>
  </si>
  <si>
    <t>9/4/2010</t>
  </si>
  <si>
    <t>1/23/2012</t>
  </si>
  <si>
    <t>2/7/2012</t>
  </si>
  <si>
    <t>7/3/2016</t>
  </si>
  <si>
    <t>8/14/2016</t>
  </si>
  <si>
    <t>1/4/2012</t>
  </si>
  <si>
    <t>1/11/2012</t>
  </si>
  <si>
    <t>8/10/2014</t>
  </si>
  <si>
    <t>3/9/2014</t>
  </si>
  <si>
    <t>4/14/2014</t>
  </si>
  <si>
    <t>11/5/2012</t>
  </si>
  <si>
    <t>12/11/2012</t>
  </si>
  <si>
    <t>9/16/2016</t>
  </si>
  <si>
    <t>12/18/2010</t>
  </si>
  <si>
    <t>12/25/2010</t>
  </si>
  <si>
    <t>1/16/2010</t>
  </si>
  <si>
    <t>1/18/2010</t>
  </si>
  <si>
    <t>4/10/2011</t>
  </si>
  <si>
    <t>5/26/2011</t>
  </si>
  <si>
    <t>1/2/2012</t>
  </si>
  <si>
    <t>7/5/2011</t>
  </si>
  <si>
    <t>7/30/2011</t>
  </si>
  <si>
    <t>5/24/2012</t>
  </si>
  <si>
    <t>6/16/2012</t>
  </si>
  <si>
    <t>12/9/2015</t>
  </si>
  <si>
    <t>4/27/2014</t>
  </si>
  <si>
    <t>4/19/2011</t>
  </si>
  <si>
    <t>4/26/2011</t>
  </si>
  <si>
    <t>3/12/2015</t>
  </si>
  <si>
    <t>3/29/2015</t>
  </si>
  <si>
    <t>10/9/2011</t>
  </si>
  <si>
    <t>11/25/2011</t>
  </si>
  <si>
    <t>3/20/2015</t>
  </si>
  <si>
    <t>4/9/2015</t>
  </si>
  <si>
    <t>6/19/2013</t>
  </si>
  <si>
    <t>7/10/2013</t>
  </si>
  <si>
    <t>9/20/2016</t>
  </si>
  <si>
    <t>10/29/2016</t>
  </si>
  <si>
    <t>3/30/2011</t>
  </si>
  <si>
    <t>5/10/2011</t>
  </si>
  <si>
    <t>6/3/2014</t>
  </si>
  <si>
    <t>7/20/2014</t>
  </si>
  <si>
    <t>3/17/2010</t>
  </si>
  <si>
    <t>4/20/2010</t>
  </si>
  <si>
    <t>9/20/2013</t>
  </si>
  <si>
    <t>10/29/2013</t>
  </si>
  <si>
    <t>12/23/2010</t>
  </si>
  <si>
    <t>10/13/2015</t>
  </si>
  <si>
    <t>10/20/2015</t>
  </si>
  <si>
    <t>6/22/2012</t>
  </si>
  <si>
    <t>11/14/2012</t>
  </si>
  <si>
    <t>1/4/2015</t>
  </si>
  <si>
    <t>2/22/2015</t>
  </si>
  <si>
    <t>3/14/2014</t>
  </si>
  <si>
    <t>4/12/2014</t>
  </si>
  <si>
    <t>4/24/2014</t>
  </si>
  <si>
    <t>3/4/2011</t>
  </si>
  <si>
    <t>3/21/2011</t>
  </si>
  <si>
    <t>1/13/2014</t>
  </si>
  <si>
    <t>10/18/2012</t>
  </si>
  <si>
    <t>11/21/2012</t>
  </si>
  <si>
    <t>2/26/2012</t>
  </si>
  <si>
    <t>3/18/2012</t>
  </si>
  <si>
    <t>6/3/2012</t>
  </si>
  <si>
    <t>7/5/2012</t>
  </si>
  <si>
    <t>2/15/2011</t>
  </si>
  <si>
    <t>3/27/2011</t>
  </si>
  <si>
    <t>1/22/2017</t>
  </si>
  <si>
    <t>3/7/2017</t>
  </si>
  <si>
    <t>6/14/2015</t>
  </si>
  <si>
    <t>6/20/2015</t>
  </si>
  <si>
    <t>4/9/2010</t>
  </si>
  <si>
    <t>5/4/2010</t>
  </si>
  <si>
    <t>5/30/2015</t>
  </si>
  <si>
    <t>7/17/2015</t>
  </si>
  <si>
    <t>4/22/2015</t>
  </si>
  <si>
    <t>5/25/2015</t>
  </si>
  <si>
    <t>1/25/2012</t>
  </si>
  <si>
    <t>6/8/2015</t>
  </si>
  <si>
    <t>7/25/2015</t>
  </si>
  <si>
    <t>7/14/2014</t>
  </si>
  <si>
    <t>2/9/2010</t>
  </si>
  <si>
    <t>11/16/2016</t>
  </si>
  <si>
    <t>11/25/2016</t>
  </si>
  <si>
    <t>10/28/2013</t>
  </si>
  <si>
    <t>11/11/2013</t>
  </si>
  <si>
    <t>8/19/2010</t>
  </si>
  <si>
    <t>9/11/2010</t>
  </si>
  <si>
    <t>1/24/2016</t>
  </si>
  <si>
    <t>1/27/2016</t>
  </si>
  <si>
    <t>1/13/2010</t>
  </si>
  <si>
    <t>6/10/2011</t>
  </si>
  <si>
    <t>7/3/2011</t>
  </si>
  <si>
    <t>2/25/2013</t>
  </si>
  <si>
    <t>2/28/2013</t>
  </si>
  <si>
    <t>8/21/2015</t>
  </si>
  <si>
    <t>9/21/2015</t>
  </si>
  <si>
    <t>12/8/2013</t>
  </si>
  <si>
    <t>1/4/2014</t>
  </si>
  <si>
    <t>11/15/2016</t>
  </si>
  <si>
    <t>12/16/2016</t>
  </si>
  <si>
    <t>10/24/2016</t>
  </si>
  <si>
    <t>11/26/2016</t>
  </si>
  <si>
    <t>9/9/2010</t>
  </si>
  <si>
    <t>9/13/2010</t>
  </si>
  <si>
    <t>11/24/2014</t>
  </si>
  <si>
    <t>11/27/2014</t>
  </si>
  <si>
    <t>5/6/2011</t>
  </si>
  <si>
    <t>2/6/2013</t>
  </si>
  <si>
    <t>3/22/2013</t>
  </si>
  <si>
    <t>11/6/2011</t>
  </si>
  <si>
    <t>5/14/2011</t>
  </si>
  <si>
    <t>3/1/2017</t>
  </si>
  <si>
    <t>4/10/2017</t>
  </si>
  <si>
    <t>3/14/2010</t>
  </si>
  <si>
    <t>3/16/2010</t>
  </si>
  <si>
    <t>9/27/2016</t>
  </si>
  <si>
    <t>10/25/2016</t>
  </si>
  <si>
    <t>6/15/2017</t>
  </si>
  <si>
    <t>2/24/2013</t>
  </si>
  <si>
    <t>3/17/2013</t>
  </si>
  <si>
    <t>2/13/2011</t>
  </si>
  <si>
    <t>1/2/2011</t>
  </si>
  <si>
    <t>1/11/2011</t>
  </si>
  <si>
    <t>4/1/2015</t>
  </si>
  <si>
    <t>4/3/2015</t>
  </si>
  <si>
    <t>1/11/2010</t>
  </si>
  <si>
    <t>1/10/2017</t>
  </si>
  <si>
    <t>1/13/2017</t>
  </si>
  <si>
    <t>5/9/2017</t>
  </si>
  <si>
    <t>6/12/2017</t>
  </si>
  <si>
    <t>11/25/2013</t>
  </si>
  <si>
    <t>12/16/2013</t>
  </si>
  <si>
    <t>10/17/2013</t>
  </si>
  <si>
    <t>11/24/2013</t>
  </si>
  <si>
    <t>1/26/2012</t>
  </si>
  <si>
    <t>8/23/2010</t>
  </si>
  <si>
    <t>9/25/2010</t>
  </si>
  <si>
    <t>11/21/2015</t>
  </si>
  <si>
    <t>11/23/2015</t>
  </si>
  <si>
    <t>10/28/2012</t>
  </si>
  <si>
    <t>1/1/2010</t>
  </si>
  <si>
    <t>10/6/2014</t>
  </si>
  <si>
    <t>10/23/2014</t>
  </si>
  <si>
    <t>12/2/2015</t>
  </si>
  <si>
    <t>12/16/2015</t>
  </si>
  <si>
    <t>5/10/2012</t>
  </si>
  <si>
    <t>1/12/2010</t>
  </si>
  <si>
    <t>1/31/2010</t>
  </si>
  <si>
    <t>5/21/2012</t>
  </si>
  <si>
    <t>7/3/2010</t>
  </si>
  <si>
    <t>5/1/2017</t>
  </si>
  <si>
    <t>6/13/2017</t>
  </si>
  <si>
    <t>2/22/2017</t>
  </si>
  <si>
    <t>3/12/2017</t>
  </si>
  <si>
    <t>11/6/2013</t>
  </si>
  <si>
    <t>12/14/2013</t>
  </si>
  <si>
    <t>11/15/2013</t>
  </si>
  <si>
    <t>12/4/2013</t>
  </si>
  <si>
    <t>7/24/2010</t>
  </si>
  <si>
    <t>8/15/2010</t>
  </si>
  <si>
    <t>9/1/2010</t>
  </si>
  <si>
    <t>10/3/2010</t>
  </si>
  <si>
    <t>4/28/2012</t>
  </si>
  <si>
    <t>5/30/2012</t>
  </si>
  <si>
    <t>7/19/2015</t>
  </si>
  <si>
    <t>1/12/2017</t>
  </si>
  <si>
    <t>10/9/2012</t>
  </si>
  <si>
    <t>10/29/2012</t>
  </si>
  <si>
    <t>10/28/2016</t>
  </si>
  <si>
    <t>12/2/2016</t>
  </si>
  <si>
    <t>10/29/2014</t>
  </si>
  <si>
    <t>12/1/2014</t>
  </si>
  <si>
    <t>4/15/2010</t>
  </si>
  <si>
    <t>8/3/2014</t>
  </si>
  <si>
    <t>5/15/2014</t>
  </si>
  <si>
    <t>12/29/2012</t>
  </si>
  <si>
    <t>3/20/2012</t>
  </si>
  <si>
    <t>4/13/2012</t>
  </si>
  <si>
    <t>2/18/2015</t>
  </si>
  <si>
    <t>1/18/2015</t>
  </si>
  <si>
    <t>2/16/2015</t>
  </si>
  <si>
    <t>6/10/2012</t>
  </si>
  <si>
    <t>6/29/2012</t>
  </si>
  <si>
    <t>3/24/2013</t>
  </si>
  <si>
    <t>4/11/2013</t>
  </si>
  <si>
    <t>6/18/2014</t>
  </si>
  <si>
    <t>7/26/2014</t>
  </si>
  <si>
    <t>12/12/2011</t>
  </si>
  <si>
    <t>12/24/2011</t>
  </si>
  <si>
    <t>1/10/2016</t>
  </si>
  <si>
    <t>1/21/2016</t>
  </si>
  <si>
    <t>7/28/2010</t>
  </si>
  <si>
    <t>3/1/2010</t>
  </si>
  <si>
    <t>3/23/2010</t>
  </si>
  <si>
    <t>9/29/2015</t>
  </si>
  <si>
    <t>10/1/2015</t>
  </si>
  <si>
    <t>9/26/2015</t>
  </si>
  <si>
    <t>10/10/2015</t>
  </si>
  <si>
    <t>9/22/2010</t>
  </si>
  <si>
    <t>11/10/2014</t>
  </si>
  <si>
    <t>11/29/2014</t>
  </si>
  <si>
    <t>11/18/2010</t>
  </si>
  <si>
    <t>1/23/2011</t>
  </si>
  <si>
    <t>2/22/2011</t>
  </si>
  <si>
    <t>3/24/2017</t>
  </si>
  <si>
    <t>4/25/2017</t>
  </si>
  <si>
    <t>7/1/2010</t>
  </si>
  <si>
    <t>5/5/2011</t>
  </si>
  <si>
    <t>5/22/2011</t>
  </si>
  <si>
    <t>6/12/2010</t>
  </si>
  <si>
    <t>4/29/2014</t>
  </si>
  <si>
    <t>10/22/2016</t>
  </si>
  <si>
    <t>3/27/2013</t>
  </si>
  <si>
    <t>4/21/2013</t>
  </si>
  <si>
    <t>12/16/2010</t>
  </si>
  <si>
    <t>3/17/2016</t>
  </si>
  <si>
    <t>4/23/2016</t>
  </si>
  <si>
    <t>7/17/2017</t>
  </si>
  <si>
    <t>7/22/2017</t>
  </si>
  <si>
    <t>12/24/2012</t>
  </si>
  <si>
    <t>7/23/2017</t>
  </si>
  <si>
    <t>11/28/2012</t>
  </si>
  <si>
    <t>5/22/2010</t>
  </si>
  <si>
    <t>2/19/2016</t>
  </si>
  <si>
    <t>3/13/2016</t>
  </si>
  <si>
    <t>4/27/2015</t>
  </si>
  <si>
    <t>6/4/2015</t>
  </si>
  <si>
    <t>2/3/2013</t>
  </si>
  <si>
    <t>9/13/2012</t>
  </si>
  <si>
    <t>10/3/2012</t>
  </si>
  <si>
    <t>9/6/2013</t>
  </si>
  <si>
    <t>10/8/2013</t>
  </si>
  <si>
    <t>4/9/2014</t>
  </si>
  <si>
    <t>4/27/2011</t>
  </si>
  <si>
    <t>1/30/2014</t>
  </si>
  <si>
    <t>3/16/2014</t>
  </si>
  <si>
    <t>12/14/2012</t>
  </si>
  <si>
    <t>6/2/2015</t>
  </si>
  <si>
    <t>10/31/2015</t>
  </si>
  <si>
    <t>11/18/2015</t>
  </si>
  <si>
    <t>3/30/2012</t>
  </si>
  <si>
    <t>4/19/2014</t>
  </si>
  <si>
    <t>4/23/2014</t>
  </si>
  <si>
    <t>8/24/2013</t>
  </si>
  <si>
    <t>8/31/2013</t>
  </si>
  <si>
    <t>3/15/2016</t>
  </si>
  <si>
    <t>2/17/2014</t>
  </si>
  <si>
    <t>12/19/2011</t>
  </si>
  <si>
    <t>10/16/2014</t>
  </si>
  <si>
    <t>11/2/2014</t>
  </si>
  <si>
    <t>4/8/2014</t>
  </si>
  <si>
    <t>12/27/2013</t>
  </si>
  <si>
    <t>12/30/2013</t>
  </si>
  <si>
    <t>11/16/2012</t>
  </si>
  <si>
    <t>12/16/2012</t>
  </si>
  <si>
    <t>3/13/2017</t>
  </si>
  <si>
    <t>4/13/2017</t>
  </si>
  <si>
    <t>9/11/2011</t>
  </si>
  <si>
    <t>10/12/2011</t>
  </si>
  <si>
    <t>2/12/2017</t>
  </si>
  <si>
    <t>3/23/2017</t>
  </si>
  <si>
    <t>6/3/2011</t>
  </si>
  <si>
    <t>6/21/2011</t>
  </si>
  <si>
    <t>4/27/2017</t>
  </si>
  <si>
    <t>5/24/2017</t>
  </si>
  <si>
    <t>7/6/2016</t>
  </si>
  <si>
    <t>7/31/2016</t>
  </si>
  <si>
    <t>11/3/2014</t>
  </si>
  <si>
    <t>11/18/2014</t>
  </si>
  <si>
    <t>4/22/2012</t>
  </si>
  <si>
    <t>5/15/2012</t>
  </si>
  <si>
    <t>1/12/2016</t>
  </si>
  <si>
    <t>2/14/2016</t>
  </si>
  <si>
    <t>4/17/2014</t>
  </si>
  <si>
    <t>9/28/2014</t>
  </si>
  <si>
    <t>8/25/2010</t>
  </si>
  <si>
    <t>9/10/2010</t>
  </si>
  <si>
    <t>5/13/2014</t>
  </si>
  <si>
    <t>12/7/2011</t>
  </si>
  <si>
    <t>8/3/2012</t>
  </si>
  <si>
    <t>12/14/2016</t>
  </si>
  <si>
    <t>12/18/2016</t>
  </si>
  <si>
    <t>10/27/2014</t>
  </si>
  <si>
    <t>10/31/2014</t>
  </si>
  <si>
    <t>10/1/2016</t>
  </si>
  <si>
    <t>4/6/2014</t>
  </si>
  <si>
    <t>9/24/2012</t>
  </si>
  <si>
    <t>4/3/2016</t>
  </si>
  <si>
    <t>5/19/2016</t>
  </si>
  <si>
    <t>1/20/2010</t>
  </si>
  <si>
    <t>10/1/2011</t>
  </si>
  <si>
    <t>6/15/2013</t>
  </si>
  <si>
    <t>7/9/2013</t>
  </si>
  <si>
    <t>6/23/2014</t>
  </si>
  <si>
    <t>12/23/2013</t>
  </si>
  <si>
    <t>8/12/2012</t>
  </si>
  <si>
    <t>9/4/2012</t>
  </si>
  <si>
    <t>3/23/2016</t>
  </si>
  <si>
    <t>4/6/2016</t>
  </si>
  <si>
    <t>8/11/2012</t>
  </si>
  <si>
    <t>9/18/2012</t>
  </si>
  <si>
    <t>12/12/2016</t>
  </si>
  <si>
    <t>12/13/2016</t>
  </si>
  <si>
    <t>5/6/2015</t>
  </si>
  <si>
    <t>5/23/2015</t>
  </si>
  <si>
    <t>10/7/2011</t>
  </si>
  <si>
    <t>2/20/2016</t>
  </si>
  <si>
    <t>3/8/2016</t>
  </si>
  <si>
    <t>9/3/2010</t>
  </si>
  <si>
    <t>10/1/2010</t>
  </si>
  <si>
    <t>4/1/2014</t>
  </si>
  <si>
    <t>5/2/2017</t>
  </si>
  <si>
    <t>5/12/2017</t>
  </si>
  <si>
    <t>10/12/2012</t>
  </si>
  <si>
    <t>8/5/2016</t>
  </si>
  <si>
    <t>11/18/2013</t>
  </si>
  <si>
    <t>11/30/2013</t>
  </si>
  <si>
    <t>2/11/2017</t>
  </si>
  <si>
    <t>2/20/2017</t>
  </si>
  <si>
    <t>5/22/2015</t>
  </si>
  <si>
    <t>6/29/2015</t>
  </si>
  <si>
    <t>8/15/2015</t>
  </si>
  <si>
    <t>10/3/2015</t>
  </si>
  <si>
    <t>11/12/2011</t>
  </si>
  <si>
    <t>12/14/2011</t>
  </si>
  <si>
    <t>3/12/2013</t>
  </si>
  <si>
    <t>2/19/2017</t>
  </si>
  <si>
    <t>2/3/2010</t>
  </si>
  <si>
    <t>2/11/2010</t>
  </si>
  <si>
    <t>2/7/2013</t>
  </si>
  <si>
    <t>4/26/2012</t>
  </si>
  <si>
    <t>3/30/2013</t>
  </si>
  <si>
    <t>5/18/2013</t>
  </si>
  <si>
    <t>7/19/2013</t>
  </si>
  <si>
    <t>9/7/2013</t>
  </si>
  <si>
    <t>10/26/2012</t>
  </si>
  <si>
    <t>12/12/2012</t>
  </si>
  <si>
    <t>4/28/2013</t>
  </si>
  <si>
    <t>5/25/2013</t>
  </si>
  <si>
    <t>7/8/2014</t>
  </si>
  <si>
    <t>7/15/2014</t>
  </si>
  <si>
    <t>1/30/2012</t>
  </si>
  <si>
    <t>11/19/2012</t>
  </si>
  <si>
    <t>12/17/2012</t>
  </si>
  <si>
    <t>4/6/2012</t>
  </si>
  <si>
    <t>4/8/2012</t>
  </si>
  <si>
    <t>6/1/2015</t>
  </si>
  <si>
    <t>11/25/2015</t>
  </si>
  <si>
    <t>1/2/2016</t>
  </si>
  <si>
    <t>5/24/2013</t>
  </si>
  <si>
    <t>6/10/2013</t>
  </si>
  <si>
    <t>7/31/2013</t>
  </si>
  <si>
    <t>9/13/2013</t>
  </si>
  <si>
    <t>9/18/2016</t>
  </si>
  <si>
    <t>10/5/2016</t>
  </si>
  <si>
    <t>3/5/2013</t>
  </si>
  <si>
    <t>4/19/2013</t>
  </si>
  <si>
    <t>5/22/2012</t>
  </si>
  <si>
    <t>12/30/2010</t>
  </si>
  <si>
    <t>1/6/2011</t>
  </si>
  <si>
    <t>6/24/2011</t>
  </si>
  <si>
    <t>8/9/2011</t>
  </si>
  <si>
    <t>2/25/2016</t>
  </si>
  <si>
    <t>3/21/2016</t>
  </si>
  <si>
    <t>3/14/2015</t>
  </si>
  <si>
    <t>4/11/2015</t>
  </si>
  <si>
    <t>8/22/2014</t>
  </si>
  <si>
    <t>9/19/2014</t>
  </si>
  <si>
    <t>12/27/2011</t>
  </si>
  <si>
    <t>6/13/2012</t>
  </si>
  <si>
    <t>7/7/2012</t>
  </si>
  <si>
    <t>1/22/2015</t>
  </si>
  <si>
    <t>2/14/2015</t>
  </si>
  <si>
    <t>11/6/2015</t>
  </si>
  <si>
    <t>11/7/2015</t>
  </si>
  <si>
    <t>4/23/2012</t>
  </si>
  <si>
    <t>2/21/2014</t>
  </si>
  <si>
    <t>5/4/2012</t>
  </si>
  <si>
    <t>12/23/2016</t>
  </si>
  <si>
    <t>1/24/2017</t>
  </si>
  <si>
    <t>2/9/2011</t>
  </si>
  <si>
    <t>3/29/2011</t>
  </si>
  <si>
    <t>5/19/2015</t>
  </si>
  <si>
    <t>6/21/2015</t>
  </si>
  <si>
    <t>12/19/2013</t>
  </si>
  <si>
    <t>6/15/2012</t>
  </si>
  <si>
    <t>7/12/2012</t>
  </si>
  <si>
    <t>9/13/2016</t>
  </si>
  <si>
    <t>9/27/2010</t>
  </si>
  <si>
    <t>11/5/2010</t>
  </si>
  <si>
    <t>8/26/2015</t>
  </si>
  <si>
    <t>6/6/2017</t>
  </si>
  <si>
    <t>7/12/2017</t>
  </si>
  <si>
    <t>11/29/2015</t>
  </si>
  <si>
    <t>2/13/2012</t>
  </si>
  <si>
    <t>2/14/2012</t>
  </si>
  <si>
    <t>11/28/2016</t>
  </si>
  <si>
    <t>1/9/2017</t>
  </si>
  <si>
    <t>7/22/2011</t>
  </si>
  <si>
    <t>10/14/2012</t>
  </si>
  <si>
    <t>11/27/2012</t>
  </si>
  <si>
    <t>11/13/2013</t>
  </si>
  <si>
    <t>6/27/2015</t>
  </si>
  <si>
    <t>7/31/2015</t>
  </si>
  <si>
    <t>1/9/2015</t>
  </si>
  <si>
    <t>2/1/2015</t>
  </si>
  <si>
    <t>2/28/2011</t>
  </si>
  <si>
    <t>4/8/2011</t>
  </si>
  <si>
    <t>1/5/2017</t>
  </si>
  <si>
    <t>8/10/2017</t>
  </si>
  <si>
    <t>4/28/2011</t>
  </si>
  <si>
    <t>6/4/2011</t>
  </si>
  <si>
    <t>12/25/2015</t>
  </si>
  <si>
    <t>2/1/2016</t>
  </si>
  <si>
    <t>7/14/2011</t>
  </si>
  <si>
    <t>8/27/2011</t>
  </si>
  <si>
    <t>5/9/2014</t>
  </si>
  <si>
    <t>5/14/2014</t>
  </si>
  <si>
    <t>10/14/2016</t>
  </si>
  <si>
    <t>9/27/2015</t>
  </si>
  <si>
    <t>10/30/2015</t>
  </si>
  <si>
    <t>3/8/2011</t>
  </si>
  <si>
    <t>3/9/2011</t>
  </si>
  <si>
    <t>5/9/2015</t>
  </si>
  <si>
    <t>5/16/2015</t>
  </si>
  <si>
    <t>9/6/2012</t>
  </si>
  <si>
    <t>3/4/2016</t>
  </si>
  <si>
    <t>3/26/2016</t>
  </si>
  <si>
    <t>3/21/2015</t>
  </si>
  <si>
    <t>5/7/2015</t>
  </si>
  <si>
    <t>9/7/2014</t>
  </si>
  <si>
    <t>5/22/2014</t>
  </si>
  <si>
    <t>6/19/2014</t>
  </si>
  <si>
    <t>9/17/2012</t>
  </si>
  <si>
    <t>10/15/2012</t>
  </si>
  <si>
    <t>4/15/2015</t>
  </si>
  <si>
    <t>5/28/2015</t>
  </si>
  <si>
    <t>10/9/2010</t>
  </si>
  <si>
    <t>11/20/2010</t>
  </si>
  <si>
    <t>5/11/2017</t>
  </si>
  <si>
    <t>11/12/2013</t>
  </si>
  <si>
    <t>12/7/2013</t>
  </si>
  <si>
    <t>6/17/2011</t>
  </si>
  <si>
    <t>3/24/2015</t>
  </si>
  <si>
    <t>3/28/2015</t>
  </si>
  <si>
    <t>7/20/2010</t>
  </si>
  <si>
    <t>7/5/2014</t>
  </si>
  <si>
    <t>10/29/2011</t>
  </si>
  <si>
    <t>11/13/2011</t>
  </si>
  <si>
    <t>3/16/2017</t>
  </si>
  <si>
    <t>11/21/2016</t>
  </si>
  <si>
    <t>12/22/2016</t>
  </si>
  <si>
    <t>4/4/2017</t>
  </si>
  <si>
    <t>5/16/2017</t>
  </si>
  <si>
    <t>1/30/2016</t>
  </si>
  <si>
    <t>3/1/2016</t>
  </si>
  <si>
    <t>7/11/2013</t>
  </si>
  <si>
    <t>7/20/2013</t>
  </si>
  <si>
    <t>5/19/2014</t>
  </si>
  <si>
    <t>6/20/2017</t>
  </si>
  <si>
    <t>6/28/2017</t>
  </si>
  <si>
    <t>3/13/2015</t>
  </si>
  <si>
    <t>10/2/2012</t>
  </si>
  <si>
    <t>5/16/2014</t>
  </si>
  <si>
    <t>6/18/2012</t>
  </si>
  <si>
    <t>8/2/2012</t>
  </si>
  <si>
    <t>12/15/2012</t>
  </si>
  <si>
    <t>10/27/2016</t>
  </si>
  <si>
    <t>5/6/2016</t>
  </si>
  <si>
    <t>5/12/2016</t>
  </si>
  <si>
    <t>2/21/2013</t>
  </si>
  <si>
    <t>4/7/2013</t>
  </si>
  <si>
    <t>12/5/2014</t>
  </si>
  <si>
    <t>4/30/2017</t>
  </si>
  <si>
    <t>6/5/2017</t>
  </si>
  <si>
    <t>4/19/2012</t>
  </si>
  <si>
    <t>6/9/2016</t>
  </si>
  <si>
    <t>7/19/2016</t>
  </si>
  <si>
    <t>6/25/2013</t>
  </si>
  <si>
    <t>7/5/2013</t>
  </si>
  <si>
    <t>11/26/2015</t>
  </si>
  <si>
    <t>12/20/2015</t>
  </si>
  <si>
    <t>11/11/2016</t>
  </si>
  <si>
    <t>3/4/2010</t>
  </si>
  <si>
    <t>3/31/2012</t>
  </si>
  <si>
    <t>5/6/2012</t>
  </si>
  <si>
    <t>3/5/2012</t>
  </si>
  <si>
    <t>4/15/2012</t>
  </si>
  <si>
    <t>10/23/2013</t>
  </si>
  <si>
    <t>10/26/2013</t>
  </si>
  <si>
    <t>7/18/2017</t>
  </si>
  <si>
    <t>8/5/2017</t>
  </si>
  <si>
    <t>12/10/2010</t>
  </si>
  <si>
    <t>2/12/2012</t>
  </si>
  <si>
    <t>2/20/2012</t>
  </si>
  <si>
    <t>7/16/2011</t>
  </si>
  <si>
    <t>8/28/2011</t>
  </si>
  <si>
    <t>3/14/2011</t>
  </si>
  <si>
    <t>5/24/2011</t>
  </si>
  <si>
    <t>9/10/2011</t>
  </si>
  <si>
    <t>10/14/2011</t>
  </si>
  <si>
    <t>4/21/2012</t>
  </si>
  <si>
    <t>6/9/2012</t>
  </si>
  <si>
    <t>4/29/2012</t>
  </si>
  <si>
    <t>5/23/2016</t>
  </si>
  <si>
    <t>7/5/2016</t>
  </si>
  <si>
    <t>1/18/2011</t>
  </si>
  <si>
    <t>6/27/2010</t>
  </si>
  <si>
    <t>5/11/2012</t>
  </si>
  <si>
    <t>1/14/2015</t>
  </si>
  <si>
    <t>2/10/2015</t>
  </si>
  <si>
    <t>4/30/2016</t>
  </si>
  <si>
    <t>6/13/2016</t>
  </si>
  <si>
    <t>5/28/2017</t>
  </si>
  <si>
    <t>6/11/2017</t>
  </si>
  <si>
    <t>2/6/2012</t>
  </si>
  <si>
    <t>2/22/2012</t>
  </si>
  <si>
    <t>6/24/2017</t>
  </si>
  <si>
    <t>8/13/2017</t>
  </si>
  <si>
    <t>6/2/2011</t>
  </si>
  <si>
    <t>7/1/2011</t>
  </si>
  <si>
    <t>7/30/2015</t>
  </si>
  <si>
    <t>9/16/2015</t>
  </si>
  <si>
    <t>6/26/2012</t>
  </si>
  <si>
    <t>1/31/2011</t>
  </si>
  <si>
    <t>2/19/2011</t>
  </si>
  <si>
    <t>2/8/2013</t>
  </si>
  <si>
    <t>3/8/2013</t>
  </si>
  <si>
    <t>12/5/2010</t>
  </si>
  <si>
    <t>1/17/2011</t>
  </si>
  <si>
    <t>9/2/2015</t>
  </si>
  <si>
    <t>10/19/2015</t>
  </si>
  <si>
    <t>12/28/2011</t>
  </si>
  <si>
    <t>7/17/2011</t>
  </si>
  <si>
    <t>9/4/2011</t>
  </si>
  <si>
    <t>2/21/2016</t>
  </si>
  <si>
    <t>4/2/2016</t>
  </si>
  <si>
    <t>6/2/2016</t>
  </si>
  <si>
    <t>8/31/2015</t>
  </si>
  <si>
    <t>10/16/2015</t>
  </si>
  <si>
    <t>7/9/2014</t>
  </si>
  <si>
    <t>4/23/2011</t>
  </si>
  <si>
    <t>4/24/2011</t>
  </si>
  <si>
    <t>8/13/2015</t>
  </si>
  <si>
    <t>9/24/2015</t>
  </si>
  <si>
    <t>5/18/2011</t>
  </si>
  <si>
    <t>6/8/2011</t>
  </si>
  <si>
    <t>7/24/2015</t>
  </si>
  <si>
    <t>11/6/2016</t>
  </si>
  <si>
    <t>7/20/2011</t>
  </si>
  <si>
    <t>8/26/2011</t>
  </si>
  <si>
    <t>9/26/2013</t>
  </si>
  <si>
    <t>10/11/2013</t>
  </si>
  <si>
    <t>5/17/2012</t>
  </si>
  <si>
    <t>4/3/2014</t>
  </si>
  <si>
    <t>5/26/2013</t>
  </si>
  <si>
    <t>1/24/2013</t>
  </si>
  <si>
    <t>5/8/2010</t>
  </si>
  <si>
    <t>2/10/2013</t>
  </si>
  <si>
    <t>8/1/2010</t>
  </si>
  <si>
    <t>7/24/2011</t>
  </si>
  <si>
    <t>9/18/2015</t>
  </si>
  <si>
    <t>10/23/2011</t>
  </si>
  <si>
    <t>10/24/2011</t>
  </si>
  <si>
    <t>3/12/2016</t>
  </si>
  <si>
    <t>4/7/2016</t>
  </si>
  <si>
    <t>2/21/2012</t>
  </si>
  <si>
    <t>5/31/2017</t>
  </si>
  <si>
    <t>7/2/2017</t>
  </si>
  <si>
    <t>7/25/2014</t>
  </si>
  <si>
    <t>9/4/2014</t>
  </si>
  <si>
    <t>6/27/2016</t>
  </si>
  <si>
    <t>7/18/2016</t>
  </si>
  <si>
    <t>12/6/2016</t>
  </si>
  <si>
    <t>1/2/2017</t>
  </si>
  <si>
    <t>11/1/2013</t>
  </si>
  <si>
    <t>11/16/2013</t>
  </si>
  <si>
    <t>9/18/2013</t>
  </si>
  <si>
    <t>8/19/2014</t>
  </si>
  <si>
    <t>1/4/2013</t>
  </si>
  <si>
    <t>10/20/2013</t>
  </si>
  <si>
    <t>2/26/2016</t>
  </si>
  <si>
    <t>8/30/2011</t>
  </si>
  <si>
    <t>1/26/2017</t>
  </si>
  <si>
    <t>2/24/2017</t>
  </si>
  <si>
    <t>4/29/2013</t>
  </si>
  <si>
    <t>5/29/2013</t>
  </si>
  <si>
    <t>1/4/2017</t>
  </si>
  <si>
    <t>5/5/2014</t>
  </si>
  <si>
    <t>6/12/2014</t>
  </si>
  <si>
    <t>6/2/2014</t>
  </si>
  <si>
    <t>7/18/2014</t>
  </si>
  <si>
    <t>8/11/2014</t>
  </si>
  <si>
    <t>9/25/2015</t>
  </si>
  <si>
    <t>1/31/2016</t>
  </si>
  <si>
    <t>2/9/2016</t>
  </si>
  <si>
    <t>1/1/2014</t>
  </si>
  <si>
    <t>1/10/2010</t>
  </si>
  <si>
    <t>2/26/2010</t>
  </si>
  <si>
    <t>10/4/2012</t>
  </si>
  <si>
    <t>8/29/2012</t>
  </si>
  <si>
    <t>5/20/2015</t>
  </si>
  <si>
    <t>9/14/2014</t>
  </si>
  <si>
    <t>4/5/2017</t>
  </si>
  <si>
    <t>6/20/2010</t>
  </si>
  <si>
    <t>7/26/2010</t>
  </si>
  <si>
    <t>3/20/2013</t>
  </si>
  <si>
    <t>5/14/2015</t>
  </si>
  <si>
    <t>6/7/2015</t>
  </si>
  <si>
    <t>11/25/2014</t>
  </si>
  <si>
    <t>11/28/2014</t>
  </si>
  <si>
    <t>7/29/2012</t>
  </si>
  <si>
    <t>10/18/2015</t>
  </si>
  <si>
    <t>11/30/2015</t>
  </si>
  <si>
    <t>2/26/2017</t>
  </si>
  <si>
    <t>3/14/2017</t>
  </si>
  <si>
    <t>3/16/2016</t>
  </si>
  <si>
    <t>3/15/2012</t>
  </si>
  <si>
    <t>4/20/2012</t>
  </si>
  <si>
    <t>6/18/2016</t>
  </si>
  <si>
    <t>2/4/2011</t>
  </si>
  <si>
    <t>3/22/2011</t>
  </si>
  <si>
    <t>8/17/2012</t>
  </si>
  <si>
    <t>3/19/2017</t>
  </si>
  <si>
    <t>8/7/2017</t>
  </si>
  <si>
    <t>1/31/2015</t>
  </si>
  <si>
    <t>3/16/2013</t>
  </si>
  <si>
    <t>3/18/2014</t>
  </si>
  <si>
    <t>3/19/2014</t>
  </si>
  <si>
    <t>3/27/2016</t>
  </si>
  <si>
    <t>5/16/2016</t>
  </si>
  <si>
    <t>5/9/2016</t>
  </si>
  <si>
    <t>6/1/2016</t>
  </si>
  <si>
    <t>10/7/2015</t>
  </si>
  <si>
    <t>11/5/2015</t>
  </si>
  <si>
    <t>10/26/2010</t>
  </si>
  <si>
    <t>7/18/2013</t>
  </si>
  <si>
    <t>8/14/2013</t>
  </si>
  <si>
    <t>4/16/2011</t>
  </si>
  <si>
    <t>11/4/2011</t>
  </si>
  <si>
    <t>12/22/2011</t>
  </si>
  <si>
    <t>7/28/2012</t>
  </si>
  <si>
    <t>8/14/2010</t>
  </si>
  <si>
    <t>9/26/2010</t>
  </si>
  <si>
    <t>6/26/2015</t>
  </si>
  <si>
    <t>4/29/2016</t>
  </si>
  <si>
    <t>6/16/2016</t>
  </si>
  <si>
    <t>2/6/2015</t>
  </si>
  <si>
    <t>12/1/2012</t>
  </si>
  <si>
    <t>12/2/2012</t>
  </si>
  <si>
    <t>2/15/2016</t>
  </si>
  <si>
    <t>6/29/2013</t>
  </si>
  <si>
    <t>6/18/2015</t>
  </si>
  <si>
    <t>6/14/2014</t>
  </si>
  <si>
    <t>11/4/2016</t>
  </si>
  <si>
    <t>11/19/2016</t>
  </si>
  <si>
    <t>8/31/2017</t>
  </si>
  <si>
    <t>9/9/2012</t>
  </si>
  <si>
    <t>12/3/2016</t>
  </si>
  <si>
    <t>10/22/2010</t>
  </si>
  <si>
    <t>12/20/2010</t>
  </si>
  <si>
    <t>12/24/2010</t>
  </si>
  <si>
    <t>8/1/2013</t>
  </si>
  <si>
    <t>10/10/2013</t>
  </si>
  <si>
    <t>11/17/2013</t>
  </si>
  <si>
    <t>4/17/2016</t>
  </si>
  <si>
    <t>2/5/2014</t>
  </si>
  <si>
    <t>10/29/2010</t>
  </si>
  <si>
    <t>12/9/2010</t>
  </si>
  <si>
    <t>10/9/2013</t>
  </si>
  <si>
    <t>11/21/2013</t>
  </si>
  <si>
    <t>1/20/2015</t>
  </si>
  <si>
    <t>1/27/2015</t>
  </si>
  <si>
    <t>6/27/2013</t>
  </si>
  <si>
    <t>7/8/2013</t>
  </si>
  <si>
    <t>9/18/2010</t>
  </si>
  <si>
    <t>1/6/2010</t>
  </si>
  <si>
    <t>4/23/2017</t>
  </si>
  <si>
    <t>1/24/2015</t>
  </si>
  <si>
    <t>3/2/2015</t>
  </si>
  <si>
    <t>7/11/2017</t>
  </si>
  <si>
    <t>8/23/2017</t>
  </si>
  <si>
    <t>9/20/2015</t>
  </si>
  <si>
    <t>2/16/2013</t>
  </si>
  <si>
    <t>9/29/2010</t>
  </si>
  <si>
    <t>1/13/2016</t>
  </si>
  <si>
    <t>1/16/2014</t>
  </si>
  <si>
    <t>12/27/2016</t>
  </si>
  <si>
    <t>1/28/2017</t>
  </si>
  <si>
    <t>4/14/2010</t>
  </si>
  <si>
    <t>4/25/2010</t>
  </si>
  <si>
    <t>1/13/2011</t>
  </si>
  <si>
    <t>3/2/2011</t>
  </si>
  <si>
    <t>4/15/2011</t>
  </si>
  <si>
    <t>1/18/2012</t>
  </si>
  <si>
    <t>8/29/2015</t>
  </si>
  <si>
    <t>10/15/2015</t>
  </si>
  <si>
    <t>5/11/2011</t>
  </si>
  <si>
    <t>5/13/2013</t>
  </si>
  <si>
    <t>3/15/2011</t>
  </si>
  <si>
    <t>12/4/2014</t>
  </si>
  <si>
    <t>1/7/2015</t>
  </si>
  <si>
    <t>11/22/2014</t>
  </si>
  <si>
    <t>12/15/2014</t>
  </si>
  <si>
    <t>8/14/2012</t>
  </si>
  <si>
    <t>4/8/2015</t>
  </si>
  <si>
    <t>5/1/2015</t>
  </si>
  <si>
    <t>12/23/2014</t>
  </si>
  <si>
    <t>12/24/2014</t>
  </si>
  <si>
    <t>12/2/2014</t>
  </si>
  <si>
    <t>12/3/2015</t>
  </si>
  <si>
    <t>12/11/2015</t>
  </si>
  <si>
    <t>3/31/2014</t>
  </si>
  <si>
    <t>5/2/2012</t>
  </si>
  <si>
    <t>2/15/2012</t>
  </si>
  <si>
    <t>4/3/2012</t>
  </si>
  <si>
    <t>7/26/2013</t>
  </si>
  <si>
    <t>3/7/2013</t>
  </si>
  <si>
    <t>4/25/2013</t>
  </si>
  <si>
    <t>7/26/2016</t>
  </si>
  <si>
    <t>7/29/2016</t>
  </si>
  <si>
    <t>11/24/2011</t>
  </si>
  <si>
    <t>6/13/2011</t>
  </si>
  <si>
    <t>7/29/2011</t>
  </si>
  <si>
    <t>8/13/2011</t>
  </si>
  <si>
    <t>8/18/2011</t>
  </si>
  <si>
    <t>11/26/2013</t>
  </si>
  <si>
    <t>1/2/2014</t>
  </si>
  <si>
    <t>8/16/2014</t>
  </si>
  <si>
    <t>10/1/2014</t>
  </si>
  <si>
    <t>12/23/2012</t>
  </si>
  <si>
    <t>4/12/2012</t>
  </si>
  <si>
    <t>4/25/2012</t>
  </si>
  <si>
    <t>11/2/2015</t>
  </si>
  <si>
    <t>12/14/2015</t>
  </si>
  <si>
    <t>5/15/2015</t>
  </si>
  <si>
    <t>6/22/2015</t>
  </si>
  <si>
    <t>11/7/2010</t>
  </si>
  <si>
    <t>7/16/2014</t>
  </si>
  <si>
    <t>6/15/2010</t>
  </si>
  <si>
    <t>10/24/2015</t>
  </si>
  <si>
    <t>11/1/2015</t>
  </si>
  <si>
    <t>10/14/2014</t>
  </si>
  <si>
    <t>10/25/2014</t>
  </si>
  <si>
    <t>11/6/2014</t>
  </si>
  <si>
    <t>10/7/2010</t>
  </si>
  <si>
    <t>10/19/2010</t>
  </si>
  <si>
    <t>1/27/2014</t>
  </si>
  <si>
    <t>3/1/2014</t>
  </si>
  <si>
    <t>5/10/2015</t>
  </si>
  <si>
    <t>6/10/2015</t>
  </si>
  <si>
    <t>11/5/2011</t>
  </si>
  <si>
    <t>6/28/2016</t>
  </si>
  <si>
    <t>8/8/2016</t>
  </si>
  <si>
    <t>7/21/2014</t>
  </si>
  <si>
    <t>7/23/2014</t>
  </si>
  <si>
    <t>5/31/2015</t>
  </si>
  <si>
    <t>6/11/2015</t>
  </si>
  <si>
    <t>3/11/2015</t>
  </si>
  <si>
    <t>4/17/2015</t>
  </si>
  <si>
    <t>11/28/2011</t>
  </si>
  <si>
    <t>12/10/2011</t>
  </si>
  <si>
    <t>7/5/2017</t>
  </si>
  <si>
    <t>8/14/2017</t>
  </si>
  <si>
    <t>8/12/2014</t>
  </si>
  <si>
    <t>8/25/2014</t>
  </si>
  <si>
    <t>2/18/2010</t>
  </si>
  <si>
    <t>7/5/2015</t>
  </si>
  <si>
    <t>7/21/2015</t>
  </si>
  <si>
    <t>1/8/2011</t>
  </si>
  <si>
    <t>1/12/2011</t>
  </si>
  <si>
    <t>7/27/2015</t>
  </si>
  <si>
    <t>2/26/2015</t>
  </si>
  <si>
    <t>3/18/2017</t>
  </si>
  <si>
    <t>4/14/2017</t>
  </si>
  <si>
    <t>10/27/2015</t>
  </si>
  <si>
    <t>9/26/2014</t>
  </si>
  <si>
    <t>6/16/2013</t>
  </si>
  <si>
    <t>5/8/2014</t>
  </si>
  <si>
    <t>4/7/2012</t>
  </si>
  <si>
    <t>4/17/2017</t>
  </si>
  <si>
    <t>2/11/2012</t>
  </si>
  <si>
    <t>7/6/2014</t>
  </si>
  <si>
    <t>8/5/2014</t>
  </si>
  <si>
    <t>9/2/2014</t>
  </si>
  <si>
    <t>1/11/2016</t>
  </si>
  <si>
    <t>8/2/2014</t>
  </si>
  <si>
    <t>6/6/2013</t>
  </si>
  <si>
    <t>9/30/2012</t>
  </si>
  <si>
    <t>4/9/2011</t>
  </si>
  <si>
    <t>1/17/2017</t>
  </si>
  <si>
    <t>2/12/2014</t>
  </si>
  <si>
    <t>9/3/2014</t>
  </si>
  <si>
    <t>10/11/2014</t>
  </si>
  <si>
    <t>7/18/2012</t>
  </si>
  <si>
    <t>8/16/2012</t>
  </si>
  <si>
    <t>6/9/2017</t>
  </si>
  <si>
    <t>3/29/2014</t>
  </si>
  <si>
    <t>5/17/2011</t>
  </si>
  <si>
    <t>5/25/2011</t>
  </si>
  <si>
    <t>8/21/2012</t>
  </si>
  <si>
    <t>9/25/2012</t>
  </si>
  <si>
    <t>7/29/2013</t>
  </si>
  <si>
    <t>8/10/2013</t>
  </si>
  <si>
    <t>7/13/2012</t>
  </si>
  <si>
    <t>12/5/2011</t>
  </si>
  <si>
    <t>5/30/2011</t>
  </si>
  <si>
    <t>5/3/2010</t>
  </si>
  <si>
    <t>8/18/2016</t>
  </si>
  <si>
    <t>9/1/2016</t>
  </si>
  <si>
    <t>11/14/2016</t>
  </si>
  <si>
    <t>12/4/2015</t>
  </si>
  <si>
    <t>3/17/2017</t>
  </si>
  <si>
    <t>4/2/2017</t>
  </si>
  <si>
    <t>3/18/2011</t>
  </si>
  <si>
    <t>4/2/2011</t>
  </si>
  <si>
    <t>11/29/2016</t>
  </si>
  <si>
    <t>4/18/2015</t>
  </si>
  <si>
    <t>6/5/2010</t>
  </si>
  <si>
    <t>6/25/2010</t>
  </si>
  <si>
    <t>12/15/2015</t>
  </si>
  <si>
    <t>5/15/2016</t>
  </si>
  <si>
    <t>5/31/2016</t>
  </si>
  <si>
    <t>10/27/2013</t>
  </si>
  <si>
    <t>2/2/2011</t>
  </si>
  <si>
    <t>5/7/2011</t>
  </si>
  <si>
    <t>10/2/2010</t>
  </si>
  <si>
    <t>4/18/2010</t>
  </si>
  <si>
    <t>5/11/2010</t>
  </si>
  <si>
    <t>4/13/2011</t>
  </si>
  <si>
    <t>5/12/2011</t>
  </si>
  <si>
    <t>7/30/2016</t>
  </si>
  <si>
    <t>8/4/2016</t>
  </si>
  <si>
    <t>5/12/2012</t>
  </si>
  <si>
    <t>4/16/2012</t>
  </si>
  <si>
    <t>4/2/2014</t>
  </si>
  <si>
    <t>9/25/2014</t>
  </si>
  <si>
    <t>10/5/2014</t>
  </si>
  <si>
    <t>5/1/2010</t>
  </si>
  <si>
    <t>11/27/2016</t>
  </si>
  <si>
    <t>6/5/2013</t>
  </si>
  <si>
    <t>2/11/2015</t>
  </si>
  <si>
    <t>2/12/2015</t>
  </si>
  <si>
    <t>10/10/2014</t>
  </si>
  <si>
    <t>3/12/2014</t>
  </si>
  <si>
    <t>3/28/2014</t>
  </si>
  <si>
    <t>7/9/2017</t>
  </si>
  <si>
    <t>6/8/2013</t>
  </si>
  <si>
    <t>5/13/2017</t>
  </si>
  <si>
    <t>3/2/2016</t>
  </si>
  <si>
    <t>3/30/2016</t>
  </si>
  <si>
    <t>12/6/2012</t>
  </si>
  <si>
    <t>1/16/2013</t>
  </si>
  <si>
    <t>5/25/2016</t>
  </si>
  <si>
    <t>5/28/2016</t>
  </si>
  <si>
    <t>7/1/2014</t>
  </si>
  <si>
    <t>3/9/2015</t>
  </si>
  <si>
    <t>9/8/2010</t>
  </si>
  <si>
    <t>12/8/2012</t>
  </si>
  <si>
    <t>3/12/2012</t>
  </si>
  <si>
    <t>5/31/2010</t>
  </si>
  <si>
    <t>7/24/2014</t>
  </si>
  <si>
    <t>2/13/2013</t>
  </si>
  <si>
    <t>2/19/2015</t>
  </si>
  <si>
    <t>3/27/2015</t>
  </si>
  <si>
    <t>12/20/2016</t>
  </si>
  <si>
    <t>2/2/2017</t>
  </si>
  <si>
    <t>6/3/2013</t>
  </si>
  <si>
    <t>3/19/2016</t>
  </si>
  <si>
    <t>3/17/2014</t>
  </si>
  <si>
    <t>5/1/2014</t>
  </si>
  <si>
    <t>1/18/2016</t>
  </si>
  <si>
    <t>7/20/2016</t>
  </si>
  <si>
    <t>9/2/2016</t>
  </si>
  <si>
    <t>2/19/2012</t>
  </si>
  <si>
    <t>4/2/2015</t>
  </si>
  <si>
    <t>3/7/2015</t>
  </si>
  <si>
    <t>7/31/2014</t>
  </si>
  <si>
    <t>8/8/2014</t>
  </si>
  <si>
    <t>10/15/2016</t>
  </si>
  <si>
    <t>10/31/2016</t>
  </si>
  <si>
    <t>7/23/2010</t>
  </si>
  <si>
    <t>3/20/2017</t>
  </si>
  <si>
    <t>12/10/2013</t>
  </si>
  <si>
    <t>4/10/2012</t>
  </si>
  <si>
    <t>9/30/2014</t>
  </si>
  <si>
    <t>11/17/2014</t>
  </si>
  <si>
    <t>8/6/2016</t>
  </si>
  <si>
    <t>12/19/2015</t>
  </si>
  <si>
    <t>4/2/2013</t>
  </si>
  <si>
    <t>5/2/2013</t>
  </si>
  <si>
    <t>10/2/2014</t>
  </si>
  <si>
    <t>10/4/2014</t>
  </si>
  <si>
    <t>6/5/2011</t>
  </si>
  <si>
    <t>6/29/2011</t>
  </si>
  <si>
    <t>3/6/2012</t>
  </si>
  <si>
    <t>3/10/2013</t>
  </si>
  <si>
    <t>4/18/2011</t>
  </si>
  <si>
    <t>5/9/2011</t>
  </si>
  <si>
    <t>4/12/2011</t>
  </si>
  <si>
    <t>12/21/2014</t>
  </si>
  <si>
    <t>1/13/2015</t>
  </si>
  <si>
    <t>6/23/2015</t>
  </si>
  <si>
    <t>1/14/2017</t>
  </si>
  <si>
    <t>1/18/2017</t>
  </si>
  <si>
    <t>9/1/2015</t>
  </si>
  <si>
    <t>12/30/2016</t>
  </si>
  <si>
    <t>7/13/2017</t>
  </si>
  <si>
    <t>3/19/2015</t>
  </si>
  <si>
    <t>2/28/2017</t>
  </si>
  <si>
    <t>7/17/2016</t>
  </si>
  <si>
    <t>6/30/2015</t>
  </si>
  <si>
    <t>6/6/2015</t>
  </si>
  <si>
    <t>7/7/2015</t>
  </si>
  <si>
    <t>4/26/2016</t>
  </si>
  <si>
    <t>5/13/2016</t>
  </si>
  <si>
    <t>3/30/2015</t>
  </si>
  <si>
    <t>12/30/2011</t>
  </si>
  <si>
    <t>12/31/2011</t>
  </si>
  <si>
    <t>2/25/2010</t>
  </si>
  <si>
    <t>2/28/2010</t>
  </si>
  <si>
    <t>5/27/2010</t>
  </si>
  <si>
    <t>6/1/2010</t>
  </si>
  <si>
    <t>7/14/2013</t>
  </si>
  <si>
    <t>8/19/2013</t>
  </si>
  <si>
    <t>12/11/2014</t>
  </si>
  <si>
    <t>7/28/2016</t>
  </si>
  <si>
    <t>8/7/2014</t>
  </si>
  <si>
    <t>10/21/2013</t>
  </si>
  <si>
    <t>4/21/2010</t>
  </si>
  <si>
    <t>4/24/2010</t>
  </si>
  <si>
    <t>1/30/2015</t>
  </si>
  <si>
    <t>2/23/2015</t>
  </si>
  <si>
    <t>10/7/2014</t>
  </si>
  <si>
    <t>5/19/2017</t>
  </si>
  <si>
    <t>8/24/2014</t>
  </si>
  <si>
    <t>9/24/2014</t>
  </si>
  <si>
    <t>1/5/2016</t>
  </si>
  <si>
    <t>6/19/2011</t>
  </si>
  <si>
    <t>8/26/2010</t>
  </si>
  <si>
    <t>10/23/2010</t>
  </si>
  <si>
    <t>7/27/2013</t>
  </si>
  <si>
    <t>8/9/2013</t>
  </si>
  <si>
    <t>12/3/2012</t>
  </si>
  <si>
    <t>12/6/2014</t>
  </si>
  <si>
    <t>3/1/2015</t>
  </si>
  <si>
    <t>5/26/2015</t>
  </si>
  <si>
    <t>6/13/2015</t>
  </si>
  <si>
    <t>11/4/2015</t>
  </si>
  <si>
    <t>11/24/2015</t>
  </si>
  <si>
    <t>11/13/2014</t>
  </si>
  <si>
    <t>4/24/2016</t>
  </si>
  <si>
    <t>4/28/2016</t>
  </si>
  <si>
    <t>7/30/2013</t>
  </si>
  <si>
    <t>11/24/2016</t>
  </si>
  <si>
    <t>3/19/2013</t>
  </si>
  <si>
    <t>3/29/2013</t>
  </si>
  <si>
    <t>4/20/2014</t>
  </si>
  <si>
    <t>5/21/2011</t>
  </si>
  <si>
    <t>10/3/2014</t>
  </si>
  <si>
    <t>10/9/2014</t>
  </si>
  <si>
    <t>3/5/2016</t>
  </si>
  <si>
    <t>2/3/2014</t>
  </si>
  <si>
    <t>5/4/2011</t>
  </si>
  <si>
    <t>3/14/2016</t>
  </si>
  <si>
    <t>4/1/2016</t>
  </si>
  <si>
    <t>8/31/2014</t>
  </si>
  <si>
    <t>9/5/2014</t>
  </si>
  <si>
    <t>5/27/2013</t>
  </si>
  <si>
    <t>12/3/2013</t>
  </si>
  <si>
    <t>6/24/2014</t>
  </si>
  <si>
    <t>7/7/2014</t>
  </si>
  <si>
    <t>8/23/2011</t>
  </si>
  <si>
    <t>9/26/2011</t>
  </si>
  <si>
    <t>9/19/2016</t>
  </si>
  <si>
    <t>4/14/2011</t>
  </si>
  <si>
    <t>12/26/2016</t>
  </si>
  <si>
    <t>9/9/2015</t>
  </si>
  <si>
    <t>5/6/2017</t>
  </si>
  <si>
    <t>11/25/2010</t>
  </si>
  <si>
    <t>12/12/2010</t>
  </si>
  <si>
    <t>9/22/2011</t>
  </si>
  <si>
    <t>9/27/2011</t>
  </si>
  <si>
    <t>7/28/2011</t>
  </si>
  <si>
    <t>9/1/2011</t>
  </si>
  <si>
    <t>2/29/2016</t>
  </si>
  <si>
    <t>6/14/2010</t>
  </si>
  <si>
    <t>8/3/2010</t>
  </si>
  <si>
    <t>3/11/2016</t>
  </si>
  <si>
    <t>4/20/2016</t>
  </si>
  <si>
    <t>9/21/2014</t>
  </si>
  <si>
    <t>6/11/2012</t>
  </si>
  <si>
    <t>5/18/2012</t>
  </si>
  <si>
    <t>6/6/2012</t>
  </si>
  <si>
    <t>4/1/2017</t>
  </si>
  <si>
    <t>6/16/2011</t>
  </si>
  <si>
    <t>12/26/2012</t>
  </si>
  <si>
    <t>7/24/2013</t>
  </si>
  <si>
    <t>8/21/2013</t>
  </si>
  <si>
    <t>3/8/2010</t>
  </si>
  <si>
    <t>3/22/2010</t>
  </si>
  <si>
    <t>11/4/2010</t>
  </si>
  <si>
    <t>10/16/2010</t>
  </si>
  <si>
    <t>11/11/2010</t>
  </si>
  <si>
    <t>8/31/2010</t>
  </si>
  <si>
    <t>6/13/2010</t>
  </si>
  <si>
    <t>8/12/2013</t>
  </si>
  <si>
    <t>7/10/2010</t>
  </si>
  <si>
    <t>12/27/2010</t>
  </si>
  <si>
    <t>11/10/2013</t>
  </si>
  <si>
    <t>2/6/2014</t>
  </si>
  <si>
    <t>2/25/2017</t>
  </si>
  <si>
    <t>5/17/2013</t>
  </si>
  <si>
    <t>11/16/2015</t>
  </si>
  <si>
    <t>11/20/2015</t>
  </si>
  <si>
    <t>11/13/2016</t>
  </si>
  <si>
    <t>3/6/2017</t>
  </si>
  <si>
    <t>4/20/2013</t>
  </si>
  <si>
    <t>2/7/2017</t>
  </si>
  <si>
    <t>1/15/2015</t>
  </si>
  <si>
    <t>8/3/2016</t>
  </si>
  <si>
    <t>8/11/2016</t>
  </si>
  <si>
    <t>2/13/2017</t>
  </si>
  <si>
    <t>11/6/2010</t>
  </si>
  <si>
    <t>5/16/2010</t>
  </si>
  <si>
    <t>2/16/2010</t>
  </si>
  <si>
    <t>4/3/2010</t>
  </si>
  <si>
    <t>4/17/2011</t>
  </si>
  <si>
    <t>5/5/2017</t>
  </si>
  <si>
    <t>5/21/2014</t>
  </si>
  <si>
    <t>1/26/2011</t>
  </si>
  <si>
    <t>6/16/2017</t>
  </si>
  <si>
    <t>1/27/2012</t>
  </si>
  <si>
    <t>1/28/2012</t>
  </si>
  <si>
    <t>6/9/2010</t>
  </si>
  <si>
    <t>6/18/2010</t>
  </si>
  <si>
    <t>10/27/2012</t>
  </si>
  <si>
    <t>11/11/2012</t>
  </si>
  <si>
    <t>3/10/2012</t>
  </si>
  <si>
    <t>1/15/2011</t>
  </si>
  <si>
    <t>2/16/2011</t>
  </si>
  <si>
    <t>2/21/2011</t>
  </si>
  <si>
    <t>2/27/2011</t>
  </si>
  <si>
    <t>11/1/2014</t>
  </si>
  <si>
    <t>11/16/2014</t>
  </si>
  <si>
    <t>4/7/2011</t>
  </si>
  <si>
    <t>9/29/2012</t>
  </si>
  <si>
    <t>10/17/2012</t>
  </si>
  <si>
    <t>10/17/2014</t>
  </si>
  <si>
    <t>5/19/2010</t>
  </si>
  <si>
    <t>9/11/2013</t>
  </si>
  <si>
    <t>10/16/2013</t>
  </si>
  <si>
    <t>7/19/2010</t>
  </si>
  <si>
    <t>8/22/2013</t>
  </si>
  <si>
    <t>9/4/2013</t>
  </si>
  <si>
    <t>4/30/2011</t>
  </si>
  <si>
    <t>12/13/2010</t>
  </si>
  <si>
    <t>7/30/2012</t>
  </si>
  <si>
    <t>7/15/2013</t>
  </si>
  <si>
    <t>8/17/2013</t>
  </si>
  <si>
    <t>2/17/2012</t>
  </si>
  <si>
    <t>11/11/2014</t>
  </si>
  <si>
    <t>3/19/2012</t>
  </si>
  <si>
    <t>8/7/2012</t>
  </si>
  <si>
    <t>9/15/2012</t>
  </si>
  <si>
    <t>12/5/2012</t>
  </si>
  <si>
    <t>8/28/2010</t>
  </si>
  <si>
    <t>10/15/2010</t>
  </si>
  <si>
    <t>7/29/2010</t>
  </si>
  <si>
    <t>10/8/2010</t>
  </si>
  <si>
    <t>12/19/2010</t>
  </si>
  <si>
    <t>12/24/2015</t>
  </si>
  <si>
    <t>2/2/2016</t>
  </si>
  <si>
    <t>7/22/2015</t>
  </si>
  <si>
    <t>7/22/2016</t>
  </si>
  <si>
    <t>8/26/2016</t>
  </si>
  <si>
    <t>6/3/2016</t>
  </si>
  <si>
    <t>6/11/2016</t>
  </si>
  <si>
    <t>6/3/2010</t>
  </si>
  <si>
    <t>1/6/2014</t>
  </si>
  <si>
    <t>10/30/2011</t>
  </si>
  <si>
    <t>11/30/2011</t>
  </si>
  <si>
    <t>8/12/2016</t>
  </si>
  <si>
    <t>4/3/2011</t>
  </si>
  <si>
    <t>3/15/2013</t>
  </si>
  <si>
    <t>4/11/2016</t>
  </si>
  <si>
    <t>5/7/2016</t>
  </si>
  <si>
    <t>7/10/2012</t>
  </si>
  <si>
    <t>5/8/2013</t>
  </si>
  <si>
    <t>5/12/2013</t>
  </si>
  <si>
    <t>5/22/2017</t>
  </si>
  <si>
    <t>5/25/2017</t>
  </si>
  <si>
    <t>1/29/2012</t>
  </si>
  <si>
    <t>6/17/2013</t>
  </si>
  <si>
    <t>7/3/2013</t>
  </si>
  <si>
    <t>6/12/2016</t>
  </si>
  <si>
    <t>9/4/2016</t>
  </si>
  <si>
    <t>4/21/2017</t>
  </si>
  <si>
    <t>4/26/2017</t>
  </si>
  <si>
    <t>11/8/2011</t>
  </si>
  <si>
    <t>12/5/2013</t>
  </si>
  <si>
    <t>1/27/2010</t>
  </si>
  <si>
    <t>5/13/2015</t>
  </si>
  <si>
    <t>9/11/2012</t>
  </si>
  <si>
    <t>9/27/2012</t>
  </si>
  <si>
    <t>12/9/2012</t>
  </si>
  <si>
    <t>2/1/2017</t>
  </si>
  <si>
    <t>3/9/2013</t>
  </si>
  <si>
    <t>3/14/2013</t>
  </si>
  <si>
    <t>11/30/2016</t>
  </si>
  <si>
    <t>12/11/2016</t>
  </si>
  <si>
    <t>1/23/2014</t>
  </si>
  <si>
    <t>10/13/2013</t>
  </si>
  <si>
    <t>10/21/2014</t>
  </si>
  <si>
    <t>10/24/2014</t>
  </si>
  <si>
    <t>8/20/2012</t>
  </si>
  <si>
    <t>1/7/2013</t>
  </si>
  <si>
    <t>4/22/2017</t>
  </si>
  <si>
    <t>7/13/2015</t>
  </si>
  <si>
    <t>7/29/2015</t>
  </si>
  <si>
    <t>11/28/2013</t>
  </si>
  <si>
    <t>10/10/2010</t>
  </si>
  <si>
    <t>7/9/2010</t>
  </si>
  <si>
    <t>2/20/2015</t>
  </si>
  <si>
    <t>11/19/2011</t>
  </si>
  <si>
    <t>12/4/2011</t>
  </si>
  <si>
    <t>6/21/2017</t>
  </si>
  <si>
    <t>2/3/2011</t>
  </si>
  <si>
    <t>7/16/2016</t>
  </si>
  <si>
    <t>9/12/2016</t>
  </si>
  <si>
    <t>9/26/2016</t>
  </si>
  <si>
    <t>2/4/2014</t>
  </si>
  <si>
    <t>1/3/2010</t>
  </si>
  <si>
    <t>2/22/2010</t>
  </si>
  <si>
    <t>11/25/2012</t>
  </si>
  <si>
    <t>11/27/2011</t>
  </si>
  <si>
    <t>12/23/2011</t>
  </si>
  <si>
    <t>8/17/2014</t>
  </si>
  <si>
    <t>10/31/2012</t>
  </si>
  <si>
    <t>10/17/2011</t>
  </si>
  <si>
    <t>3/23/2013</t>
  </si>
  <si>
    <t>9/23/2015</t>
  </si>
  <si>
    <t>10/9/2015</t>
  </si>
  <si>
    <t>3/6/2010</t>
  </si>
  <si>
    <t>11/7/2014</t>
  </si>
  <si>
    <t>1/14/2016</t>
  </si>
  <si>
    <t>2/23/2010</t>
  </si>
  <si>
    <t>8/12/2015</t>
  </si>
  <si>
    <t>9/15/2015</t>
  </si>
  <si>
    <t>10/8/2015</t>
  </si>
  <si>
    <t>8/23/2012</t>
  </si>
  <si>
    <t>9/26/2012</t>
  </si>
  <si>
    <t>6/15/2011</t>
  </si>
  <si>
    <t>8/27/2012</t>
  </si>
  <si>
    <t>8/5/2013</t>
  </si>
  <si>
    <t>8/11/2013</t>
  </si>
  <si>
    <t>10/13/2010</t>
  </si>
  <si>
    <t>11/23/2010</t>
  </si>
  <si>
    <t>8/22/2015</t>
  </si>
  <si>
    <t>10/4/2015</t>
  </si>
  <si>
    <t>5/10/2010</t>
  </si>
  <si>
    <t>6/7/2010</t>
  </si>
  <si>
    <t>4/13/2013</t>
  </si>
  <si>
    <t>7/25/2016</t>
  </si>
  <si>
    <t>8/11/2011</t>
  </si>
  <si>
    <t>1/15/2013</t>
  </si>
  <si>
    <t>7/9/2015</t>
  </si>
  <si>
    <t>7/15/2015</t>
  </si>
  <si>
    <t>11/28/2010</t>
  </si>
  <si>
    <t>1/10/2014</t>
  </si>
  <si>
    <t>2/24/2014</t>
  </si>
  <si>
    <t>2/20/2014</t>
  </si>
  <si>
    <t>7/14/2015</t>
  </si>
  <si>
    <t>11/12/2016</t>
  </si>
  <si>
    <t>12/21/2016</t>
  </si>
  <si>
    <t>2/5/2016</t>
  </si>
  <si>
    <t>1/30/2013</t>
  </si>
  <si>
    <t>11/12/2010</t>
  </si>
  <si>
    <t>12/21/2010</t>
  </si>
  <si>
    <t>9/23/2013</t>
  </si>
  <si>
    <t>9/14/2016</t>
  </si>
  <si>
    <t>8/30/2014</t>
  </si>
  <si>
    <t>9/11/2014</t>
  </si>
  <si>
    <t>8/21/2011</t>
  </si>
  <si>
    <t>9/3/2011</t>
  </si>
  <si>
    <t>4/5/2011</t>
  </si>
  <si>
    <t>4/4/2012</t>
  </si>
  <si>
    <t>1/26/2010</t>
  </si>
  <si>
    <t>2/21/2010</t>
  </si>
  <si>
    <t>4/11/2011</t>
  </si>
  <si>
    <t>1/19/2012</t>
  </si>
  <si>
    <t>9/30/2013</t>
  </si>
  <si>
    <t>6/5/2012</t>
  </si>
  <si>
    <t>8/28/2015</t>
  </si>
  <si>
    <t>2/13/2015</t>
  </si>
  <si>
    <t>9/17/2011</t>
  </si>
  <si>
    <t>10/25/2011</t>
  </si>
  <si>
    <t>4/15/2014</t>
  </si>
  <si>
    <t>4/26/2014</t>
  </si>
  <si>
    <t>3/14/2012</t>
  </si>
  <si>
    <t>7/13/2011</t>
  </si>
  <si>
    <t>12/22/2015</t>
  </si>
  <si>
    <t>12/30/2015</t>
  </si>
  <si>
    <t>4/21/2014</t>
  </si>
  <si>
    <t>6/1/2014</t>
  </si>
  <si>
    <t>12/10/2012</t>
  </si>
  <si>
    <t>4/30/2015</t>
  </si>
  <si>
    <t>6/16/2014</t>
  </si>
  <si>
    <t>11/17/2016</t>
  </si>
  <si>
    <t>6/22/2010</t>
  </si>
  <si>
    <t>12/31/2016</t>
  </si>
  <si>
    <t>9/8/2011</t>
  </si>
  <si>
    <t>2/24/2010</t>
  </si>
  <si>
    <t>3/22/2015</t>
  </si>
  <si>
    <t>4/29/2015</t>
  </si>
  <si>
    <t>12/29/2016</t>
  </si>
  <si>
    <t>12/14/2014</t>
  </si>
  <si>
    <t>4/16/2014</t>
  </si>
  <si>
    <t>3/15/2015</t>
  </si>
  <si>
    <t>9/25/2016</t>
  </si>
  <si>
    <t>10/19/2016</t>
  </si>
  <si>
    <t>8/25/2015</t>
  </si>
  <si>
    <t>11/5/2013</t>
  </si>
  <si>
    <t>8/17/2011</t>
  </si>
  <si>
    <t>10/6/2011</t>
  </si>
  <si>
    <t>10/31/2013</t>
  </si>
  <si>
    <t>3/19/2011</t>
  </si>
  <si>
    <t>8/15/2016</t>
  </si>
  <si>
    <t>8/10/2016</t>
  </si>
  <si>
    <t>10/20/2010</t>
  </si>
  <si>
    <t>11/13/2010</t>
  </si>
  <si>
    <t>3/31/2017</t>
  </si>
  <si>
    <t>4/6/2017</t>
  </si>
  <si>
    <t>11/2/2011</t>
  </si>
  <si>
    <t>5/13/2010</t>
  </si>
  <si>
    <t>4/7/2017</t>
  </si>
  <si>
    <t>8/9/2014</t>
  </si>
  <si>
    <t>10/3/2013</t>
  </si>
  <si>
    <t>7/25/2017</t>
  </si>
  <si>
    <t>1/20/2014</t>
  </si>
  <si>
    <t>7/12/2016</t>
  </si>
  <si>
    <t>8/30/2016</t>
  </si>
  <si>
    <t>11/30/2012</t>
  </si>
  <si>
    <t>6/9/2011</t>
  </si>
  <si>
    <t>5/26/2010</t>
  </si>
  <si>
    <t>6/17/2010</t>
  </si>
  <si>
    <t>11/23/2014</t>
  </si>
  <si>
    <t>2/10/2010</t>
  </si>
  <si>
    <t>2/9/2014</t>
  </si>
  <si>
    <t>2/25/2014</t>
  </si>
  <si>
    <t>10/3/2011</t>
  </si>
  <si>
    <t>2/4/2010</t>
  </si>
  <si>
    <t>3/15/2010</t>
  </si>
  <si>
    <t>8/20/2011</t>
  </si>
  <si>
    <t>6/28/2010</t>
  </si>
  <si>
    <t>6/13/2013</t>
  </si>
  <si>
    <t>12/23/2015</t>
  </si>
  <si>
    <t>9/27/2013</t>
  </si>
  <si>
    <t>11/9/2015</t>
  </si>
  <si>
    <t>6/7/2017</t>
  </si>
  <si>
    <t>7/4/2016</t>
  </si>
  <si>
    <t>5/27/2016</t>
  </si>
  <si>
    <t>1/5/2015</t>
  </si>
  <si>
    <t>3/3/2011</t>
  </si>
  <si>
    <t>1/27/2011</t>
  </si>
  <si>
    <t>5/23/2014</t>
  </si>
  <si>
    <t>9/12/2010</t>
  </si>
  <si>
    <t>1/29/2014</t>
  </si>
  <si>
    <t>12/9/2011</t>
  </si>
  <si>
    <t>9/12/2012</t>
  </si>
  <si>
    <t>9/23/2012</t>
  </si>
  <si>
    <t>9/8/2013</t>
  </si>
  <si>
    <t>9/14/2011</t>
  </si>
  <si>
    <t>5/28/2014</t>
  </si>
  <si>
    <t>8/26/2012</t>
  </si>
  <si>
    <t>9/16/2011</t>
  </si>
  <si>
    <t>7/30/2014</t>
  </si>
  <si>
    <t>9/8/2014</t>
  </si>
  <si>
    <t>4/26/2015</t>
  </si>
  <si>
    <t>4/12/2016</t>
  </si>
  <si>
    <t>1/17/2012</t>
  </si>
  <si>
    <t>1/31/2012</t>
  </si>
  <si>
    <t>8/21/2010</t>
  </si>
  <si>
    <t>10/5/2010</t>
  </si>
  <si>
    <t>6/19/2010</t>
  </si>
  <si>
    <t>6/14/2012</t>
  </si>
  <si>
    <t>6/20/2012</t>
  </si>
  <si>
    <t>11/9/2012</t>
  </si>
  <si>
    <t>11/12/2012</t>
  </si>
  <si>
    <t>7/23/2013</t>
  </si>
  <si>
    <t>1/21/2015</t>
  </si>
  <si>
    <t>3/10/2015</t>
  </si>
  <si>
    <t>1/30/2010</t>
  </si>
  <si>
    <t>12/16/2011</t>
  </si>
  <si>
    <t>1/5/2011</t>
  </si>
  <si>
    <t>1/14/2014</t>
  </si>
  <si>
    <t>1/15/2014</t>
  </si>
  <si>
    <t>5/9/2012</t>
  </si>
  <si>
    <t>4/22/2014</t>
  </si>
  <si>
    <t>5/11/2014</t>
  </si>
  <si>
    <t>Column</t>
  </si>
  <si>
    <t>Meaning</t>
  </si>
  <si>
    <t>Broad geographic area</t>
  </si>
  <si>
    <t>Country of order</t>
  </si>
  <si>
    <t>Product Category</t>
  </si>
  <si>
    <t>Online/Offline</t>
  </si>
  <si>
    <t>Urgency level</t>
  </si>
  <si>
    <t>When order placed</t>
  </si>
  <si>
    <t>When order shipped</t>
  </si>
  <si>
    <t>Quanity sold</t>
  </si>
  <si>
    <t>Price per unit</t>
  </si>
  <si>
    <t>Cost per unit</t>
  </si>
  <si>
    <t>Units x Price</t>
  </si>
  <si>
    <t>Units x Cost</t>
  </si>
  <si>
    <t>Revenue - Cost</t>
  </si>
  <si>
    <t>Order Date Fixed</t>
  </si>
  <si>
    <t>Order Month</t>
  </si>
  <si>
    <t>Order Day</t>
  </si>
  <si>
    <t>Order Year</t>
  </si>
  <si>
    <t>Ship Date Fixed</t>
  </si>
  <si>
    <t>Ship Day</t>
  </si>
  <si>
    <t>Ship Month</t>
  </si>
  <si>
    <t>Ship Year</t>
  </si>
  <si>
    <t>Order Month-Year</t>
  </si>
  <si>
    <t>Ship Month-Year</t>
  </si>
  <si>
    <t>Shipping Days</t>
  </si>
  <si>
    <t>Profit Margin %</t>
  </si>
  <si>
    <t>Revenue Per Unit</t>
  </si>
  <si>
    <t>Row Labels</t>
  </si>
  <si>
    <t>Grand Total</t>
  </si>
  <si>
    <t>Sum of Total Revenue</t>
  </si>
  <si>
    <t>Sum of Total Profit</t>
  </si>
  <si>
    <t>Average of Profit Margin %</t>
  </si>
  <si>
    <t>Average of Shipping Days</t>
  </si>
  <si>
    <t>Sales Channel Comparision</t>
  </si>
  <si>
    <t>Shipping Efficiency</t>
  </si>
  <si>
    <t>Revenue &amp; Profit By Region</t>
  </si>
  <si>
    <t>Sales Trend By Year</t>
  </si>
  <si>
    <t>Profit By Items</t>
  </si>
  <si>
    <t>Europe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</si>
</sst>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i/>
      <sz val="14"/>
      <color theme="0"/>
      <name val="Calibri"/>
      <family val="2"/>
      <scheme val="minor"/>
    </font>
    <font>
      <i/>
      <sz val="11"/>
      <color theme="0"/>
      <name val="Calibri"/>
      <family val="2"/>
      <scheme val="minor"/>
    </font>
    <font>
      <b/>
      <i/>
      <sz val="30"/>
      <color theme="0"/>
      <name val="Calibri"/>
      <family val="2"/>
      <scheme val="minor"/>
    </font>
  </fonts>
  <fills count="8">
    <fill>
      <patternFill patternType="none"/>
    </fill>
    <fill>
      <patternFill patternType="gray125"/>
    </fill>
    <fill>
      <patternFill patternType="solid">
        <fgColor rgb="FF00B0F0"/>
        <bgColor indexed="64"/>
      </patternFill>
    </fill>
    <fill>
      <patternFill patternType="solid">
        <fgColor theme="8" tint="0.39997558519241921"/>
        <bgColor indexed="64"/>
      </patternFill>
    </fill>
    <fill>
      <patternFill patternType="solid">
        <fgColor rgb="FF83BBB7"/>
        <bgColor indexed="64"/>
      </patternFill>
    </fill>
    <fill>
      <patternFill patternType="solid">
        <fgColor theme="1" tint="0.34998626667073579"/>
        <bgColor indexed="64"/>
      </patternFill>
    </fill>
    <fill>
      <patternFill patternType="solid">
        <fgColor rgb="FF407470"/>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2" borderId="0" xfId="0" applyFont="1" applyFill="1"/>
    <xf numFmtId="14" fontId="0" fillId="0" borderId="0" xfId="0" applyNumberFormat="1"/>
    <xf numFmtId="1"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4" fillId="3" borderId="0" xfId="0" applyFont="1" applyFill="1" applyAlignment="1">
      <alignment horizontal="center"/>
    </xf>
    <xf numFmtId="0" fontId="3" fillId="3" borderId="0" xfId="0" applyFont="1" applyFill="1" applyAlignment="1">
      <alignment horizontal="center"/>
    </xf>
    <xf numFmtId="9" fontId="0" fillId="0" borderId="0" xfId="0" applyNumberFormat="1"/>
    <xf numFmtId="0" fontId="5" fillId="3" borderId="0" xfId="0" applyFont="1" applyFill="1" applyAlignment="1">
      <alignment horizontal="center"/>
    </xf>
    <xf numFmtId="0" fontId="0" fillId="4" borderId="0" xfId="0" applyFill="1"/>
    <xf numFmtId="0" fontId="0" fillId="5" borderId="0" xfId="0" applyFill="1" applyAlignment="1">
      <alignment horizontal="center"/>
    </xf>
    <xf numFmtId="0" fontId="6" fillId="5" borderId="0" xfId="0" applyFont="1" applyFill="1" applyAlignment="1">
      <alignment horizontal="center"/>
    </xf>
    <xf numFmtId="0" fontId="0" fillId="7" borderId="0" xfId="0" applyFill="1"/>
    <xf numFmtId="0" fontId="3" fillId="6" borderId="0" xfId="0" applyFont="1" applyFill="1"/>
  </cellXfs>
  <cellStyles count="2">
    <cellStyle name="Normal" xfId="0" builtinId="0"/>
    <cellStyle name="Percent" xfId="1" builtinId="5"/>
  </cellStyles>
  <dxfs count="5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83BBB7"/>
      <color rgb="FF407470"/>
      <color rgb="FFC4D5FC"/>
      <color rgb="FF7CA2F8"/>
      <color rgb="FFBCD6D0"/>
      <color rgb="FFC8D8FC"/>
      <color rgb="FF7DA8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[Europe_Sales_Dashboard.xlsx]Pivot Tables!PivotTable1</c:name>
    <c:fmtId val="5"/>
  </c:pivotSource>
  <c:chart>
    <c:title>
      <c:tx>
        <c:rich>
          <a:bodyPr rot="0" spcFirstLastPara="1" vertOverflow="ellipsis" vert="horz" wrap="square" anchor="ctr" anchorCtr="1"/>
          <a:lstStyle/>
          <a:p>
            <a:pPr>
              <a:defRPr sz="1800" b="1" i="0" u="none" strike="noStrike" kern="1200" spc="0" baseline="0">
                <a:ln w="0">
                  <a:noFill/>
                </a:ln>
                <a:solidFill>
                  <a:srgbClr val="002060"/>
                </a:solidFill>
                <a:latin typeface="+mn-lt"/>
                <a:ea typeface="+mn-ea"/>
                <a:cs typeface="+mn-cs"/>
              </a:defRPr>
            </a:pPr>
            <a:r>
              <a:rPr lang="en-IN" sz="1800" b="1">
                <a:ln w="0">
                  <a:noFill/>
                </a:ln>
                <a:solidFill>
                  <a:srgbClr val="002060"/>
                </a:solidFill>
              </a:rPr>
              <a:t>Total Revenue &amp; Profit</a:t>
            </a:r>
            <a:r>
              <a:rPr lang="en-IN" sz="1800" b="1" baseline="0">
                <a:ln w="0">
                  <a:noFill/>
                </a:ln>
                <a:solidFill>
                  <a:srgbClr val="002060"/>
                </a:solidFill>
              </a:rPr>
              <a:t> By Region</a:t>
            </a:r>
          </a:p>
        </c:rich>
      </c:tx>
      <c:overlay val="0"/>
      <c:spPr>
        <a:noFill/>
        <a:ln>
          <a:noFill/>
        </a:ln>
        <a:effectLst/>
      </c:spPr>
      <c:txPr>
        <a:bodyPr rot="0" spcFirstLastPara="1" vertOverflow="ellipsis" vert="horz" wrap="square" anchor="ctr" anchorCtr="1"/>
        <a:lstStyle/>
        <a:p>
          <a:pPr>
            <a:defRPr sz="1800" b="1" i="0" u="none" strike="noStrike" kern="1200" spc="0" baseline="0">
              <a:ln w="0">
                <a:noFill/>
              </a:ln>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Sum of Total Revenue</c:v>
                </c:pt>
              </c:strCache>
            </c:strRef>
          </c:tx>
          <c:spPr>
            <a:solidFill>
              <a:schemeClr val="accent1">
                <a:shade val="76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solidFill>
                        <a:schemeClr val="accent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Tables'!$D$4:$D$5</c:f>
              <c:strCache>
                <c:ptCount val="1"/>
                <c:pt idx="0">
                  <c:v>Europe</c:v>
                </c:pt>
              </c:strCache>
            </c:strRef>
          </c:cat>
          <c:val>
            <c:numRef>
              <c:f>'Pivot Tables'!$E$4:$E$5</c:f>
              <c:numCache>
                <c:formatCode>General</c:formatCode>
                <c:ptCount val="1"/>
                <c:pt idx="0">
                  <c:v>1703622398.1099987</c:v>
                </c:pt>
              </c:numCache>
            </c:numRef>
          </c:val>
          <c:extLst>
            <c:ext xmlns:c16="http://schemas.microsoft.com/office/drawing/2014/chart" uri="{C3380CC4-5D6E-409C-BE32-E72D297353CC}">
              <c16:uniqueId val="{00000000-55D9-4A8E-8202-E8D406F0E5D3}"/>
            </c:ext>
          </c:extLst>
        </c:ser>
        <c:ser>
          <c:idx val="1"/>
          <c:order val="1"/>
          <c:tx>
            <c:strRef>
              <c:f>'Pivot Tables'!$F$3</c:f>
              <c:strCache>
                <c:ptCount val="1"/>
                <c:pt idx="0">
                  <c:v>Sum of Total Profit</c:v>
                </c:pt>
              </c:strCache>
            </c:strRef>
          </c:tx>
          <c:spPr>
            <a:solidFill>
              <a:schemeClr val="accent1">
                <a:tint val="77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Tables'!$D$4:$D$5</c:f>
              <c:strCache>
                <c:ptCount val="1"/>
                <c:pt idx="0">
                  <c:v>Europe</c:v>
                </c:pt>
              </c:strCache>
            </c:strRef>
          </c:cat>
          <c:val>
            <c:numRef>
              <c:f>'Pivot Tables'!$F$4:$F$5</c:f>
              <c:numCache>
                <c:formatCode>0</c:formatCode>
                <c:ptCount val="1"/>
                <c:pt idx="0">
                  <c:v>501676048.32000005</c:v>
                </c:pt>
              </c:numCache>
            </c:numRef>
          </c:val>
          <c:extLst>
            <c:ext xmlns:c16="http://schemas.microsoft.com/office/drawing/2014/chart" uri="{C3380CC4-5D6E-409C-BE32-E72D297353CC}">
              <c16:uniqueId val="{00000001-55D9-4A8E-8202-E8D406F0E5D3}"/>
            </c:ext>
          </c:extLst>
        </c:ser>
        <c:dLbls>
          <c:dLblPos val="outEnd"/>
          <c:showLegendKey val="0"/>
          <c:showVal val="1"/>
          <c:showCatName val="0"/>
          <c:showSerName val="0"/>
          <c:showPercent val="0"/>
          <c:showBubbleSize val="0"/>
        </c:dLbls>
        <c:gapWidth val="219"/>
        <c:overlap val="-27"/>
        <c:axId val="818746207"/>
        <c:axId val="818746687"/>
      </c:barChart>
      <c:catAx>
        <c:axId val="81874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18746687"/>
        <c:crosses val="autoZero"/>
        <c:auto val="1"/>
        <c:lblAlgn val="ctr"/>
        <c:lblOffset val="100"/>
        <c:noMultiLvlLbl val="0"/>
      </c:catAx>
      <c:valAx>
        <c:axId val="818746687"/>
        <c:scaling>
          <c:orientation val="minMax"/>
        </c:scaling>
        <c:delete val="1"/>
        <c:axPos val="l"/>
        <c:numFmt formatCode="General" sourceLinked="1"/>
        <c:majorTickMark val="out"/>
        <c:minorTickMark val="none"/>
        <c:tickLblPos val="nextTo"/>
        <c:crossAx val="818746207"/>
        <c:crosses val="autoZero"/>
        <c:crossBetween val="between"/>
      </c:valAx>
      <c:spPr>
        <a:noFill/>
        <a:ln>
          <a:noFill/>
        </a:ln>
        <a:effectLst/>
      </c:spPr>
    </c:plotArea>
    <c:legend>
      <c:legendPos val="r"/>
      <c:layout>
        <c:manualLayout>
          <c:xMode val="edge"/>
          <c:yMode val="edge"/>
          <c:x val="0.52229583274571401"/>
          <c:y val="0.2204893012244013"/>
          <c:w val="0.33185508147659798"/>
          <c:h val="0.2266347320644207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[Europe_Sales_Dashboard.xlsx]Pivot Tables!PivotTable2</c:name>
    <c:fmtId val="3"/>
  </c:pivotSource>
  <c:chart>
    <c:title>
      <c:tx>
        <c:rich>
          <a:bodyPr rot="0" spcFirstLastPara="1" vertOverflow="ellipsis" vert="horz" wrap="square" anchor="ctr" anchorCtr="1"/>
          <a:lstStyle/>
          <a:p>
            <a:pPr>
              <a:defRPr sz="1800" b="0" i="0" u="none" strike="noStrike" kern="1200" spc="0" baseline="0">
                <a:ln>
                  <a:solidFill>
                    <a:srgbClr val="002060"/>
                  </a:solidFill>
                </a:ln>
                <a:solidFill>
                  <a:schemeClr val="tx1">
                    <a:lumMod val="65000"/>
                    <a:lumOff val="35000"/>
                  </a:schemeClr>
                </a:solidFill>
                <a:latin typeface="+mn-lt"/>
                <a:ea typeface="+mn-ea"/>
                <a:cs typeface="+mn-cs"/>
              </a:defRPr>
            </a:pPr>
            <a:r>
              <a:rPr lang="en-IN" sz="1800">
                <a:ln>
                  <a:solidFill>
                    <a:srgbClr val="002060"/>
                  </a:solidFill>
                </a:ln>
              </a:rPr>
              <a:t>Total Profit</a:t>
            </a:r>
            <a:r>
              <a:rPr lang="en-IN" sz="1800" baseline="0">
                <a:ln>
                  <a:solidFill>
                    <a:srgbClr val="002060"/>
                  </a:solidFill>
                </a:ln>
              </a:rPr>
              <a:t> By Items</a:t>
            </a:r>
            <a:endParaRPr lang="en-IN" sz="1800">
              <a:ln>
                <a:solidFill>
                  <a:srgbClr val="002060"/>
                </a:solidFill>
              </a:ln>
            </a:endParaRPr>
          </a:p>
        </c:rich>
      </c:tx>
      <c:overlay val="0"/>
      <c:spPr>
        <a:noFill/>
        <a:ln>
          <a:noFill/>
        </a:ln>
        <a:effectLst/>
      </c:spPr>
      <c:txPr>
        <a:bodyPr rot="0" spcFirstLastPara="1" vertOverflow="ellipsis" vert="horz" wrap="square" anchor="ctr" anchorCtr="1"/>
        <a:lstStyle/>
        <a:p>
          <a:pPr>
            <a:defRPr sz="1800" b="0" i="0" u="none" strike="noStrike" kern="1200" spc="0" baseline="0">
              <a:ln>
                <a:solidFill>
                  <a:srgbClr val="002060"/>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dLbl>
          <c:idx val="0"/>
          <c:layout>
            <c:manualLayout>
              <c:x val="-2.7777777777777779E-3"/>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Tables'!$E$9</c:f>
              <c:strCache>
                <c:ptCount val="1"/>
                <c:pt idx="0">
                  <c:v>Sum of Total Profit</c:v>
                </c:pt>
              </c:strCache>
            </c:strRef>
          </c:tx>
          <c:spPr>
            <a:solidFill>
              <a:schemeClr val="accent1"/>
            </a:solidFill>
            <a:ln>
              <a:noFill/>
            </a:ln>
            <a:effectLst/>
          </c:spPr>
          <c:invertIfNegative val="0"/>
          <c:dLbls>
            <c:dLbl>
              <c:idx val="2"/>
              <c:layout>
                <c:manualLayout>
                  <c:x val="-2.777777777777777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CE-4A41-AA33-E501C0B97D28}"/>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Tables'!$D$10:$D$22</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Tables'!$E$10:$E$22</c:f>
              <c:numCache>
                <c:formatCode>General</c:formatCode>
                <c:ptCount val="12"/>
                <c:pt idx="0">
                  <c:v>53940997.160000011</c:v>
                </c:pt>
                <c:pt idx="1">
                  <c:v>9601662.7799999993</c:v>
                </c:pt>
                <c:pt idx="2">
                  <c:v>41255034.150000013</c:v>
                </c:pt>
                <c:pt idx="3">
                  <c:v>43431314.400000013</c:v>
                </c:pt>
                <c:pt idx="4">
                  <c:v>92723306.170000046</c:v>
                </c:pt>
                <c:pt idx="5">
                  <c:v>1425929.52</c:v>
                </c:pt>
                <c:pt idx="6">
                  <c:v>72962466.769999996</c:v>
                </c:pt>
                <c:pt idx="7">
                  <c:v>30509107.200000007</c:v>
                </c:pt>
                <c:pt idx="8">
                  <c:v>77977176.25</c:v>
                </c:pt>
                <c:pt idx="9">
                  <c:v>14045628.800000008</c:v>
                </c:pt>
                <c:pt idx="10">
                  <c:v>27027422.399999995</c:v>
                </c:pt>
                <c:pt idx="11">
                  <c:v>36776002.719999991</c:v>
                </c:pt>
              </c:numCache>
            </c:numRef>
          </c:val>
          <c:extLst>
            <c:ext xmlns:c16="http://schemas.microsoft.com/office/drawing/2014/chart" uri="{C3380CC4-5D6E-409C-BE32-E72D297353CC}">
              <c16:uniqueId val="{00000000-1ECE-4A41-AA33-E501C0B97D28}"/>
            </c:ext>
          </c:extLst>
        </c:ser>
        <c:ser>
          <c:idx val="1"/>
          <c:order val="1"/>
          <c:tx>
            <c:strRef>
              <c:f>'Pivot Tables'!$F$9</c:f>
              <c:strCache>
                <c:ptCount val="1"/>
                <c:pt idx="0">
                  <c:v>Average of Profit Margin %</c:v>
                </c:pt>
              </c:strCache>
            </c:strRef>
          </c:tx>
          <c:spPr>
            <a:solidFill>
              <a:schemeClr val="accent2"/>
            </a:solidFill>
            <a:ln>
              <a:noFill/>
            </a:ln>
            <a:effectLst/>
          </c:spPr>
          <c:invertIfNegative val="0"/>
          <c:dLbls>
            <c:delete val="1"/>
          </c:dLbls>
          <c:cat>
            <c:strRef>
              <c:f>'Pivot Tables'!$D$10:$D$22</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Tables'!$F$10:$F$22</c:f>
              <c:numCache>
                <c:formatCode>0%</c:formatCode>
                <c:ptCount val="12"/>
                <c:pt idx="0">
                  <c:v>0.37550924475086139</c:v>
                </c:pt>
                <c:pt idx="1">
                  <c:v>0.33003161222339356</c:v>
                </c:pt>
                <c:pt idx="2">
                  <c:v>0.43067574137092834</c:v>
                </c:pt>
                <c:pt idx="3">
                  <c:v>0.67203513909223955</c:v>
                </c:pt>
                <c:pt idx="4">
                  <c:v>0.39768984446477634</c:v>
                </c:pt>
                <c:pt idx="5">
                  <c:v>0.25830653804930376</c:v>
                </c:pt>
                <c:pt idx="6">
                  <c:v>0.24799856345489132</c:v>
                </c:pt>
                <c:pt idx="7">
                  <c:v>0.13558036455000139</c:v>
                </c:pt>
                <c:pt idx="8">
                  <c:v>0.19386987300563541</c:v>
                </c:pt>
                <c:pt idx="9">
                  <c:v>0.30661935641747168</c:v>
                </c:pt>
                <c:pt idx="10">
                  <c:v>0.36138419189933224</c:v>
                </c:pt>
                <c:pt idx="11">
                  <c:v>0.40977541217707431</c:v>
                </c:pt>
              </c:numCache>
            </c:numRef>
          </c:val>
          <c:extLst>
            <c:ext xmlns:c16="http://schemas.microsoft.com/office/drawing/2014/chart" uri="{C3380CC4-5D6E-409C-BE32-E72D297353CC}">
              <c16:uniqueId val="{00000001-1ECE-4A41-AA33-E501C0B97D28}"/>
            </c:ext>
          </c:extLst>
        </c:ser>
        <c:dLbls>
          <c:dLblPos val="outEnd"/>
          <c:showLegendKey val="0"/>
          <c:showVal val="1"/>
          <c:showCatName val="0"/>
          <c:showSerName val="0"/>
          <c:showPercent val="0"/>
          <c:showBubbleSize val="0"/>
        </c:dLbls>
        <c:gapWidth val="219"/>
        <c:overlap val="-27"/>
        <c:axId val="2143068751"/>
        <c:axId val="2143071151"/>
      </c:barChart>
      <c:catAx>
        <c:axId val="214306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143071151"/>
        <c:crosses val="autoZero"/>
        <c:auto val="1"/>
        <c:lblAlgn val="ctr"/>
        <c:lblOffset val="100"/>
        <c:noMultiLvlLbl val="0"/>
      </c:catAx>
      <c:valAx>
        <c:axId val="2143071151"/>
        <c:scaling>
          <c:orientation val="minMax"/>
        </c:scaling>
        <c:delete val="1"/>
        <c:axPos val="l"/>
        <c:numFmt formatCode="General" sourceLinked="1"/>
        <c:majorTickMark val="out"/>
        <c:minorTickMark val="none"/>
        <c:tickLblPos val="nextTo"/>
        <c:crossAx val="214306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[Europe_Sales_Dashboard.xlsx]Pivot Tables!PivotTable16</c:name>
    <c:fmtId val="3"/>
  </c:pivotSource>
  <c:chart>
    <c:title>
      <c:tx>
        <c:rich>
          <a:bodyPr rot="0" spcFirstLastPara="1" vertOverflow="ellipsis" vert="horz" wrap="square" anchor="ctr" anchorCtr="1"/>
          <a:lstStyle/>
          <a:p>
            <a:pPr>
              <a:defRPr sz="1800" b="0" i="0" u="none" strike="noStrike" kern="1200" spc="0" baseline="0">
                <a:ln>
                  <a:solidFill>
                    <a:srgbClr val="002060"/>
                  </a:solidFill>
                </a:ln>
                <a:solidFill>
                  <a:schemeClr val="tx1">
                    <a:lumMod val="65000"/>
                    <a:lumOff val="35000"/>
                  </a:schemeClr>
                </a:solidFill>
                <a:latin typeface="+mn-lt"/>
                <a:ea typeface="+mn-ea"/>
                <a:cs typeface="+mn-cs"/>
              </a:defRPr>
            </a:pPr>
            <a:r>
              <a:rPr lang="en-US" sz="1800">
                <a:ln>
                  <a:solidFill>
                    <a:srgbClr val="002060"/>
                  </a:solidFill>
                </a:ln>
              </a:rPr>
              <a:t>Year-wise Sales Trend</a:t>
            </a:r>
          </a:p>
        </c:rich>
      </c:tx>
      <c:layout>
        <c:manualLayout>
          <c:xMode val="edge"/>
          <c:yMode val="edge"/>
          <c:x val="0.68538018333987771"/>
          <c:y val="5.3851008721709372E-2"/>
        </c:manualLayout>
      </c:layout>
      <c:overlay val="0"/>
      <c:spPr>
        <a:noFill/>
        <a:ln>
          <a:noFill/>
        </a:ln>
        <a:effectLst/>
      </c:spPr>
      <c:txPr>
        <a:bodyPr rot="0" spcFirstLastPara="1" vertOverflow="ellipsis" vert="horz" wrap="square" anchor="ctr" anchorCtr="1"/>
        <a:lstStyle/>
        <a:p>
          <a:pPr>
            <a:defRPr sz="1800" b="0" i="0" u="none" strike="noStrike" kern="1200" spc="0" baseline="0">
              <a:ln>
                <a:solidFill>
                  <a:srgbClr val="002060"/>
                </a:solidFill>
              </a:ln>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165194558247307E-2"/>
              <c:y val="4.976451573388288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336567630083246E-2"/>
          <c:y val="0.14049266595419219"/>
          <c:w val="0.95881510739690401"/>
          <c:h val="0.68033810937658346"/>
        </c:manualLayout>
      </c:layout>
      <c:lineChart>
        <c:grouping val="standard"/>
        <c:varyColors val="0"/>
        <c:ser>
          <c:idx val="0"/>
          <c:order val="0"/>
          <c:tx>
            <c:strRef>
              <c:f>'Pivot Tables'!$J$21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5.1165194558247307E-2"/>
                  <c:y val="4.97645157338828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C2-494E-B8FD-23AF1B038172}"/>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Tables'!$I$22:$I$30</c:f>
              <c:strCache>
                <c:ptCount val="8"/>
                <c:pt idx="0">
                  <c:v>2010</c:v>
                </c:pt>
                <c:pt idx="1">
                  <c:v>2011</c:v>
                </c:pt>
                <c:pt idx="2">
                  <c:v>2012</c:v>
                </c:pt>
                <c:pt idx="3">
                  <c:v>2013</c:v>
                </c:pt>
                <c:pt idx="4">
                  <c:v>2014</c:v>
                </c:pt>
                <c:pt idx="5">
                  <c:v>2015</c:v>
                </c:pt>
                <c:pt idx="6">
                  <c:v>2016</c:v>
                </c:pt>
                <c:pt idx="7">
                  <c:v>2017</c:v>
                </c:pt>
              </c:strCache>
            </c:strRef>
          </c:cat>
          <c:val>
            <c:numRef>
              <c:f>'Pivot Tables'!$J$22:$J$30</c:f>
              <c:numCache>
                <c:formatCode>General</c:formatCode>
                <c:ptCount val="8"/>
                <c:pt idx="0">
                  <c:v>209382247.40000001</c:v>
                </c:pt>
                <c:pt idx="1">
                  <c:v>231937556.67000002</c:v>
                </c:pt>
                <c:pt idx="2">
                  <c:v>285485891.75999993</c:v>
                </c:pt>
                <c:pt idx="3">
                  <c:v>182962359.28000012</c:v>
                </c:pt>
                <c:pt idx="4">
                  <c:v>237778813.23000002</c:v>
                </c:pt>
                <c:pt idx="5">
                  <c:v>227954098.84000003</c:v>
                </c:pt>
                <c:pt idx="6">
                  <c:v>191520956.77000004</c:v>
                </c:pt>
                <c:pt idx="7">
                  <c:v>136600474.15999997</c:v>
                </c:pt>
              </c:numCache>
            </c:numRef>
          </c:val>
          <c:smooth val="0"/>
          <c:extLst>
            <c:ext xmlns:c16="http://schemas.microsoft.com/office/drawing/2014/chart" uri="{C3380CC4-5D6E-409C-BE32-E72D297353CC}">
              <c16:uniqueId val="{00000000-32C2-494E-B8FD-23AF1B038172}"/>
            </c:ext>
          </c:extLst>
        </c:ser>
        <c:dLbls>
          <c:dLblPos val="t"/>
          <c:showLegendKey val="0"/>
          <c:showVal val="1"/>
          <c:showCatName val="0"/>
          <c:showSerName val="0"/>
          <c:showPercent val="0"/>
          <c:showBubbleSize val="0"/>
        </c:dLbls>
        <c:marker val="1"/>
        <c:smooth val="0"/>
        <c:axId val="1178798559"/>
        <c:axId val="1178799519"/>
      </c:lineChart>
      <c:catAx>
        <c:axId val="117879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178799519"/>
        <c:crosses val="autoZero"/>
        <c:auto val="1"/>
        <c:lblAlgn val="ctr"/>
        <c:lblOffset val="100"/>
        <c:noMultiLvlLbl val="0"/>
      </c:catAx>
      <c:valAx>
        <c:axId val="1178799519"/>
        <c:scaling>
          <c:orientation val="minMax"/>
        </c:scaling>
        <c:delete val="1"/>
        <c:axPos val="l"/>
        <c:numFmt formatCode="0.0,,&quot;M&quot;" sourceLinked="0"/>
        <c:majorTickMark val="none"/>
        <c:minorTickMark val="none"/>
        <c:tickLblPos val="nextTo"/>
        <c:crossAx val="117879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[Europe_Sales_Dashboard.xlsx]Pivot Tables!PivotTable3</c:name>
    <c:fmtId val="3"/>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b="1"/>
              <a:t>Sales</a:t>
            </a:r>
            <a:r>
              <a:rPr lang="en-US" sz="1600" b="1" baseline="0"/>
              <a:t> Distribution by channel</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s>
    <c:plotArea>
      <c:layout/>
      <c:pieChart>
        <c:varyColors val="1"/>
        <c:ser>
          <c:idx val="0"/>
          <c:order val="0"/>
          <c:tx>
            <c:strRef>
              <c:f>'Pivot Tables'!$J$3</c:f>
              <c:strCache>
                <c:ptCount val="1"/>
                <c:pt idx="0">
                  <c:v>Sum of Total Revenue</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144-4CE3-B647-D746DBF35DD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144-4CE3-B647-D746DBF35D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Tables'!$I$4:$I$6</c:f>
              <c:strCache>
                <c:ptCount val="2"/>
                <c:pt idx="0">
                  <c:v>Offline</c:v>
                </c:pt>
                <c:pt idx="1">
                  <c:v>Online</c:v>
                </c:pt>
              </c:strCache>
            </c:strRef>
          </c:cat>
          <c:val>
            <c:numRef>
              <c:f>'Pivot Tables'!$J$4:$J$6</c:f>
              <c:numCache>
                <c:formatCode>General</c:formatCode>
                <c:ptCount val="2"/>
                <c:pt idx="0">
                  <c:v>873253613.78000045</c:v>
                </c:pt>
                <c:pt idx="1">
                  <c:v>830368784.32999909</c:v>
                </c:pt>
              </c:numCache>
            </c:numRef>
          </c:val>
          <c:extLst>
            <c:ext xmlns:c16="http://schemas.microsoft.com/office/drawing/2014/chart" uri="{C3380CC4-5D6E-409C-BE32-E72D297353CC}">
              <c16:uniqueId val="{00000004-1144-4CE3-B647-D746DBF35DD7}"/>
            </c:ext>
          </c:extLst>
        </c:ser>
        <c:ser>
          <c:idx val="1"/>
          <c:order val="1"/>
          <c:tx>
            <c:strRef>
              <c:f>'Pivot Tables'!$K$3</c:f>
              <c:strCache>
                <c:ptCount val="1"/>
                <c:pt idx="0">
                  <c:v>Sum of Total Profit</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6-1144-4CE3-B647-D746DBF35DD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8-1144-4CE3-B647-D746DBF35D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Tables'!$I$4:$I$6</c:f>
              <c:strCache>
                <c:ptCount val="2"/>
                <c:pt idx="0">
                  <c:v>Offline</c:v>
                </c:pt>
                <c:pt idx="1">
                  <c:v>Online</c:v>
                </c:pt>
              </c:strCache>
            </c:strRef>
          </c:cat>
          <c:val>
            <c:numRef>
              <c:f>'Pivot Tables'!$K$4:$K$6</c:f>
              <c:numCache>
                <c:formatCode>General</c:formatCode>
                <c:ptCount val="2"/>
                <c:pt idx="0">
                  <c:v>253708108.12999991</c:v>
                </c:pt>
                <c:pt idx="1">
                  <c:v>247967940.18999988</c:v>
                </c:pt>
              </c:numCache>
            </c:numRef>
          </c:val>
          <c:extLst>
            <c:ext xmlns:c16="http://schemas.microsoft.com/office/drawing/2014/chart" uri="{C3380CC4-5D6E-409C-BE32-E72D297353CC}">
              <c16:uniqueId val="{00000009-1144-4CE3-B647-D746DBF35DD7}"/>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238909</xdr:colOff>
      <xdr:row>27</xdr:row>
      <xdr:rowOff>163158</xdr:rowOff>
    </xdr:from>
    <xdr:to>
      <xdr:col>14</xdr:col>
      <xdr:colOff>89647</xdr:colOff>
      <xdr:row>46</xdr:row>
      <xdr:rowOff>22411</xdr:rowOff>
    </xdr:to>
    <xdr:graphicFrame macro="">
      <xdr:nvGraphicFramePr>
        <xdr:cNvPr id="2" name="Chart 1">
          <a:extLst>
            <a:ext uri="{FF2B5EF4-FFF2-40B4-BE49-F238E27FC236}">
              <a16:creationId xmlns:a16="http://schemas.microsoft.com/office/drawing/2014/main" id="{CBA8BE3A-67E0-4DE2-8E71-57927A039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196753</xdr:colOff>
      <xdr:row>4</xdr:row>
      <xdr:rowOff>139468</xdr:rowOff>
    </xdr:from>
    <xdr:to>
      <xdr:col>19</xdr:col>
      <xdr:colOff>358588</xdr:colOff>
      <xdr:row>26</xdr:row>
      <xdr:rowOff>168088</xdr:rowOff>
    </xdr:to>
    <xdr:graphicFrame macro="">
      <xdr:nvGraphicFramePr>
        <xdr:cNvPr id="3" name="Chart 2">
          <a:extLst>
            <a:ext uri="{FF2B5EF4-FFF2-40B4-BE49-F238E27FC236}">
              <a16:creationId xmlns:a16="http://schemas.microsoft.com/office/drawing/2014/main" id="{0062E15B-F4F4-4CBD-8EBA-CA948BD56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414617</xdr:colOff>
      <xdr:row>27</xdr:row>
      <xdr:rowOff>168087</xdr:rowOff>
    </xdr:from>
    <xdr:to>
      <xdr:col>27</xdr:col>
      <xdr:colOff>318247</xdr:colOff>
      <xdr:row>46</xdr:row>
      <xdr:rowOff>11206</xdr:rowOff>
    </xdr:to>
    <xdr:graphicFrame macro="">
      <xdr:nvGraphicFramePr>
        <xdr:cNvPr id="4" name="Chart 3">
          <a:extLst>
            <a:ext uri="{FF2B5EF4-FFF2-40B4-BE49-F238E27FC236}">
              <a16:creationId xmlns:a16="http://schemas.microsoft.com/office/drawing/2014/main" id="{85CA093D-3E46-4861-9BC4-343647406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593912</xdr:colOff>
      <xdr:row>4</xdr:row>
      <xdr:rowOff>123265</xdr:rowOff>
    </xdr:from>
    <xdr:to>
      <xdr:col>27</xdr:col>
      <xdr:colOff>324971</xdr:colOff>
      <xdr:row>26</xdr:row>
      <xdr:rowOff>168088</xdr:rowOff>
    </xdr:to>
    <xdr:graphicFrame macro="">
      <xdr:nvGraphicFramePr>
        <xdr:cNvPr id="5" name="Chart 4">
          <a:extLst>
            <a:ext uri="{FF2B5EF4-FFF2-40B4-BE49-F238E27FC236}">
              <a16:creationId xmlns:a16="http://schemas.microsoft.com/office/drawing/2014/main" id="{432F4E49-3BB8-4AFF-B141-0887A3DB3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602428</xdr:colOff>
      <xdr:row>10</xdr:row>
      <xdr:rowOff>137161</xdr:rowOff>
    </xdr:from>
    <xdr:to>
      <xdr:col>3</xdr:col>
      <xdr:colOff>602428</xdr:colOff>
      <xdr:row>31</xdr:row>
      <xdr:rowOff>78441</xdr:rowOff>
    </xdr:to>
    <mc:AlternateContent xmlns:mc="http://schemas.openxmlformats.org/markup-compatibility/2006">
      <mc:Choice xmlns:a14="http://schemas.microsoft.com/office/drawing/2010/main" Requires="a14">
        <xdr:graphicFrame macro="">
          <xdr:nvGraphicFramePr>
            <xdr:cNvPr id="7" name="Item Type">
              <a:extLst>
                <a:ext uri="{FF2B5EF4-FFF2-40B4-BE49-F238E27FC236}">
                  <a16:creationId xmlns:a16="http://schemas.microsoft.com/office/drawing/2014/main" id="{14048669-BC09-3AA0-9849-2ED34A4B92B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02428" y="1930102"/>
              <a:ext cx="1815353" cy="3706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327212</xdr:colOff>
      <xdr:row>4</xdr:row>
      <xdr:rowOff>146573</xdr:rowOff>
    </xdr:from>
    <xdr:to>
      <xdr:col>4</xdr:col>
      <xdr:colOff>437030</xdr:colOff>
      <xdr:row>10</xdr:row>
      <xdr:rowOff>22411</xdr:rowOff>
    </xdr:to>
    <mc:AlternateContent xmlns:mc="http://schemas.openxmlformats.org/markup-compatibility/2006">
      <mc:Choice xmlns:a14="http://schemas.microsoft.com/office/drawing/2010/main" Requires="a14">
        <xdr:graphicFrame macro="">
          <xdr:nvGraphicFramePr>
            <xdr:cNvPr id="8" name="Sales Channel">
              <a:extLst>
                <a:ext uri="{FF2B5EF4-FFF2-40B4-BE49-F238E27FC236}">
                  <a16:creationId xmlns:a16="http://schemas.microsoft.com/office/drawing/2014/main" id="{B42F9F9D-4D6E-A0B6-F316-F651F244F261}"/>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327212" y="863749"/>
              <a:ext cx="2530289" cy="951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583155</xdr:colOff>
      <xdr:row>32</xdr:row>
      <xdr:rowOff>77544</xdr:rowOff>
    </xdr:from>
    <xdr:to>
      <xdr:col>3</xdr:col>
      <xdr:colOff>583155</xdr:colOff>
      <xdr:row>46</xdr:row>
      <xdr:rowOff>34402</xdr:rowOff>
    </xdr:to>
    <mc:AlternateContent xmlns:mc="http://schemas.openxmlformats.org/markup-compatibility/2006">
      <mc:Choice xmlns:a14="http://schemas.microsoft.com/office/drawing/2010/main" Requires="a14">
        <xdr:graphicFrame macro="">
          <xdr:nvGraphicFramePr>
            <xdr:cNvPr id="9" name="Order Year">
              <a:extLst>
                <a:ext uri="{FF2B5EF4-FFF2-40B4-BE49-F238E27FC236}">
                  <a16:creationId xmlns:a16="http://schemas.microsoft.com/office/drawing/2014/main" id="{262F86F8-6E7D-AD3C-E31B-028ABF1D8734}"/>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583155" y="5814956"/>
              <a:ext cx="1815353"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it" refreshedDate="46062.964119212964" createdVersion="8" refreshedVersion="8" minRefreshableVersion="3" recordCount="1330" xr:uid="{F2B46604-1FAF-4A6E-9A0D-8996DC7EFA01}">
  <cacheSource type="worksheet">
    <worksheetSource ref="A1:AA1331" sheet="cleaned_data"/>
  </cacheSource>
  <cacheFields count="27">
    <cacheField name="Region" numFmtId="0">
      <sharedItems count="1">
        <s v="Europe"/>
      </sharedItems>
    </cacheField>
    <cacheField name="Country" numFmtId="0">
      <sharedItems/>
    </cacheField>
    <cacheField name="Item Type" numFmtId="0">
      <sharedItems count="12">
        <s v="Beverages"/>
        <s v="Clothes"/>
        <s v="Cereal"/>
        <s v="Office Supplies"/>
        <s v="Fruits"/>
        <s v="Vegetables"/>
        <s v="Meat"/>
        <s v="Snacks"/>
        <s v="Baby Food"/>
        <s v="Household"/>
        <s v="Cosmetics"/>
        <s v="Personal Care"/>
      </sharedItems>
    </cacheField>
    <cacheField name="Sales Channel" numFmtId="0">
      <sharedItems count="2">
        <s v="Offline"/>
        <s v="Online"/>
      </sharedItems>
    </cacheField>
    <cacheField name="Order Priority" numFmtId="0">
      <sharedItems count="4">
        <s v="C"/>
        <s v="M"/>
        <s v="L"/>
        <s v="H"/>
      </sharedItems>
    </cacheField>
    <cacheField name="Order Date" numFmtId="0">
      <sharedItems/>
    </cacheField>
    <cacheField name="Order Date Fixed" numFmtId="14">
      <sharedItems containsSemiMixedTypes="0" containsNonDate="0" containsDate="1" containsString="0" minDate="2010-01-01T00:00:00" maxDate="2017-07-24T00:00:00"/>
    </cacheField>
    <cacheField name="Order Day" numFmtId="0">
      <sharedItems containsSemiMixedTypes="0" containsString="0" containsNumber="1" containsInteger="1" minValue="1" maxValue="31"/>
    </cacheField>
    <cacheField name="Order Month" numFmtId="0">
      <sharedItems/>
    </cacheField>
    <cacheField name="Order Year" numFmtId="0">
      <sharedItems containsSemiMixedTypes="0" containsString="0" containsNumber="1" containsInteger="1" minValue="2010" maxValue="2017" count="8">
        <n v="2011"/>
        <n v="2013"/>
        <n v="2014"/>
        <n v="2010"/>
        <n v="2016"/>
        <n v="2012"/>
        <n v="2015"/>
        <n v="2017"/>
      </sharedItems>
    </cacheField>
    <cacheField name="Order Month-Year" numFmtId="0">
      <sharedItems/>
    </cacheField>
    <cacheField name="Order ID" numFmtId="0">
      <sharedItems containsSemiMixedTypes="0" containsString="0" containsNumber="1" containsInteger="1" minValue="100640618" maxValue="999879729"/>
    </cacheField>
    <cacheField name="Ship Date Fixed" numFmtId="14">
      <sharedItems containsSemiMixedTypes="0" containsNonDate="0" containsDate="1" containsString="0" minDate="2010-01-10T00:00:00" maxDate="2017-09-01T00:00:00"/>
    </cacheField>
    <cacheField name="Ship Day" numFmtId="0">
      <sharedItems containsSemiMixedTypes="0" containsString="0" containsNumber="1" containsInteger="1" minValue="1" maxValue="31"/>
    </cacheField>
    <cacheField name="Ship Month" numFmtId="0">
      <sharedItems/>
    </cacheField>
    <cacheField name="Ship Year" numFmtId="0">
      <sharedItems containsSemiMixedTypes="0" containsString="0" containsNumber="1" containsInteger="1" minValue="2010" maxValue="2017"/>
    </cacheField>
    <cacheField name="Ship Month-Year" numFmtId="0">
      <sharedItems/>
    </cacheField>
    <cacheField name="Ship Date" numFmtId="0">
      <sharedItems/>
    </cacheField>
    <cacheField name="Shipping Days" numFmtId="1">
      <sharedItems containsSemiMixedTypes="0" containsString="0" containsNumber="1" containsInteger="1" minValue="0" maxValue="50"/>
    </cacheField>
    <cacheField name="Units Sold" numFmtId="0">
      <sharedItems containsSemiMixedTypes="0" containsString="0" containsNumber="1" containsInteger="1" minValue="2" maxValue="9999"/>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Revenue Per Unit" numFmtId="0">
      <sharedItems containsSemiMixedTypes="0" containsString="0" containsNumber="1" minValue="9.3299999999999983" maxValue="668.2700000000001"/>
    </cacheField>
    <cacheField name="Total Revenue" numFmtId="0">
      <sharedItems containsSemiMixedTypes="0" containsString="0" containsNumber="1" minValue="503.82" maxValue="6672675.9500000002"/>
    </cacheField>
    <cacheField name="Total Cost" numFmtId="0">
      <sharedItems containsSemiMixedTypes="0" containsString="0" containsNumber="1" minValue="373.68" maxValue="5248025.12"/>
    </cacheField>
    <cacheField name="Profit Margin %" numFmtId="9">
      <sharedItems containsSemiMixedTypes="0" containsString="0" containsNumber="1" minValue="0.13558036455000116" maxValue="0.67203513909224022"/>
    </cacheField>
    <cacheField name="Total Profit" numFmtId="0">
      <sharedItems containsSemiMixedTypes="0" containsString="0" containsNumber="1" minValue="130.13999999999999" maxValue="1700448.6"/>
    </cacheField>
  </cacheFields>
  <extLst>
    <ext xmlns:x14="http://schemas.microsoft.com/office/spreadsheetml/2009/9/main" uri="{725AE2AE-9491-48be-B2B4-4EB974FC3084}">
      <x14:pivotCacheDefinition pivotCacheId="1987973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0">
  <r>
    <x v="0"/>
    <s v="Czech Republic"/>
    <x v="0"/>
    <x v="0"/>
    <x v="0"/>
    <s v="9/12/2011"/>
    <d v="2011-09-12T00:00:00"/>
    <n v="12"/>
    <s v="Sep"/>
    <x v="0"/>
    <s v="Sep-2011"/>
    <n v="478051030"/>
    <d v="2011-09-29T00:00:00"/>
    <n v="29"/>
    <s v="Sep"/>
    <n v="2011"/>
    <s v="Sep-2011"/>
    <s v="9/29/2011"/>
    <n v="17"/>
    <n v="4778"/>
    <n v="47.45"/>
    <n v="31.79"/>
    <n v="47.45"/>
    <n v="226716.1"/>
    <n v="151892.62"/>
    <n v="0.330031612223393"/>
    <n v="74823.48"/>
  </r>
  <r>
    <x v="0"/>
    <s v="Bosnia and Herzegovina"/>
    <x v="1"/>
    <x v="1"/>
    <x v="1"/>
    <s v="10/14/2013"/>
    <d v="2013-10-14T00:00:00"/>
    <n v="14"/>
    <s v="Oct"/>
    <x v="1"/>
    <s v="Oct-2013"/>
    <n v="919133651"/>
    <d v="2013-11-04T00:00:00"/>
    <n v="4"/>
    <s v="Nov"/>
    <n v="2013"/>
    <s v="Nov-2013"/>
    <s v="11/4/2013"/>
    <n v="21"/>
    <n v="927"/>
    <n v="109.28"/>
    <n v="35.840000000000003"/>
    <n v="109.28"/>
    <n v="101302.56"/>
    <n v="33223.68"/>
    <n v="0.67203513909224022"/>
    <n v="68078.880000000005"/>
  </r>
  <r>
    <x v="0"/>
    <s v="Austria"/>
    <x v="2"/>
    <x v="0"/>
    <x v="0"/>
    <s v="8/13/2014"/>
    <d v="2014-08-13T00:00:00"/>
    <n v="13"/>
    <s v="Aug"/>
    <x v="2"/>
    <s v="Aug-2014"/>
    <n v="987410676"/>
    <d v="2014-09-06T00:00:00"/>
    <n v="6"/>
    <s v="Sep"/>
    <n v="2014"/>
    <s v="Sep-2014"/>
    <s v="9/6/2014"/>
    <n v="24"/>
    <n v="5616"/>
    <n v="205.7"/>
    <n v="117.11"/>
    <n v="205.7"/>
    <n v="1155211.2"/>
    <n v="657689.76"/>
    <n v="0.43067574137092857"/>
    <n v="497521.44"/>
  </r>
  <r>
    <x v="0"/>
    <s v="Bulgaria"/>
    <x v="3"/>
    <x v="1"/>
    <x v="2"/>
    <s v="10/31/2010"/>
    <d v="2010-10-31T00:00:00"/>
    <n v="31"/>
    <s v="Oct"/>
    <x v="3"/>
    <s v="Oct-2010"/>
    <n v="672330081"/>
    <d v="2010-11-29T00:00:00"/>
    <n v="29"/>
    <s v="Nov"/>
    <n v="2010"/>
    <s v="Nov-2010"/>
    <s v="11/29/2010"/>
    <n v="29"/>
    <n v="6266"/>
    <n v="651.21"/>
    <n v="524.96"/>
    <n v="651.20999999999992"/>
    <n v="4080481.86"/>
    <n v="3289399.36"/>
    <n v="0.19386987300563566"/>
    <n v="791082.5"/>
  </r>
  <r>
    <x v="0"/>
    <s v="Estonia"/>
    <x v="4"/>
    <x v="1"/>
    <x v="2"/>
    <s v="9/28/2016"/>
    <d v="2016-09-28T00:00:00"/>
    <n v="28"/>
    <s v="Sep"/>
    <x v="4"/>
    <s v="Sep-2016"/>
    <n v="579463422"/>
    <d v="2016-11-01T00:00:00"/>
    <n v="1"/>
    <s v="Nov"/>
    <n v="2016"/>
    <s v="Nov-2016"/>
    <s v="11/1/2016"/>
    <n v="34"/>
    <n v="4958"/>
    <n v="9.33"/>
    <n v="6.92"/>
    <n v="9.33"/>
    <n v="46258.14"/>
    <n v="34309.360000000001"/>
    <n v="0.25830653804930331"/>
    <n v="11948.78"/>
  </r>
  <r>
    <x v="0"/>
    <s v="Montenegro"/>
    <x v="4"/>
    <x v="0"/>
    <x v="2"/>
    <s v="5/29/2016"/>
    <d v="2016-05-29T00:00:00"/>
    <n v="29"/>
    <s v="May"/>
    <x v="4"/>
    <s v="May-2016"/>
    <n v="313705861"/>
    <d v="2016-07-10T00:00:00"/>
    <n v="10"/>
    <s v="Jul"/>
    <n v="2016"/>
    <s v="Jul-2016"/>
    <s v="7/10/2016"/>
    <n v="42"/>
    <n v="1390"/>
    <n v="9.33"/>
    <n v="6.92"/>
    <n v="9.33"/>
    <n v="12968.7"/>
    <n v="9618.7999999999993"/>
    <n v="0.25830653804930331"/>
    <n v="3349.9"/>
  </r>
  <r>
    <x v="0"/>
    <s v="Czech Republic"/>
    <x v="2"/>
    <x v="1"/>
    <x v="1"/>
    <s v="7/8/2011"/>
    <d v="2011-07-08T00:00:00"/>
    <n v="8"/>
    <s v="Jul"/>
    <x v="0"/>
    <s v="Jul-2011"/>
    <n v="552037513"/>
    <d v="2011-08-05T00:00:00"/>
    <n v="5"/>
    <s v="Aug"/>
    <n v="2011"/>
    <s v="Aug-2011"/>
    <s v="8/5/2011"/>
    <n v="28"/>
    <n v="9022"/>
    <n v="205.7"/>
    <n v="117.11"/>
    <n v="205.7"/>
    <n v="1855825.4"/>
    <n v="1056566.42"/>
    <n v="0.43067574137092857"/>
    <n v="799258.98"/>
  </r>
  <r>
    <x v="0"/>
    <s v="Luxembourg"/>
    <x v="5"/>
    <x v="0"/>
    <x v="2"/>
    <s v="2/13/2010"/>
    <d v="2010-02-13T00:00:00"/>
    <n v="13"/>
    <s v="Feb"/>
    <x v="3"/>
    <s v="Feb-2010"/>
    <n v="744683635"/>
    <d v="2010-04-01T00:00:00"/>
    <n v="1"/>
    <s v="Apr"/>
    <n v="2010"/>
    <s v="Apr-2010"/>
    <s v="4/1/2010"/>
    <n v="47"/>
    <n v="7291"/>
    <n v="154.06"/>
    <n v="90.93"/>
    <n v="154.06"/>
    <n v="1123251.46"/>
    <n v="662970.63"/>
    <n v="0.40977541217707392"/>
    <n v="460280.83"/>
  </r>
  <r>
    <x v="0"/>
    <s v="Switzerland"/>
    <x v="6"/>
    <x v="1"/>
    <x v="2"/>
    <s v="3/21/2014"/>
    <d v="2014-03-21T00:00:00"/>
    <n v="21"/>
    <s v="Mar"/>
    <x v="2"/>
    <s v="Mar-2014"/>
    <n v="169378983"/>
    <d v="2014-04-10T00:00:00"/>
    <n v="10"/>
    <s v="Apr"/>
    <n v="2014"/>
    <s v="Apr-2014"/>
    <s v="4/10/2014"/>
    <n v="20"/>
    <n v="1860"/>
    <n v="421.89"/>
    <n v="364.69"/>
    <n v="421.89"/>
    <n v="784715.4"/>
    <n v="678323.4"/>
    <n v="0.13558036455000119"/>
    <n v="106392"/>
  </r>
  <r>
    <x v="0"/>
    <s v="Finland"/>
    <x v="0"/>
    <x v="1"/>
    <x v="3"/>
    <s v="3/16/2012"/>
    <d v="2012-03-16T00:00:00"/>
    <n v="16"/>
    <s v="Mar"/>
    <x v="5"/>
    <s v="Mar-2012"/>
    <n v="566428315"/>
    <d v="2012-03-23T00:00:00"/>
    <n v="23"/>
    <s v="Mar"/>
    <n v="2012"/>
    <s v="Mar-2012"/>
    <s v="3/23/2012"/>
    <n v="7"/>
    <n v="7581"/>
    <n v="47.45"/>
    <n v="31.79"/>
    <n v="47.45"/>
    <n v="359718.45"/>
    <n v="240999.99"/>
    <n v="0.33003161222339306"/>
    <n v="118718.46"/>
  </r>
  <r>
    <x v="0"/>
    <s v="Belgium"/>
    <x v="7"/>
    <x v="1"/>
    <x v="1"/>
    <s v="1/12/2015"/>
    <d v="2015-01-12T00:00:00"/>
    <n v="12"/>
    <s v="Jan"/>
    <x v="6"/>
    <s v="Jan-2015"/>
    <n v="519380223"/>
    <d v="2015-01-17T00:00:00"/>
    <n v="17"/>
    <s v="Jan"/>
    <n v="2015"/>
    <s v="Jan-2015"/>
    <s v="1/17/2015"/>
    <n v="5"/>
    <n v="5005"/>
    <n v="152.58000000000001"/>
    <n v="97.44"/>
    <n v="152.58000000000001"/>
    <n v="763662.9"/>
    <n v="487687.2"/>
    <n v="0.36138419189933152"/>
    <n v="275975.7"/>
  </r>
  <r>
    <x v="0"/>
    <s v="San Marino"/>
    <x v="3"/>
    <x v="1"/>
    <x v="3"/>
    <s v="4/13/2014"/>
    <d v="2014-04-13T00:00:00"/>
    <n v="13"/>
    <s v="Apr"/>
    <x v="2"/>
    <s v="Apr-2014"/>
    <n v="904589211"/>
    <d v="2014-05-04T00:00:00"/>
    <n v="4"/>
    <s v="May"/>
    <n v="2014"/>
    <s v="May-2014"/>
    <s v="5/4/2014"/>
    <n v="21"/>
    <n v="6905"/>
    <n v="651.21"/>
    <n v="524.96"/>
    <n v="651.20999999999992"/>
    <n v="4496605.05"/>
    <n v="3624848.8"/>
    <n v="0.19386987300563568"/>
    <n v="871756.25"/>
  </r>
  <r>
    <x v="0"/>
    <s v="Bosnia and Herzegovina"/>
    <x v="8"/>
    <x v="1"/>
    <x v="0"/>
    <s v="4/4/2015"/>
    <d v="2015-04-04T00:00:00"/>
    <n v="4"/>
    <s v="Apr"/>
    <x v="6"/>
    <s v="Apr-2015"/>
    <n v="184412229"/>
    <d v="2015-04-07T00:00:00"/>
    <n v="7"/>
    <s v="Apr"/>
    <n v="2015"/>
    <s v="Apr-2015"/>
    <s v="4/7/2015"/>
    <n v="3"/>
    <n v="531"/>
    <n v="255.28"/>
    <n v="159.41999999999999"/>
    <n v="255.27999999999997"/>
    <n v="135553.68"/>
    <n v="84652.02"/>
    <n v="0.37550924475086184"/>
    <n v="50901.66"/>
  </r>
  <r>
    <x v="0"/>
    <s v="Netherlands"/>
    <x v="6"/>
    <x v="0"/>
    <x v="1"/>
    <s v="3/8/2017"/>
    <d v="2017-03-08T00:00:00"/>
    <n v="8"/>
    <s v="Mar"/>
    <x v="7"/>
    <s v="Mar-2017"/>
    <n v="747774398"/>
    <d v="2017-04-03T00:00:00"/>
    <n v="3"/>
    <s v="Apr"/>
    <n v="2017"/>
    <s v="Apr-2017"/>
    <s v="4/3/2017"/>
    <n v="26"/>
    <n v="1916"/>
    <n v="421.89"/>
    <n v="364.69"/>
    <n v="421.89"/>
    <n v="808341.24"/>
    <n v="698746.04"/>
    <n v="0.13558036455000119"/>
    <n v="109595.2"/>
  </r>
  <r>
    <x v="0"/>
    <s v="Russia"/>
    <x v="9"/>
    <x v="1"/>
    <x v="1"/>
    <s v="7/10/2017"/>
    <d v="2017-07-10T00:00:00"/>
    <n v="10"/>
    <s v="Jul"/>
    <x v="7"/>
    <s v="Jul-2017"/>
    <n v="194176757"/>
    <d v="2017-08-20T00:00:00"/>
    <n v="20"/>
    <s v="Aug"/>
    <n v="2017"/>
    <s v="Aug-2017"/>
    <s v="8/20/2017"/>
    <n v="41"/>
    <n v="72"/>
    <n v="668.27"/>
    <n v="502.54"/>
    <n v="668.27"/>
    <n v="48115.44"/>
    <n v="36182.879999999997"/>
    <n v="0.24799856345489096"/>
    <n v="11932.56"/>
  </r>
  <r>
    <x v="0"/>
    <s v="Ukraine"/>
    <x v="10"/>
    <x v="1"/>
    <x v="3"/>
    <s v="1/22/2011"/>
    <d v="2011-01-22T00:00:00"/>
    <n v="22"/>
    <s v="Jan"/>
    <x v="0"/>
    <s v="Jan-2011"/>
    <n v="773645913"/>
    <d v="2011-01-28T00:00:00"/>
    <n v="28"/>
    <s v="Jan"/>
    <n v="2011"/>
    <s v="Jan-2011"/>
    <s v="1/28/2011"/>
    <n v="6"/>
    <n v="7873"/>
    <n v="437.2"/>
    <n v="263.33"/>
    <n v="437.2"/>
    <n v="3442075.6"/>
    <n v="2073197.09"/>
    <n v="0.39768984446477584"/>
    <n v="1368878.51"/>
  </r>
  <r>
    <x v="0"/>
    <s v="Bosnia and Herzegovina"/>
    <x v="6"/>
    <x v="1"/>
    <x v="3"/>
    <s v="7/24/2012"/>
    <d v="2012-07-24T00:00:00"/>
    <n v="24"/>
    <s v="Jul"/>
    <x v="5"/>
    <s v="Jul-2012"/>
    <n v="410740888"/>
    <d v="2012-09-01T00:00:00"/>
    <n v="1"/>
    <s v="Sep"/>
    <n v="2012"/>
    <s v="Sep-2012"/>
    <s v="9/1/2012"/>
    <n v="39"/>
    <n v="6211"/>
    <n v="421.89"/>
    <n v="364.69"/>
    <n v="421.89"/>
    <n v="2620358.79"/>
    <n v="2265089.59"/>
    <n v="0.13558036455000119"/>
    <n v="355269.2"/>
  </r>
  <r>
    <x v="0"/>
    <s v="Latvia"/>
    <x v="6"/>
    <x v="0"/>
    <x v="1"/>
    <s v="12/15/2011"/>
    <d v="2011-12-15T00:00:00"/>
    <n v="15"/>
    <s v="Dec"/>
    <x v="0"/>
    <s v="Dec-2011"/>
    <n v="847317397"/>
    <d v="2011-12-18T00:00:00"/>
    <n v="18"/>
    <s v="Dec"/>
    <n v="2011"/>
    <s v="Dec-2011"/>
    <s v="12/18/2011"/>
    <n v="3"/>
    <n v="8902"/>
    <n v="421.89"/>
    <n v="364.69"/>
    <n v="421.89"/>
    <n v="3755664.78"/>
    <n v="3246470.38"/>
    <n v="0.13558036455000119"/>
    <n v="509194.4"/>
  </r>
  <r>
    <x v="0"/>
    <s v="Serbia"/>
    <x v="0"/>
    <x v="1"/>
    <x v="2"/>
    <s v="9/3/2012"/>
    <d v="2012-09-03T00:00:00"/>
    <n v="3"/>
    <s v="Sep"/>
    <x v="5"/>
    <s v="Sep-2012"/>
    <n v="599624192"/>
    <d v="2012-09-21T00:00:00"/>
    <n v="21"/>
    <s v="Sep"/>
    <n v="2012"/>
    <s v="Sep-2012"/>
    <s v="9/21/2012"/>
    <n v="18"/>
    <n v="978"/>
    <n v="47.45"/>
    <n v="31.79"/>
    <n v="47.449999999999996"/>
    <n v="46406.1"/>
    <n v="31090.62"/>
    <n v="0.33003161222339306"/>
    <n v="15315.48"/>
  </r>
  <r>
    <x v="0"/>
    <s v="Portugal"/>
    <x v="3"/>
    <x v="1"/>
    <x v="1"/>
    <s v="1/21/2014"/>
    <d v="2014-01-21T00:00:00"/>
    <n v="21"/>
    <s v="Jan"/>
    <x v="2"/>
    <s v="Jan-2014"/>
    <n v="734318292"/>
    <d v="2014-03-04T00:00:00"/>
    <n v="4"/>
    <s v="Mar"/>
    <n v="2014"/>
    <s v="Mar-2014"/>
    <s v="3/4/2014"/>
    <n v="42"/>
    <n v="9956"/>
    <n v="651.21"/>
    <n v="524.96"/>
    <n v="651.20999999999992"/>
    <n v="6483446.7599999998"/>
    <n v="5226501.76"/>
    <n v="0.19386987300563566"/>
    <n v="1256945"/>
  </r>
  <r>
    <x v="0"/>
    <s v="Poland"/>
    <x v="9"/>
    <x v="0"/>
    <x v="2"/>
    <s v="7/7/2017"/>
    <d v="2017-07-07T00:00:00"/>
    <n v="7"/>
    <s v="Jul"/>
    <x v="7"/>
    <s v="Jul-2017"/>
    <n v="232196319"/>
    <d v="2017-08-04T00:00:00"/>
    <n v="4"/>
    <s v="Aug"/>
    <n v="2017"/>
    <s v="Aug-2017"/>
    <s v="8/4/2017"/>
    <n v="28"/>
    <n v="905"/>
    <n v="668.27"/>
    <n v="502.54"/>
    <n v="668.27"/>
    <n v="604784.35"/>
    <n v="454798.7"/>
    <n v="0.24799856345489099"/>
    <n v="149985.65"/>
  </r>
  <r>
    <x v="0"/>
    <s v="Liechtenstein"/>
    <x v="10"/>
    <x v="1"/>
    <x v="2"/>
    <s v="7/15/2012"/>
    <d v="2012-07-15T00:00:00"/>
    <n v="15"/>
    <s v="Jul"/>
    <x v="5"/>
    <s v="Jul-2012"/>
    <n v="229693067"/>
    <d v="2012-07-15T00:00:00"/>
    <n v="15"/>
    <s v="Jul"/>
    <n v="2012"/>
    <s v="Jul-2012"/>
    <s v="7/15/2012"/>
    <n v="0"/>
    <n v="138"/>
    <n v="437.2"/>
    <n v="263.33"/>
    <n v="437.2"/>
    <n v="60333.599999999999"/>
    <n v="36339.54"/>
    <n v="0.3976898444647759"/>
    <n v="23994.06"/>
  </r>
  <r>
    <x v="0"/>
    <s v="United Kingdom"/>
    <x v="0"/>
    <x v="1"/>
    <x v="0"/>
    <s v="4/8/2017"/>
    <d v="2017-04-08T00:00:00"/>
    <n v="8"/>
    <s v="Apr"/>
    <x v="7"/>
    <s v="Apr-2017"/>
    <n v="121945512"/>
    <d v="2017-04-12T00:00:00"/>
    <n v="12"/>
    <s v="Apr"/>
    <n v="2017"/>
    <s v="Apr-2017"/>
    <s v="4/12/2017"/>
    <n v="4"/>
    <n v="5242"/>
    <n v="47.45"/>
    <n v="31.79"/>
    <n v="47.449999999999996"/>
    <n v="248732.9"/>
    <n v="166643.18"/>
    <n v="0.33003161222339306"/>
    <n v="82089.72"/>
  </r>
  <r>
    <x v="0"/>
    <s v="Slovenia"/>
    <x v="4"/>
    <x v="1"/>
    <x v="3"/>
    <s v="10/22/2012"/>
    <d v="2012-10-22T00:00:00"/>
    <n v="22"/>
    <s v="Oct"/>
    <x v="5"/>
    <s v="Oct-2012"/>
    <n v="169799983"/>
    <d v="2012-11-20T00:00:00"/>
    <n v="20"/>
    <s v="Nov"/>
    <n v="2012"/>
    <s v="Nov-2012"/>
    <s v="11/20/2012"/>
    <n v="29"/>
    <n v="6443"/>
    <n v="9.33"/>
    <n v="6.92"/>
    <n v="9.33"/>
    <n v="60113.19"/>
    <n v="44585.56"/>
    <n v="0.25830653804930331"/>
    <n v="15527.63"/>
  </r>
  <r>
    <x v="0"/>
    <s v="Malta"/>
    <x v="5"/>
    <x v="1"/>
    <x v="1"/>
    <s v="3/11/2014"/>
    <d v="2014-03-11T00:00:00"/>
    <n v="11"/>
    <s v="Mar"/>
    <x v="2"/>
    <s v="Mar-2014"/>
    <n v="894589078"/>
    <d v="2014-04-10T00:00:00"/>
    <n v="10"/>
    <s v="Apr"/>
    <n v="2014"/>
    <s v="Apr-2014"/>
    <s v="4/10/2014"/>
    <n v="30"/>
    <n v="7643"/>
    <n v="154.06"/>
    <n v="90.93"/>
    <n v="154.06"/>
    <n v="1177480.58"/>
    <n v="694977.99"/>
    <n v="0.40977541217707386"/>
    <n v="482502.59"/>
  </r>
  <r>
    <x v="0"/>
    <s v="Ukraine"/>
    <x v="11"/>
    <x v="1"/>
    <x v="1"/>
    <s v="7/16/2010"/>
    <d v="2010-07-16T00:00:00"/>
    <n v="16"/>
    <s v="Jul"/>
    <x v="3"/>
    <s v="Jul-2010"/>
    <n v="987459170"/>
    <d v="2010-08-27T00:00:00"/>
    <n v="27"/>
    <s v="Aug"/>
    <n v="2010"/>
    <s v="Aug-2010"/>
    <s v="8/27/2010"/>
    <n v="42"/>
    <n v="9967"/>
    <n v="81.73"/>
    <n v="56.67"/>
    <n v="81.73"/>
    <n v="814602.91"/>
    <n v="564829.89"/>
    <n v="0.30661935641747212"/>
    <n v="249773.02"/>
  </r>
  <r>
    <x v="0"/>
    <s v="Cyprus"/>
    <x v="4"/>
    <x v="0"/>
    <x v="1"/>
    <s v="7/12/2015"/>
    <d v="2015-07-12T00:00:00"/>
    <n v="12"/>
    <s v="Jul"/>
    <x v="6"/>
    <s v="Jul-2015"/>
    <n v="600515115"/>
    <d v="2015-08-30T00:00:00"/>
    <n v="30"/>
    <s v="Aug"/>
    <n v="2015"/>
    <s v="Aug-2015"/>
    <s v="8/30/2015"/>
    <n v="49"/>
    <n v="4622"/>
    <n v="9.33"/>
    <n v="6.92"/>
    <n v="9.33"/>
    <n v="43123.26"/>
    <n v="31984.240000000002"/>
    <n v="0.25830653804930331"/>
    <n v="11139.02"/>
  </r>
  <r>
    <x v="0"/>
    <s v="Poland"/>
    <x v="3"/>
    <x v="0"/>
    <x v="1"/>
    <s v="11/27/2015"/>
    <d v="2015-11-27T00:00:00"/>
    <n v="27"/>
    <s v="Nov"/>
    <x v="6"/>
    <s v="Nov-2015"/>
    <n v="208365428"/>
    <d v="2015-12-29T00:00:00"/>
    <n v="29"/>
    <s v="Dec"/>
    <n v="2015"/>
    <s v="Dec-2015"/>
    <s v="12/29/2015"/>
    <n v="32"/>
    <n v="8815"/>
    <n v="651.21"/>
    <n v="524.96"/>
    <n v="651.21"/>
    <n v="5740416.1500000004"/>
    <n v="4627522.4000000004"/>
    <n v="0.19386987300563566"/>
    <n v="1112893.75"/>
  </r>
  <r>
    <x v="0"/>
    <s v="Monaco"/>
    <x v="11"/>
    <x v="1"/>
    <x v="2"/>
    <s v="6/8/2014"/>
    <d v="2014-06-08T00:00:00"/>
    <n v="8"/>
    <s v="Jun"/>
    <x v="2"/>
    <s v="Jun-2014"/>
    <n v="263098371"/>
    <d v="2014-07-04T00:00:00"/>
    <n v="4"/>
    <s v="Jul"/>
    <n v="2014"/>
    <s v="Jul-2014"/>
    <s v="7/4/2014"/>
    <n v="26"/>
    <n v="5509"/>
    <n v="81.73"/>
    <n v="56.67"/>
    <n v="81.73"/>
    <n v="450250.57"/>
    <n v="312195.03000000003"/>
    <n v="0.30661935641747218"/>
    <n v="138055.54"/>
  </r>
  <r>
    <x v="0"/>
    <s v="Estonia"/>
    <x v="10"/>
    <x v="1"/>
    <x v="0"/>
    <s v="5/23/2011"/>
    <d v="2011-05-23T00:00:00"/>
    <n v="23"/>
    <s v="May"/>
    <x v="0"/>
    <s v="May-2011"/>
    <n v="790149009"/>
    <d v="2011-05-29T00:00:00"/>
    <n v="29"/>
    <s v="May"/>
    <n v="2011"/>
    <s v="May-2011"/>
    <s v="5/29/2011"/>
    <n v="6"/>
    <n v="1505"/>
    <n v="437.2"/>
    <n v="263.33"/>
    <n v="437.2"/>
    <n v="657986"/>
    <n v="396311.65"/>
    <n v="0.39768984446477584"/>
    <n v="261674.35"/>
  </r>
  <r>
    <x v="0"/>
    <s v="Norway"/>
    <x v="2"/>
    <x v="1"/>
    <x v="1"/>
    <s v="10/8/2014"/>
    <d v="2014-10-08T00:00:00"/>
    <n v="8"/>
    <s v="Oct"/>
    <x v="2"/>
    <s v="Oct-2014"/>
    <n v="100640618"/>
    <d v="2014-10-18T00:00:00"/>
    <n v="18"/>
    <s v="Oct"/>
    <n v="2014"/>
    <s v="Oct-2014"/>
    <s v="10/18/2014"/>
    <n v="10"/>
    <n v="650"/>
    <n v="205.7"/>
    <n v="117.11"/>
    <n v="205.7"/>
    <n v="133705"/>
    <n v="76121.5"/>
    <n v="0.43067574137092851"/>
    <n v="57583.5"/>
  </r>
  <r>
    <x v="0"/>
    <s v="Luxembourg"/>
    <x v="7"/>
    <x v="1"/>
    <x v="3"/>
    <s v="2/1/2011"/>
    <d v="2011-02-01T00:00:00"/>
    <n v="1"/>
    <s v="Feb"/>
    <x v="0"/>
    <s v="Feb-2011"/>
    <n v="977324712"/>
    <d v="2011-03-10T00:00:00"/>
    <n v="10"/>
    <s v="Mar"/>
    <n v="2011"/>
    <s v="Mar-2011"/>
    <s v="3/10/2011"/>
    <n v="37"/>
    <n v="955"/>
    <n v="152.58000000000001"/>
    <n v="97.44"/>
    <n v="152.57999999999998"/>
    <n v="145713.9"/>
    <n v="93055.2"/>
    <n v="0.36138419189933152"/>
    <n v="52658.7"/>
  </r>
  <r>
    <x v="0"/>
    <s v="Luxembourg"/>
    <x v="7"/>
    <x v="1"/>
    <x v="3"/>
    <s v="9/7/2010"/>
    <d v="2010-09-07T00:00:00"/>
    <n v="7"/>
    <s v="Sep"/>
    <x v="3"/>
    <s v="Sep-2010"/>
    <n v="510956799"/>
    <d v="2010-09-23T00:00:00"/>
    <n v="23"/>
    <s v="Sep"/>
    <n v="2010"/>
    <s v="Sep-2010"/>
    <s v="9/23/2010"/>
    <n v="16"/>
    <n v="2326"/>
    <n v="152.58000000000001"/>
    <n v="97.44"/>
    <n v="152.58000000000001"/>
    <n v="354901.08"/>
    <n v="226645.44"/>
    <n v="0.36138419189933146"/>
    <n v="128255.64"/>
  </r>
  <r>
    <x v="0"/>
    <s v="Armenia"/>
    <x v="4"/>
    <x v="1"/>
    <x v="1"/>
    <s v="3/23/2011"/>
    <d v="2011-03-23T00:00:00"/>
    <n v="23"/>
    <s v="Mar"/>
    <x v="0"/>
    <s v="Mar-2011"/>
    <n v="120977771"/>
    <d v="2011-05-02T00:00:00"/>
    <n v="2"/>
    <s v="May"/>
    <n v="2011"/>
    <s v="May-2011"/>
    <s v="5/2/2011"/>
    <n v="40"/>
    <n v="8866"/>
    <n v="9.33"/>
    <n v="6.92"/>
    <n v="9.33"/>
    <n v="82719.78"/>
    <n v="61352.72"/>
    <n v="0.25830653804930337"/>
    <n v="21367.06"/>
  </r>
  <r>
    <x v="0"/>
    <s v="Bulgaria"/>
    <x v="7"/>
    <x v="0"/>
    <x v="2"/>
    <s v="3/11/2017"/>
    <d v="2017-03-11T00:00:00"/>
    <n v="11"/>
    <s v="Mar"/>
    <x v="7"/>
    <s v="Mar-2017"/>
    <n v="476991450"/>
    <d v="2017-03-27T00:00:00"/>
    <n v="27"/>
    <s v="Mar"/>
    <n v="2017"/>
    <s v="Mar-2017"/>
    <s v="3/27/2017"/>
    <n v="16"/>
    <n v="1225"/>
    <n v="152.58000000000001"/>
    <n v="97.44"/>
    <n v="152.58000000000001"/>
    <n v="186910.5"/>
    <n v="119364"/>
    <n v="0.36138419189933152"/>
    <n v="67546.5"/>
  </r>
  <r>
    <x v="0"/>
    <s v="Denmark"/>
    <x v="0"/>
    <x v="1"/>
    <x v="3"/>
    <s v="6/5/2016"/>
    <d v="2016-06-05T00:00:00"/>
    <n v="5"/>
    <s v="Jun"/>
    <x v="4"/>
    <s v="Jun-2016"/>
    <n v="973268353"/>
    <d v="2016-06-26T00:00:00"/>
    <n v="26"/>
    <s v="Jun"/>
    <n v="2016"/>
    <s v="Jun-2016"/>
    <s v="6/26/2016"/>
    <n v="21"/>
    <n v="589"/>
    <n v="47.45"/>
    <n v="31.79"/>
    <n v="47.449999999999996"/>
    <n v="27948.05"/>
    <n v="18724.310000000001"/>
    <n v="0.33003161222339306"/>
    <n v="9223.74"/>
  </r>
  <r>
    <x v="0"/>
    <s v="Finland"/>
    <x v="5"/>
    <x v="0"/>
    <x v="2"/>
    <s v="2/14/2013"/>
    <d v="2013-02-14T00:00:00"/>
    <n v="14"/>
    <s v="Feb"/>
    <x v="1"/>
    <s v="Feb-2013"/>
    <n v="771674382"/>
    <d v="2013-03-21T00:00:00"/>
    <n v="21"/>
    <s v="Mar"/>
    <n v="2013"/>
    <s v="Mar-2013"/>
    <s v="3/21/2013"/>
    <n v="35"/>
    <n v="4453"/>
    <n v="154.06"/>
    <n v="90.93"/>
    <n v="154.06"/>
    <n v="686029.18"/>
    <n v="404911.29"/>
    <n v="0.40977541217707386"/>
    <n v="281117.89"/>
  </r>
  <r>
    <x v="0"/>
    <s v="Kosovo"/>
    <x v="4"/>
    <x v="1"/>
    <x v="2"/>
    <s v="5/2/2010"/>
    <d v="2010-05-02T00:00:00"/>
    <n v="2"/>
    <s v="May"/>
    <x v="3"/>
    <s v="May-2010"/>
    <n v="291995418"/>
    <d v="2010-06-06T00:00:00"/>
    <n v="6"/>
    <s v="Jun"/>
    <n v="2010"/>
    <s v="Jun-2010"/>
    <s v="6/6/2010"/>
    <n v="35"/>
    <n v="6788"/>
    <n v="9.33"/>
    <n v="6.92"/>
    <n v="9.33"/>
    <n v="63332.04"/>
    <n v="46972.959999999999"/>
    <n v="0.25830653804930331"/>
    <n v="16359.08"/>
  </r>
  <r>
    <x v="0"/>
    <s v="Hungary"/>
    <x v="8"/>
    <x v="1"/>
    <x v="1"/>
    <s v="1/25/2011"/>
    <d v="2011-01-25T00:00:00"/>
    <n v="25"/>
    <s v="Jan"/>
    <x v="0"/>
    <s v="Jan-2011"/>
    <n v="128686225"/>
    <d v="2011-03-13T00:00:00"/>
    <n v="13"/>
    <s v="Mar"/>
    <n v="2011"/>
    <s v="Mar-2011"/>
    <s v="3/13/2011"/>
    <n v="47"/>
    <n v="9968"/>
    <n v="255.28"/>
    <n v="159.41999999999999"/>
    <n v="255.28"/>
    <n v="2544631.04"/>
    <n v="1589098.56"/>
    <n v="0.37550924475086178"/>
    <n v="955532.48"/>
  </r>
  <r>
    <x v="0"/>
    <s v="Lithuania"/>
    <x v="10"/>
    <x v="0"/>
    <x v="2"/>
    <s v="1/6/2012"/>
    <d v="2012-01-06T00:00:00"/>
    <n v="6"/>
    <s v="Jan"/>
    <x v="5"/>
    <s v="Jan-2012"/>
    <n v="420875346"/>
    <d v="2012-02-18T00:00:00"/>
    <n v="18"/>
    <s v="Feb"/>
    <n v="2012"/>
    <s v="Feb-2012"/>
    <s v="2/18/2012"/>
    <n v="43"/>
    <n v="5223"/>
    <n v="437.2"/>
    <n v="263.33"/>
    <n v="437.20000000000005"/>
    <n v="2283495.6"/>
    <n v="1375372.59"/>
    <n v="0.39768984446477584"/>
    <n v="908123.01"/>
  </r>
  <r>
    <x v="0"/>
    <s v="Albania"/>
    <x v="5"/>
    <x v="1"/>
    <x v="0"/>
    <s v="10/5/2012"/>
    <d v="2012-10-05T00:00:00"/>
    <n v="5"/>
    <s v="Oct"/>
    <x v="5"/>
    <s v="Oct-2012"/>
    <n v="476633536"/>
    <d v="2012-11-03T00:00:00"/>
    <n v="3"/>
    <s v="Nov"/>
    <n v="2012"/>
    <s v="Nov-2012"/>
    <s v="11/3/2012"/>
    <n v="29"/>
    <n v="5310"/>
    <n v="154.06"/>
    <n v="90.93"/>
    <n v="154.06"/>
    <n v="818058.6"/>
    <n v="482838.3"/>
    <n v="0.40977541217707386"/>
    <n v="335220.3"/>
  </r>
  <r>
    <x v="0"/>
    <s v="Cyprus"/>
    <x v="5"/>
    <x v="0"/>
    <x v="0"/>
    <s v="7/2/2014"/>
    <d v="2014-07-02T00:00:00"/>
    <n v="2"/>
    <s v="Jul"/>
    <x v="2"/>
    <s v="Jul-2014"/>
    <n v="727997720"/>
    <d v="2014-07-19T00:00:00"/>
    <n v="19"/>
    <s v="Jul"/>
    <n v="2014"/>
    <s v="Jul-2014"/>
    <s v="7/19/2014"/>
    <n v="17"/>
    <n v="9558"/>
    <n v="154.06"/>
    <n v="90.93"/>
    <n v="154.06"/>
    <n v="1472505.48"/>
    <n v="869108.94"/>
    <n v="0.40977541217707392"/>
    <n v="603396.54"/>
  </r>
  <r>
    <x v="0"/>
    <s v="Moldova "/>
    <x v="11"/>
    <x v="1"/>
    <x v="1"/>
    <s v="3/11/2013"/>
    <d v="2013-03-11T00:00:00"/>
    <n v="11"/>
    <s v="Mar"/>
    <x v="1"/>
    <s v="Mar-2013"/>
    <n v="467045819"/>
    <d v="2013-04-12T00:00:00"/>
    <n v="12"/>
    <s v="Apr"/>
    <n v="2013"/>
    <s v="Apr-2013"/>
    <s v="4/12/2013"/>
    <n v="32"/>
    <n v="8092"/>
    <n v="81.73"/>
    <n v="56.67"/>
    <n v="81.73"/>
    <n v="661359.16"/>
    <n v="458573.64"/>
    <n v="0.30661935641747212"/>
    <n v="202785.52"/>
  </r>
  <r>
    <x v="0"/>
    <s v="Kosovo"/>
    <x v="10"/>
    <x v="0"/>
    <x v="0"/>
    <s v="11/1/2012"/>
    <d v="2012-11-01T00:00:00"/>
    <n v="1"/>
    <s v="Nov"/>
    <x v="5"/>
    <s v="Nov-2012"/>
    <n v="813973891"/>
    <d v="2012-11-13T00:00:00"/>
    <n v="13"/>
    <s v="Nov"/>
    <n v="2012"/>
    <s v="Nov-2012"/>
    <s v="11/13/2012"/>
    <n v="12"/>
    <n v="1818"/>
    <n v="437.2"/>
    <n v="263.33"/>
    <n v="437.2"/>
    <n v="794829.6"/>
    <n v="478733.94"/>
    <n v="0.39768984446477584"/>
    <n v="316095.65999999997"/>
  </r>
  <r>
    <x v="0"/>
    <s v="Albania"/>
    <x v="10"/>
    <x v="0"/>
    <x v="2"/>
    <s v="9/30/2016"/>
    <d v="2016-09-30T00:00:00"/>
    <n v="30"/>
    <s v="Sep"/>
    <x v="4"/>
    <s v="Sep-2016"/>
    <n v="576944720"/>
    <d v="2016-10-09T00:00:00"/>
    <n v="9"/>
    <s v="Oct"/>
    <n v="2016"/>
    <s v="Oct-2016"/>
    <s v="10/9/2016"/>
    <n v="9"/>
    <n v="9619"/>
    <n v="437.2"/>
    <n v="263.33"/>
    <n v="437.2"/>
    <n v="4205426.8"/>
    <n v="2532971.27"/>
    <n v="0.39768984446477584"/>
    <n v="1672455.53"/>
  </r>
  <r>
    <x v="0"/>
    <s v="Portugal"/>
    <x v="8"/>
    <x v="1"/>
    <x v="2"/>
    <s v="8/3/2015"/>
    <d v="2015-08-03T00:00:00"/>
    <n v="3"/>
    <s v="Aug"/>
    <x v="6"/>
    <s v="Aug-2015"/>
    <n v="404789817"/>
    <d v="2015-09-08T00:00:00"/>
    <n v="8"/>
    <s v="Sep"/>
    <n v="2015"/>
    <s v="Sep-2015"/>
    <s v="9/8/2015"/>
    <n v="36"/>
    <n v="5157"/>
    <n v="255.28"/>
    <n v="159.41999999999999"/>
    <n v="255.28"/>
    <n v="1316478.96"/>
    <n v="822128.94"/>
    <n v="0.37550924475086184"/>
    <n v="494350.02"/>
  </r>
  <r>
    <x v="0"/>
    <s v="Bosnia and Herzegovina"/>
    <x v="8"/>
    <x v="1"/>
    <x v="0"/>
    <s v="4/30/2014"/>
    <d v="2014-04-30T00:00:00"/>
    <n v="30"/>
    <s v="Apr"/>
    <x v="2"/>
    <s v="Apr-2014"/>
    <n v="871923768"/>
    <d v="2014-05-30T00:00:00"/>
    <n v="30"/>
    <s v="May"/>
    <n v="2014"/>
    <s v="May-2014"/>
    <s v="5/30/2014"/>
    <n v="30"/>
    <n v="474"/>
    <n v="255.28"/>
    <n v="159.41999999999999"/>
    <n v="255.28"/>
    <n v="121002.72"/>
    <n v="75565.08"/>
    <n v="0.37550924475086178"/>
    <n v="45437.64"/>
  </r>
  <r>
    <x v="0"/>
    <s v="Kosovo"/>
    <x v="5"/>
    <x v="0"/>
    <x v="0"/>
    <s v="12/18/2012"/>
    <d v="2012-12-18T00:00:00"/>
    <n v="18"/>
    <s v="Dec"/>
    <x v="5"/>
    <s v="Dec-2012"/>
    <n v="818976962"/>
    <d v="2012-12-21T00:00:00"/>
    <n v="21"/>
    <s v="Dec"/>
    <n v="2012"/>
    <s v="Dec-2012"/>
    <s v="12/21/2012"/>
    <n v="3"/>
    <n v="2337"/>
    <n v="154.06"/>
    <n v="90.93"/>
    <n v="154.05999999999997"/>
    <n v="360038.22"/>
    <n v="212503.41"/>
    <n v="0.40977541217707392"/>
    <n v="147534.81"/>
  </r>
  <r>
    <x v="0"/>
    <s v="Switzerland"/>
    <x v="10"/>
    <x v="1"/>
    <x v="0"/>
    <s v="7/20/2017"/>
    <d v="2017-07-20T00:00:00"/>
    <n v="20"/>
    <s v="Jul"/>
    <x v="7"/>
    <s v="Jul-2017"/>
    <n v="233811223"/>
    <d v="2017-07-20T00:00:00"/>
    <n v="20"/>
    <s v="Jul"/>
    <n v="2017"/>
    <s v="Jul-2017"/>
    <s v="7/20/2017"/>
    <n v="0"/>
    <n v="8792"/>
    <n v="437.2"/>
    <n v="263.33"/>
    <n v="437.2"/>
    <n v="3843862.4"/>
    <n v="2315197.36"/>
    <n v="0.39768984446477584"/>
    <n v="1528665.04"/>
  </r>
  <r>
    <x v="0"/>
    <s v="Lithuania"/>
    <x v="3"/>
    <x v="0"/>
    <x v="0"/>
    <s v="12/15/2016"/>
    <d v="2016-12-15T00:00:00"/>
    <n v="15"/>
    <s v="Dec"/>
    <x v="4"/>
    <s v="Dec-2016"/>
    <n v="112330758"/>
    <d v="2017-01-11T00:00:00"/>
    <n v="11"/>
    <s v="Jan"/>
    <n v="2017"/>
    <s v="Jan-2017"/>
    <s v="1/11/2017"/>
    <n v="27"/>
    <n v="22"/>
    <n v="651.21"/>
    <n v="524.96"/>
    <n v="651.21"/>
    <n v="14326.62"/>
    <n v="11549.12"/>
    <n v="0.19386987300563566"/>
    <n v="2777.5"/>
  </r>
  <r>
    <x v="0"/>
    <s v="Montenegro"/>
    <x v="3"/>
    <x v="0"/>
    <x v="3"/>
    <s v="7/2/2014"/>
    <d v="2014-07-02T00:00:00"/>
    <n v="2"/>
    <s v="Jul"/>
    <x v="2"/>
    <s v="Jul-2014"/>
    <n v="256095016"/>
    <d v="2014-08-21T00:00:00"/>
    <n v="21"/>
    <s v="Aug"/>
    <n v="2014"/>
    <s v="Aug-2014"/>
    <s v="8/21/2014"/>
    <n v="50"/>
    <n v="3061"/>
    <n v="651.21"/>
    <n v="524.96"/>
    <n v="651.21"/>
    <n v="1993353.81"/>
    <n v="1606902.56"/>
    <n v="0.19386987300563566"/>
    <n v="386451.25"/>
  </r>
  <r>
    <x v="0"/>
    <s v="France"/>
    <x v="6"/>
    <x v="1"/>
    <x v="2"/>
    <s v="11/28/2015"/>
    <d v="2015-11-28T00:00:00"/>
    <n v="28"/>
    <s v="Nov"/>
    <x v="6"/>
    <s v="Nov-2015"/>
    <n v="245440852"/>
    <d v="2015-12-17T00:00:00"/>
    <n v="17"/>
    <s v="Dec"/>
    <n v="2015"/>
    <s v="Dec-2015"/>
    <s v="12/17/2015"/>
    <n v="19"/>
    <n v="257"/>
    <n v="421.89"/>
    <n v="364.69"/>
    <n v="421.89"/>
    <n v="108425.73"/>
    <n v="93725.33"/>
    <n v="0.13558036455000119"/>
    <n v="14700.4"/>
  </r>
  <r>
    <x v="0"/>
    <s v="Spain"/>
    <x v="4"/>
    <x v="1"/>
    <x v="3"/>
    <s v="10/22/2011"/>
    <d v="2011-10-22T00:00:00"/>
    <n v="22"/>
    <s v="Oct"/>
    <x v="0"/>
    <s v="Oct-2011"/>
    <n v="817006289"/>
    <d v="2011-11-14T00:00:00"/>
    <n v="14"/>
    <s v="Nov"/>
    <n v="2011"/>
    <s v="Nov-2011"/>
    <s v="11/14/2011"/>
    <n v="23"/>
    <n v="9172"/>
    <n v="9.33"/>
    <n v="6.92"/>
    <n v="9.33"/>
    <n v="85574.76"/>
    <n v="63470.239999999998"/>
    <n v="0.25830653804930337"/>
    <n v="22104.52"/>
  </r>
  <r>
    <x v="0"/>
    <s v="Sweden"/>
    <x v="5"/>
    <x v="1"/>
    <x v="3"/>
    <s v="9/20/2010"/>
    <d v="2010-09-20T00:00:00"/>
    <n v="20"/>
    <s v="Sep"/>
    <x v="3"/>
    <s v="Sep-2010"/>
    <n v="298228013"/>
    <d v="2010-10-25T00:00:00"/>
    <n v="25"/>
    <s v="Oct"/>
    <n v="2010"/>
    <s v="Oct-2010"/>
    <s v="10/25/2010"/>
    <n v="35"/>
    <n v="1151"/>
    <n v="154.06"/>
    <n v="90.93"/>
    <n v="154.06"/>
    <n v="177323.06"/>
    <n v="104660.43"/>
    <n v="0.40977541217707392"/>
    <n v="72662.63"/>
  </r>
  <r>
    <x v="0"/>
    <s v="Latvia"/>
    <x v="7"/>
    <x v="1"/>
    <x v="0"/>
    <s v="3/15/2017"/>
    <d v="2017-03-15T00:00:00"/>
    <n v="15"/>
    <s v="Mar"/>
    <x v="7"/>
    <s v="Mar-2017"/>
    <n v="972981679"/>
    <d v="2017-04-09T00:00:00"/>
    <n v="9"/>
    <s v="Apr"/>
    <n v="2017"/>
    <s v="Apr-2017"/>
    <s v="4/9/2017"/>
    <n v="25"/>
    <n v="5755"/>
    <n v="152.58000000000001"/>
    <n v="97.44"/>
    <n v="152.58000000000001"/>
    <n v="878097.9"/>
    <n v="560767.19999999995"/>
    <n v="0.36138419189933152"/>
    <n v="317330.7"/>
  </r>
  <r>
    <x v="0"/>
    <s v="Norway"/>
    <x v="11"/>
    <x v="0"/>
    <x v="1"/>
    <s v="6/8/2012"/>
    <d v="2012-06-08T00:00:00"/>
    <n v="8"/>
    <s v="Jun"/>
    <x v="5"/>
    <s v="Jun-2012"/>
    <n v="594813811"/>
    <d v="2012-06-17T00:00:00"/>
    <n v="17"/>
    <s v="Jun"/>
    <n v="2012"/>
    <s v="Jun-2012"/>
    <s v="6/17/2012"/>
    <n v="9"/>
    <n v="7480"/>
    <n v="81.73"/>
    <n v="56.67"/>
    <n v="81.73"/>
    <n v="611340.4"/>
    <n v="423891.6"/>
    <n v="0.30661935641747212"/>
    <n v="187448.8"/>
  </r>
  <r>
    <x v="0"/>
    <s v="Estonia"/>
    <x v="1"/>
    <x v="1"/>
    <x v="3"/>
    <s v="9/8/2012"/>
    <d v="2012-09-08T00:00:00"/>
    <n v="8"/>
    <s v="Sep"/>
    <x v="5"/>
    <s v="Sep-2012"/>
    <n v="176722657"/>
    <d v="2012-09-16T00:00:00"/>
    <n v="16"/>
    <s v="Sep"/>
    <n v="2012"/>
    <s v="Sep-2012"/>
    <s v="9/16/2012"/>
    <n v="8"/>
    <n v="5016"/>
    <n v="109.28"/>
    <n v="35.840000000000003"/>
    <n v="109.28"/>
    <n v="548148.47999999998"/>
    <n v="179773.44"/>
    <n v="0.67203513909224011"/>
    <n v="368375.03999999998"/>
  </r>
  <r>
    <x v="0"/>
    <s v="Malta"/>
    <x v="11"/>
    <x v="0"/>
    <x v="1"/>
    <s v="8/16/2011"/>
    <d v="2011-08-16T00:00:00"/>
    <n v="16"/>
    <s v="Aug"/>
    <x v="0"/>
    <s v="Aug-2011"/>
    <n v="466988742"/>
    <d v="2011-08-16T00:00:00"/>
    <n v="16"/>
    <s v="Aug"/>
    <n v="2011"/>
    <s v="Aug-2011"/>
    <s v="8/16/2011"/>
    <n v="0"/>
    <n v="1201"/>
    <n v="81.73"/>
    <n v="56.67"/>
    <n v="81.72999999999999"/>
    <n v="98157.73"/>
    <n v="68060.67"/>
    <n v="0.30661935641747218"/>
    <n v="30097.06"/>
  </r>
  <r>
    <x v="0"/>
    <s v="Portugal"/>
    <x v="2"/>
    <x v="1"/>
    <x v="0"/>
    <s v="8/11/2015"/>
    <d v="2015-08-11T00:00:00"/>
    <n v="11"/>
    <s v="Aug"/>
    <x v="6"/>
    <s v="Aug-2015"/>
    <n v="615080583"/>
    <d v="2015-09-19T00:00:00"/>
    <n v="19"/>
    <s v="Sep"/>
    <n v="2015"/>
    <s v="Sep-2015"/>
    <s v="9/19/2015"/>
    <n v="39"/>
    <n v="4868"/>
    <n v="205.7"/>
    <n v="117.11"/>
    <n v="205.7"/>
    <n v="1001347.6"/>
    <n v="570091.48"/>
    <n v="0.43067574137092857"/>
    <n v="431256.12"/>
  </r>
  <r>
    <x v="0"/>
    <s v="Macedonia"/>
    <x v="10"/>
    <x v="1"/>
    <x v="0"/>
    <s v="12/26/2010"/>
    <d v="2010-12-26T00:00:00"/>
    <n v="26"/>
    <s v="Dec"/>
    <x v="3"/>
    <s v="Dec-2010"/>
    <n v="350977408"/>
    <d v="2011-01-22T00:00:00"/>
    <n v="22"/>
    <s v="Jan"/>
    <n v="2011"/>
    <s v="Jan-2011"/>
    <s v="1/22/2011"/>
    <n v="27"/>
    <n v="869"/>
    <n v="437.2"/>
    <n v="263.33"/>
    <n v="437.2"/>
    <n v="379926.8"/>
    <n v="228833.77"/>
    <n v="0.39768984446477584"/>
    <n v="151093.03"/>
  </r>
  <r>
    <x v="0"/>
    <s v="Greece"/>
    <x v="11"/>
    <x v="0"/>
    <x v="1"/>
    <s v="12/8/2011"/>
    <d v="2011-12-08T00:00:00"/>
    <n v="8"/>
    <s v="Dec"/>
    <x v="0"/>
    <s v="Dec-2011"/>
    <n v="701298367"/>
    <d v="2012-01-06T00:00:00"/>
    <n v="6"/>
    <s v="Jan"/>
    <n v="2012"/>
    <s v="Jan-2012"/>
    <s v="1/6/2012"/>
    <n v="29"/>
    <n v="8626"/>
    <n v="81.73"/>
    <n v="56.67"/>
    <n v="81.73"/>
    <n v="705002.98"/>
    <n v="488835.42"/>
    <n v="0.30661935641747218"/>
    <n v="216167.56"/>
  </r>
  <r>
    <x v="0"/>
    <s v="Italy"/>
    <x v="11"/>
    <x v="1"/>
    <x v="0"/>
    <s v="2/25/2011"/>
    <d v="2011-02-25T00:00:00"/>
    <n v="25"/>
    <s v="Feb"/>
    <x v="0"/>
    <s v="Feb-2011"/>
    <n v="309342658"/>
    <d v="2011-03-28T00:00:00"/>
    <n v="28"/>
    <s v="Mar"/>
    <n v="2011"/>
    <s v="Mar-2011"/>
    <s v="3/28/2011"/>
    <n v="31"/>
    <n v="222"/>
    <n v="81.73"/>
    <n v="56.67"/>
    <n v="81.73"/>
    <n v="18144.060000000001"/>
    <n v="12580.74"/>
    <n v="0.30661935641747212"/>
    <n v="5563.32"/>
  </r>
  <r>
    <x v="0"/>
    <s v="Norway"/>
    <x v="9"/>
    <x v="0"/>
    <x v="1"/>
    <s v="3/20/2010"/>
    <d v="2010-03-20T00:00:00"/>
    <n v="20"/>
    <s v="Mar"/>
    <x v="3"/>
    <s v="Mar-2010"/>
    <n v="384128224"/>
    <d v="2010-04-26T00:00:00"/>
    <n v="26"/>
    <s v="Apr"/>
    <n v="2010"/>
    <s v="Apr-2010"/>
    <s v="4/26/2010"/>
    <n v="37"/>
    <n v="933"/>
    <n v="668.27"/>
    <n v="502.54"/>
    <n v="668.27"/>
    <n v="623495.91"/>
    <n v="468869.82"/>
    <n v="0.24799856345489096"/>
    <n v="154626.09"/>
  </r>
  <r>
    <x v="0"/>
    <s v="Netherlands"/>
    <x v="9"/>
    <x v="0"/>
    <x v="0"/>
    <s v="1/17/2014"/>
    <d v="2014-01-17T00:00:00"/>
    <n v="17"/>
    <s v="Jan"/>
    <x v="2"/>
    <s v="Jan-2014"/>
    <n v="990774810"/>
    <d v="2014-02-18T00:00:00"/>
    <n v="18"/>
    <s v="Feb"/>
    <n v="2014"/>
    <s v="Feb-2014"/>
    <s v="2/18/2014"/>
    <n v="32"/>
    <n v="1138"/>
    <n v="668.27"/>
    <n v="502.54"/>
    <n v="668.27"/>
    <n v="760491.26"/>
    <n v="571890.52"/>
    <n v="0.24799856345489096"/>
    <n v="188600.74"/>
  </r>
  <r>
    <x v="0"/>
    <s v="Belgium"/>
    <x v="5"/>
    <x v="0"/>
    <x v="0"/>
    <s v="12/26/2011"/>
    <d v="2011-12-26T00:00:00"/>
    <n v="26"/>
    <s v="Dec"/>
    <x v="0"/>
    <s v="Dec-2011"/>
    <n v="394110763"/>
    <d v="2011-12-29T00:00:00"/>
    <n v="29"/>
    <s v="Dec"/>
    <n v="2011"/>
    <s v="Dec-2011"/>
    <s v="12/29/2011"/>
    <n v="3"/>
    <n v="4988"/>
    <n v="154.06"/>
    <n v="90.93"/>
    <n v="154.06"/>
    <n v="768451.28"/>
    <n v="453558.84"/>
    <n v="0.40977541217707386"/>
    <n v="314892.44"/>
  </r>
  <r>
    <x v="0"/>
    <s v="Kosovo"/>
    <x v="4"/>
    <x v="1"/>
    <x v="0"/>
    <s v="3/2/2012"/>
    <d v="2012-03-02T00:00:00"/>
    <n v="2"/>
    <s v="Mar"/>
    <x v="5"/>
    <s v="Mar-2012"/>
    <n v="899868094"/>
    <d v="2012-03-26T00:00:00"/>
    <n v="26"/>
    <s v="Mar"/>
    <n v="2012"/>
    <s v="Mar-2012"/>
    <s v="3/26/2012"/>
    <n v="24"/>
    <n v="9821"/>
    <n v="9.33"/>
    <n v="6.92"/>
    <n v="9.33"/>
    <n v="91629.93"/>
    <n v="67961.320000000007"/>
    <n v="0.25830653804930337"/>
    <n v="23668.61"/>
  </r>
  <r>
    <x v="0"/>
    <s v="Germany"/>
    <x v="8"/>
    <x v="0"/>
    <x v="2"/>
    <s v="1/6/2017"/>
    <d v="2017-01-06T00:00:00"/>
    <n v="6"/>
    <s v="Jan"/>
    <x v="7"/>
    <s v="Jan-2017"/>
    <n v="361311852"/>
    <d v="2017-02-15T00:00:00"/>
    <n v="15"/>
    <s v="Feb"/>
    <n v="2017"/>
    <s v="Feb-2017"/>
    <s v="2/15/2017"/>
    <n v="40"/>
    <n v="9061"/>
    <n v="255.28"/>
    <n v="159.41999999999999"/>
    <n v="255.28"/>
    <n v="2313092.08"/>
    <n v="1444504.62"/>
    <n v="0.37550924475086178"/>
    <n v="868587.46"/>
  </r>
  <r>
    <x v="0"/>
    <s v="Hungary"/>
    <x v="0"/>
    <x v="1"/>
    <x v="2"/>
    <s v="5/20/2014"/>
    <d v="2014-05-20T00:00:00"/>
    <n v="20"/>
    <s v="May"/>
    <x v="2"/>
    <s v="May-2014"/>
    <n v="930136287"/>
    <d v="2014-06-21T00:00:00"/>
    <n v="21"/>
    <s v="Jun"/>
    <n v="2014"/>
    <s v="Jun-2014"/>
    <s v="6/21/2014"/>
    <n v="32"/>
    <n v="6852"/>
    <n v="47.45"/>
    <n v="31.79"/>
    <n v="47.45"/>
    <n v="325127.40000000002"/>
    <n v="217825.08"/>
    <n v="0.33003161222339306"/>
    <n v="107302.32"/>
  </r>
  <r>
    <x v="0"/>
    <s v="Bulgaria"/>
    <x v="10"/>
    <x v="1"/>
    <x v="0"/>
    <s v="5/5/2012"/>
    <d v="2012-05-05T00:00:00"/>
    <n v="5"/>
    <s v="May"/>
    <x v="5"/>
    <s v="May-2012"/>
    <n v="179819428"/>
    <d v="2012-06-02T00:00:00"/>
    <n v="2"/>
    <s v="Jun"/>
    <n v="2012"/>
    <s v="Jun-2012"/>
    <s v="6/2/2012"/>
    <n v="28"/>
    <n v="1420"/>
    <n v="437.2"/>
    <n v="263.33"/>
    <n v="437.2"/>
    <n v="620824"/>
    <n v="373928.6"/>
    <n v="0.39768984446477584"/>
    <n v="246895.4"/>
  </r>
  <r>
    <x v="0"/>
    <s v="Bosnia and Herzegovina"/>
    <x v="4"/>
    <x v="1"/>
    <x v="3"/>
    <s v="1/5/2013"/>
    <d v="2013-01-05T00:00:00"/>
    <n v="5"/>
    <s v="Jan"/>
    <x v="1"/>
    <s v="Jan-2013"/>
    <n v="291305768"/>
    <d v="2013-01-06T00:00:00"/>
    <n v="6"/>
    <s v="Jan"/>
    <n v="2013"/>
    <s v="Jan-2013"/>
    <s v="1/6/2013"/>
    <n v="1"/>
    <n v="2705"/>
    <n v="9.33"/>
    <n v="6.92"/>
    <n v="9.33"/>
    <n v="25237.65"/>
    <n v="18718.599999999999"/>
    <n v="0.25830653804930331"/>
    <n v="6519.05"/>
  </r>
  <r>
    <x v="0"/>
    <s v="Russia"/>
    <x v="11"/>
    <x v="1"/>
    <x v="2"/>
    <s v="4/24/2015"/>
    <d v="2015-04-24T00:00:00"/>
    <n v="24"/>
    <s v="Apr"/>
    <x v="6"/>
    <s v="Apr-2015"/>
    <n v="602357041"/>
    <d v="2015-05-05T00:00:00"/>
    <n v="5"/>
    <s v="May"/>
    <n v="2015"/>
    <s v="May-2015"/>
    <s v="5/5/2015"/>
    <n v="11"/>
    <n v="9689"/>
    <n v="81.73"/>
    <n v="56.67"/>
    <n v="81.73"/>
    <n v="791881.97"/>
    <n v="549075.63"/>
    <n v="0.30661935641747218"/>
    <n v="242806.34"/>
  </r>
  <r>
    <x v="0"/>
    <s v="Albania"/>
    <x v="7"/>
    <x v="1"/>
    <x v="3"/>
    <s v="12/2/2010"/>
    <d v="2010-12-02T00:00:00"/>
    <n v="2"/>
    <s v="Dec"/>
    <x v="3"/>
    <s v="Dec-2010"/>
    <n v="653087270"/>
    <d v="2010-12-07T00:00:00"/>
    <n v="7"/>
    <s v="Dec"/>
    <n v="2010"/>
    <s v="Dec-2010"/>
    <s v="12/7/2010"/>
    <n v="5"/>
    <n v="1891"/>
    <n v="152.58000000000001"/>
    <n v="97.44"/>
    <n v="152.58000000000001"/>
    <n v="288528.78000000003"/>
    <n v="184259.04"/>
    <n v="0.36138419189933146"/>
    <n v="104269.74"/>
  </r>
  <r>
    <x v="0"/>
    <s v="Slovenia"/>
    <x v="4"/>
    <x v="0"/>
    <x v="1"/>
    <s v="12/15/2013"/>
    <d v="2013-12-15T00:00:00"/>
    <n v="15"/>
    <s v="Dec"/>
    <x v="1"/>
    <s v="Dec-2013"/>
    <n v="812637078"/>
    <d v="2014-01-05T00:00:00"/>
    <n v="5"/>
    <s v="Jan"/>
    <n v="2014"/>
    <s v="Jan-2014"/>
    <s v="1/5/2014"/>
    <n v="21"/>
    <n v="6225"/>
    <n v="9.33"/>
    <n v="6.92"/>
    <n v="9.33"/>
    <n v="58079.25"/>
    <n v="43077"/>
    <n v="0.25830653804930331"/>
    <n v="15002.25"/>
  </r>
  <r>
    <x v="0"/>
    <s v="Macedonia"/>
    <x v="11"/>
    <x v="1"/>
    <x v="2"/>
    <s v="7/19/2014"/>
    <d v="2014-07-19T00:00:00"/>
    <n v="19"/>
    <s v="Jul"/>
    <x v="2"/>
    <s v="Jul-2014"/>
    <n v="456192958"/>
    <d v="2014-08-18T00:00:00"/>
    <n v="18"/>
    <s v="Aug"/>
    <n v="2014"/>
    <s v="Aug-2014"/>
    <s v="8/18/2014"/>
    <n v="30"/>
    <n v="6489"/>
    <n v="81.73"/>
    <n v="56.67"/>
    <n v="81.72999999999999"/>
    <n v="530345.97"/>
    <n v="367731.63"/>
    <n v="0.30661935641747218"/>
    <n v="162614.34"/>
  </r>
  <r>
    <x v="0"/>
    <s v="Albania"/>
    <x v="6"/>
    <x v="0"/>
    <x v="3"/>
    <s v="1/31/2013"/>
    <d v="2013-01-31T00:00:00"/>
    <n v="31"/>
    <s v="Jan"/>
    <x v="1"/>
    <s v="Jan-2013"/>
    <n v="986449801"/>
    <d v="2013-03-13T00:00:00"/>
    <n v="13"/>
    <s v="Mar"/>
    <n v="2013"/>
    <s v="Mar-2013"/>
    <s v="3/13/2013"/>
    <n v="41"/>
    <n v="1272"/>
    <n v="421.89"/>
    <n v="364.69"/>
    <n v="421.89"/>
    <n v="536644.07999999996"/>
    <n v="463885.68"/>
    <n v="0.13558036455000119"/>
    <n v="72758.399999999994"/>
  </r>
  <r>
    <x v="0"/>
    <s v="Sweden"/>
    <x v="10"/>
    <x v="1"/>
    <x v="2"/>
    <s v="7/3/2017"/>
    <d v="2017-07-03T00:00:00"/>
    <n v="3"/>
    <s v="Jul"/>
    <x v="7"/>
    <s v="Jul-2017"/>
    <n v="910610234"/>
    <d v="2017-07-31T00:00:00"/>
    <n v="31"/>
    <s v="Jul"/>
    <n v="2017"/>
    <s v="Jul-2017"/>
    <s v="7/31/2017"/>
    <n v="28"/>
    <n v="8659"/>
    <n v="437.2"/>
    <n v="263.33"/>
    <n v="437.2"/>
    <n v="3785714.8"/>
    <n v="2280174.4700000002"/>
    <n v="0.3976898444647759"/>
    <n v="1505540.33"/>
  </r>
  <r>
    <x v="0"/>
    <s v="Norway"/>
    <x v="6"/>
    <x v="1"/>
    <x v="1"/>
    <s v="3/3/2017"/>
    <d v="2017-03-03T00:00:00"/>
    <n v="3"/>
    <s v="Mar"/>
    <x v="7"/>
    <s v="Mar-2017"/>
    <n v="696844613"/>
    <d v="2017-03-22T00:00:00"/>
    <n v="22"/>
    <s v="Mar"/>
    <n v="2017"/>
    <s v="Mar-2017"/>
    <s v="3/22/2017"/>
    <n v="19"/>
    <n v="661"/>
    <n v="421.89"/>
    <n v="364.69"/>
    <n v="421.89"/>
    <n v="278869.28999999998"/>
    <n v="241060.09"/>
    <n v="0.13558036455000119"/>
    <n v="37809.199999999997"/>
  </r>
  <r>
    <x v="0"/>
    <s v="Czech Republic"/>
    <x v="11"/>
    <x v="1"/>
    <x v="1"/>
    <s v="12/4/2010"/>
    <d v="2010-12-04T00:00:00"/>
    <n v="4"/>
    <s v="Dec"/>
    <x v="3"/>
    <s v="Dec-2010"/>
    <n v="353415429"/>
    <d v="2010-12-08T00:00:00"/>
    <n v="8"/>
    <s v="Dec"/>
    <n v="2010"/>
    <s v="Dec-2010"/>
    <s v="12/8/2010"/>
    <n v="4"/>
    <n v="2334"/>
    <n v="81.73"/>
    <n v="56.67"/>
    <n v="81.73"/>
    <n v="190757.82"/>
    <n v="132267.78"/>
    <n v="0.30661935641747218"/>
    <n v="58490.04"/>
  </r>
  <r>
    <x v="0"/>
    <s v="Andorra"/>
    <x v="2"/>
    <x v="1"/>
    <x v="3"/>
    <s v="3/19/2010"/>
    <d v="2010-03-19T00:00:00"/>
    <n v="19"/>
    <s v="Mar"/>
    <x v="3"/>
    <s v="Mar-2010"/>
    <n v="696197879"/>
    <d v="2010-03-26T00:00:00"/>
    <n v="26"/>
    <s v="Mar"/>
    <n v="2010"/>
    <s v="Mar-2010"/>
    <s v="3/26/2010"/>
    <n v="7"/>
    <n v="9278"/>
    <n v="205.7"/>
    <n v="117.11"/>
    <n v="205.70000000000002"/>
    <n v="1908484.6"/>
    <n v="1086546.58"/>
    <n v="0.43067574137092851"/>
    <n v="821938.02"/>
  </r>
  <r>
    <x v="0"/>
    <s v="Iceland"/>
    <x v="10"/>
    <x v="1"/>
    <x v="0"/>
    <s v="4/5/2012"/>
    <d v="2012-04-05T00:00:00"/>
    <n v="5"/>
    <s v="Apr"/>
    <x v="5"/>
    <s v="Apr-2012"/>
    <n v="907349526"/>
    <d v="2012-05-16T00:00:00"/>
    <n v="16"/>
    <s v="May"/>
    <n v="2012"/>
    <s v="May-2012"/>
    <s v="5/16/2012"/>
    <n v="41"/>
    <n v="3743"/>
    <n v="437.2"/>
    <n v="263.33"/>
    <n v="437.20000000000005"/>
    <n v="1636439.6"/>
    <n v="985644.19"/>
    <n v="0.39768984446477584"/>
    <n v="650795.41"/>
  </r>
  <r>
    <x v="0"/>
    <s v="Poland"/>
    <x v="11"/>
    <x v="0"/>
    <x v="0"/>
    <s v="4/5/2014"/>
    <d v="2014-04-05T00:00:00"/>
    <n v="5"/>
    <s v="Apr"/>
    <x v="2"/>
    <s v="Apr-2014"/>
    <n v="386440074"/>
    <d v="2014-04-25T00:00:00"/>
    <n v="25"/>
    <s v="Apr"/>
    <n v="2014"/>
    <s v="Apr-2014"/>
    <s v="4/25/2014"/>
    <n v="20"/>
    <n v="5060"/>
    <n v="81.73"/>
    <n v="56.67"/>
    <n v="81.73"/>
    <n v="413553.8"/>
    <n v="286750.2"/>
    <n v="0.30661935641747218"/>
    <n v="126803.6"/>
  </r>
  <r>
    <x v="0"/>
    <s v="Finland"/>
    <x v="5"/>
    <x v="1"/>
    <x v="3"/>
    <s v="9/28/2012"/>
    <d v="2012-09-28T00:00:00"/>
    <n v="28"/>
    <s v="Sep"/>
    <x v="5"/>
    <s v="Sep-2012"/>
    <n v="800352561"/>
    <d v="2012-10-21T00:00:00"/>
    <n v="21"/>
    <s v="Oct"/>
    <n v="2012"/>
    <s v="Oct-2012"/>
    <s v="10/21/2012"/>
    <n v="23"/>
    <n v="963"/>
    <n v="154.06"/>
    <n v="90.93"/>
    <n v="154.06"/>
    <n v="148359.78"/>
    <n v="87565.59"/>
    <n v="0.40977541217707386"/>
    <n v="60794.19"/>
  </r>
  <r>
    <x v="0"/>
    <s v="Poland"/>
    <x v="0"/>
    <x v="0"/>
    <x v="0"/>
    <s v="1/8/2014"/>
    <d v="2014-01-08T00:00:00"/>
    <n v="8"/>
    <s v="Jan"/>
    <x v="2"/>
    <s v="Jan-2014"/>
    <n v="714165675"/>
    <d v="2014-02-02T00:00:00"/>
    <n v="2"/>
    <s v="Feb"/>
    <n v="2014"/>
    <s v="Feb-2014"/>
    <s v="2/2/2014"/>
    <n v="25"/>
    <n v="6348"/>
    <n v="47.45"/>
    <n v="31.79"/>
    <n v="47.449999999999996"/>
    <n v="301212.59999999998"/>
    <n v="201802.92"/>
    <n v="0.33003161222339306"/>
    <n v="99409.68"/>
  </r>
  <r>
    <x v="0"/>
    <s v="Croatia"/>
    <x v="0"/>
    <x v="0"/>
    <x v="2"/>
    <s v="2/22/2013"/>
    <d v="2013-02-22T00:00:00"/>
    <n v="22"/>
    <s v="Feb"/>
    <x v="1"/>
    <s v="Feb-2013"/>
    <n v="189924275"/>
    <d v="2013-03-21T00:00:00"/>
    <n v="21"/>
    <s v="Mar"/>
    <n v="2013"/>
    <s v="Mar-2013"/>
    <s v="3/21/2013"/>
    <n v="27"/>
    <n v="1668"/>
    <n v="47.45"/>
    <n v="31.79"/>
    <n v="47.45"/>
    <n v="79146.600000000006"/>
    <n v="53025.72"/>
    <n v="0.33003161222339306"/>
    <n v="26120.880000000001"/>
  </r>
  <r>
    <x v="0"/>
    <s v="Poland"/>
    <x v="6"/>
    <x v="1"/>
    <x v="3"/>
    <s v="4/30/2013"/>
    <d v="2013-04-30T00:00:00"/>
    <n v="30"/>
    <s v="Apr"/>
    <x v="1"/>
    <s v="Apr-2013"/>
    <n v="546081721"/>
    <d v="2013-05-22T00:00:00"/>
    <n v="22"/>
    <s v="May"/>
    <n v="2013"/>
    <s v="May-2013"/>
    <s v="5/22/2013"/>
    <n v="22"/>
    <n v="6571"/>
    <n v="421.89"/>
    <n v="364.69"/>
    <n v="421.89"/>
    <n v="2772239.19"/>
    <n v="2396377.9900000002"/>
    <n v="0.13558036455000119"/>
    <n v="375861.2"/>
  </r>
  <r>
    <x v="0"/>
    <s v="Switzerland"/>
    <x v="8"/>
    <x v="1"/>
    <x v="0"/>
    <s v="6/26/2010"/>
    <d v="2010-06-26T00:00:00"/>
    <n v="26"/>
    <s v="Jun"/>
    <x v="3"/>
    <s v="Jun-2010"/>
    <n v="979073941"/>
    <d v="2010-07-18T00:00:00"/>
    <n v="18"/>
    <s v="Jul"/>
    <n v="2010"/>
    <s v="Jul-2010"/>
    <s v="7/18/2010"/>
    <n v="22"/>
    <n v="8591"/>
    <n v="255.28"/>
    <n v="159.41999999999999"/>
    <n v="255.28"/>
    <n v="2193110.48"/>
    <n v="1369577.22"/>
    <n v="0.37550924475086178"/>
    <n v="823533.26"/>
  </r>
  <r>
    <x v="0"/>
    <s v="Bosnia and Herzegovina"/>
    <x v="11"/>
    <x v="0"/>
    <x v="2"/>
    <s v="2/7/2010"/>
    <d v="2010-02-07T00:00:00"/>
    <n v="7"/>
    <s v="Feb"/>
    <x v="3"/>
    <s v="Feb-2010"/>
    <n v="396718728"/>
    <d v="2010-03-18T00:00:00"/>
    <n v="18"/>
    <s v="Mar"/>
    <n v="2010"/>
    <s v="Mar-2010"/>
    <s v="3/18/2010"/>
    <n v="39"/>
    <n v="6742"/>
    <n v="81.73"/>
    <n v="56.67"/>
    <n v="81.73"/>
    <n v="551023.66"/>
    <n v="382069.14"/>
    <n v="0.30661935641747212"/>
    <n v="168954.52"/>
  </r>
  <r>
    <x v="0"/>
    <s v="Hungary"/>
    <x v="0"/>
    <x v="0"/>
    <x v="1"/>
    <s v="12/3/2010"/>
    <d v="2010-12-03T00:00:00"/>
    <n v="3"/>
    <s v="Dec"/>
    <x v="3"/>
    <s v="Dec-2010"/>
    <n v="948075759"/>
    <d v="2011-01-04T00:00:00"/>
    <n v="4"/>
    <s v="Jan"/>
    <n v="2011"/>
    <s v="Jan-2011"/>
    <s v="1/4/2011"/>
    <n v="32"/>
    <n v="5540"/>
    <n v="47.45"/>
    <n v="31.79"/>
    <n v="47.45"/>
    <n v="262873"/>
    <n v="176116.6"/>
    <n v="0.330031612223393"/>
    <n v="86756.4"/>
  </r>
  <r>
    <x v="0"/>
    <s v="Sweden"/>
    <x v="2"/>
    <x v="0"/>
    <x v="2"/>
    <s v="10/19/2012"/>
    <d v="2012-10-19T00:00:00"/>
    <n v="19"/>
    <s v="Oct"/>
    <x v="5"/>
    <s v="Oct-2012"/>
    <n v="737736070"/>
    <d v="2012-11-03T00:00:00"/>
    <n v="3"/>
    <s v="Nov"/>
    <n v="2012"/>
    <s v="Nov-2012"/>
    <s v="11/3/2012"/>
    <n v="15"/>
    <n v="1352"/>
    <n v="205.7"/>
    <n v="117.11"/>
    <n v="205.70000000000002"/>
    <n v="278106.40000000002"/>
    <n v="158332.72"/>
    <n v="0.43067574137092846"/>
    <n v="119773.68"/>
  </r>
  <r>
    <x v="0"/>
    <s v="Slovakia"/>
    <x v="9"/>
    <x v="0"/>
    <x v="2"/>
    <s v="2/20/2010"/>
    <d v="2010-02-20T00:00:00"/>
    <n v="20"/>
    <s v="Feb"/>
    <x v="3"/>
    <s v="Feb-2010"/>
    <n v="585362994"/>
    <d v="2010-04-11T00:00:00"/>
    <n v="11"/>
    <s v="Apr"/>
    <n v="2010"/>
    <s v="Apr-2010"/>
    <s v="4/11/2010"/>
    <n v="50"/>
    <n v="773"/>
    <n v="668.27"/>
    <n v="502.54"/>
    <n v="668.27"/>
    <n v="516572.71"/>
    <n v="388463.42"/>
    <n v="0.24799856345489096"/>
    <n v="128109.29"/>
  </r>
  <r>
    <x v="0"/>
    <s v="Czech Republic"/>
    <x v="8"/>
    <x v="0"/>
    <x v="3"/>
    <s v="7/18/2015"/>
    <d v="2015-07-18T00:00:00"/>
    <n v="18"/>
    <s v="Jul"/>
    <x v="6"/>
    <s v="Jul-2015"/>
    <n v="850872075"/>
    <d v="2015-08-01T00:00:00"/>
    <n v="1"/>
    <s v="Aug"/>
    <n v="2015"/>
    <s v="Aug-2015"/>
    <s v="8/1/2015"/>
    <n v="14"/>
    <n v="810"/>
    <n v="255.28"/>
    <n v="159.41999999999999"/>
    <n v="255.27999999999997"/>
    <n v="206776.8"/>
    <n v="129130.2"/>
    <n v="0.37550924475086184"/>
    <n v="77646.600000000006"/>
  </r>
  <r>
    <x v="0"/>
    <s v="Bosnia and Herzegovina"/>
    <x v="3"/>
    <x v="0"/>
    <x v="0"/>
    <s v="11/8/2012"/>
    <d v="2012-11-08T00:00:00"/>
    <n v="8"/>
    <s v="Nov"/>
    <x v="5"/>
    <s v="Nov-2012"/>
    <n v="575583016"/>
    <d v="2012-11-24T00:00:00"/>
    <n v="24"/>
    <s v="Nov"/>
    <n v="2012"/>
    <s v="Nov-2012"/>
    <s v="11/24/2012"/>
    <n v="16"/>
    <n v="6660"/>
    <n v="651.21"/>
    <n v="524.96"/>
    <n v="651.20999999999992"/>
    <n v="4337058.5999999996"/>
    <n v="3496233.6"/>
    <n v="0.19386987300563568"/>
    <n v="840825"/>
  </r>
  <r>
    <x v="0"/>
    <s v="Kosovo"/>
    <x v="6"/>
    <x v="0"/>
    <x v="3"/>
    <s v="2/1/2011"/>
    <d v="2011-02-01T00:00:00"/>
    <n v="1"/>
    <s v="Feb"/>
    <x v="0"/>
    <s v="Feb-2011"/>
    <n v="515773189"/>
    <d v="2011-02-17T00:00:00"/>
    <n v="17"/>
    <s v="Feb"/>
    <n v="2011"/>
    <s v="Feb-2011"/>
    <s v="2/17/2011"/>
    <n v="16"/>
    <n v="7603"/>
    <n v="421.89"/>
    <n v="364.69"/>
    <n v="421.89"/>
    <n v="3207629.67"/>
    <n v="2772738.07"/>
    <n v="0.13558036455000119"/>
    <n v="434891.6"/>
  </r>
  <r>
    <x v="0"/>
    <s v="Monaco"/>
    <x v="11"/>
    <x v="1"/>
    <x v="3"/>
    <s v="3/29/2016"/>
    <d v="2016-03-29T00:00:00"/>
    <n v="29"/>
    <s v="Mar"/>
    <x v="4"/>
    <s v="Mar-2016"/>
    <n v="351247346"/>
    <d v="2016-05-08T00:00:00"/>
    <n v="8"/>
    <s v="May"/>
    <n v="2016"/>
    <s v="May-2016"/>
    <s v="5/8/2016"/>
    <n v="40"/>
    <n v="750"/>
    <n v="81.73"/>
    <n v="56.67"/>
    <n v="81.73"/>
    <n v="61297.5"/>
    <n v="42502.5"/>
    <n v="0.30661935641747218"/>
    <n v="18795"/>
  </r>
  <r>
    <x v="0"/>
    <s v="Portugal"/>
    <x v="0"/>
    <x v="0"/>
    <x v="3"/>
    <s v="1/20/2016"/>
    <d v="2016-01-20T00:00:00"/>
    <n v="20"/>
    <s v="Jan"/>
    <x v="4"/>
    <s v="Jan-2016"/>
    <n v="554721438"/>
    <d v="2016-01-28T00:00:00"/>
    <n v="28"/>
    <s v="Jan"/>
    <n v="2016"/>
    <s v="Jan-2016"/>
    <s v="1/28/2016"/>
    <n v="8"/>
    <n v="3256"/>
    <n v="47.45"/>
    <n v="31.79"/>
    <n v="47.45"/>
    <n v="154497.20000000001"/>
    <n v="103508.24"/>
    <n v="0.330031612223393"/>
    <n v="50988.959999999999"/>
  </r>
  <r>
    <x v="0"/>
    <s v="Germany"/>
    <x v="2"/>
    <x v="0"/>
    <x v="0"/>
    <s v="2/19/2010"/>
    <d v="2010-02-19T00:00:00"/>
    <n v="19"/>
    <s v="Feb"/>
    <x v="3"/>
    <s v="Feb-2010"/>
    <n v="398333632"/>
    <d v="2010-03-02T00:00:00"/>
    <n v="2"/>
    <s v="Mar"/>
    <n v="2010"/>
    <s v="Mar-2010"/>
    <s v="3/2/2010"/>
    <n v="11"/>
    <n v="4629"/>
    <n v="205.7"/>
    <n v="117.11"/>
    <n v="205.70000000000002"/>
    <n v="952185.3"/>
    <n v="542102.18999999994"/>
    <n v="0.43067574137092851"/>
    <n v="410083.11"/>
  </r>
  <r>
    <x v="0"/>
    <s v="Vatican City"/>
    <x v="0"/>
    <x v="1"/>
    <x v="0"/>
    <s v="12/27/2015"/>
    <d v="2015-12-27T00:00:00"/>
    <n v="27"/>
    <s v="Dec"/>
    <x v="6"/>
    <s v="Dec-2015"/>
    <n v="370484149"/>
    <d v="2016-01-19T00:00:00"/>
    <n v="19"/>
    <s v="Jan"/>
    <n v="2016"/>
    <s v="Jan-2016"/>
    <s v="1/19/2016"/>
    <n v="23"/>
    <n v="3348"/>
    <n v="47.45"/>
    <n v="31.79"/>
    <n v="47.45"/>
    <n v="158862.6"/>
    <n v="106432.92"/>
    <n v="0.33003161222339306"/>
    <n v="52429.68"/>
  </r>
  <r>
    <x v="0"/>
    <s v="Denmark"/>
    <x v="8"/>
    <x v="0"/>
    <x v="3"/>
    <s v="9/29/2013"/>
    <d v="2013-09-29T00:00:00"/>
    <n v="29"/>
    <s v="Sep"/>
    <x v="1"/>
    <s v="Sep-2013"/>
    <n v="306839406"/>
    <d v="2013-10-01T00:00:00"/>
    <n v="1"/>
    <s v="Oct"/>
    <n v="2013"/>
    <s v="Oct-2013"/>
    <s v="10/1/2013"/>
    <n v="2"/>
    <n v="9454"/>
    <n v="255.28"/>
    <n v="159.41999999999999"/>
    <n v="255.28"/>
    <n v="2413417.12"/>
    <n v="1507156.68"/>
    <n v="0.37550924475086178"/>
    <n v="906260.44"/>
  </r>
  <r>
    <x v="0"/>
    <s v="Estonia"/>
    <x v="0"/>
    <x v="0"/>
    <x v="0"/>
    <s v="2/9/2017"/>
    <d v="2017-02-09T00:00:00"/>
    <n v="9"/>
    <s v="Feb"/>
    <x v="7"/>
    <s v="Feb-2017"/>
    <n v="653548610"/>
    <d v="2017-02-21T00:00:00"/>
    <n v="21"/>
    <s v="Feb"/>
    <n v="2017"/>
    <s v="Feb-2017"/>
    <s v="2/21/2017"/>
    <n v="12"/>
    <n v="8412"/>
    <n v="47.45"/>
    <n v="31.79"/>
    <n v="47.45"/>
    <n v="399149.4"/>
    <n v="267417.48"/>
    <n v="0.33003161222339306"/>
    <n v="131731.92000000001"/>
  </r>
  <r>
    <x v="0"/>
    <s v="Belarus"/>
    <x v="5"/>
    <x v="1"/>
    <x v="2"/>
    <s v="12/31/2012"/>
    <d v="2012-12-31T00:00:00"/>
    <n v="31"/>
    <s v="Dec"/>
    <x v="5"/>
    <s v="Dec-2012"/>
    <n v="413078916"/>
    <d v="2013-01-11T00:00:00"/>
    <n v="11"/>
    <s v="Jan"/>
    <n v="2013"/>
    <s v="Jan-2013"/>
    <s v="1/11/2013"/>
    <n v="11"/>
    <n v="8086"/>
    <n v="154.06"/>
    <n v="90.93"/>
    <n v="154.06"/>
    <n v="1245729.1599999999"/>
    <n v="735259.98"/>
    <n v="0.40977541217707392"/>
    <n v="510469.18"/>
  </r>
  <r>
    <x v="0"/>
    <s v="Italy"/>
    <x v="7"/>
    <x v="1"/>
    <x v="1"/>
    <s v="12/14/2010"/>
    <d v="2010-12-14T00:00:00"/>
    <n v="14"/>
    <s v="Dec"/>
    <x v="3"/>
    <s v="Dec-2010"/>
    <n v="307721745"/>
    <d v="2011-01-01T00:00:00"/>
    <n v="1"/>
    <s v="Jan"/>
    <n v="2011"/>
    <s v="Jan-2011"/>
    <s v="1/1/2011"/>
    <n v="18"/>
    <n v="558"/>
    <n v="152.58000000000001"/>
    <n v="97.44"/>
    <n v="152.58000000000001"/>
    <n v="85139.64"/>
    <n v="54371.519999999997"/>
    <n v="0.36138419189933146"/>
    <n v="30768.12"/>
  </r>
  <r>
    <x v="0"/>
    <s v="Kosovo"/>
    <x v="3"/>
    <x v="1"/>
    <x v="0"/>
    <s v="11/9/2011"/>
    <d v="2011-11-09T00:00:00"/>
    <n v="9"/>
    <s v="Nov"/>
    <x v="0"/>
    <s v="Nov-2011"/>
    <n v="374663245"/>
    <d v="2011-11-26T00:00:00"/>
    <n v="26"/>
    <s v="Nov"/>
    <n v="2011"/>
    <s v="Nov-2011"/>
    <s v="11/26/2011"/>
    <n v="17"/>
    <n v="35"/>
    <n v="651.21"/>
    <n v="524.96"/>
    <n v="651.20999999999992"/>
    <n v="22792.35"/>
    <n v="18373.599999999999"/>
    <n v="0.19386987300563568"/>
    <n v="4418.75"/>
  </r>
  <r>
    <x v="0"/>
    <s v="Ireland"/>
    <x v="5"/>
    <x v="0"/>
    <x v="0"/>
    <s v="11/16/2010"/>
    <d v="2010-11-16T00:00:00"/>
    <n v="16"/>
    <s v="Nov"/>
    <x v="3"/>
    <s v="Nov-2010"/>
    <n v="901670968"/>
    <d v="2010-12-11T00:00:00"/>
    <n v="11"/>
    <s v="Dec"/>
    <n v="2010"/>
    <s v="Dec-2010"/>
    <s v="12/11/2010"/>
    <n v="25"/>
    <n v="3331"/>
    <n v="154.06"/>
    <n v="90.93"/>
    <n v="154.06"/>
    <n v="513173.86"/>
    <n v="302887.83"/>
    <n v="0.40977541217707386"/>
    <n v="210286.03"/>
  </r>
  <r>
    <x v="0"/>
    <s v="Montenegro"/>
    <x v="10"/>
    <x v="0"/>
    <x v="2"/>
    <s v="8/19/2012"/>
    <d v="2012-08-19T00:00:00"/>
    <n v="19"/>
    <s v="Aug"/>
    <x v="5"/>
    <s v="Aug-2012"/>
    <n v="353320157"/>
    <d v="2012-08-22T00:00:00"/>
    <n v="22"/>
    <s v="Aug"/>
    <n v="2012"/>
    <s v="Aug-2012"/>
    <s v="8/22/2012"/>
    <n v="3"/>
    <n v="4141"/>
    <n v="437.2"/>
    <n v="263.33"/>
    <n v="437.2"/>
    <n v="1810445.2"/>
    <n v="1090449.53"/>
    <n v="0.3976898444647759"/>
    <n v="719995.67"/>
  </r>
  <r>
    <x v="0"/>
    <s v="Norway"/>
    <x v="2"/>
    <x v="0"/>
    <x v="2"/>
    <s v="6/20/2013"/>
    <d v="2013-06-20T00:00:00"/>
    <n v="20"/>
    <s v="Jun"/>
    <x v="1"/>
    <s v="Jun-2013"/>
    <n v="645701968"/>
    <d v="2013-07-21T00:00:00"/>
    <n v="21"/>
    <s v="Jul"/>
    <n v="2013"/>
    <s v="Jul-2013"/>
    <s v="7/21/2013"/>
    <n v="31"/>
    <n v="6416"/>
    <n v="205.7"/>
    <n v="117.11"/>
    <n v="205.7"/>
    <n v="1319771.2"/>
    <n v="751377.76"/>
    <n v="0.43067574137092851"/>
    <n v="568393.43999999994"/>
  </r>
  <r>
    <x v="0"/>
    <s v="Poland"/>
    <x v="3"/>
    <x v="1"/>
    <x v="3"/>
    <s v="9/19/2013"/>
    <d v="2013-09-19T00:00:00"/>
    <n v="19"/>
    <s v="Sep"/>
    <x v="1"/>
    <s v="Sep-2013"/>
    <n v="148894631"/>
    <d v="2013-09-25T00:00:00"/>
    <n v="25"/>
    <s v="Sep"/>
    <n v="2013"/>
    <s v="Sep-2013"/>
    <s v="9/25/2013"/>
    <n v="6"/>
    <n v="85"/>
    <n v="651.21"/>
    <n v="524.96"/>
    <n v="651.21"/>
    <n v="55352.85"/>
    <n v="44621.599999999999"/>
    <n v="0.19386987300563566"/>
    <n v="10731.25"/>
  </r>
  <r>
    <x v="0"/>
    <s v="Sweden"/>
    <x v="8"/>
    <x v="1"/>
    <x v="2"/>
    <s v="4/3/2013"/>
    <d v="2013-04-03T00:00:00"/>
    <n v="3"/>
    <s v="Apr"/>
    <x v="1"/>
    <s v="Apr-2013"/>
    <n v="443551385"/>
    <d v="2013-05-09T00:00:00"/>
    <n v="9"/>
    <s v="May"/>
    <n v="2013"/>
    <s v="May-2013"/>
    <s v="5/9/2013"/>
    <n v="36"/>
    <n v="5566"/>
    <n v="255.28"/>
    <n v="159.41999999999999"/>
    <n v="255.28"/>
    <n v="1420888.48"/>
    <n v="887331.72"/>
    <n v="0.37550924475086184"/>
    <n v="533556.76"/>
  </r>
  <r>
    <x v="0"/>
    <s v="Vatican City"/>
    <x v="1"/>
    <x v="0"/>
    <x v="3"/>
    <s v="3/11/2014"/>
    <d v="2014-03-11T00:00:00"/>
    <n v="11"/>
    <s v="Mar"/>
    <x v="2"/>
    <s v="Mar-2014"/>
    <n v="508014523"/>
    <d v="2014-03-20T00:00:00"/>
    <n v="20"/>
    <s v="Mar"/>
    <n v="2014"/>
    <s v="Mar-2014"/>
    <s v="3/20/2014"/>
    <n v="9"/>
    <n v="1642"/>
    <n v="109.28"/>
    <n v="35.840000000000003"/>
    <n v="109.28"/>
    <n v="179437.76"/>
    <n v="58849.279999999999"/>
    <n v="0.67203513909224011"/>
    <n v="120588.48"/>
  </r>
  <r>
    <x v="0"/>
    <s v="Lithuania"/>
    <x v="3"/>
    <x v="1"/>
    <x v="0"/>
    <s v="7/8/2012"/>
    <d v="2012-07-08T00:00:00"/>
    <n v="8"/>
    <s v="Jul"/>
    <x v="5"/>
    <s v="Jul-2012"/>
    <n v="987767302"/>
    <d v="2012-08-01T00:00:00"/>
    <n v="1"/>
    <s v="Aug"/>
    <n v="2012"/>
    <s v="Aug-2012"/>
    <s v="8/1/2012"/>
    <n v="24"/>
    <n v="1150"/>
    <n v="651.21"/>
    <n v="524.96"/>
    <n v="651.21"/>
    <n v="748891.5"/>
    <n v="603704"/>
    <n v="0.19386987300563566"/>
    <n v="145187.5"/>
  </r>
  <r>
    <x v="0"/>
    <s v="Croatia"/>
    <x v="8"/>
    <x v="0"/>
    <x v="3"/>
    <s v="9/19/2012"/>
    <d v="2012-09-19T00:00:00"/>
    <n v="19"/>
    <s v="Sep"/>
    <x v="5"/>
    <s v="Sep-2012"/>
    <n v="103832662"/>
    <d v="2012-10-20T00:00:00"/>
    <n v="20"/>
    <s v="Oct"/>
    <n v="2012"/>
    <s v="Oct-2012"/>
    <s v="10/20/2012"/>
    <n v="31"/>
    <n v="5247"/>
    <n v="255.28"/>
    <n v="159.41999999999999"/>
    <n v="255.27999999999997"/>
    <n v="1339454.1599999999"/>
    <n v="836476.74"/>
    <n v="0.37550924475086184"/>
    <n v="502977.42"/>
  </r>
  <r>
    <x v="0"/>
    <s v="Malta"/>
    <x v="11"/>
    <x v="1"/>
    <x v="3"/>
    <s v="2/19/2014"/>
    <d v="2014-02-19T00:00:00"/>
    <n v="19"/>
    <s v="Feb"/>
    <x v="2"/>
    <s v="Feb-2014"/>
    <n v="445708739"/>
    <d v="2014-02-27T00:00:00"/>
    <n v="27"/>
    <s v="Feb"/>
    <n v="2014"/>
    <s v="Feb-2014"/>
    <s v="2/27/2014"/>
    <n v="8"/>
    <n v="3975"/>
    <n v="81.73"/>
    <n v="56.67"/>
    <n v="81.73"/>
    <n v="324876.75"/>
    <n v="225263.25"/>
    <n v="0.30661935641747218"/>
    <n v="99613.5"/>
  </r>
  <r>
    <x v="0"/>
    <s v="Macedonia"/>
    <x v="0"/>
    <x v="0"/>
    <x v="1"/>
    <s v="7/24/2012"/>
    <d v="2012-07-24T00:00:00"/>
    <n v="24"/>
    <s v="Jul"/>
    <x v="5"/>
    <s v="Jul-2012"/>
    <n v="354655683"/>
    <d v="2012-07-31T00:00:00"/>
    <n v="31"/>
    <s v="Jul"/>
    <n v="2012"/>
    <s v="Jul-2012"/>
    <s v="7/31/2012"/>
    <n v="7"/>
    <n v="9353"/>
    <n v="47.45"/>
    <n v="31.79"/>
    <n v="47.449999999999996"/>
    <n v="443799.85"/>
    <n v="297331.87"/>
    <n v="0.33003161222339311"/>
    <n v="146467.98000000001"/>
  </r>
  <r>
    <x v="0"/>
    <s v="Belarus"/>
    <x v="3"/>
    <x v="0"/>
    <x v="0"/>
    <s v="6/30/2017"/>
    <d v="2017-06-30T00:00:00"/>
    <n v="30"/>
    <s v="Jun"/>
    <x v="7"/>
    <s v="Jun-2017"/>
    <n v="624398362"/>
    <d v="2017-07-24T00:00:00"/>
    <n v="24"/>
    <s v="Jul"/>
    <n v="2017"/>
    <s v="Jul-2017"/>
    <s v="7/24/2017"/>
    <n v="24"/>
    <n v="2206"/>
    <n v="651.21"/>
    <n v="524.96"/>
    <n v="651.21"/>
    <n v="1436569.26"/>
    <n v="1158061.76"/>
    <n v="0.19386987300563566"/>
    <n v="278507.5"/>
  </r>
  <r>
    <x v="0"/>
    <s v="Liechtenstein"/>
    <x v="0"/>
    <x v="1"/>
    <x v="0"/>
    <s v="9/5/2016"/>
    <d v="2016-09-05T00:00:00"/>
    <n v="5"/>
    <s v="Sep"/>
    <x v="4"/>
    <s v="Sep-2016"/>
    <n v="264163959"/>
    <d v="2016-09-22T00:00:00"/>
    <n v="22"/>
    <s v="Sep"/>
    <n v="2016"/>
    <s v="Sep-2016"/>
    <s v="9/22/2016"/>
    <n v="17"/>
    <n v="840"/>
    <n v="47.45"/>
    <n v="31.79"/>
    <n v="47.45"/>
    <n v="39858"/>
    <n v="26703.599999999999"/>
    <n v="0.33003161222339306"/>
    <n v="13154.4"/>
  </r>
  <r>
    <x v="0"/>
    <s v="Russia"/>
    <x v="3"/>
    <x v="0"/>
    <x v="3"/>
    <s v="10/16/2011"/>
    <d v="2011-10-16T00:00:00"/>
    <n v="16"/>
    <s v="Oct"/>
    <x v="0"/>
    <s v="Oct-2011"/>
    <n v="520915305"/>
    <d v="2011-11-07T00:00:00"/>
    <n v="7"/>
    <s v="Nov"/>
    <n v="2011"/>
    <s v="Nov-2011"/>
    <s v="11/7/2011"/>
    <n v="22"/>
    <n v="9270"/>
    <n v="651.21"/>
    <n v="524.96"/>
    <n v="651.21"/>
    <n v="6036716.7000000002"/>
    <n v="4866379.2"/>
    <n v="0.19386987300563566"/>
    <n v="1170337.5"/>
  </r>
  <r>
    <x v="0"/>
    <s v="Armenia"/>
    <x v="2"/>
    <x v="1"/>
    <x v="3"/>
    <s v="2/5/2013"/>
    <d v="2013-02-05T00:00:00"/>
    <n v="5"/>
    <s v="Feb"/>
    <x v="1"/>
    <s v="Feb-2013"/>
    <n v="424181544"/>
    <d v="2013-03-04T00:00:00"/>
    <n v="4"/>
    <s v="Mar"/>
    <n v="2013"/>
    <s v="Mar-2013"/>
    <s v="3/4/2013"/>
    <n v="27"/>
    <n v="3600"/>
    <n v="205.7"/>
    <n v="117.11"/>
    <n v="205.7"/>
    <n v="740520"/>
    <n v="421596"/>
    <n v="0.43067574137092851"/>
    <n v="318924"/>
  </r>
  <r>
    <x v="0"/>
    <s v="United Kingdom"/>
    <x v="3"/>
    <x v="1"/>
    <x v="3"/>
    <s v="7/3/2015"/>
    <d v="2015-07-03T00:00:00"/>
    <n v="3"/>
    <s v="Jul"/>
    <x v="6"/>
    <s v="Jul-2015"/>
    <n v="560762631"/>
    <d v="2015-07-16T00:00:00"/>
    <n v="16"/>
    <s v="Jul"/>
    <n v="2015"/>
    <s v="Jul-2015"/>
    <s v="7/16/2015"/>
    <n v="13"/>
    <n v="979"/>
    <n v="651.21"/>
    <n v="524.96"/>
    <n v="651.20999999999992"/>
    <n v="637534.59"/>
    <n v="513935.84"/>
    <n v="0.19386987300563568"/>
    <n v="123598.75"/>
  </r>
  <r>
    <x v="0"/>
    <s v="Moldova "/>
    <x v="3"/>
    <x v="0"/>
    <x v="2"/>
    <s v="4/4/2015"/>
    <d v="2015-04-04T00:00:00"/>
    <n v="4"/>
    <s v="Apr"/>
    <x v="6"/>
    <s v="Apr-2015"/>
    <n v="458816373"/>
    <d v="2015-04-16T00:00:00"/>
    <n v="16"/>
    <s v="Apr"/>
    <n v="2015"/>
    <s v="Apr-2015"/>
    <s v="4/16/2015"/>
    <n v="12"/>
    <n v="2815"/>
    <n v="651.21"/>
    <n v="524.96"/>
    <n v="651.20999999999992"/>
    <n v="1833156.15"/>
    <n v="1477762.4"/>
    <n v="0.19386987300563568"/>
    <n v="355393.75"/>
  </r>
  <r>
    <x v="0"/>
    <s v="Netherlands"/>
    <x v="9"/>
    <x v="0"/>
    <x v="2"/>
    <s v="8/18/2013"/>
    <d v="2013-08-18T00:00:00"/>
    <n v="18"/>
    <s v="Aug"/>
    <x v="1"/>
    <s v="Aug-2013"/>
    <n v="142987763"/>
    <d v="2013-09-01T00:00:00"/>
    <n v="1"/>
    <s v="Sep"/>
    <n v="2013"/>
    <s v="Sep-2013"/>
    <s v="9/1/2013"/>
    <n v="14"/>
    <n v="2112"/>
    <n v="668.27"/>
    <n v="502.54"/>
    <n v="668.27"/>
    <n v="1411386.24"/>
    <n v="1061364.48"/>
    <n v="0.24799856345489099"/>
    <n v="350021.76"/>
  </r>
  <r>
    <x v="0"/>
    <s v="Andorra"/>
    <x v="7"/>
    <x v="0"/>
    <x v="0"/>
    <s v="1/23/2010"/>
    <d v="2010-01-23T00:00:00"/>
    <n v="23"/>
    <s v="Jan"/>
    <x v="3"/>
    <s v="Jan-2010"/>
    <n v="480904042"/>
    <d v="2010-02-05T00:00:00"/>
    <n v="5"/>
    <s v="Feb"/>
    <n v="2010"/>
    <s v="Feb-2010"/>
    <s v="2/5/2010"/>
    <n v="13"/>
    <n v="9048"/>
    <n v="152.58000000000001"/>
    <n v="97.44"/>
    <n v="152.58000000000001"/>
    <n v="1380543.84"/>
    <n v="881637.12"/>
    <n v="0.36138419189933146"/>
    <n v="498906.72"/>
  </r>
  <r>
    <x v="0"/>
    <s v="Armenia"/>
    <x v="5"/>
    <x v="1"/>
    <x v="1"/>
    <s v="12/7/2016"/>
    <d v="2016-12-07T00:00:00"/>
    <n v="7"/>
    <s v="Dec"/>
    <x v="4"/>
    <s v="Dec-2016"/>
    <n v="571323239"/>
    <d v="2017-01-01T00:00:00"/>
    <n v="1"/>
    <s v="Jan"/>
    <n v="2017"/>
    <s v="Jan-2017"/>
    <s v="1/1/2017"/>
    <n v="25"/>
    <n v="6097"/>
    <n v="154.06"/>
    <n v="90.93"/>
    <n v="154.06"/>
    <n v="939303.82"/>
    <n v="554400.21"/>
    <n v="0.40977541217707386"/>
    <n v="384903.61"/>
  </r>
  <r>
    <x v="0"/>
    <s v="Italy"/>
    <x v="7"/>
    <x v="1"/>
    <x v="3"/>
    <s v="9/16/2012"/>
    <d v="2012-09-16T00:00:00"/>
    <n v="16"/>
    <s v="Sep"/>
    <x v="5"/>
    <s v="Sep-2012"/>
    <n v="281100928"/>
    <d v="2012-11-03T00:00:00"/>
    <n v="3"/>
    <s v="Nov"/>
    <n v="2012"/>
    <s v="Nov-2012"/>
    <s v="11/3/2012"/>
    <n v="48"/>
    <n v="2866"/>
    <n v="152.58000000000001"/>
    <n v="97.44"/>
    <n v="152.58000000000001"/>
    <n v="437294.28"/>
    <n v="279263.03999999998"/>
    <n v="0.36138419189933146"/>
    <n v="158031.24"/>
  </r>
  <r>
    <x v="0"/>
    <s v="Croatia"/>
    <x v="9"/>
    <x v="1"/>
    <x v="2"/>
    <s v="4/26/2013"/>
    <d v="2013-04-26T00:00:00"/>
    <n v="26"/>
    <s v="Apr"/>
    <x v="1"/>
    <s v="Apr-2013"/>
    <n v="659196269"/>
    <d v="2013-06-01T00:00:00"/>
    <n v="1"/>
    <s v="Jun"/>
    <n v="2013"/>
    <s v="Jun-2013"/>
    <s v="6/1/2013"/>
    <n v="36"/>
    <n v="9680"/>
    <n v="668.27"/>
    <n v="502.54"/>
    <n v="668.27"/>
    <n v="6468853.5999999996"/>
    <n v="4864587.2"/>
    <n v="0.24799856345489099"/>
    <n v="1604266.4"/>
  </r>
  <r>
    <x v="0"/>
    <s v="Bulgaria"/>
    <x v="11"/>
    <x v="0"/>
    <x v="3"/>
    <s v="10/24/2012"/>
    <d v="2012-10-24T00:00:00"/>
    <n v="24"/>
    <s v="Oct"/>
    <x v="5"/>
    <s v="Oct-2012"/>
    <n v="595496594"/>
    <d v="2012-11-04T00:00:00"/>
    <n v="4"/>
    <s v="Nov"/>
    <n v="2012"/>
    <s v="Nov-2012"/>
    <s v="11/4/2012"/>
    <n v="11"/>
    <n v="9530"/>
    <n v="81.73"/>
    <n v="56.67"/>
    <n v="81.73"/>
    <n v="778886.9"/>
    <n v="540065.1"/>
    <n v="0.30661935641747212"/>
    <n v="238821.8"/>
  </r>
  <r>
    <x v="0"/>
    <s v="Ireland"/>
    <x v="11"/>
    <x v="0"/>
    <x v="3"/>
    <s v="5/30/2010"/>
    <d v="2010-05-30T00:00:00"/>
    <n v="30"/>
    <s v="May"/>
    <x v="3"/>
    <s v="May-2010"/>
    <n v="354931628"/>
    <d v="2010-06-08T00:00:00"/>
    <n v="8"/>
    <s v="Jun"/>
    <n v="2010"/>
    <s v="Jun-2010"/>
    <s v="6/8/2010"/>
    <n v="9"/>
    <n v="1011"/>
    <n v="81.73"/>
    <n v="56.67"/>
    <n v="81.73"/>
    <n v="82629.03"/>
    <n v="57293.37"/>
    <n v="0.30661935641747218"/>
    <n v="25335.66"/>
  </r>
  <r>
    <x v="0"/>
    <s v="Spain"/>
    <x v="6"/>
    <x v="0"/>
    <x v="0"/>
    <s v="11/29/2011"/>
    <d v="2011-11-29T00:00:00"/>
    <n v="29"/>
    <s v="Nov"/>
    <x v="0"/>
    <s v="Nov-2011"/>
    <n v="436969029"/>
    <d v="2011-12-17T00:00:00"/>
    <n v="17"/>
    <s v="Dec"/>
    <n v="2011"/>
    <s v="Dec-2011"/>
    <s v="12/17/2011"/>
    <n v="18"/>
    <n v="7701"/>
    <n v="421.89"/>
    <n v="364.69"/>
    <n v="421.89000000000004"/>
    <n v="3248974.89"/>
    <n v="2808477.69"/>
    <n v="0.13558036455000119"/>
    <n v="440497.2"/>
  </r>
  <r>
    <x v="0"/>
    <s v="Moldova "/>
    <x v="5"/>
    <x v="1"/>
    <x v="2"/>
    <s v="3/28/2016"/>
    <d v="2016-03-28T00:00:00"/>
    <n v="28"/>
    <s v="Mar"/>
    <x v="4"/>
    <s v="Mar-2016"/>
    <n v="810752236"/>
    <d v="2016-05-04T00:00:00"/>
    <n v="4"/>
    <s v="May"/>
    <n v="2016"/>
    <s v="May-2016"/>
    <s v="5/4/2016"/>
    <n v="37"/>
    <n v="8458"/>
    <n v="154.06"/>
    <n v="90.93"/>
    <n v="154.06"/>
    <n v="1303039.48"/>
    <n v="769085.94"/>
    <n v="0.40977541217707392"/>
    <n v="533953.54"/>
  </r>
  <r>
    <x v="0"/>
    <s v="Italy"/>
    <x v="3"/>
    <x v="0"/>
    <x v="0"/>
    <s v="7/8/2011"/>
    <d v="2011-07-08T00:00:00"/>
    <n v="8"/>
    <s v="Jul"/>
    <x v="0"/>
    <s v="Jul-2011"/>
    <n v="886620128"/>
    <d v="2011-07-25T00:00:00"/>
    <n v="25"/>
    <s v="Jul"/>
    <n v="2011"/>
    <s v="Jul-2011"/>
    <s v="7/25/2011"/>
    <n v="17"/>
    <n v="9453"/>
    <n v="651.21"/>
    <n v="524.96"/>
    <n v="651.21"/>
    <n v="6155888.1299999999"/>
    <n v="4962446.88"/>
    <n v="0.19386987300563566"/>
    <n v="1193441.25"/>
  </r>
  <r>
    <x v="0"/>
    <s v="Finland"/>
    <x v="2"/>
    <x v="0"/>
    <x v="1"/>
    <s v="4/10/2010"/>
    <d v="2010-04-10T00:00:00"/>
    <n v="10"/>
    <s v="Apr"/>
    <x v="3"/>
    <s v="Apr-2010"/>
    <n v="889093768"/>
    <d v="2010-05-20T00:00:00"/>
    <n v="20"/>
    <s v="May"/>
    <n v="2010"/>
    <s v="May-2010"/>
    <s v="5/20/2010"/>
    <n v="40"/>
    <n v="1458"/>
    <n v="205.7"/>
    <n v="117.11"/>
    <n v="205.7"/>
    <n v="299910.59999999998"/>
    <n v="170746.38"/>
    <n v="0.43067574137092857"/>
    <n v="129164.22"/>
  </r>
  <r>
    <x v="0"/>
    <s v="Poland"/>
    <x v="2"/>
    <x v="1"/>
    <x v="0"/>
    <s v="8/6/2011"/>
    <d v="2011-08-06T00:00:00"/>
    <n v="6"/>
    <s v="Aug"/>
    <x v="0"/>
    <s v="Aug-2011"/>
    <n v="454550588"/>
    <d v="2011-09-06T00:00:00"/>
    <n v="6"/>
    <s v="Sep"/>
    <n v="2011"/>
    <s v="Sep-2011"/>
    <s v="9/6/2011"/>
    <n v="31"/>
    <n v="475"/>
    <n v="205.7"/>
    <n v="117.11"/>
    <n v="205.7"/>
    <n v="97707.5"/>
    <n v="55627.25"/>
    <n v="0.43067574137092851"/>
    <n v="42080.25"/>
  </r>
  <r>
    <x v="0"/>
    <s v="Austria"/>
    <x v="3"/>
    <x v="1"/>
    <x v="2"/>
    <s v="2/18/2017"/>
    <d v="2017-02-18T00:00:00"/>
    <n v="18"/>
    <s v="Feb"/>
    <x v="7"/>
    <s v="Feb-2017"/>
    <n v="926064479"/>
    <d v="2017-03-10T00:00:00"/>
    <n v="10"/>
    <s v="Mar"/>
    <n v="2017"/>
    <s v="Mar-2017"/>
    <s v="3/10/2017"/>
    <n v="20"/>
    <n v="1913"/>
    <n v="651.21"/>
    <n v="524.96"/>
    <n v="651.21"/>
    <n v="1245764.73"/>
    <n v="1004248.48"/>
    <n v="0.19386987300563566"/>
    <n v="241516.25"/>
  </r>
  <r>
    <x v="0"/>
    <s v="Andorra"/>
    <x v="4"/>
    <x v="0"/>
    <x v="0"/>
    <s v="6/29/2016"/>
    <d v="2016-06-29T00:00:00"/>
    <n v="29"/>
    <s v="Jun"/>
    <x v="4"/>
    <s v="Jun-2016"/>
    <n v="413245427"/>
    <d v="2016-07-02T00:00:00"/>
    <n v="2"/>
    <s v="Jul"/>
    <n v="2016"/>
    <s v="Jul-2016"/>
    <s v="7/2/2016"/>
    <n v="3"/>
    <n v="7360"/>
    <n v="9.33"/>
    <n v="6.92"/>
    <n v="9.33"/>
    <n v="68668.800000000003"/>
    <n v="50931.199999999997"/>
    <n v="0.25830653804930331"/>
    <n v="17737.599999999999"/>
  </r>
  <r>
    <x v="0"/>
    <s v="Finland"/>
    <x v="0"/>
    <x v="1"/>
    <x v="3"/>
    <s v="9/18/2011"/>
    <d v="2011-09-18T00:00:00"/>
    <n v="18"/>
    <s v="Sep"/>
    <x v="0"/>
    <s v="Sep-2011"/>
    <n v="884147775"/>
    <d v="2011-10-19T00:00:00"/>
    <n v="19"/>
    <s v="Oct"/>
    <n v="2011"/>
    <s v="Oct-2011"/>
    <s v="10/19/2011"/>
    <n v="31"/>
    <n v="7829"/>
    <n v="47.45"/>
    <n v="31.79"/>
    <n v="47.449999999999996"/>
    <n v="371486.05"/>
    <n v="248883.91"/>
    <n v="0.33003161222339306"/>
    <n v="122602.14"/>
  </r>
  <r>
    <x v="0"/>
    <s v="Andorra"/>
    <x v="10"/>
    <x v="1"/>
    <x v="0"/>
    <s v="6/30/2012"/>
    <d v="2012-06-30T00:00:00"/>
    <n v="30"/>
    <s v="Jun"/>
    <x v="5"/>
    <s v="Jun-2012"/>
    <n v="328322827"/>
    <d v="2012-07-19T00:00:00"/>
    <n v="19"/>
    <s v="Jul"/>
    <n v="2012"/>
    <s v="Jul-2012"/>
    <s v="7/19/2012"/>
    <n v="19"/>
    <n v="6876"/>
    <n v="437.2"/>
    <n v="263.33"/>
    <n v="437.20000000000005"/>
    <n v="3006187.2"/>
    <n v="1810657.08"/>
    <n v="0.39768984446477584"/>
    <n v="1195530.1200000001"/>
  </r>
  <r>
    <x v="0"/>
    <s v="Germany"/>
    <x v="7"/>
    <x v="1"/>
    <x v="3"/>
    <s v="3/22/2014"/>
    <d v="2014-03-22T00:00:00"/>
    <n v="22"/>
    <s v="Mar"/>
    <x v="2"/>
    <s v="Mar-2014"/>
    <n v="158673751"/>
    <d v="2014-05-10T00:00:00"/>
    <n v="10"/>
    <s v="May"/>
    <n v="2014"/>
    <s v="May-2014"/>
    <s v="5/10/2014"/>
    <n v="49"/>
    <n v="3944"/>
    <n v="152.58000000000001"/>
    <n v="97.44"/>
    <n v="152.58000000000001"/>
    <n v="601775.52"/>
    <n v="384303.35999999999"/>
    <n v="0.36138419189933152"/>
    <n v="217472.16"/>
  </r>
  <r>
    <x v="0"/>
    <s v="Italy"/>
    <x v="7"/>
    <x v="0"/>
    <x v="2"/>
    <s v="1/7/2014"/>
    <d v="2014-01-07T00:00:00"/>
    <n v="7"/>
    <s v="Jan"/>
    <x v="2"/>
    <s v="Jan-2014"/>
    <n v="464911210"/>
    <d v="2014-02-10T00:00:00"/>
    <n v="10"/>
    <s v="Feb"/>
    <n v="2014"/>
    <s v="Feb-2014"/>
    <s v="2/10/2014"/>
    <n v="34"/>
    <n v="6413"/>
    <n v="152.58000000000001"/>
    <n v="97.44"/>
    <n v="152.58000000000001"/>
    <n v="978495.54"/>
    <n v="624882.72"/>
    <n v="0.36138419189933146"/>
    <n v="353612.82"/>
  </r>
  <r>
    <x v="0"/>
    <s v="Serbia"/>
    <x v="0"/>
    <x v="1"/>
    <x v="0"/>
    <s v="10/12/2010"/>
    <d v="2010-10-12T00:00:00"/>
    <n v="12"/>
    <s v="Oct"/>
    <x v="3"/>
    <s v="Oct-2010"/>
    <n v="395562589"/>
    <d v="2010-12-01T00:00:00"/>
    <n v="1"/>
    <s v="Dec"/>
    <n v="2010"/>
    <s v="Dec-2010"/>
    <s v="12/1/2010"/>
    <n v="50"/>
    <n v="4615"/>
    <n v="47.45"/>
    <n v="31.79"/>
    <n v="47.45"/>
    <n v="218981.75"/>
    <n v="146710.85"/>
    <n v="0.330031612223393"/>
    <n v="72270.899999999994"/>
  </r>
  <r>
    <x v="0"/>
    <s v="Italy"/>
    <x v="8"/>
    <x v="0"/>
    <x v="3"/>
    <s v="3/1/2012"/>
    <d v="2012-03-01T00:00:00"/>
    <n v="1"/>
    <s v="Mar"/>
    <x v="5"/>
    <s v="Mar-2012"/>
    <n v="459372985"/>
    <d v="2012-03-22T00:00:00"/>
    <n v="22"/>
    <s v="Mar"/>
    <n v="2012"/>
    <s v="Mar-2012"/>
    <s v="3/22/2012"/>
    <n v="21"/>
    <n v="7529"/>
    <n v="255.28"/>
    <n v="159.41999999999999"/>
    <n v="255.28"/>
    <n v="1922003.12"/>
    <n v="1200273.18"/>
    <n v="0.37550924475086173"/>
    <n v="721729.94"/>
  </r>
  <r>
    <x v="0"/>
    <s v="Armenia"/>
    <x v="6"/>
    <x v="1"/>
    <x v="2"/>
    <s v="6/25/2012"/>
    <d v="2012-06-25T00:00:00"/>
    <n v="25"/>
    <s v="Jun"/>
    <x v="5"/>
    <s v="Jun-2012"/>
    <n v="693210542"/>
    <d v="2012-08-13T00:00:00"/>
    <n v="13"/>
    <s v="Aug"/>
    <n v="2012"/>
    <s v="Aug-2012"/>
    <s v="8/13/2012"/>
    <n v="49"/>
    <n v="5259"/>
    <n v="421.89"/>
    <n v="364.69"/>
    <n v="421.88999999999993"/>
    <n v="2218719.5099999998"/>
    <n v="1917904.71"/>
    <n v="0.13558036455000119"/>
    <n v="300814.8"/>
  </r>
  <r>
    <x v="0"/>
    <s v="Sweden"/>
    <x v="4"/>
    <x v="0"/>
    <x v="2"/>
    <s v="8/22/2011"/>
    <d v="2011-08-22T00:00:00"/>
    <n v="22"/>
    <s v="Aug"/>
    <x v="0"/>
    <s v="Aug-2011"/>
    <n v="153974950"/>
    <d v="2011-09-20T00:00:00"/>
    <n v="20"/>
    <s v="Sep"/>
    <n v="2011"/>
    <s v="Sep-2011"/>
    <s v="9/20/2011"/>
    <n v="29"/>
    <n v="3464"/>
    <n v="9.33"/>
    <n v="6.92"/>
    <n v="9.33"/>
    <n v="32319.119999999999"/>
    <n v="23970.880000000001"/>
    <n v="0.25830653804930331"/>
    <n v="8348.24"/>
  </r>
  <r>
    <x v="0"/>
    <s v="Romania"/>
    <x v="7"/>
    <x v="1"/>
    <x v="3"/>
    <s v="8/18/2014"/>
    <d v="2014-08-18T00:00:00"/>
    <n v="18"/>
    <s v="Aug"/>
    <x v="2"/>
    <s v="Aug-2014"/>
    <n v="747327220"/>
    <d v="2014-09-15T00:00:00"/>
    <n v="15"/>
    <s v="Sep"/>
    <n v="2014"/>
    <s v="Sep-2014"/>
    <s v="9/15/2014"/>
    <n v="28"/>
    <n v="9587"/>
    <n v="152.58000000000001"/>
    <n v="97.44"/>
    <n v="152.57999999999998"/>
    <n v="1462784.46"/>
    <n v="934157.28"/>
    <n v="0.36138419189933152"/>
    <n v="528627.18000000005"/>
  </r>
  <r>
    <x v="0"/>
    <s v="Bosnia and Herzegovina"/>
    <x v="1"/>
    <x v="1"/>
    <x v="1"/>
    <s v="10/10/2011"/>
    <d v="2011-10-10T00:00:00"/>
    <n v="10"/>
    <s v="Oct"/>
    <x v="0"/>
    <s v="Oct-2011"/>
    <n v="166810500"/>
    <d v="2011-11-21T00:00:00"/>
    <n v="21"/>
    <s v="Nov"/>
    <n v="2011"/>
    <s v="Nov-2011"/>
    <s v="11/21/2011"/>
    <n v="42"/>
    <n v="1789"/>
    <n v="109.28"/>
    <n v="35.840000000000003"/>
    <n v="109.28"/>
    <n v="195501.92"/>
    <n v="64117.760000000002"/>
    <n v="0.67203513909224011"/>
    <n v="131384.16"/>
  </r>
  <r>
    <x v="0"/>
    <s v="Lithuania"/>
    <x v="11"/>
    <x v="0"/>
    <x v="1"/>
    <s v="3/31/2013"/>
    <d v="2013-03-31T00:00:00"/>
    <n v="31"/>
    <s v="Mar"/>
    <x v="1"/>
    <s v="Mar-2013"/>
    <n v="386009633"/>
    <d v="2013-04-05T00:00:00"/>
    <n v="5"/>
    <s v="Apr"/>
    <n v="2013"/>
    <s v="Apr-2013"/>
    <s v="4/5/2013"/>
    <n v="5"/>
    <n v="7683"/>
    <n v="81.73"/>
    <n v="56.67"/>
    <n v="81.72999999999999"/>
    <n v="627931.59"/>
    <n v="435395.61"/>
    <n v="0.30661935641747218"/>
    <n v="192535.98"/>
  </r>
  <r>
    <x v="0"/>
    <s v="Germany"/>
    <x v="11"/>
    <x v="0"/>
    <x v="3"/>
    <s v="2/8/2016"/>
    <d v="2016-02-08T00:00:00"/>
    <n v="8"/>
    <s v="Feb"/>
    <x v="4"/>
    <s v="Feb-2016"/>
    <n v="993368613"/>
    <d v="2016-02-16T00:00:00"/>
    <n v="16"/>
    <s v="Feb"/>
    <n v="2016"/>
    <s v="Feb-2016"/>
    <s v="2/16/2016"/>
    <n v="8"/>
    <n v="8702"/>
    <n v="81.73"/>
    <n v="56.67"/>
    <n v="81.72999999999999"/>
    <n v="711214.46"/>
    <n v="493142.34"/>
    <n v="0.30661935641747218"/>
    <n v="218072.12"/>
  </r>
  <r>
    <x v="0"/>
    <s v="Germany"/>
    <x v="8"/>
    <x v="1"/>
    <x v="2"/>
    <s v="12/9/2014"/>
    <d v="2014-12-09T00:00:00"/>
    <n v="9"/>
    <s v="Dec"/>
    <x v="2"/>
    <s v="Dec-2014"/>
    <n v="405986297"/>
    <d v="2015-01-02T00:00:00"/>
    <n v="2"/>
    <s v="Jan"/>
    <n v="2015"/>
    <s v="Jan-2015"/>
    <s v="1/2/2015"/>
    <n v="24"/>
    <n v="9222"/>
    <n v="255.28"/>
    <n v="159.41999999999999"/>
    <n v="255.28000000000003"/>
    <n v="2354192.16"/>
    <n v="1470171.24"/>
    <n v="0.37550924475086178"/>
    <n v="884020.92"/>
  </r>
  <r>
    <x v="0"/>
    <s v="Bulgaria"/>
    <x v="0"/>
    <x v="1"/>
    <x v="3"/>
    <s v="2/4/2016"/>
    <d v="2016-02-04T00:00:00"/>
    <n v="4"/>
    <s v="Feb"/>
    <x v="4"/>
    <s v="Feb-2016"/>
    <n v="476794040"/>
    <d v="2016-03-07T00:00:00"/>
    <n v="7"/>
    <s v="Mar"/>
    <n v="2016"/>
    <s v="Mar-2016"/>
    <s v="3/7/2016"/>
    <n v="32"/>
    <n v="2807"/>
    <n v="47.45"/>
    <n v="31.79"/>
    <n v="47.449999999999996"/>
    <n v="133192.15"/>
    <n v="89234.53"/>
    <n v="0.33003161222339306"/>
    <n v="43957.62"/>
  </r>
  <r>
    <x v="0"/>
    <s v="Serbia"/>
    <x v="6"/>
    <x v="0"/>
    <x v="0"/>
    <s v="12/21/2011"/>
    <d v="2011-12-21T00:00:00"/>
    <n v="21"/>
    <s v="Dec"/>
    <x v="0"/>
    <s v="Dec-2011"/>
    <n v="380610454"/>
    <d v="2011-12-29T00:00:00"/>
    <n v="29"/>
    <s v="Dec"/>
    <n v="2011"/>
    <s v="Dec-2011"/>
    <s v="12/29/2011"/>
    <n v="8"/>
    <n v="9946"/>
    <n v="421.89"/>
    <n v="364.69"/>
    <n v="421.89000000000004"/>
    <n v="4196117.9400000004"/>
    <n v="3627206.74"/>
    <n v="0.13558036455000116"/>
    <n v="568911.19999999995"/>
  </r>
  <r>
    <x v="0"/>
    <s v="France"/>
    <x v="5"/>
    <x v="0"/>
    <x v="2"/>
    <s v="2/1/2012"/>
    <d v="2012-02-01T00:00:00"/>
    <n v="1"/>
    <s v="Feb"/>
    <x v="5"/>
    <s v="Feb-2012"/>
    <n v="455040681"/>
    <d v="2012-02-02T00:00:00"/>
    <n v="2"/>
    <s v="Feb"/>
    <n v="2012"/>
    <s v="Feb-2012"/>
    <s v="2/2/2012"/>
    <n v="1"/>
    <n v="5504"/>
    <n v="154.06"/>
    <n v="90.93"/>
    <n v="154.06"/>
    <n v="847946.23999999999"/>
    <n v="500478.71999999997"/>
    <n v="0.40977541217707392"/>
    <n v="347467.52000000002"/>
  </r>
  <r>
    <x v="0"/>
    <s v="Iceland"/>
    <x v="1"/>
    <x v="1"/>
    <x v="1"/>
    <s v="9/10/2013"/>
    <d v="2013-09-10T00:00:00"/>
    <n v="10"/>
    <s v="Sep"/>
    <x v="1"/>
    <s v="Sep-2013"/>
    <n v="917792117"/>
    <d v="2013-10-07T00:00:00"/>
    <n v="7"/>
    <s v="Oct"/>
    <n v="2013"/>
    <s v="Oct-2013"/>
    <s v="10/7/2013"/>
    <n v="27"/>
    <n v="3938"/>
    <n v="109.28"/>
    <n v="35.840000000000003"/>
    <n v="109.28"/>
    <n v="430344.64"/>
    <n v="141137.92000000001"/>
    <n v="0.67203513909224"/>
    <n v="289206.71999999997"/>
  </r>
  <r>
    <x v="0"/>
    <s v="Albania"/>
    <x v="10"/>
    <x v="0"/>
    <x v="2"/>
    <s v="6/27/2011"/>
    <d v="2011-06-27T00:00:00"/>
    <n v="27"/>
    <s v="Jun"/>
    <x v="0"/>
    <s v="Jun-2011"/>
    <n v="728793370"/>
    <d v="2011-08-12T00:00:00"/>
    <n v="12"/>
    <s v="Aug"/>
    <n v="2011"/>
    <s v="Aug-2011"/>
    <s v="8/12/2011"/>
    <n v="46"/>
    <n v="5009"/>
    <n v="437.2"/>
    <n v="263.33"/>
    <n v="437.2"/>
    <n v="2189934.7999999998"/>
    <n v="1319019.97"/>
    <n v="0.39768984446477584"/>
    <n v="870914.83"/>
  </r>
  <r>
    <x v="0"/>
    <s v="Austria"/>
    <x v="4"/>
    <x v="0"/>
    <x v="1"/>
    <s v="4/20/2011"/>
    <d v="2011-04-20T00:00:00"/>
    <n v="20"/>
    <s v="Apr"/>
    <x v="0"/>
    <s v="Apr-2011"/>
    <n v="185960614"/>
    <d v="2011-05-28T00:00:00"/>
    <n v="28"/>
    <s v="May"/>
    <n v="2011"/>
    <s v="May-2011"/>
    <s v="5/28/2011"/>
    <n v="38"/>
    <n v="8733"/>
    <n v="9.33"/>
    <n v="6.92"/>
    <n v="9.33"/>
    <n v="81478.89"/>
    <n v="60432.36"/>
    <n v="0.25830653804930331"/>
    <n v="21046.53"/>
  </r>
  <r>
    <x v="0"/>
    <s v="Finland"/>
    <x v="3"/>
    <x v="0"/>
    <x v="3"/>
    <s v="11/29/2011"/>
    <d v="2011-11-29T00:00:00"/>
    <n v="29"/>
    <s v="Nov"/>
    <x v="0"/>
    <s v="Nov-2011"/>
    <n v="445273578"/>
    <d v="2012-01-09T00:00:00"/>
    <n v="9"/>
    <s v="Jan"/>
    <n v="2012"/>
    <s v="Jan-2012"/>
    <s v="1/9/2012"/>
    <n v="41"/>
    <n v="5201"/>
    <n v="651.21"/>
    <n v="524.96"/>
    <n v="651.21"/>
    <n v="3386943.21"/>
    <n v="2730316.96"/>
    <n v="0.19386987300563566"/>
    <n v="656626.25"/>
  </r>
  <r>
    <x v="0"/>
    <s v="Georgia"/>
    <x v="8"/>
    <x v="1"/>
    <x v="2"/>
    <s v="1/26/2014"/>
    <d v="2014-01-26T00:00:00"/>
    <n v="26"/>
    <s v="Jan"/>
    <x v="2"/>
    <s v="Jan-2014"/>
    <n v="359197413"/>
    <d v="2014-03-08T00:00:00"/>
    <n v="8"/>
    <s v="Mar"/>
    <n v="2014"/>
    <s v="Mar-2014"/>
    <s v="3/8/2014"/>
    <n v="41"/>
    <n v="3352"/>
    <n v="255.28"/>
    <n v="159.41999999999999"/>
    <n v="255.28000000000003"/>
    <n v="855698.56"/>
    <n v="534375.84"/>
    <n v="0.37550924475086173"/>
    <n v="321322.71999999997"/>
  </r>
  <r>
    <x v="0"/>
    <s v="Romania"/>
    <x v="11"/>
    <x v="0"/>
    <x v="2"/>
    <s v="5/14/2013"/>
    <d v="2013-05-14T00:00:00"/>
    <n v="14"/>
    <s v="May"/>
    <x v="1"/>
    <s v="May-2013"/>
    <n v="853036296"/>
    <d v="2013-06-01T00:00:00"/>
    <n v="1"/>
    <s v="Jun"/>
    <n v="2013"/>
    <s v="Jun-2013"/>
    <s v="6/1/2013"/>
    <n v="18"/>
    <n v="1251"/>
    <n v="81.73"/>
    <n v="56.67"/>
    <n v="81.72999999999999"/>
    <n v="102244.23"/>
    <n v="70894.17"/>
    <n v="0.30661935641747218"/>
    <n v="31350.06"/>
  </r>
  <r>
    <x v="0"/>
    <s v="Switzerland"/>
    <x v="4"/>
    <x v="0"/>
    <x v="1"/>
    <s v="3/21/2012"/>
    <d v="2012-03-21T00:00:00"/>
    <n v="21"/>
    <s v="Mar"/>
    <x v="5"/>
    <s v="Mar-2012"/>
    <n v="567412793"/>
    <d v="2012-03-27T00:00:00"/>
    <n v="27"/>
    <s v="Mar"/>
    <n v="2012"/>
    <s v="Mar-2012"/>
    <s v="3/27/2012"/>
    <n v="6"/>
    <n v="8910"/>
    <n v="9.33"/>
    <n v="6.92"/>
    <n v="9.33"/>
    <n v="83130.3"/>
    <n v="61657.2"/>
    <n v="0.25830653804930331"/>
    <n v="21473.1"/>
  </r>
  <r>
    <x v="0"/>
    <s v="Ireland"/>
    <x v="10"/>
    <x v="0"/>
    <x v="3"/>
    <s v="8/27/2016"/>
    <d v="2016-08-27T00:00:00"/>
    <n v="27"/>
    <s v="Aug"/>
    <x v="4"/>
    <s v="Aug-2016"/>
    <n v="139201343"/>
    <d v="2016-09-06T00:00:00"/>
    <n v="6"/>
    <s v="Sep"/>
    <n v="2016"/>
    <s v="Sep-2016"/>
    <s v="9/6/2016"/>
    <n v="10"/>
    <n v="1625"/>
    <n v="437.2"/>
    <n v="263.33"/>
    <n v="437.2"/>
    <n v="710450"/>
    <n v="427911.25"/>
    <n v="0.39768984446477584"/>
    <n v="282538.75"/>
  </r>
  <r>
    <x v="0"/>
    <s v="Ukraine"/>
    <x v="10"/>
    <x v="1"/>
    <x v="0"/>
    <s v="6/9/2014"/>
    <d v="2014-06-09T00:00:00"/>
    <n v="9"/>
    <s v="Jun"/>
    <x v="2"/>
    <s v="Jun-2014"/>
    <n v="183910119"/>
    <d v="2014-06-11T00:00:00"/>
    <n v="11"/>
    <s v="Jun"/>
    <n v="2014"/>
    <s v="Jun-2014"/>
    <s v="6/11/2014"/>
    <n v="2"/>
    <n v="1946"/>
    <n v="437.2"/>
    <n v="263.33"/>
    <n v="437.2"/>
    <n v="850791.2"/>
    <n v="512440.18"/>
    <n v="0.3976898444647759"/>
    <n v="338351.02"/>
  </r>
  <r>
    <x v="0"/>
    <s v="Luxembourg"/>
    <x v="1"/>
    <x v="1"/>
    <x v="3"/>
    <s v="11/7/2013"/>
    <d v="2013-11-07T00:00:00"/>
    <n v="7"/>
    <s v="Nov"/>
    <x v="1"/>
    <s v="Nov-2013"/>
    <n v="922363460"/>
    <d v="2013-11-23T00:00:00"/>
    <n v="23"/>
    <s v="Nov"/>
    <n v="2013"/>
    <s v="Nov-2013"/>
    <s v="11/23/2013"/>
    <n v="16"/>
    <n v="6700"/>
    <n v="109.28"/>
    <n v="35.840000000000003"/>
    <n v="109.28"/>
    <n v="732176"/>
    <n v="240128"/>
    <n v="0.67203513909224011"/>
    <n v="492048"/>
  </r>
  <r>
    <x v="0"/>
    <s v="Austria"/>
    <x v="0"/>
    <x v="0"/>
    <x v="0"/>
    <s v="4/2/2012"/>
    <d v="2012-04-02T00:00:00"/>
    <n v="2"/>
    <s v="Apr"/>
    <x v="5"/>
    <s v="Apr-2012"/>
    <n v="192922341"/>
    <d v="2012-05-01T00:00:00"/>
    <n v="1"/>
    <s v="May"/>
    <n v="2012"/>
    <s v="May-2012"/>
    <s v="5/1/2012"/>
    <n v="29"/>
    <n v="8863"/>
    <n v="47.45"/>
    <n v="31.79"/>
    <n v="47.449999999999996"/>
    <n v="420549.35"/>
    <n v="281754.77"/>
    <n v="0.33003161222339306"/>
    <n v="138794.57999999999"/>
  </r>
  <r>
    <x v="0"/>
    <s v="Monaco"/>
    <x v="2"/>
    <x v="1"/>
    <x v="2"/>
    <s v="6/3/2017"/>
    <d v="2017-06-03T00:00:00"/>
    <n v="3"/>
    <s v="Jun"/>
    <x v="7"/>
    <s v="Jun-2017"/>
    <n v="792178905"/>
    <d v="2017-07-21T00:00:00"/>
    <n v="21"/>
    <s v="Jul"/>
    <n v="2017"/>
    <s v="Jul-2017"/>
    <s v="7/21/2017"/>
    <n v="48"/>
    <n v="2197"/>
    <n v="205.7"/>
    <n v="117.11"/>
    <n v="205.70000000000002"/>
    <n v="451922.9"/>
    <n v="257290.67"/>
    <n v="0.43067574137092851"/>
    <n v="194632.23"/>
  </r>
  <r>
    <x v="0"/>
    <s v="Serbia"/>
    <x v="0"/>
    <x v="1"/>
    <x v="1"/>
    <s v="12/20/2011"/>
    <d v="2011-12-20T00:00:00"/>
    <n v="20"/>
    <s v="Dec"/>
    <x v="0"/>
    <s v="Dec-2011"/>
    <n v="424297845"/>
    <d v="2012-01-08T00:00:00"/>
    <n v="8"/>
    <s v="Jan"/>
    <n v="2012"/>
    <s v="Jan-2012"/>
    <s v="1/8/2012"/>
    <n v="19"/>
    <n v="8016"/>
    <n v="47.45"/>
    <n v="31.79"/>
    <n v="47.45"/>
    <n v="380359.2"/>
    <n v="254828.64"/>
    <n v="0.33003161222339306"/>
    <n v="125530.56"/>
  </r>
  <r>
    <x v="0"/>
    <s v="Ireland"/>
    <x v="8"/>
    <x v="1"/>
    <x v="3"/>
    <s v="5/23/2017"/>
    <d v="2017-05-23T00:00:00"/>
    <n v="23"/>
    <s v="May"/>
    <x v="7"/>
    <s v="May-2017"/>
    <n v="243684327"/>
    <d v="2017-05-30T00:00:00"/>
    <n v="30"/>
    <s v="May"/>
    <n v="2017"/>
    <s v="May-2017"/>
    <s v="5/30/2017"/>
    <n v="7"/>
    <n v="462"/>
    <n v="255.28"/>
    <n v="159.41999999999999"/>
    <n v="255.28"/>
    <n v="117939.36"/>
    <n v="73652.039999999994"/>
    <n v="0.37550924475086178"/>
    <n v="44287.32"/>
  </r>
  <r>
    <x v="0"/>
    <s v="San Marino"/>
    <x v="1"/>
    <x v="0"/>
    <x v="1"/>
    <s v="5/7/2012"/>
    <d v="2012-05-07T00:00:00"/>
    <n v="7"/>
    <s v="May"/>
    <x v="5"/>
    <s v="May-2012"/>
    <n v="152505099"/>
    <d v="2012-05-19T00:00:00"/>
    <n v="19"/>
    <s v="May"/>
    <n v="2012"/>
    <s v="May-2012"/>
    <s v="5/19/2012"/>
    <n v="12"/>
    <n v="8503"/>
    <n v="109.28"/>
    <n v="35.840000000000003"/>
    <n v="109.28"/>
    <n v="929207.84"/>
    <n v="304747.52000000002"/>
    <n v="0.67203513909224011"/>
    <n v="624460.31999999995"/>
  </r>
  <r>
    <x v="0"/>
    <s v="Georgia"/>
    <x v="8"/>
    <x v="1"/>
    <x v="2"/>
    <s v="6/24/2015"/>
    <d v="2015-06-24T00:00:00"/>
    <n v="24"/>
    <s v="Jun"/>
    <x v="6"/>
    <s v="Jun-2015"/>
    <n v="203036630"/>
    <d v="2015-07-28T00:00:00"/>
    <n v="28"/>
    <s v="Jul"/>
    <n v="2015"/>
    <s v="Jul-2015"/>
    <s v="7/28/2015"/>
    <n v="34"/>
    <n v="1905"/>
    <n v="255.28"/>
    <n v="159.41999999999999"/>
    <n v="255.28"/>
    <n v="486308.4"/>
    <n v="303695.09999999998"/>
    <n v="0.37550924475086178"/>
    <n v="182613.3"/>
  </r>
  <r>
    <x v="0"/>
    <s v="Ukraine"/>
    <x v="7"/>
    <x v="0"/>
    <x v="0"/>
    <s v="1/25/2016"/>
    <d v="2016-01-25T00:00:00"/>
    <n v="25"/>
    <s v="Jan"/>
    <x v="4"/>
    <s v="Jan-2016"/>
    <n v="611791121"/>
    <d v="2016-03-03T00:00:00"/>
    <n v="3"/>
    <s v="Mar"/>
    <n v="2016"/>
    <s v="Mar-2016"/>
    <s v="3/3/2016"/>
    <n v="38"/>
    <n v="1443"/>
    <n v="152.58000000000001"/>
    <n v="97.44"/>
    <n v="152.58000000000001"/>
    <n v="220172.94"/>
    <n v="140605.92000000001"/>
    <n v="0.36138419189933152"/>
    <n v="79567.02"/>
  </r>
  <r>
    <x v="0"/>
    <s v="San Marino"/>
    <x v="2"/>
    <x v="0"/>
    <x v="0"/>
    <s v="7/22/2012"/>
    <d v="2012-07-22T00:00:00"/>
    <n v="22"/>
    <s v="Jul"/>
    <x v="5"/>
    <s v="Jul-2012"/>
    <n v="554554927"/>
    <d v="2012-08-06T00:00:00"/>
    <n v="6"/>
    <s v="Aug"/>
    <n v="2012"/>
    <s v="Aug-2012"/>
    <s v="8/6/2012"/>
    <n v="15"/>
    <n v="3981"/>
    <n v="205.7"/>
    <n v="117.11"/>
    <n v="205.7"/>
    <n v="818891.7"/>
    <n v="466214.91"/>
    <n v="0.43067574137092851"/>
    <n v="352676.79"/>
  </r>
  <r>
    <x v="0"/>
    <s v="Bosnia and Herzegovina"/>
    <x v="3"/>
    <x v="0"/>
    <x v="3"/>
    <s v="7/11/2012"/>
    <d v="2012-07-11T00:00:00"/>
    <n v="11"/>
    <s v="Jul"/>
    <x v="5"/>
    <s v="Jul-2012"/>
    <n v="434275662"/>
    <d v="2012-08-13T00:00:00"/>
    <n v="13"/>
    <s v="Aug"/>
    <n v="2012"/>
    <s v="Aug-2012"/>
    <s v="8/13/2012"/>
    <n v="33"/>
    <n v="674"/>
    <n v="651.21"/>
    <n v="524.96"/>
    <n v="651.20999999999992"/>
    <n v="438915.54"/>
    <n v="353823.04"/>
    <n v="0.19386987300563568"/>
    <n v="85092.5"/>
  </r>
  <r>
    <x v="0"/>
    <s v="Germany"/>
    <x v="11"/>
    <x v="0"/>
    <x v="3"/>
    <s v="7/27/2014"/>
    <d v="2014-07-27T00:00:00"/>
    <n v="27"/>
    <s v="Jul"/>
    <x v="2"/>
    <s v="Jul-2014"/>
    <n v="835093390"/>
    <d v="2014-07-29T00:00:00"/>
    <n v="29"/>
    <s v="Jul"/>
    <n v="2014"/>
    <s v="Jul-2014"/>
    <s v="7/29/2014"/>
    <n v="2"/>
    <n v="1547"/>
    <n v="81.73"/>
    <n v="56.67"/>
    <n v="81.73"/>
    <n v="126436.31"/>
    <n v="87668.49"/>
    <n v="0.30661935641747218"/>
    <n v="38767.82"/>
  </r>
  <r>
    <x v="0"/>
    <s v="Croatia"/>
    <x v="0"/>
    <x v="1"/>
    <x v="1"/>
    <s v="2/6/2017"/>
    <d v="2017-02-06T00:00:00"/>
    <n v="6"/>
    <s v="Feb"/>
    <x v="7"/>
    <s v="Feb-2017"/>
    <n v="976323497"/>
    <d v="2017-02-10T00:00:00"/>
    <n v="10"/>
    <s v="Feb"/>
    <n v="2017"/>
    <s v="Feb-2017"/>
    <s v="2/10/2017"/>
    <n v="4"/>
    <n v="4674"/>
    <n v="47.45"/>
    <n v="31.79"/>
    <n v="47.449999999999996"/>
    <n v="221781.3"/>
    <n v="148586.46"/>
    <n v="0.33003161222339306"/>
    <n v="73194.84"/>
  </r>
  <r>
    <x v="0"/>
    <s v="Lithuania"/>
    <x v="0"/>
    <x v="1"/>
    <x v="3"/>
    <s v="1/9/2014"/>
    <d v="2014-01-09T00:00:00"/>
    <n v="9"/>
    <s v="Jan"/>
    <x v="2"/>
    <s v="Jan-2014"/>
    <n v="732703387"/>
    <d v="2014-01-28T00:00:00"/>
    <n v="28"/>
    <s v="Jan"/>
    <n v="2014"/>
    <s v="Jan-2014"/>
    <s v="1/28/2014"/>
    <n v="19"/>
    <n v="2069"/>
    <n v="47.45"/>
    <n v="31.79"/>
    <n v="47.45"/>
    <n v="98174.05"/>
    <n v="65773.509999999995"/>
    <n v="0.33003161222339306"/>
    <n v="32400.54"/>
  </r>
  <r>
    <x v="0"/>
    <s v="Slovenia"/>
    <x v="9"/>
    <x v="1"/>
    <x v="0"/>
    <s v="9/10/2014"/>
    <d v="2014-09-10T00:00:00"/>
    <n v="10"/>
    <s v="Sep"/>
    <x v="2"/>
    <s v="Sep-2014"/>
    <n v="873432672"/>
    <d v="2014-09-17T00:00:00"/>
    <n v="17"/>
    <s v="Sep"/>
    <n v="2014"/>
    <s v="Sep-2014"/>
    <s v="9/17/2014"/>
    <n v="7"/>
    <n v="6992"/>
    <n v="668.27"/>
    <n v="502.54"/>
    <n v="668.27"/>
    <n v="4672543.84"/>
    <n v="3513759.68"/>
    <n v="0.24799856345489096"/>
    <n v="1158784.1599999999"/>
  </r>
  <r>
    <x v="0"/>
    <s v="Serbia"/>
    <x v="1"/>
    <x v="1"/>
    <x v="0"/>
    <s v="6/25/2011"/>
    <d v="2011-06-25T00:00:00"/>
    <n v="25"/>
    <s v="Jun"/>
    <x v="0"/>
    <s v="Jun-2011"/>
    <n v="523580348"/>
    <d v="2011-08-04T00:00:00"/>
    <n v="4"/>
    <s v="Aug"/>
    <n v="2011"/>
    <s v="Aug-2011"/>
    <s v="8/4/2011"/>
    <n v="40"/>
    <n v="7915"/>
    <n v="109.28"/>
    <n v="35.840000000000003"/>
    <n v="109.28"/>
    <n v="864951.2"/>
    <n v="283673.59999999998"/>
    <n v="0.67203513909224011"/>
    <n v="581277.6"/>
  </r>
  <r>
    <x v="0"/>
    <s v="Greece"/>
    <x v="11"/>
    <x v="1"/>
    <x v="1"/>
    <s v="4/16/2017"/>
    <d v="2017-04-16T00:00:00"/>
    <n v="16"/>
    <s v="Apr"/>
    <x v="7"/>
    <s v="Apr-2017"/>
    <n v="800045716"/>
    <d v="2017-05-14T00:00:00"/>
    <n v="14"/>
    <s v="May"/>
    <n v="2017"/>
    <s v="May-2017"/>
    <s v="5/14/2017"/>
    <n v="28"/>
    <n v="161"/>
    <n v="81.73"/>
    <n v="56.67"/>
    <n v="81.73"/>
    <n v="13158.53"/>
    <n v="9123.8700000000008"/>
    <n v="0.30661935641747212"/>
    <n v="4034.66"/>
  </r>
  <r>
    <x v="0"/>
    <s v="Malta"/>
    <x v="5"/>
    <x v="1"/>
    <x v="1"/>
    <s v="5/10/2016"/>
    <d v="2016-05-10T00:00:00"/>
    <n v="10"/>
    <s v="May"/>
    <x v="4"/>
    <s v="May-2016"/>
    <n v="743769109"/>
    <d v="2016-05-11T00:00:00"/>
    <n v="11"/>
    <s v="May"/>
    <n v="2016"/>
    <s v="May-2016"/>
    <s v="5/11/2016"/>
    <n v="1"/>
    <n v="6662"/>
    <n v="154.06"/>
    <n v="90.93"/>
    <n v="154.06"/>
    <n v="1026347.72"/>
    <n v="605775.66"/>
    <n v="0.40977541217707386"/>
    <n v="420572.06"/>
  </r>
  <r>
    <x v="0"/>
    <s v="San Marino"/>
    <x v="7"/>
    <x v="0"/>
    <x v="2"/>
    <s v="1/9/2013"/>
    <d v="2013-01-09T00:00:00"/>
    <n v="9"/>
    <s v="Jan"/>
    <x v="1"/>
    <s v="Jan-2013"/>
    <n v="201294267"/>
    <d v="2013-02-09T00:00:00"/>
    <n v="9"/>
    <s v="Feb"/>
    <n v="2013"/>
    <s v="Feb-2013"/>
    <s v="2/9/2013"/>
    <n v="31"/>
    <n v="6302"/>
    <n v="152.58000000000001"/>
    <n v="97.44"/>
    <n v="152.58000000000001"/>
    <n v="961559.16"/>
    <n v="614066.88"/>
    <n v="0.36138419189933152"/>
    <n v="347492.28"/>
  </r>
  <r>
    <x v="0"/>
    <s v="Portugal"/>
    <x v="6"/>
    <x v="1"/>
    <x v="2"/>
    <s v="2/11/2013"/>
    <d v="2013-02-11T00:00:00"/>
    <n v="11"/>
    <s v="Feb"/>
    <x v="1"/>
    <s v="Feb-2013"/>
    <n v="668280589"/>
    <d v="2013-03-28T00:00:00"/>
    <n v="28"/>
    <s v="Mar"/>
    <n v="2013"/>
    <s v="Mar-2013"/>
    <s v="3/28/2013"/>
    <n v="45"/>
    <n v="7932"/>
    <n v="421.89"/>
    <n v="364.69"/>
    <n v="421.89"/>
    <n v="3346431.48"/>
    <n v="2892721.08"/>
    <n v="0.13558036455000119"/>
    <n v="453710.4"/>
  </r>
  <r>
    <x v="0"/>
    <s v="Albania"/>
    <x v="9"/>
    <x v="1"/>
    <x v="0"/>
    <s v="7/14/2017"/>
    <d v="2017-07-14T00:00:00"/>
    <n v="14"/>
    <s v="Jul"/>
    <x v="7"/>
    <s v="Jul-2017"/>
    <n v="380379998"/>
    <d v="2017-07-16T00:00:00"/>
    <n v="16"/>
    <s v="Jul"/>
    <n v="2017"/>
    <s v="Jul-2017"/>
    <s v="7/16/2017"/>
    <n v="2"/>
    <n v="1749"/>
    <n v="668.27"/>
    <n v="502.54"/>
    <n v="668.27"/>
    <n v="1168804.23"/>
    <n v="878942.46"/>
    <n v="0.24799856345489102"/>
    <n v="289861.77"/>
  </r>
  <r>
    <x v="0"/>
    <s v="Netherlands"/>
    <x v="1"/>
    <x v="1"/>
    <x v="3"/>
    <s v="1/16/2016"/>
    <d v="2016-01-16T00:00:00"/>
    <n v="16"/>
    <s v="Jan"/>
    <x v="4"/>
    <s v="Jan-2016"/>
    <n v="767490565"/>
    <d v="2016-02-23T00:00:00"/>
    <n v="23"/>
    <s v="Feb"/>
    <n v="2016"/>
    <s v="Feb-2016"/>
    <s v="2/23/2016"/>
    <n v="38"/>
    <n v="6368"/>
    <n v="109.28"/>
    <n v="35.840000000000003"/>
    <n v="109.28"/>
    <n v="695895.04000000004"/>
    <n v="228229.12"/>
    <n v="0.67203513909224011"/>
    <n v="467665.91999999998"/>
  </r>
  <r>
    <x v="0"/>
    <s v="Iceland"/>
    <x v="7"/>
    <x v="0"/>
    <x v="2"/>
    <s v="10/30/2012"/>
    <d v="2012-10-30T00:00:00"/>
    <n v="30"/>
    <s v="Oct"/>
    <x v="5"/>
    <s v="Oct-2012"/>
    <n v="720931279"/>
    <d v="2012-11-18T00:00:00"/>
    <n v="18"/>
    <s v="Nov"/>
    <n v="2012"/>
    <s v="Nov-2012"/>
    <s v="11/18/2012"/>
    <n v="19"/>
    <n v="8441"/>
    <n v="152.58000000000001"/>
    <n v="97.44"/>
    <n v="152.58000000000001"/>
    <n v="1287927.78"/>
    <n v="822491.04"/>
    <n v="0.36138419189933146"/>
    <n v="465436.74"/>
  </r>
  <r>
    <x v="0"/>
    <s v="United Kingdom"/>
    <x v="7"/>
    <x v="1"/>
    <x v="2"/>
    <s v="7/13/2013"/>
    <d v="2013-07-13T00:00:00"/>
    <n v="13"/>
    <s v="Jul"/>
    <x v="1"/>
    <s v="Jul-2013"/>
    <n v="138025033"/>
    <d v="2013-08-03T00:00:00"/>
    <n v="3"/>
    <s v="Aug"/>
    <n v="2013"/>
    <s v="Aug-2013"/>
    <s v="8/3/2013"/>
    <n v="21"/>
    <n v="3529"/>
    <n v="152.58000000000001"/>
    <n v="97.44"/>
    <n v="152.57999999999998"/>
    <n v="538454.81999999995"/>
    <n v="343865.76"/>
    <n v="0.36138419189933152"/>
    <n v="194589.06"/>
  </r>
  <r>
    <x v="0"/>
    <s v="Andorra"/>
    <x v="6"/>
    <x v="0"/>
    <x v="3"/>
    <s v="8/16/2016"/>
    <d v="2016-08-16T00:00:00"/>
    <n v="16"/>
    <s v="Aug"/>
    <x v="4"/>
    <s v="Aug-2016"/>
    <n v="552931869"/>
    <d v="2016-09-09T00:00:00"/>
    <n v="9"/>
    <s v="Sep"/>
    <n v="2016"/>
    <s v="Sep-2016"/>
    <s v="9/9/2016"/>
    <n v="24"/>
    <n v="3682"/>
    <n v="421.89"/>
    <n v="364.69"/>
    <n v="421.89"/>
    <n v="1553398.98"/>
    <n v="1342788.58"/>
    <n v="0.13558036455000119"/>
    <n v="210610.4"/>
  </r>
  <r>
    <x v="0"/>
    <s v="Liechtenstein"/>
    <x v="4"/>
    <x v="1"/>
    <x v="2"/>
    <s v="2/8/2014"/>
    <d v="2014-02-08T00:00:00"/>
    <n v="8"/>
    <s v="Feb"/>
    <x v="2"/>
    <s v="Feb-2014"/>
    <n v="142375361"/>
    <d v="2014-02-19T00:00:00"/>
    <n v="19"/>
    <s v="Feb"/>
    <n v="2014"/>
    <s v="Feb-2014"/>
    <s v="2/19/2014"/>
    <n v="11"/>
    <n v="888"/>
    <n v="9.33"/>
    <n v="6.92"/>
    <n v="9.3300000000000018"/>
    <n v="8285.0400000000009"/>
    <n v="6144.96"/>
    <n v="0.25830653804930331"/>
    <n v="2140.08"/>
  </r>
  <r>
    <x v="0"/>
    <s v="Belgium"/>
    <x v="10"/>
    <x v="0"/>
    <x v="0"/>
    <s v="6/27/2014"/>
    <d v="2014-06-27T00:00:00"/>
    <n v="27"/>
    <s v="Jun"/>
    <x v="2"/>
    <s v="Jun-2014"/>
    <n v="916089236"/>
    <d v="2014-07-28T00:00:00"/>
    <n v="28"/>
    <s v="Jul"/>
    <n v="2014"/>
    <s v="Jul-2014"/>
    <s v="7/28/2014"/>
    <n v="31"/>
    <n v="17"/>
    <n v="437.2"/>
    <n v="263.33"/>
    <n v="437.2"/>
    <n v="7432.4"/>
    <n v="4476.6099999999997"/>
    <n v="0.39768984446477584"/>
    <n v="2955.79"/>
  </r>
  <r>
    <x v="0"/>
    <s v="Luxembourg"/>
    <x v="4"/>
    <x v="0"/>
    <x v="2"/>
    <s v="12/6/2011"/>
    <d v="2011-12-06T00:00:00"/>
    <n v="6"/>
    <s v="Dec"/>
    <x v="0"/>
    <s v="Dec-2011"/>
    <n v="242265546"/>
    <d v="2012-01-07T00:00:00"/>
    <n v="7"/>
    <s v="Jan"/>
    <n v="2012"/>
    <s v="Jan-2012"/>
    <s v="1/7/2012"/>
    <n v="32"/>
    <n v="614"/>
    <n v="9.33"/>
    <n v="6.92"/>
    <n v="9.33"/>
    <n v="5728.62"/>
    <n v="4248.88"/>
    <n v="0.25830653804930331"/>
    <n v="1479.74"/>
  </r>
  <r>
    <x v="0"/>
    <s v="Malta"/>
    <x v="10"/>
    <x v="1"/>
    <x v="1"/>
    <s v="1/12/2015"/>
    <d v="2015-01-12T00:00:00"/>
    <n v="12"/>
    <s v="Jan"/>
    <x v="6"/>
    <s v="Jan-2015"/>
    <n v="265914475"/>
    <d v="2015-02-21T00:00:00"/>
    <n v="21"/>
    <s v="Feb"/>
    <n v="2015"/>
    <s v="Feb-2015"/>
    <s v="2/21/2015"/>
    <n v="40"/>
    <n v="8857"/>
    <n v="437.2"/>
    <n v="263.33"/>
    <n v="437.2"/>
    <n v="3872280.4"/>
    <n v="2332313.81"/>
    <n v="0.3976898444647759"/>
    <n v="1539966.59"/>
  </r>
  <r>
    <x v="0"/>
    <s v="Slovakia"/>
    <x v="7"/>
    <x v="1"/>
    <x v="2"/>
    <s v="7/26/2015"/>
    <d v="2015-07-26T00:00:00"/>
    <n v="26"/>
    <s v="Jul"/>
    <x v="6"/>
    <s v="Jul-2015"/>
    <n v="637040793"/>
    <d v="2015-08-04T00:00:00"/>
    <n v="4"/>
    <s v="Aug"/>
    <n v="2015"/>
    <s v="Aug-2015"/>
    <s v="8/4/2015"/>
    <n v="9"/>
    <n v="3382"/>
    <n v="152.58000000000001"/>
    <n v="97.44"/>
    <n v="152.58000000000001"/>
    <n v="516025.56"/>
    <n v="329542.08"/>
    <n v="0.36138419189933152"/>
    <n v="186483.48"/>
  </r>
  <r>
    <x v="0"/>
    <s v="Andorra"/>
    <x v="11"/>
    <x v="0"/>
    <x v="2"/>
    <s v="12/12/2014"/>
    <d v="2014-12-12T00:00:00"/>
    <n v="12"/>
    <s v="Dec"/>
    <x v="2"/>
    <s v="Dec-2014"/>
    <n v="754541289"/>
    <d v="2014-12-19T00:00:00"/>
    <n v="19"/>
    <s v="Dec"/>
    <n v="2014"/>
    <s v="Dec-2014"/>
    <s v="12/19/2014"/>
    <n v="7"/>
    <n v="4390"/>
    <n v="81.73"/>
    <n v="56.67"/>
    <n v="81.73"/>
    <n v="358794.7"/>
    <n v="248781.3"/>
    <n v="0.30661935641747212"/>
    <n v="110013.4"/>
  </r>
  <r>
    <x v="0"/>
    <s v="Serbia"/>
    <x v="5"/>
    <x v="0"/>
    <x v="2"/>
    <s v="3/16/2015"/>
    <d v="2015-03-16T00:00:00"/>
    <n v="16"/>
    <s v="Mar"/>
    <x v="6"/>
    <s v="Mar-2015"/>
    <n v="697638976"/>
    <d v="2015-03-26T00:00:00"/>
    <n v="26"/>
    <s v="Mar"/>
    <n v="2015"/>
    <s v="Mar-2015"/>
    <s v="3/26/2015"/>
    <n v="10"/>
    <n v="5731"/>
    <n v="154.06"/>
    <n v="90.93"/>
    <n v="154.06"/>
    <n v="882917.86"/>
    <n v="521119.83"/>
    <n v="0.40977541217707392"/>
    <n v="361798.03"/>
  </r>
  <r>
    <x v="0"/>
    <s v="Czech Republic"/>
    <x v="8"/>
    <x v="1"/>
    <x v="0"/>
    <s v="3/10/2016"/>
    <d v="2016-03-10T00:00:00"/>
    <n v="10"/>
    <s v="Mar"/>
    <x v="4"/>
    <s v="Mar-2016"/>
    <n v="467312324"/>
    <d v="2016-04-08T00:00:00"/>
    <n v="8"/>
    <s v="Apr"/>
    <n v="2016"/>
    <s v="Apr-2016"/>
    <s v="4/8/2016"/>
    <n v="29"/>
    <n v="6956"/>
    <n v="255.28"/>
    <n v="159.41999999999999"/>
    <n v="255.28"/>
    <n v="1775727.68"/>
    <n v="1108925.52"/>
    <n v="0.37550924475086184"/>
    <n v="666802.16"/>
  </r>
  <r>
    <x v="0"/>
    <s v="Slovenia"/>
    <x v="1"/>
    <x v="1"/>
    <x v="2"/>
    <s v="5/26/2012"/>
    <d v="2012-05-26T00:00:00"/>
    <n v="26"/>
    <s v="May"/>
    <x v="5"/>
    <s v="May-2012"/>
    <n v="622441852"/>
    <d v="2012-05-28T00:00:00"/>
    <n v="28"/>
    <s v="May"/>
    <n v="2012"/>
    <s v="May-2012"/>
    <s v="5/28/2012"/>
    <n v="2"/>
    <n v="3231"/>
    <n v="109.28"/>
    <n v="35.840000000000003"/>
    <n v="109.28"/>
    <n v="353083.68"/>
    <n v="115799.03999999999"/>
    <n v="0.67203513909224022"/>
    <n v="237284.64"/>
  </r>
  <r>
    <x v="0"/>
    <s v="Bulgaria"/>
    <x v="6"/>
    <x v="1"/>
    <x v="0"/>
    <s v="7/27/2016"/>
    <d v="2016-07-27T00:00:00"/>
    <n v="27"/>
    <s v="Jul"/>
    <x v="4"/>
    <s v="Jul-2016"/>
    <n v="349212729"/>
    <d v="2016-09-11T00:00:00"/>
    <n v="11"/>
    <s v="Sep"/>
    <n v="2016"/>
    <s v="Sep-2016"/>
    <s v="9/11/2016"/>
    <n v="46"/>
    <n v="8662"/>
    <n v="421.89"/>
    <n v="364.69"/>
    <n v="421.89000000000004"/>
    <n v="3654411.18"/>
    <n v="3158944.78"/>
    <n v="0.13558036455000119"/>
    <n v="495466.4"/>
  </r>
  <r>
    <x v="0"/>
    <s v="Hungary"/>
    <x v="10"/>
    <x v="1"/>
    <x v="3"/>
    <s v="10/6/2010"/>
    <d v="2010-10-06T00:00:00"/>
    <n v="6"/>
    <s v="Oct"/>
    <x v="3"/>
    <s v="Oct-2010"/>
    <n v="332353007"/>
    <d v="2010-11-22T00:00:00"/>
    <n v="22"/>
    <s v="Nov"/>
    <n v="2010"/>
    <s v="Nov-2010"/>
    <s v="11/22/2010"/>
    <n v="47"/>
    <n v="9495"/>
    <n v="437.2"/>
    <n v="263.33"/>
    <n v="437.2"/>
    <n v="4151214"/>
    <n v="2500318.35"/>
    <n v="0.39768984446477584"/>
    <n v="1650895.65"/>
  </r>
  <r>
    <x v="0"/>
    <s v="Slovakia"/>
    <x v="6"/>
    <x v="0"/>
    <x v="3"/>
    <s v="8/8/2013"/>
    <d v="2013-08-08T00:00:00"/>
    <n v="8"/>
    <s v="Aug"/>
    <x v="1"/>
    <s v="Aug-2013"/>
    <n v="876856458"/>
    <d v="2013-08-29T00:00:00"/>
    <n v="29"/>
    <s v="Aug"/>
    <n v="2013"/>
    <s v="Aug-2013"/>
    <s v="8/29/2013"/>
    <n v="21"/>
    <n v="166"/>
    <n v="421.89"/>
    <n v="364.69"/>
    <n v="421.89000000000004"/>
    <n v="70033.740000000005"/>
    <n v="60538.54"/>
    <n v="0.13558036455000119"/>
    <n v="9495.2000000000007"/>
  </r>
  <r>
    <x v="0"/>
    <s v="Bulgaria"/>
    <x v="0"/>
    <x v="0"/>
    <x v="0"/>
    <s v="10/19/2013"/>
    <d v="2013-10-19T00:00:00"/>
    <n v="19"/>
    <s v="Oct"/>
    <x v="1"/>
    <s v="Oct-2013"/>
    <n v="313178002"/>
    <d v="2013-12-06T00:00:00"/>
    <n v="6"/>
    <s v="Dec"/>
    <n v="2013"/>
    <s v="Dec-2013"/>
    <s v="12/6/2013"/>
    <n v="48"/>
    <n v="5185"/>
    <n v="47.45"/>
    <n v="31.79"/>
    <n v="47.45"/>
    <n v="246028.25"/>
    <n v="164831.15"/>
    <n v="0.33003161222339306"/>
    <n v="81197.100000000006"/>
  </r>
  <r>
    <x v="0"/>
    <s v="Kosovo"/>
    <x v="11"/>
    <x v="1"/>
    <x v="2"/>
    <s v="2/17/2016"/>
    <d v="2016-02-17T00:00:00"/>
    <n v="17"/>
    <s v="Feb"/>
    <x v="4"/>
    <s v="Feb-2016"/>
    <n v="461445796"/>
    <d v="2016-03-22T00:00:00"/>
    <n v="22"/>
    <s v="Mar"/>
    <n v="2016"/>
    <s v="Mar-2016"/>
    <s v="3/22/2016"/>
    <n v="34"/>
    <n v="920"/>
    <n v="81.73"/>
    <n v="56.67"/>
    <n v="81.73"/>
    <n v="75191.600000000006"/>
    <n v="52136.4"/>
    <n v="0.30661935641747218"/>
    <n v="23055.200000000001"/>
  </r>
  <r>
    <x v="0"/>
    <s v="Spain"/>
    <x v="10"/>
    <x v="0"/>
    <x v="0"/>
    <s v="1/3/2017"/>
    <d v="2017-01-03T00:00:00"/>
    <n v="3"/>
    <s v="Jan"/>
    <x v="7"/>
    <s v="Jan-2017"/>
    <n v="391026866"/>
    <d v="2017-01-08T00:00:00"/>
    <n v="8"/>
    <s v="Jan"/>
    <n v="2017"/>
    <s v="Jan-2017"/>
    <s v="1/8/2017"/>
    <n v="5"/>
    <n v="2394"/>
    <n v="437.2"/>
    <n v="263.33"/>
    <n v="437.20000000000005"/>
    <n v="1046656.8"/>
    <n v="630412.02"/>
    <n v="0.39768984446477584"/>
    <n v="416244.78"/>
  </r>
  <r>
    <x v="0"/>
    <s v="Germany"/>
    <x v="5"/>
    <x v="0"/>
    <x v="0"/>
    <s v="8/7/2015"/>
    <d v="2015-08-07T00:00:00"/>
    <n v="7"/>
    <s v="Aug"/>
    <x v="6"/>
    <s v="Aug-2015"/>
    <n v="204418504"/>
    <d v="2015-09-03T00:00:00"/>
    <n v="3"/>
    <s v="Sep"/>
    <n v="2015"/>
    <s v="Sep-2015"/>
    <s v="9/3/2015"/>
    <n v="27"/>
    <n v="833"/>
    <n v="154.06"/>
    <n v="90.93"/>
    <n v="154.06"/>
    <n v="128331.98"/>
    <n v="75744.69"/>
    <n v="0.40977541217707386"/>
    <n v="52587.29"/>
  </r>
  <r>
    <x v="0"/>
    <s v="Romania"/>
    <x v="6"/>
    <x v="0"/>
    <x v="2"/>
    <s v="12/22/2012"/>
    <d v="2012-12-22T00:00:00"/>
    <n v="22"/>
    <s v="Dec"/>
    <x v="5"/>
    <s v="Dec-2012"/>
    <n v="524972951"/>
    <d v="2013-01-17T00:00:00"/>
    <n v="17"/>
    <s v="Jan"/>
    <n v="2013"/>
    <s v="Jan-2013"/>
    <s v="1/17/2013"/>
    <n v="26"/>
    <n v="17"/>
    <n v="421.89"/>
    <n v="364.69"/>
    <n v="421.89"/>
    <n v="7172.13"/>
    <n v="6199.73"/>
    <n v="0.13558036455000119"/>
    <n v="972.4"/>
  </r>
  <r>
    <x v="0"/>
    <s v="Latvia"/>
    <x v="0"/>
    <x v="1"/>
    <x v="0"/>
    <s v="11/27/2013"/>
    <d v="2013-11-27T00:00:00"/>
    <n v="27"/>
    <s v="Nov"/>
    <x v="1"/>
    <s v="Nov-2013"/>
    <n v="469197165"/>
    <d v="2013-12-11T00:00:00"/>
    <n v="11"/>
    <s v="Dec"/>
    <n v="2013"/>
    <s v="Dec-2013"/>
    <s v="12/11/2013"/>
    <n v="14"/>
    <n v="4723"/>
    <n v="47.45"/>
    <n v="31.79"/>
    <n v="47.45"/>
    <n v="224106.35"/>
    <n v="150144.17000000001"/>
    <n v="0.330031612223393"/>
    <n v="73962.179999999993"/>
  </r>
  <r>
    <x v="0"/>
    <s v="Sweden"/>
    <x v="9"/>
    <x v="0"/>
    <x v="3"/>
    <s v="6/23/2010"/>
    <d v="2010-06-23T00:00:00"/>
    <n v="23"/>
    <s v="Jun"/>
    <x v="3"/>
    <s v="Jun-2010"/>
    <n v="688650786"/>
    <d v="2010-08-07T00:00:00"/>
    <n v="7"/>
    <s v="Aug"/>
    <n v="2010"/>
    <s v="Aug-2010"/>
    <s v="8/7/2010"/>
    <n v="45"/>
    <n v="5926"/>
    <n v="668.27"/>
    <n v="502.54"/>
    <n v="668.27"/>
    <n v="3960168.02"/>
    <n v="2978052.04"/>
    <n v="0.24799856345489099"/>
    <n v="982115.98"/>
  </r>
  <r>
    <x v="0"/>
    <s v="Macedonia"/>
    <x v="3"/>
    <x v="1"/>
    <x v="1"/>
    <s v="6/17/2016"/>
    <d v="2016-06-17T00:00:00"/>
    <n v="17"/>
    <s v="Jun"/>
    <x v="4"/>
    <s v="Jun-2016"/>
    <n v="823236739"/>
    <d v="2016-08-01T00:00:00"/>
    <n v="1"/>
    <s v="Aug"/>
    <n v="2016"/>
    <s v="Aug-2016"/>
    <s v="8/1/2016"/>
    <n v="45"/>
    <n v="2900"/>
    <n v="651.21"/>
    <n v="524.96"/>
    <n v="651.21"/>
    <n v="1888509"/>
    <n v="1522384"/>
    <n v="0.19386987300563566"/>
    <n v="366125"/>
  </r>
  <r>
    <x v="0"/>
    <s v="Armenia"/>
    <x v="4"/>
    <x v="0"/>
    <x v="2"/>
    <s v="3/17/2015"/>
    <d v="2015-03-17T00:00:00"/>
    <n v="17"/>
    <s v="Mar"/>
    <x v="6"/>
    <s v="Mar-2015"/>
    <n v="439725911"/>
    <d v="2015-04-07T00:00:00"/>
    <n v="7"/>
    <s v="Apr"/>
    <n v="2015"/>
    <s v="Apr-2015"/>
    <s v="4/7/2015"/>
    <n v="21"/>
    <n v="3524"/>
    <n v="9.33"/>
    <n v="6.92"/>
    <n v="9.33"/>
    <n v="32878.92"/>
    <n v="24386.080000000002"/>
    <n v="0.25830653804930331"/>
    <n v="8492.84"/>
  </r>
  <r>
    <x v="0"/>
    <s v="Cyprus"/>
    <x v="7"/>
    <x v="1"/>
    <x v="3"/>
    <s v="10/1/2012"/>
    <d v="2012-10-01T00:00:00"/>
    <n v="1"/>
    <s v="Oct"/>
    <x v="5"/>
    <s v="Oct-2012"/>
    <n v="255047452"/>
    <d v="2012-10-30T00:00:00"/>
    <n v="30"/>
    <s v="Oct"/>
    <n v="2012"/>
    <s v="Oct-2012"/>
    <s v="10/30/2012"/>
    <n v="29"/>
    <n v="3064"/>
    <n v="152.58000000000001"/>
    <n v="97.44"/>
    <n v="152.58000000000001"/>
    <n v="467505.12"/>
    <n v="298556.15999999997"/>
    <n v="0.36138419189933146"/>
    <n v="168948.96"/>
  </r>
  <r>
    <x v="0"/>
    <s v="Malta"/>
    <x v="6"/>
    <x v="0"/>
    <x v="0"/>
    <s v="6/26/2014"/>
    <d v="2014-06-26T00:00:00"/>
    <n v="26"/>
    <s v="Jun"/>
    <x v="2"/>
    <s v="Jun-2014"/>
    <n v="662623488"/>
    <d v="2014-07-11T00:00:00"/>
    <n v="11"/>
    <s v="Jul"/>
    <n v="2014"/>
    <s v="Jul-2014"/>
    <s v="7/11/2014"/>
    <n v="15"/>
    <n v="3870"/>
    <n v="421.89"/>
    <n v="364.69"/>
    <n v="421.89"/>
    <n v="1632714.3"/>
    <n v="1411350.3"/>
    <n v="0.13558036455000119"/>
    <n v="221364"/>
  </r>
  <r>
    <x v="0"/>
    <s v="San Marino"/>
    <x v="5"/>
    <x v="0"/>
    <x v="1"/>
    <s v="1/22/2016"/>
    <d v="2016-01-22T00:00:00"/>
    <n v="22"/>
    <s v="Jan"/>
    <x v="4"/>
    <s v="Jan-2016"/>
    <n v="560389268"/>
    <d v="2016-02-22T00:00:00"/>
    <n v="22"/>
    <s v="Feb"/>
    <n v="2016"/>
    <s v="Feb-2016"/>
    <s v="2/22/2016"/>
    <n v="31"/>
    <n v="492"/>
    <n v="154.06"/>
    <n v="90.93"/>
    <n v="154.06"/>
    <n v="75797.52"/>
    <n v="44737.56"/>
    <n v="0.40977541217707386"/>
    <n v="31059.96"/>
  </r>
  <r>
    <x v="0"/>
    <s v="France"/>
    <x v="3"/>
    <x v="0"/>
    <x v="0"/>
    <s v="7/12/2011"/>
    <d v="2011-07-12T00:00:00"/>
    <n v="12"/>
    <s v="Jul"/>
    <x v="0"/>
    <s v="Jul-2011"/>
    <n v="867138278"/>
    <d v="2011-08-04T00:00:00"/>
    <n v="4"/>
    <s v="Aug"/>
    <n v="2011"/>
    <s v="Aug-2011"/>
    <s v="8/4/2011"/>
    <n v="23"/>
    <n v="4341"/>
    <n v="651.21"/>
    <n v="524.96"/>
    <n v="651.20999999999992"/>
    <n v="2826902.61"/>
    <n v="2278851.36"/>
    <n v="0.19386987300563568"/>
    <n v="548051.25"/>
  </r>
  <r>
    <x v="0"/>
    <s v="Montenegro"/>
    <x v="9"/>
    <x v="1"/>
    <x v="3"/>
    <s v="12/25/2014"/>
    <d v="2014-12-25T00:00:00"/>
    <n v="25"/>
    <s v="Dec"/>
    <x v="2"/>
    <s v="Dec-2014"/>
    <n v="525321424"/>
    <d v="2014-12-31T00:00:00"/>
    <n v="31"/>
    <s v="Dec"/>
    <n v="2014"/>
    <s v="Dec-2014"/>
    <s v="12/31/2014"/>
    <n v="6"/>
    <n v="3138"/>
    <n v="668.27"/>
    <n v="502.54"/>
    <n v="668.27"/>
    <n v="2097031.26"/>
    <n v="1576970.52"/>
    <n v="0.24799856345489099"/>
    <n v="520060.74"/>
  </r>
  <r>
    <x v="0"/>
    <s v="Cyprus"/>
    <x v="1"/>
    <x v="1"/>
    <x v="3"/>
    <s v="6/10/2014"/>
    <d v="2014-06-10T00:00:00"/>
    <n v="10"/>
    <s v="Jun"/>
    <x v="2"/>
    <s v="Jun-2014"/>
    <n v="497554337"/>
    <d v="2014-07-28T00:00:00"/>
    <n v="28"/>
    <s v="Jul"/>
    <n v="2014"/>
    <s v="Jul-2014"/>
    <s v="7/28/2014"/>
    <n v="48"/>
    <n v="6240"/>
    <n v="109.28"/>
    <n v="35.840000000000003"/>
    <n v="109.27999999999999"/>
    <n v="681907.19999999995"/>
    <n v="223641.60000000001"/>
    <n v="0.67203513909224011"/>
    <n v="458265.59999999998"/>
  </r>
  <r>
    <x v="0"/>
    <s v="Vatican City"/>
    <x v="11"/>
    <x v="0"/>
    <x v="1"/>
    <s v="4/15/2016"/>
    <d v="2016-04-15T00:00:00"/>
    <n v="15"/>
    <s v="Apr"/>
    <x v="4"/>
    <s v="Apr-2016"/>
    <n v="626322257"/>
    <d v="2016-05-05T00:00:00"/>
    <n v="5"/>
    <s v="May"/>
    <n v="2016"/>
    <s v="May-2016"/>
    <s v="5/5/2016"/>
    <n v="20"/>
    <n v="1529"/>
    <n v="81.73"/>
    <n v="56.67"/>
    <n v="81.73"/>
    <n v="124965.17"/>
    <n v="86648.43"/>
    <n v="0.30661935641747218"/>
    <n v="38316.74"/>
  </r>
  <r>
    <x v="0"/>
    <s v="Netherlands"/>
    <x v="8"/>
    <x v="0"/>
    <x v="0"/>
    <s v="1/21/2011"/>
    <d v="2011-01-21T00:00:00"/>
    <n v="21"/>
    <s v="Jan"/>
    <x v="0"/>
    <s v="Jan-2011"/>
    <n v="611766231"/>
    <d v="2011-02-26T00:00:00"/>
    <n v="26"/>
    <s v="Feb"/>
    <n v="2011"/>
    <s v="Feb-2011"/>
    <s v="2/26/2011"/>
    <n v="36"/>
    <n v="4077"/>
    <n v="255.28"/>
    <n v="159.41999999999999"/>
    <n v="255.28"/>
    <n v="1040776.56"/>
    <n v="649955.34"/>
    <n v="0.37550924475086173"/>
    <n v="390821.22"/>
  </r>
  <r>
    <x v="0"/>
    <s v="Montenegro"/>
    <x v="8"/>
    <x v="0"/>
    <x v="3"/>
    <s v="3/3/2013"/>
    <d v="2013-03-03T00:00:00"/>
    <n v="3"/>
    <s v="Mar"/>
    <x v="1"/>
    <s v="Mar-2013"/>
    <n v="630931794"/>
    <d v="2013-04-01T00:00:00"/>
    <n v="1"/>
    <s v="Apr"/>
    <n v="2013"/>
    <s v="Apr-2013"/>
    <s v="4/1/2013"/>
    <n v="29"/>
    <n v="5593"/>
    <n v="255.28"/>
    <n v="159.41999999999999"/>
    <n v="255.28"/>
    <n v="1427781.04"/>
    <n v="891636.06"/>
    <n v="0.37550924475086178"/>
    <n v="536144.98"/>
  </r>
  <r>
    <x v="0"/>
    <s v="San Marino"/>
    <x v="3"/>
    <x v="0"/>
    <x v="2"/>
    <s v="3/4/2017"/>
    <d v="2017-03-04T00:00:00"/>
    <n v="4"/>
    <s v="Mar"/>
    <x v="7"/>
    <s v="Mar-2017"/>
    <n v="239386355"/>
    <d v="2017-04-20T00:00:00"/>
    <n v="20"/>
    <s v="Apr"/>
    <n v="2017"/>
    <s v="Apr-2017"/>
    <s v="4/20/2017"/>
    <n v="47"/>
    <n v="8597"/>
    <n v="651.21"/>
    <n v="524.96"/>
    <n v="651.21"/>
    <n v="5598452.3700000001"/>
    <n v="4513081.12"/>
    <n v="0.19386987300563566"/>
    <n v="1085371.25"/>
  </r>
  <r>
    <x v="0"/>
    <s v="Germany"/>
    <x v="9"/>
    <x v="0"/>
    <x v="1"/>
    <s v="8/21/2016"/>
    <d v="2016-08-21T00:00:00"/>
    <n v="21"/>
    <s v="Aug"/>
    <x v="4"/>
    <s v="Aug-2016"/>
    <n v="874172532"/>
    <d v="2016-10-02T00:00:00"/>
    <n v="2"/>
    <s v="Oct"/>
    <n v="2016"/>
    <s v="Oct-2016"/>
    <s v="10/2/2016"/>
    <n v="42"/>
    <n v="5933"/>
    <n v="668.27"/>
    <n v="502.54"/>
    <n v="668.27"/>
    <n v="3964845.91"/>
    <n v="2981569.82"/>
    <n v="0.24799856345489096"/>
    <n v="983276.09"/>
  </r>
  <r>
    <x v="0"/>
    <s v="Iceland"/>
    <x v="11"/>
    <x v="0"/>
    <x v="0"/>
    <s v="9/19/2010"/>
    <d v="2010-09-19T00:00:00"/>
    <n v="19"/>
    <s v="Sep"/>
    <x v="3"/>
    <s v="Sep-2010"/>
    <n v="570703542"/>
    <d v="2010-11-03T00:00:00"/>
    <n v="3"/>
    <s v="Nov"/>
    <n v="2010"/>
    <s v="Nov-2010"/>
    <s v="11/3/2010"/>
    <n v="45"/>
    <n v="2715"/>
    <n v="81.73"/>
    <n v="56.67"/>
    <n v="81.73"/>
    <n v="221896.95"/>
    <n v="153859.04999999999"/>
    <n v="0.30661935641747212"/>
    <n v="68037.899999999994"/>
  </r>
  <r>
    <x v="0"/>
    <s v="Hungary"/>
    <x v="10"/>
    <x v="1"/>
    <x v="1"/>
    <s v="9/20/2012"/>
    <d v="2012-09-20T00:00:00"/>
    <n v="20"/>
    <s v="Sep"/>
    <x v="5"/>
    <s v="Sep-2012"/>
    <n v="132603538"/>
    <d v="2012-11-06T00:00:00"/>
    <n v="6"/>
    <s v="Nov"/>
    <n v="2012"/>
    <s v="Nov-2012"/>
    <s v="11/6/2012"/>
    <n v="47"/>
    <n v="9188"/>
    <n v="437.2"/>
    <n v="263.33"/>
    <n v="437.2"/>
    <n v="4016993.6"/>
    <n v="2419476.04"/>
    <n v="0.39768984446477584"/>
    <n v="1597517.56"/>
  </r>
  <r>
    <x v="0"/>
    <s v="Czech Republic"/>
    <x v="6"/>
    <x v="0"/>
    <x v="2"/>
    <s v="8/6/2011"/>
    <d v="2011-08-06T00:00:00"/>
    <n v="6"/>
    <s v="Aug"/>
    <x v="0"/>
    <s v="Aug-2011"/>
    <n v="552276551"/>
    <d v="2011-09-24T00:00:00"/>
    <n v="24"/>
    <s v="Sep"/>
    <n v="2011"/>
    <s v="Sep-2011"/>
    <s v="9/24/2011"/>
    <n v="49"/>
    <n v="9759"/>
    <n v="421.89"/>
    <n v="364.69"/>
    <n v="421.89"/>
    <n v="4117224.51"/>
    <n v="3559009.71"/>
    <n v="0.13558036455000119"/>
    <n v="558214.80000000005"/>
  </r>
  <r>
    <x v="0"/>
    <s v="Macedonia"/>
    <x v="7"/>
    <x v="0"/>
    <x v="1"/>
    <s v="3/22/2016"/>
    <d v="2016-03-22T00:00:00"/>
    <n v="22"/>
    <s v="Mar"/>
    <x v="4"/>
    <s v="Mar-2016"/>
    <n v="163587558"/>
    <d v="2016-04-19T00:00:00"/>
    <n v="19"/>
    <s v="Apr"/>
    <n v="2016"/>
    <s v="Apr-2016"/>
    <s v="4/19/2016"/>
    <n v="28"/>
    <n v="8048"/>
    <n v="152.58000000000001"/>
    <n v="97.44"/>
    <n v="152.58000000000001"/>
    <n v="1227963.8400000001"/>
    <n v="784197.12"/>
    <n v="0.36138419189933146"/>
    <n v="443766.72"/>
  </r>
  <r>
    <x v="0"/>
    <s v="Andorra"/>
    <x v="8"/>
    <x v="0"/>
    <x v="1"/>
    <s v="1/10/2012"/>
    <d v="2012-01-10T00:00:00"/>
    <n v="10"/>
    <s v="Jan"/>
    <x v="5"/>
    <s v="Jan-2012"/>
    <n v="415837943"/>
    <d v="2012-02-23T00:00:00"/>
    <n v="23"/>
    <s v="Feb"/>
    <n v="2012"/>
    <s v="Feb-2012"/>
    <s v="2/23/2012"/>
    <n v="44"/>
    <n v="4543"/>
    <n v="255.28"/>
    <n v="159.41999999999999"/>
    <n v="255.28"/>
    <n v="1159737.04"/>
    <n v="724245.06"/>
    <n v="0.37550924475086178"/>
    <n v="435491.98"/>
  </r>
  <r>
    <x v="0"/>
    <s v="Hungary"/>
    <x v="8"/>
    <x v="0"/>
    <x v="3"/>
    <s v="5/17/2014"/>
    <d v="2014-05-17T00:00:00"/>
    <n v="17"/>
    <s v="May"/>
    <x v="2"/>
    <s v="May-2014"/>
    <n v="398645198"/>
    <d v="2014-05-26T00:00:00"/>
    <n v="26"/>
    <s v="May"/>
    <n v="2014"/>
    <s v="May-2014"/>
    <s v="5/26/2014"/>
    <n v="9"/>
    <n v="6828"/>
    <n v="255.28"/>
    <n v="159.41999999999999"/>
    <n v="255.28"/>
    <n v="1743051.84"/>
    <n v="1088519.76"/>
    <n v="0.37550924475086178"/>
    <n v="654532.07999999996"/>
  </r>
  <r>
    <x v="0"/>
    <s v="Latvia"/>
    <x v="11"/>
    <x v="0"/>
    <x v="3"/>
    <s v="11/2/2013"/>
    <d v="2013-11-02T00:00:00"/>
    <n v="2"/>
    <s v="Nov"/>
    <x v="1"/>
    <s v="Nov-2013"/>
    <n v="913074433"/>
    <d v="2013-12-17T00:00:00"/>
    <n v="17"/>
    <s v="Dec"/>
    <n v="2013"/>
    <s v="Dec-2013"/>
    <s v="12/17/2013"/>
    <n v="45"/>
    <n v="7870"/>
    <n v="81.73"/>
    <n v="56.67"/>
    <n v="81.73"/>
    <n v="643215.1"/>
    <n v="445992.9"/>
    <n v="0.30661935641747218"/>
    <n v="197222.2"/>
  </r>
  <r>
    <x v="0"/>
    <s v="Andorra"/>
    <x v="4"/>
    <x v="0"/>
    <x v="3"/>
    <s v="5/27/2014"/>
    <d v="2014-05-27T00:00:00"/>
    <n v="27"/>
    <s v="May"/>
    <x v="2"/>
    <s v="May-2014"/>
    <n v="889125955"/>
    <d v="2014-06-15T00:00:00"/>
    <n v="15"/>
    <s v="Jun"/>
    <n v="2014"/>
    <s v="Jun-2014"/>
    <s v="6/15/2014"/>
    <n v="19"/>
    <n v="983"/>
    <n v="9.33"/>
    <n v="6.92"/>
    <n v="9.33"/>
    <n v="9171.39"/>
    <n v="6802.36"/>
    <n v="0.25830653804930337"/>
    <n v="2369.0300000000002"/>
  </r>
  <r>
    <x v="0"/>
    <s v="Austria"/>
    <x v="4"/>
    <x v="0"/>
    <x v="3"/>
    <s v="8/6/2011"/>
    <d v="2011-08-06T00:00:00"/>
    <n v="6"/>
    <s v="Aug"/>
    <x v="0"/>
    <s v="Aug-2011"/>
    <n v="263427960"/>
    <d v="2011-09-20T00:00:00"/>
    <n v="20"/>
    <s v="Sep"/>
    <n v="2011"/>
    <s v="Sep-2011"/>
    <s v="9/20/2011"/>
    <n v="45"/>
    <n v="3042"/>
    <n v="9.33"/>
    <n v="6.92"/>
    <n v="9.33"/>
    <n v="28381.86"/>
    <n v="21050.639999999999"/>
    <n v="0.25830653804930331"/>
    <n v="7331.22"/>
  </r>
  <r>
    <x v="0"/>
    <s v="Liechtenstein"/>
    <x v="6"/>
    <x v="1"/>
    <x v="3"/>
    <s v="7/12/2010"/>
    <d v="2010-07-12T00:00:00"/>
    <n v="12"/>
    <s v="Jul"/>
    <x v="3"/>
    <s v="Jul-2010"/>
    <n v="730490243"/>
    <d v="2010-07-14T00:00:00"/>
    <n v="14"/>
    <s v="Jul"/>
    <n v="2010"/>
    <s v="Jul-2010"/>
    <s v="7/14/2010"/>
    <n v="2"/>
    <n v="7151"/>
    <n v="421.89"/>
    <n v="364.69"/>
    <n v="421.89000000000004"/>
    <n v="3016935.39"/>
    <n v="2607898.19"/>
    <n v="0.13558036455000119"/>
    <n v="409037.2"/>
  </r>
  <r>
    <x v="0"/>
    <s v="Poland"/>
    <x v="2"/>
    <x v="1"/>
    <x v="2"/>
    <s v="11/1/2016"/>
    <d v="2016-11-01T00:00:00"/>
    <n v="1"/>
    <s v="Nov"/>
    <x v="4"/>
    <s v="Nov-2016"/>
    <n v="905036389"/>
    <d v="2016-11-20T00:00:00"/>
    <n v="20"/>
    <s v="Nov"/>
    <n v="2016"/>
    <s v="Nov-2016"/>
    <s v="11/20/2016"/>
    <n v="19"/>
    <n v="9234"/>
    <n v="205.7"/>
    <n v="117.11"/>
    <n v="205.70000000000002"/>
    <n v="1899433.8"/>
    <n v="1081393.74"/>
    <n v="0.43067574137092857"/>
    <n v="818040.06"/>
  </r>
  <r>
    <x v="0"/>
    <s v="Montenegro"/>
    <x v="1"/>
    <x v="1"/>
    <x v="0"/>
    <s v="3/4/2012"/>
    <d v="2012-03-04T00:00:00"/>
    <n v="4"/>
    <s v="Mar"/>
    <x v="5"/>
    <s v="Mar-2012"/>
    <n v="381759297"/>
    <d v="2012-03-25T00:00:00"/>
    <n v="25"/>
    <s v="Mar"/>
    <n v="2012"/>
    <s v="Mar-2012"/>
    <s v="3/25/2012"/>
    <n v="21"/>
    <n v="9914"/>
    <n v="109.28"/>
    <n v="35.840000000000003"/>
    <n v="109.27999999999999"/>
    <n v="1083401.92"/>
    <n v="355317.76000000001"/>
    <n v="0.67203513909224022"/>
    <n v="728084.16"/>
  </r>
  <r>
    <x v="0"/>
    <s v="Belarus"/>
    <x v="10"/>
    <x v="0"/>
    <x v="1"/>
    <s v="9/2/2011"/>
    <d v="2011-09-02T00:00:00"/>
    <n v="2"/>
    <s v="Sep"/>
    <x v="0"/>
    <s v="Sep-2011"/>
    <n v="613166129"/>
    <d v="2011-10-21T00:00:00"/>
    <n v="21"/>
    <s v="Oct"/>
    <n v="2011"/>
    <s v="Oct-2011"/>
    <s v="10/21/2011"/>
    <n v="49"/>
    <n v="8338"/>
    <n v="437.2"/>
    <n v="263.33"/>
    <n v="437.2"/>
    <n v="3645373.6"/>
    <n v="2195645.54"/>
    <n v="0.39768984446477584"/>
    <n v="1449728.06"/>
  </r>
  <r>
    <x v="0"/>
    <s v="Ukraine"/>
    <x v="3"/>
    <x v="0"/>
    <x v="1"/>
    <s v="5/3/2017"/>
    <d v="2017-05-03T00:00:00"/>
    <n v="3"/>
    <s v="May"/>
    <x v="7"/>
    <s v="May-2017"/>
    <n v="181260526"/>
    <d v="2017-06-03T00:00:00"/>
    <n v="3"/>
    <s v="Jun"/>
    <n v="2017"/>
    <s v="Jun-2017"/>
    <s v="6/3/2017"/>
    <n v="31"/>
    <n v="7872"/>
    <n v="651.21"/>
    <n v="524.96"/>
    <n v="651.21"/>
    <n v="5126325.12"/>
    <n v="4132485.1200000001"/>
    <n v="0.19386987300563566"/>
    <n v="993840"/>
  </r>
  <r>
    <x v="0"/>
    <s v="Georgia"/>
    <x v="7"/>
    <x v="1"/>
    <x v="0"/>
    <s v="9/1/2013"/>
    <d v="2013-09-01T00:00:00"/>
    <n v="1"/>
    <s v="Sep"/>
    <x v="1"/>
    <s v="Sep-2013"/>
    <n v="264959609"/>
    <d v="2013-10-18T00:00:00"/>
    <n v="18"/>
    <s v="Oct"/>
    <n v="2013"/>
    <s v="Oct-2013"/>
    <s v="10/18/2013"/>
    <n v="47"/>
    <n v="6291"/>
    <n v="152.58000000000001"/>
    <n v="97.44"/>
    <n v="152.58000000000001"/>
    <n v="959880.78"/>
    <n v="612995.04"/>
    <n v="0.36138419189933146"/>
    <n v="346885.74"/>
  </r>
  <r>
    <x v="0"/>
    <s v="Malta"/>
    <x v="4"/>
    <x v="1"/>
    <x v="2"/>
    <s v="7/31/2010"/>
    <d v="2010-07-31T00:00:00"/>
    <n v="31"/>
    <s v="Jul"/>
    <x v="3"/>
    <s v="Jul-2010"/>
    <n v="475176560"/>
    <d v="2010-09-04T00:00:00"/>
    <n v="4"/>
    <s v="Sep"/>
    <n v="2010"/>
    <s v="Sep-2010"/>
    <s v="9/4/2010"/>
    <n v="35"/>
    <n v="4159"/>
    <n v="9.33"/>
    <n v="6.92"/>
    <n v="9.33"/>
    <n v="38803.47"/>
    <n v="28780.28"/>
    <n v="0.25830653804930331"/>
    <n v="10023.19"/>
  </r>
  <r>
    <x v="0"/>
    <s v="Armenia"/>
    <x v="8"/>
    <x v="0"/>
    <x v="3"/>
    <s v="1/23/2012"/>
    <d v="2012-01-23T00:00:00"/>
    <n v="23"/>
    <s v="Jan"/>
    <x v="5"/>
    <s v="Jan-2012"/>
    <n v="194922626"/>
    <d v="2012-02-07T00:00:00"/>
    <n v="7"/>
    <s v="Feb"/>
    <n v="2012"/>
    <s v="Feb-2012"/>
    <s v="2/7/2012"/>
    <n v="15"/>
    <n v="791"/>
    <n v="255.28"/>
    <n v="159.41999999999999"/>
    <n v="255.28"/>
    <n v="201926.48"/>
    <n v="126101.22"/>
    <n v="0.37550924475086173"/>
    <n v="75825.259999999995"/>
  </r>
  <r>
    <x v="0"/>
    <s v="France"/>
    <x v="7"/>
    <x v="0"/>
    <x v="1"/>
    <s v="7/3/2016"/>
    <d v="2016-07-03T00:00:00"/>
    <n v="3"/>
    <s v="Jul"/>
    <x v="4"/>
    <s v="Jul-2016"/>
    <n v="447684133"/>
    <d v="2016-08-14T00:00:00"/>
    <n v="14"/>
    <s v="Aug"/>
    <n v="2016"/>
    <s v="Aug-2016"/>
    <s v="8/14/2016"/>
    <n v="42"/>
    <n v="8538"/>
    <n v="152.58000000000001"/>
    <n v="97.44"/>
    <n v="152.58000000000001"/>
    <n v="1302728.04"/>
    <n v="831942.72"/>
    <n v="0.36138419189933152"/>
    <n v="470785.32"/>
  </r>
  <r>
    <x v="0"/>
    <s v="Liechtenstein"/>
    <x v="11"/>
    <x v="1"/>
    <x v="3"/>
    <s v="1/4/2012"/>
    <d v="2012-01-04T00:00:00"/>
    <n v="4"/>
    <s v="Jan"/>
    <x v="5"/>
    <s v="Jan-2012"/>
    <n v="527259910"/>
    <d v="2012-01-11T00:00:00"/>
    <n v="11"/>
    <s v="Jan"/>
    <n v="2012"/>
    <s v="Jan-2012"/>
    <s v="1/11/2012"/>
    <n v="7"/>
    <n v="6779"/>
    <n v="81.73"/>
    <n v="56.67"/>
    <n v="81.73"/>
    <n v="554047.67000000004"/>
    <n v="384165.93"/>
    <n v="0.30661935641747212"/>
    <n v="169881.74"/>
  </r>
  <r>
    <x v="0"/>
    <s v="Hungary"/>
    <x v="8"/>
    <x v="1"/>
    <x v="1"/>
    <s v="8/10/2014"/>
    <d v="2014-08-10T00:00:00"/>
    <n v="10"/>
    <s v="Aug"/>
    <x v="2"/>
    <s v="Aug-2014"/>
    <n v="879923617"/>
    <d v="2014-09-15T00:00:00"/>
    <n v="15"/>
    <s v="Sep"/>
    <n v="2014"/>
    <s v="Sep-2014"/>
    <s v="9/15/2014"/>
    <n v="36"/>
    <n v="7807"/>
    <n v="255.28"/>
    <n v="159.41999999999999"/>
    <n v="255.28"/>
    <n v="1992970.96"/>
    <n v="1244591.94"/>
    <n v="0.37550924475086184"/>
    <n v="748379.02"/>
  </r>
  <r>
    <x v="0"/>
    <s v="Portugal"/>
    <x v="7"/>
    <x v="0"/>
    <x v="3"/>
    <s v="3/9/2014"/>
    <d v="2014-03-09T00:00:00"/>
    <n v="9"/>
    <s v="Mar"/>
    <x v="2"/>
    <s v="Mar-2014"/>
    <n v="279816472"/>
    <d v="2014-04-14T00:00:00"/>
    <n v="14"/>
    <s v="Apr"/>
    <n v="2014"/>
    <s v="Apr-2014"/>
    <s v="4/14/2014"/>
    <n v="36"/>
    <n v="2767"/>
    <n v="152.58000000000001"/>
    <n v="97.44"/>
    <n v="152.57999999999998"/>
    <n v="422188.86"/>
    <n v="269616.48"/>
    <n v="0.36138419189933152"/>
    <n v="152572.38"/>
  </r>
  <r>
    <x v="0"/>
    <s v="Cyprus"/>
    <x v="7"/>
    <x v="1"/>
    <x v="1"/>
    <s v="11/5/2012"/>
    <d v="2012-11-05T00:00:00"/>
    <n v="5"/>
    <s v="Nov"/>
    <x v="5"/>
    <s v="Nov-2012"/>
    <n v="593018233"/>
    <d v="2012-12-11T00:00:00"/>
    <n v="11"/>
    <s v="Dec"/>
    <n v="2012"/>
    <s v="Dec-2012"/>
    <s v="12/11/2012"/>
    <n v="36"/>
    <n v="6128"/>
    <n v="152.58000000000001"/>
    <n v="97.44"/>
    <n v="152.58000000000001"/>
    <n v="935010.24"/>
    <n v="597112.31999999995"/>
    <n v="0.36138419189933146"/>
    <n v="337897.92"/>
  </r>
  <r>
    <x v="0"/>
    <s v="Macedonia"/>
    <x v="8"/>
    <x v="1"/>
    <x v="3"/>
    <s v="9/16/2016"/>
    <d v="2016-09-16T00:00:00"/>
    <n v="16"/>
    <s v="Sep"/>
    <x v="4"/>
    <s v="Sep-2016"/>
    <n v="349060380"/>
    <d v="2016-09-28T00:00:00"/>
    <n v="28"/>
    <s v="Sep"/>
    <n v="2016"/>
    <s v="Sep-2016"/>
    <s v="9/28/2016"/>
    <n v="12"/>
    <n v="3578"/>
    <n v="255.28"/>
    <n v="159.41999999999999"/>
    <n v="255.28"/>
    <n v="913391.84"/>
    <n v="570404.76"/>
    <n v="0.37550924475086184"/>
    <n v="342987.08"/>
  </r>
  <r>
    <x v="0"/>
    <s v="Latvia"/>
    <x v="9"/>
    <x v="0"/>
    <x v="0"/>
    <s v="12/18/2010"/>
    <d v="2010-12-18T00:00:00"/>
    <n v="18"/>
    <s v="Dec"/>
    <x v="3"/>
    <s v="Dec-2010"/>
    <n v="863890445"/>
    <d v="2010-12-25T00:00:00"/>
    <n v="25"/>
    <s v="Dec"/>
    <n v="2010"/>
    <s v="Dec-2010"/>
    <s v="12/25/2010"/>
    <n v="7"/>
    <n v="3235"/>
    <n v="668.27"/>
    <n v="502.54"/>
    <n v="668.2700000000001"/>
    <n v="2161853.4500000002"/>
    <n v="1625716.9"/>
    <n v="0.24799856345489099"/>
    <n v="536136.55000000005"/>
  </r>
  <r>
    <x v="0"/>
    <s v="Armenia"/>
    <x v="11"/>
    <x v="1"/>
    <x v="0"/>
    <s v="1/16/2010"/>
    <d v="2010-01-16T00:00:00"/>
    <n v="16"/>
    <s v="Jan"/>
    <x v="3"/>
    <s v="Jan-2010"/>
    <n v="667420995"/>
    <d v="2010-01-18T00:00:00"/>
    <n v="18"/>
    <s v="Jan"/>
    <n v="2010"/>
    <s v="Jan-2010"/>
    <s v="1/18/2010"/>
    <n v="2"/>
    <n v="3559"/>
    <n v="81.73"/>
    <n v="56.67"/>
    <n v="81.73"/>
    <n v="290877.07"/>
    <n v="201688.53"/>
    <n v="0.30661935641747212"/>
    <n v="89188.54"/>
  </r>
  <r>
    <x v="0"/>
    <s v="Montenegro"/>
    <x v="5"/>
    <x v="0"/>
    <x v="3"/>
    <s v="4/10/2011"/>
    <d v="2011-04-10T00:00:00"/>
    <n v="10"/>
    <s v="Apr"/>
    <x v="0"/>
    <s v="Apr-2011"/>
    <n v="842687690"/>
    <d v="2011-05-26T00:00:00"/>
    <n v="26"/>
    <s v="May"/>
    <n v="2011"/>
    <s v="May-2011"/>
    <s v="5/26/2011"/>
    <n v="46"/>
    <n v="8869"/>
    <n v="154.06"/>
    <n v="90.93"/>
    <n v="154.06"/>
    <n v="1366358.14"/>
    <n v="806458.17"/>
    <n v="0.40977541217707386"/>
    <n v="559899.97"/>
  </r>
  <r>
    <x v="0"/>
    <s v="San Marino"/>
    <x v="0"/>
    <x v="0"/>
    <x v="2"/>
    <s v="1/2/2012"/>
    <d v="2012-01-02T00:00:00"/>
    <n v="2"/>
    <s v="Jan"/>
    <x v="5"/>
    <s v="Jan-2012"/>
    <n v="772893178"/>
    <d v="2012-01-02T00:00:00"/>
    <n v="2"/>
    <s v="Jan"/>
    <n v="2012"/>
    <s v="Jan-2012"/>
    <s v="1/2/2012"/>
    <n v="0"/>
    <n v="5122"/>
    <n v="47.45"/>
    <n v="31.79"/>
    <n v="47.449999999999996"/>
    <n v="243038.9"/>
    <n v="162828.38"/>
    <n v="0.33003161222339306"/>
    <n v="80210.52"/>
  </r>
  <r>
    <x v="0"/>
    <s v="Czech Republic"/>
    <x v="7"/>
    <x v="1"/>
    <x v="1"/>
    <s v="7/5/2011"/>
    <d v="2011-07-05T00:00:00"/>
    <n v="5"/>
    <s v="Jul"/>
    <x v="0"/>
    <s v="Jul-2011"/>
    <n v="789484250"/>
    <d v="2011-07-30T00:00:00"/>
    <n v="30"/>
    <s v="Jul"/>
    <n v="2011"/>
    <s v="Jul-2011"/>
    <s v="7/30/2011"/>
    <n v="25"/>
    <n v="4789"/>
    <n v="152.58000000000001"/>
    <n v="97.44"/>
    <n v="152.58000000000001"/>
    <n v="730705.62"/>
    <n v="466640.16"/>
    <n v="0.36138419189933152"/>
    <n v="264065.46000000002"/>
  </r>
  <r>
    <x v="0"/>
    <s v="Vatican City"/>
    <x v="11"/>
    <x v="0"/>
    <x v="1"/>
    <s v="5/24/2012"/>
    <d v="2012-05-24T00:00:00"/>
    <n v="24"/>
    <s v="May"/>
    <x v="5"/>
    <s v="May-2012"/>
    <n v="336111962"/>
    <d v="2012-06-16T00:00:00"/>
    <n v="16"/>
    <s v="Jun"/>
    <n v="2012"/>
    <s v="Jun-2012"/>
    <s v="6/16/2012"/>
    <n v="23"/>
    <n v="1854"/>
    <n v="81.73"/>
    <n v="56.67"/>
    <n v="81.73"/>
    <n v="151527.42000000001"/>
    <n v="105066.18"/>
    <n v="0.30661935641747212"/>
    <n v="46461.24"/>
  </r>
  <r>
    <x v="0"/>
    <s v="San Marino"/>
    <x v="9"/>
    <x v="0"/>
    <x v="3"/>
    <s v="12/9/2015"/>
    <d v="2015-12-09T00:00:00"/>
    <n v="9"/>
    <s v="Dec"/>
    <x v="6"/>
    <s v="Dec-2015"/>
    <n v="821131742"/>
    <d v="2015-12-09T00:00:00"/>
    <n v="9"/>
    <s v="Dec"/>
    <n v="2015"/>
    <s v="Dec-2015"/>
    <s v="12/9/2015"/>
    <n v="0"/>
    <n v="9985"/>
    <n v="668.27"/>
    <n v="502.54"/>
    <n v="668.27"/>
    <n v="6672675.9500000002"/>
    <n v="5017861.9000000004"/>
    <n v="0.24799856345489099"/>
    <n v="1654814.05"/>
  </r>
  <r>
    <x v="0"/>
    <s v="Liechtenstein"/>
    <x v="9"/>
    <x v="1"/>
    <x v="1"/>
    <s v="4/27/2014"/>
    <d v="2014-04-27T00:00:00"/>
    <n v="27"/>
    <s v="Apr"/>
    <x v="2"/>
    <s v="Apr-2014"/>
    <n v="679108560"/>
    <d v="2014-06-11T00:00:00"/>
    <n v="11"/>
    <s v="Jun"/>
    <n v="2014"/>
    <s v="Jun-2014"/>
    <s v="6/11/2014"/>
    <n v="45"/>
    <n v="2169"/>
    <n v="668.27"/>
    <n v="502.54"/>
    <n v="668.27"/>
    <n v="1449477.63"/>
    <n v="1090009.26"/>
    <n v="0.24799856345489099"/>
    <n v="359468.37"/>
  </r>
  <r>
    <x v="0"/>
    <s v="Lithuania"/>
    <x v="11"/>
    <x v="0"/>
    <x v="2"/>
    <s v="4/19/2011"/>
    <d v="2011-04-19T00:00:00"/>
    <n v="19"/>
    <s v="Apr"/>
    <x v="0"/>
    <s v="Apr-2011"/>
    <n v="129875409"/>
    <d v="2011-04-26T00:00:00"/>
    <n v="26"/>
    <s v="Apr"/>
    <n v="2011"/>
    <s v="Apr-2011"/>
    <s v="4/26/2011"/>
    <n v="7"/>
    <n v="1875"/>
    <n v="81.73"/>
    <n v="56.67"/>
    <n v="81.73"/>
    <n v="153243.75"/>
    <n v="106256.25"/>
    <n v="0.30661935641747218"/>
    <n v="46987.5"/>
  </r>
  <r>
    <x v="0"/>
    <s v="Ireland"/>
    <x v="4"/>
    <x v="0"/>
    <x v="3"/>
    <s v="3/12/2015"/>
    <d v="2015-03-12T00:00:00"/>
    <n v="12"/>
    <s v="Mar"/>
    <x v="6"/>
    <s v="Mar-2015"/>
    <n v="155914723"/>
    <d v="2015-03-29T00:00:00"/>
    <n v="29"/>
    <s v="Mar"/>
    <n v="2015"/>
    <s v="Mar-2015"/>
    <s v="3/29/2015"/>
    <n v="17"/>
    <n v="7486"/>
    <n v="9.33"/>
    <n v="6.92"/>
    <n v="9.33"/>
    <n v="69844.38"/>
    <n v="51803.12"/>
    <n v="0.25830653804930326"/>
    <n v="18041.259999999998"/>
  </r>
  <r>
    <x v="0"/>
    <s v="Spain"/>
    <x v="4"/>
    <x v="1"/>
    <x v="3"/>
    <s v="10/9/2011"/>
    <d v="2011-10-09T00:00:00"/>
    <n v="9"/>
    <s v="Oct"/>
    <x v="0"/>
    <s v="Oct-2011"/>
    <n v="753166282"/>
    <d v="2011-11-25T00:00:00"/>
    <n v="25"/>
    <s v="Nov"/>
    <n v="2011"/>
    <s v="Nov-2011"/>
    <s v="11/25/2011"/>
    <n v="47"/>
    <n v="7495"/>
    <n v="9.33"/>
    <n v="6.92"/>
    <n v="9.33"/>
    <n v="69928.350000000006"/>
    <n v="51865.4"/>
    <n v="0.25830653804930331"/>
    <n v="18062.95"/>
  </r>
  <r>
    <x v="0"/>
    <s v="Andorra"/>
    <x v="2"/>
    <x v="0"/>
    <x v="1"/>
    <s v="3/20/2015"/>
    <d v="2015-03-20T00:00:00"/>
    <n v="20"/>
    <s v="Mar"/>
    <x v="6"/>
    <s v="Mar-2015"/>
    <n v="443347108"/>
    <d v="2015-04-09T00:00:00"/>
    <n v="9"/>
    <s v="Apr"/>
    <n v="2015"/>
    <s v="Apr-2015"/>
    <s v="4/9/2015"/>
    <n v="20"/>
    <n v="5116"/>
    <n v="205.7"/>
    <n v="117.11"/>
    <n v="205.7"/>
    <n v="1052361.2"/>
    <n v="599134.76"/>
    <n v="0.43067574137092857"/>
    <n v="453226.44"/>
  </r>
  <r>
    <x v="0"/>
    <s v="Iceland"/>
    <x v="3"/>
    <x v="1"/>
    <x v="0"/>
    <s v="6/19/2013"/>
    <d v="2013-06-19T00:00:00"/>
    <n v="19"/>
    <s v="Jun"/>
    <x v="1"/>
    <s v="Jun-2013"/>
    <n v="527509677"/>
    <d v="2013-07-10T00:00:00"/>
    <n v="10"/>
    <s v="Jul"/>
    <n v="2013"/>
    <s v="Jul-2013"/>
    <s v="7/10/2013"/>
    <n v="21"/>
    <n v="691"/>
    <n v="651.21"/>
    <n v="524.96"/>
    <n v="651.21"/>
    <n v="449986.11"/>
    <n v="362747.36"/>
    <n v="0.19386987300563566"/>
    <n v="87238.75"/>
  </r>
  <r>
    <x v="0"/>
    <s v="Ireland"/>
    <x v="0"/>
    <x v="0"/>
    <x v="3"/>
    <s v="9/20/2016"/>
    <d v="2016-09-20T00:00:00"/>
    <n v="20"/>
    <s v="Sep"/>
    <x v="4"/>
    <s v="Sep-2016"/>
    <n v="416953313"/>
    <d v="2016-10-29T00:00:00"/>
    <n v="29"/>
    <s v="Oct"/>
    <n v="2016"/>
    <s v="Oct-2016"/>
    <s v="10/29/2016"/>
    <n v="39"/>
    <n v="4606"/>
    <n v="47.45"/>
    <n v="31.79"/>
    <n v="47.45"/>
    <n v="218554.7"/>
    <n v="146424.74"/>
    <n v="0.33003161222339306"/>
    <n v="72129.960000000006"/>
  </r>
  <r>
    <x v="0"/>
    <s v="Bosnia and Herzegovina"/>
    <x v="2"/>
    <x v="1"/>
    <x v="0"/>
    <s v="3/30/2011"/>
    <d v="2011-03-30T00:00:00"/>
    <n v="30"/>
    <s v="Mar"/>
    <x v="0"/>
    <s v="Mar-2011"/>
    <n v="639126908"/>
    <d v="2011-05-10T00:00:00"/>
    <n v="10"/>
    <s v="May"/>
    <n v="2011"/>
    <s v="May-2011"/>
    <s v="5/10/2011"/>
    <n v="41"/>
    <n v="710"/>
    <n v="205.7"/>
    <n v="117.11"/>
    <n v="205.7"/>
    <n v="146047"/>
    <n v="83148.100000000006"/>
    <n v="0.43067574137092857"/>
    <n v="62898.9"/>
  </r>
  <r>
    <x v="0"/>
    <s v="Belarus"/>
    <x v="0"/>
    <x v="1"/>
    <x v="2"/>
    <s v="6/3/2014"/>
    <d v="2014-06-03T00:00:00"/>
    <n v="3"/>
    <s v="Jun"/>
    <x v="2"/>
    <s v="Jun-2014"/>
    <n v="879405200"/>
    <d v="2014-07-20T00:00:00"/>
    <n v="20"/>
    <s v="Jul"/>
    <n v="2014"/>
    <s v="Jul-2014"/>
    <s v="7/20/2014"/>
    <n v="47"/>
    <n v="4396"/>
    <n v="47.45"/>
    <n v="31.79"/>
    <n v="47.45"/>
    <n v="208590.2"/>
    <n v="139748.84"/>
    <n v="0.33003161222339306"/>
    <n v="68841.36"/>
  </r>
  <r>
    <x v="0"/>
    <s v="Slovenia"/>
    <x v="0"/>
    <x v="0"/>
    <x v="3"/>
    <s v="3/17/2010"/>
    <d v="2010-03-17T00:00:00"/>
    <n v="17"/>
    <s v="Mar"/>
    <x v="3"/>
    <s v="Mar-2010"/>
    <n v="844105184"/>
    <d v="2010-04-20T00:00:00"/>
    <n v="20"/>
    <s v="Apr"/>
    <n v="2010"/>
    <s v="Apr-2010"/>
    <s v="4/20/2010"/>
    <n v="34"/>
    <n v="8337"/>
    <n v="47.45"/>
    <n v="31.79"/>
    <n v="47.45"/>
    <n v="395590.65"/>
    <n v="265033.23"/>
    <n v="0.330031612223393"/>
    <n v="130557.42"/>
  </r>
  <r>
    <x v="0"/>
    <s v="Netherlands"/>
    <x v="4"/>
    <x v="0"/>
    <x v="0"/>
    <s v="9/20/2013"/>
    <d v="2013-09-20T00:00:00"/>
    <n v="20"/>
    <s v="Sep"/>
    <x v="1"/>
    <s v="Sep-2013"/>
    <n v="127838218"/>
    <d v="2013-10-29T00:00:00"/>
    <n v="29"/>
    <s v="Oct"/>
    <n v="2013"/>
    <s v="Oct-2013"/>
    <s v="10/29/2013"/>
    <n v="39"/>
    <n v="9024"/>
    <n v="9.33"/>
    <n v="6.92"/>
    <n v="9.33"/>
    <n v="84193.919999999998"/>
    <n v="62446.080000000002"/>
    <n v="0.25830653804930331"/>
    <n v="21747.84"/>
  </r>
  <r>
    <x v="0"/>
    <s v="Belgium"/>
    <x v="7"/>
    <x v="1"/>
    <x v="1"/>
    <s v="11/22/2010"/>
    <d v="2010-11-22T00:00:00"/>
    <n v="22"/>
    <s v="Nov"/>
    <x v="3"/>
    <s v="Nov-2010"/>
    <n v="881717050"/>
    <d v="2010-12-23T00:00:00"/>
    <n v="23"/>
    <s v="Dec"/>
    <n v="2010"/>
    <s v="Dec-2010"/>
    <s v="12/23/2010"/>
    <n v="31"/>
    <n v="8524"/>
    <n v="152.58000000000001"/>
    <n v="97.44"/>
    <n v="152.57999999999998"/>
    <n v="1300591.92"/>
    <n v="830578.56"/>
    <n v="0.36138419189933152"/>
    <n v="470013.36"/>
  </r>
  <r>
    <x v="0"/>
    <s v="Macedonia"/>
    <x v="9"/>
    <x v="0"/>
    <x v="2"/>
    <s v="10/13/2015"/>
    <d v="2015-10-13T00:00:00"/>
    <n v="13"/>
    <s v="Oct"/>
    <x v="6"/>
    <s v="Oct-2015"/>
    <n v="905509746"/>
    <d v="2015-10-20T00:00:00"/>
    <n v="20"/>
    <s v="Oct"/>
    <n v="2015"/>
    <s v="Oct-2015"/>
    <s v="10/20/2015"/>
    <n v="7"/>
    <n v="9311"/>
    <n v="668.27"/>
    <n v="502.54"/>
    <n v="668.27"/>
    <n v="6222261.9699999997"/>
    <n v="4679149.9400000004"/>
    <n v="0.24799856345489099"/>
    <n v="1543112.03"/>
  </r>
  <r>
    <x v="0"/>
    <s v="Liechtenstein"/>
    <x v="8"/>
    <x v="1"/>
    <x v="3"/>
    <s v="6/22/2012"/>
    <d v="2012-06-22T00:00:00"/>
    <n v="22"/>
    <s v="Jun"/>
    <x v="5"/>
    <s v="Jun-2012"/>
    <n v="720878922"/>
    <d v="2012-08-01T00:00:00"/>
    <n v="1"/>
    <s v="Aug"/>
    <n v="2012"/>
    <s v="Aug-2012"/>
    <s v="8/1/2012"/>
    <n v="40"/>
    <n v="2948"/>
    <n v="255.28"/>
    <n v="159.41999999999999"/>
    <n v="255.27999999999997"/>
    <n v="752565.44"/>
    <n v="469970.16"/>
    <n v="0.37550924475086184"/>
    <n v="282595.28000000003"/>
  </r>
  <r>
    <x v="0"/>
    <s v="Italy"/>
    <x v="11"/>
    <x v="0"/>
    <x v="2"/>
    <s v="11/14/2012"/>
    <d v="2012-11-14T00:00:00"/>
    <n v="14"/>
    <s v="Nov"/>
    <x v="5"/>
    <s v="Nov-2012"/>
    <n v="306256616"/>
    <d v="2012-11-18T00:00:00"/>
    <n v="18"/>
    <s v="Nov"/>
    <n v="2012"/>
    <s v="Nov-2012"/>
    <s v="11/18/2012"/>
    <n v="4"/>
    <n v="6993"/>
    <n v="81.73"/>
    <n v="56.67"/>
    <n v="81.73"/>
    <n v="571537.89"/>
    <n v="396293.31"/>
    <n v="0.30661935641747212"/>
    <n v="175244.58"/>
  </r>
  <r>
    <x v="0"/>
    <s v="Spain"/>
    <x v="2"/>
    <x v="0"/>
    <x v="1"/>
    <s v="1/4/2015"/>
    <d v="2015-01-04T00:00:00"/>
    <n v="4"/>
    <s v="Jan"/>
    <x v="6"/>
    <s v="Jan-2015"/>
    <n v="392252957"/>
    <d v="2015-02-22T00:00:00"/>
    <n v="22"/>
    <s v="Feb"/>
    <n v="2015"/>
    <s v="Feb-2015"/>
    <s v="2/22/2015"/>
    <n v="49"/>
    <n v="5222"/>
    <n v="205.7"/>
    <n v="117.11"/>
    <n v="205.7"/>
    <n v="1074165.3999999999"/>
    <n v="611548.42000000004"/>
    <n v="0.43067574137092857"/>
    <n v="462616.98"/>
  </r>
  <r>
    <x v="0"/>
    <s v="Norway"/>
    <x v="10"/>
    <x v="0"/>
    <x v="0"/>
    <s v="3/14/2014"/>
    <d v="2014-03-14T00:00:00"/>
    <n v="14"/>
    <s v="Mar"/>
    <x v="2"/>
    <s v="Mar-2014"/>
    <n v="746563756"/>
    <d v="2014-04-12T00:00:00"/>
    <n v="12"/>
    <s v="Apr"/>
    <n v="2014"/>
    <s v="Apr-2014"/>
    <s v="4/12/2014"/>
    <n v="29"/>
    <n v="3661"/>
    <n v="437.2"/>
    <n v="263.33"/>
    <n v="437.2"/>
    <n v="1600589.2"/>
    <n v="964051.13"/>
    <n v="0.39768984446477584"/>
    <n v="636538.06999999995"/>
  </r>
  <r>
    <x v="0"/>
    <s v="Bulgaria"/>
    <x v="9"/>
    <x v="1"/>
    <x v="0"/>
    <s v="3/21/2014"/>
    <d v="2014-03-21T00:00:00"/>
    <n v="21"/>
    <s v="Mar"/>
    <x v="2"/>
    <s v="Mar-2014"/>
    <n v="129902875"/>
    <d v="2014-04-24T00:00:00"/>
    <n v="24"/>
    <s v="Apr"/>
    <n v="2014"/>
    <s v="Apr-2014"/>
    <s v="4/24/2014"/>
    <n v="34"/>
    <n v="2"/>
    <n v="668.27"/>
    <n v="502.54"/>
    <n v="668.27"/>
    <n v="1336.54"/>
    <n v="1005.08"/>
    <n v="0.24799856345489099"/>
    <n v="331.46"/>
  </r>
  <r>
    <x v="0"/>
    <s v="San Marino"/>
    <x v="0"/>
    <x v="0"/>
    <x v="1"/>
    <s v="5/10/2014"/>
    <d v="2014-05-10T00:00:00"/>
    <n v="10"/>
    <s v="May"/>
    <x v="2"/>
    <s v="May-2014"/>
    <n v="595395314"/>
    <d v="2014-05-30T00:00:00"/>
    <n v="30"/>
    <s v="May"/>
    <n v="2014"/>
    <s v="May-2014"/>
    <s v="5/30/2014"/>
    <n v="20"/>
    <n v="9559"/>
    <n v="47.45"/>
    <n v="31.79"/>
    <n v="47.449999999999996"/>
    <n v="453574.55"/>
    <n v="303880.61"/>
    <n v="0.33003161222339306"/>
    <n v="149693.94"/>
  </r>
  <r>
    <x v="0"/>
    <s v="Denmark"/>
    <x v="4"/>
    <x v="1"/>
    <x v="2"/>
    <s v="3/4/2011"/>
    <d v="2011-03-04T00:00:00"/>
    <n v="4"/>
    <s v="Mar"/>
    <x v="0"/>
    <s v="Mar-2011"/>
    <n v="272425591"/>
    <d v="2011-03-21T00:00:00"/>
    <n v="21"/>
    <s v="Mar"/>
    <n v="2011"/>
    <s v="Mar-2011"/>
    <s v="3/21/2011"/>
    <n v="17"/>
    <n v="5641"/>
    <n v="9.33"/>
    <n v="6.92"/>
    <n v="9.33"/>
    <n v="52630.53"/>
    <n v="39035.72"/>
    <n v="0.25830653804930331"/>
    <n v="13594.81"/>
  </r>
  <r>
    <x v="0"/>
    <s v="Germany"/>
    <x v="8"/>
    <x v="0"/>
    <x v="3"/>
    <s v="11/27/2013"/>
    <d v="2013-11-27T00:00:00"/>
    <n v="27"/>
    <s v="Nov"/>
    <x v="1"/>
    <s v="Nov-2013"/>
    <n v="596166074"/>
    <d v="2014-01-13T00:00:00"/>
    <n v="13"/>
    <s v="Jan"/>
    <n v="2014"/>
    <s v="Jan-2014"/>
    <s v="1/13/2014"/>
    <n v="47"/>
    <n v="7644"/>
    <n v="255.28"/>
    <n v="159.41999999999999"/>
    <n v="255.28"/>
    <n v="1951360.32"/>
    <n v="1218606.48"/>
    <n v="0.37550924475086178"/>
    <n v="732753.84"/>
  </r>
  <r>
    <x v="0"/>
    <s v="Netherlands"/>
    <x v="0"/>
    <x v="0"/>
    <x v="0"/>
    <s v="10/18/2012"/>
    <d v="2012-10-18T00:00:00"/>
    <n v="18"/>
    <s v="Oct"/>
    <x v="5"/>
    <s v="Oct-2012"/>
    <n v="906345736"/>
    <d v="2012-11-21T00:00:00"/>
    <n v="21"/>
    <s v="Nov"/>
    <n v="2012"/>
    <s v="Nov-2012"/>
    <s v="11/21/2012"/>
    <n v="34"/>
    <n v="6699"/>
    <n v="47.45"/>
    <n v="31.79"/>
    <n v="47.449999999999996"/>
    <n v="317867.55"/>
    <n v="212961.21"/>
    <n v="0.33003161222339306"/>
    <n v="104906.34"/>
  </r>
  <r>
    <x v="0"/>
    <s v="Germany"/>
    <x v="10"/>
    <x v="0"/>
    <x v="1"/>
    <s v="2/26/2012"/>
    <d v="2012-02-26T00:00:00"/>
    <n v="26"/>
    <s v="Feb"/>
    <x v="5"/>
    <s v="Feb-2012"/>
    <n v="385340154"/>
    <d v="2012-03-18T00:00:00"/>
    <n v="18"/>
    <s v="Mar"/>
    <n v="2012"/>
    <s v="Mar-2012"/>
    <s v="3/18/2012"/>
    <n v="21"/>
    <n v="9569"/>
    <n v="437.2"/>
    <n v="263.33"/>
    <n v="437.2"/>
    <n v="4183566.8"/>
    <n v="2519804.77"/>
    <n v="0.39768984446477584"/>
    <n v="1663762.03"/>
  </r>
  <r>
    <x v="0"/>
    <s v="Sweden"/>
    <x v="10"/>
    <x v="0"/>
    <x v="3"/>
    <s v="6/3/2012"/>
    <d v="2012-06-03T00:00:00"/>
    <n v="3"/>
    <s v="Jun"/>
    <x v="5"/>
    <s v="Jun-2012"/>
    <n v="679039466"/>
    <d v="2012-07-05T00:00:00"/>
    <n v="5"/>
    <s v="Jul"/>
    <n v="2012"/>
    <s v="Jul-2012"/>
    <s v="7/5/2012"/>
    <n v="32"/>
    <n v="1723"/>
    <n v="437.2"/>
    <n v="263.33"/>
    <n v="437.2"/>
    <n v="753295.6"/>
    <n v="453717.59"/>
    <n v="0.39768984446477584"/>
    <n v="299578.01"/>
  </r>
  <r>
    <x v="0"/>
    <s v="San Marino"/>
    <x v="8"/>
    <x v="0"/>
    <x v="2"/>
    <s v="2/15/2011"/>
    <d v="2011-02-15T00:00:00"/>
    <n v="15"/>
    <s v="Feb"/>
    <x v="0"/>
    <s v="Feb-2011"/>
    <n v="587799727"/>
    <d v="2011-03-27T00:00:00"/>
    <n v="27"/>
    <s v="Mar"/>
    <n v="2011"/>
    <s v="Mar-2011"/>
    <s v="3/27/2011"/>
    <n v="40"/>
    <n v="1856"/>
    <n v="255.28"/>
    <n v="159.41999999999999"/>
    <n v="255.28"/>
    <n v="473799.67999999999"/>
    <n v="295883.52000000002"/>
    <n v="0.37550924475086184"/>
    <n v="177916.16"/>
  </r>
  <r>
    <x v="0"/>
    <s v="Georgia"/>
    <x v="7"/>
    <x v="0"/>
    <x v="2"/>
    <s v="1/22/2017"/>
    <d v="2017-01-22T00:00:00"/>
    <n v="22"/>
    <s v="Jan"/>
    <x v="7"/>
    <s v="Jan-2017"/>
    <n v="341398274"/>
    <d v="2017-03-07T00:00:00"/>
    <n v="7"/>
    <s v="Mar"/>
    <n v="2017"/>
    <s v="Mar-2017"/>
    <s v="3/7/2017"/>
    <n v="44"/>
    <n v="6191"/>
    <n v="152.58000000000001"/>
    <n v="97.44"/>
    <n v="152.58000000000001"/>
    <n v="944622.78"/>
    <n v="603251.04"/>
    <n v="0.36138419189933146"/>
    <n v="341371.74"/>
  </r>
  <r>
    <x v="0"/>
    <s v="Greece"/>
    <x v="4"/>
    <x v="0"/>
    <x v="3"/>
    <s v="6/14/2015"/>
    <d v="2015-06-14T00:00:00"/>
    <n v="14"/>
    <s v="Jun"/>
    <x v="6"/>
    <s v="Jun-2015"/>
    <n v="516994559"/>
    <d v="2015-06-20T00:00:00"/>
    <n v="20"/>
    <s v="Jun"/>
    <n v="2015"/>
    <s v="Jun-2015"/>
    <s v="6/20/2015"/>
    <n v="6"/>
    <n v="9034"/>
    <n v="9.33"/>
    <n v="6.92"/>
    <n v="9.33"/>
    <n v="84287.22"/>
    <n v="62515.28"/>
    <n v="0.25830653804930331"/>
    <n v="21771.94"/>
  </r>
  <r>
    <x v="0"/>
    <s v="Slovenia"/>
    <x v="3"/>
    <x v="1"/>
    <x v="3"/>
    <s v="4/9/2010"/>
    <d v="2010-04-09T00:00:00"/>
    <n v="9"/>
    <s v="Apr"/>
    <x v="3"/>
    <s v="Apr-2010"/>
    <n v="483981502"/>
    <d v="2010-05-04T00:00:00"/>
    <n v="4"/>
    <s v="May"/>
    <n v="2010"/>
    <s v="May-2010"/>
    <s v="5/4/2010"/>
    <n v="25"/>
    <n v="9736"/>
    <n v="651.21"/>
    <n v="524.96"/>
    <n v="651.20999999999992"/>
    <n v="6340180.5599999996"/>
    <n v="5111010.5599999996"/>
    <n v="0.19386987300563568"/>
    <n v="1229170"/>
  </r>
  <r>
    <x v="0"/>
    <s v="Slovakia"/>
    <x v="10"/>
    <x v="1"/>
    <x v="3"/>
    <s v="5/30/2015"/>
    <d v="2015-05-30T00:00:00"/>
    <n v="30"/>
    <s v="May"/>
    <x v="6"/>
    <s v="May-2015"/>
    <n v="549187934"/>
    <d v="2015-07-17T00:00:00"/>
    <n v="17"/>
    <s v="Jul"/>
    <n v="2015"/>
    <s v="Jul-2015"/>
    <s v="7/17/2015"/>
    <n v="48"/>
    <n v="5769"/>
    <n v="437.2"/>
    <n v="263.33"/>
    <n v="437.2"/>
    <n v="2522206.7999999998"/>
    <n v="1519150.77"/>
    <n v="0.3976898444647759"/>
    <n v="1003056.03"/>
  </r>
  <r>
    <x v="0"/>
    <s v="Macedonia"/>
    <x v="1"/>
    <x v="1"/>
    <x v="1"/>
    <s v="4/22/2015"/>
    <d v="2015-04-22T00:00:00"/>
    <n v="22"/>
    <s v="Apr"/>
    <x v="6"/>
    <s v="Apr-2015"/>
    <n v="989403665"/>
    <d v="2015-05-25T00:00:00"/>
    <n v="25"/>
    <s v="May"/>
    <n v="2015"/>
    <s v="May-2015"/>
    <s v="5/25/2015"/>
    <n v="33"/>
    <n v="5386"/>
    <n v="109.28"/>
    <n v="35.840000000000003"/>
    <n v="109.27999999999999"/>
    <n v="588582.07999999996"/>
    <n v="193034.23999999999"/>
    <n v="0.67203513909224022"/>
    <n v="395547.84"/>
  </r>
  <r>
    <x v="0"/>
    <s v="Lithuania"/>
    <x v="9"/>
    <x v="1"/>
    <x v="3"/>
    <s v="1/25/2012"/>
    <d v="2012-01-25T00:00:00"/>
    <n v="25"/>
    <s v="Jan"/>
    <x v="5"/>
    <s v="Jan-2012"/>
    <n v="516635358"/>
    <d v="2012-02-26T00:00:00"/>
    <n v="26"/>
    <s v="Feb"/>
    <n v="2012"/>
    <s v="Feb-2012"/>
    <s v="2/26/2012"/>
    <n v="32"/>
    <n v="2738"/>
    <n v="668.27"/>
    <n v="502.54"/>
    <n v="668.27"/>
    <n v="1829723.26"/>
    <n v="1375954.52"/>
    <n v="0.24799856345489099"/>
    <n v="453768.74"/>
  </r>
  <r>
    <x v="0"/>
    <s v="Belarus"/>
    <x v="1"/>
    <x v="0"/>
    <x v="1"/>
    <s v="6/8/2015"/>
    <d v="2015-06-08T00:00:00"/>
    <n v="8"/>
    <s v="Jun"/>
    <x v="6"/>
    <s v="Jun-2015"/>
    <n v="173122918"/>
    <d v="2015-07-25T00:00:00"/>
    <n v="25"/>
    <s v="Jul"/>
    <n v="2015"/>
    <s v="Jul-2015"/>
    <s v="7/25/2015"/>
    <n v="47"/>
    <n v="9773"/>
    <n v="109.28"/>
    <n v="35.840000000000003"/>
    <n v="109.28"/>
    <n v="1067993.44"/>
    <n v="350264.32000000001"/>
    <n v="0.67203513909224011"/>
    <n v="717729.12"/>
  </r>
  <r>
    <x v="0"/>
    <s v="Ireland"/>
    <x v="0"/>
    <x v="1"/>
    <x v="0"/>
    <s v="7/14/2014"/>
    <d v="2014-07-14T00:00:00"/>
    <n v="14"/>
    <s v="Jul"/>
    <x v="2"/>
    <s v="Jul-2014"/>
    <n v="357482516"/>
    <d v="2014-07-28T00:00:00"/>
    <n v="28"/>
    <s v="Jul"/>
    <n v="2014"/>
    <s v="Jul-2014"/>
    <s v="7/28/2014"/>
    <n v="14"/>
    <n v="5875"/>
    <n v="47.45"/>
    <n v="31.79"/>
    <n v="47.45"/>
    <n v="278768.75"/>
    <n v="186766.25"/>
    <n v="0.33003161222339306"/>
    <n v="92002.5"/>
  </r>
  <r>
    <x v="0"/>
    <s v="Slovenia"/>
    <x v="4"/>
    <x v="1"/>
    <x v="2"/>
    <s v="1/18/2010"/>
    <d v="2010-01-18T00:00:00"/>
    <n v="18"/>
    <s v="Jan"/>
    <x v="3"/>
    <s v="Jan-2010"/>
    <n v="756252324"/>
    <d v="2010-02-09T00:00:00"/>
    <n v="9"/>
    <s v="Feb"/>
    <n v="2010"/>
    <s v="Feb-2010"/>
    <s v="2/9/2010"/>
    <n v="22"/>
    <n v="723"/>
    <n v="9.33"/>
    <n v="6.92"/>
    <n v="9.33"/>
    <n v="6745.59"/>
    <n v="5003.16"/>
    <n v="0.25830653804930331"/>
    <n v="1742.43"/>
  </r>
  <r>
    <x v="0"/>
    <s v="Monaco"/>
    <x v="1"/>
    <x v="0"/>
    <x v="3"/>
    <s v="11/16/2016"/>
    <d v="2016-11-16T00:00:00"/>
    <n v="16"/>
    <s v="Nov"/>
    <x v="4"/>
    <s v="Nov-2016"/>
    <n v="926763570"/>
    <d v="2016-11-25T00:00:00"/>
    <n v="25"/>
    <s v="Nov"/>
    <n v="2016"/>
    <s v="Nov-2016"/>
    <s v="11/25/2016"/>
    <n v="9"/>
    <n v="8790"/>
    <n v="109.28"/>
    <n v="35.840000000000003"/>
    <n v="109.28"/>
    <n v="960571.2"/>
    <n v="315033.59999999998"/>
    <n v="0.67203513909224011"/>
    <n v="645537.6"/>
  </r>
  <r>
    <x v="0"/>
    <s v="Croatia"/>
    <x v="9"/>
    <x v="1"/>
    <x v="1"/>
    <s v="10/28/2013"/>
    <d v="2013-10-28T00:00:00"/>
    <n v="28"/>
    <s v="Oct"/>
    <x v="1"/>
    <s v="Oct-2013"/>
    <n v="107651269"/>
    <d v="2013-11-11T00:00:00"/>
    <n v="11"/>
    <s v="Nov"/>
    <n v="2013"/>
    <s v="Nov-2013"/>
    <s v="11/11/2013"/>
    <n v="14"/>
    <n v="5258"/>
    <n v="668.27"/>
    <n v="502.54"/>
    <n v="668.27"/>
    <n v="3513763.66"/>
    <n v="2642355.3199999998"/>
    <n v="0.24799856345489096"/>
    <n v="871408.34"/>
  </r>
  <r>
    <x v="0"/>
    <s v="Andorra"/>
    <x v="0"/>
    <x v="1"/>
    <x v="3"/>
    <s v="8/19/2010"/>
    <d v="2010-08-19T00:00:00"/>
    <n v="19"/>
    <s v="Aug"/>
    <x v="3"/>
    <s v="Aug-2010"/>
    <n v="425547969"/>
    <d v="2010-09-11T00:00:00"/>
    <n v="11"/>
    <s v="Sep"/>
    <n v="2010"/>
    <s v="Sep-2010"/>
    <s v="9/11/2010"/>
    <n v="23"/>
    <n v="7955"/>
    <n v="47.45"/>
    <n v="31.79"/>
    <n v="47.45"/>
    <n v="377464.75"/>
    <n v="252889.45"/>
    <n v="0.33003161222339306"/>
    <n v="124575.3"/>
  </r>
  <r>
    <x v="0"/>
    <s v="Estonia"/>
    <x v="1"/>
    <x v="0"/>
    <x v="2"/>
    <s v="1/24/2016"/>
    <d v="2016-01-24T00:00:00"/>
    <n v="24"/>
    <s v="Jan"/>
    <x v="4"/>
    <s v="Jan-2016"/>
    <n v="264928710"/>
    <d v="2016-01-27T00:00:00"/>
    <n v="27"/>
    <s v="Jan"/>
    <n v="2016"/>
    <s v="Jan-2016"/>
    <s v="1/27/2016"/>
    <n v="3"/>
    <n v="7147"/>
    <n v="109.28"/>
    <n v="35.840000000000003"/>
    <n v="109.28"/>
    <n v="781024.16"/>
    <n v="256148.48000000001"/>
    <n v="0.67203513909224011"/>
    <n v="524875.68000000005"/>
  </r>
  <r>
    <x v="0"/>
    <s v="Andorra"/>
    <x v="0"/>
    <x v="0"/>
    <x v="2"/>
    <s v="1/13/2010"/>
    <d v="2010-01-13T00:00:00"/>
    <n v="13"/>
    <s v="Jan"/>
    <x v="3"/>
    <s v="Jan-2010"/>
    <n v="861180341"/>
    <d v="2010-02-20T00:00:00"/>
    <n v="20"/>
    <s v="Feb"/>
    <n v="2010"/>
    <s v="Feb-2010"/>
    <s v="2/20/2010"/>
    <n v="38"/>
    <n v="1255"/>
    <n v="47.45"/>
    <n v="31.79"/>
    <n v="47.45"/>
    <n v="59549.75"/>
    <n v="39896.449999999997"/>
    <n v="0.33003161222339306"/>
    <n v="19653.3"/>
  </r>
  <r>
    <x v="0"/>
    <s v="Ireland"/>
    <x v="0"/>
    <x v="0"/>
    <x v="1"/>
    <s v="6/10/2011"/>
    <d v="2011-06-10T00:00:00"/>
    <n v="10"/>
    <s v="Jun"/>
    <x v="0"/>
    <s v="Jun-2011"/>
    <n v="580569350"/>
    <d v="2011-07-03T00:00:00"/>
    <n v="3"/>
    <s v="Jul"/>
    <n v="2011"/>
    <s v="Jul-2011"/>
    <s v="7/3/2011"/>
    <n v="23"/>
    <n v="2227"/>
    <n v="47.45"/>
    <n v="31.79"/>
    <n v="47.449999999999996"/>
    <n v="105671.15"/>
    <n v="70796.33"/>
    <n v="0.33003161222339306"/>
    <n v="34874.82"/>
  </r>
  <r>
    <x v="0"/>
    <s v="Serbia"/>
    <x v="5"/>
    <x v="0"/>
    <x v="1"/>
    <s v="2/25/2013"/>
    <d v="2013-02-25T00:00:00"/>
    <n v="25"/>
    <s v="Feb"/>
    <x v="1"/>
    <s v="Feb-2013"/>
    <n v="559417665"/>
    <d v="2013-02-28T00:00:00"/>
    <n v="28"/>
    <s v="Feb"/>
    <n v="2013"/>
    <s v="Feb-2013"/>
    <s v="2/28/2013"/>
    <n v="3"/>
    <n v="2973"/>
    <n v="154.06"/>
    <n v="90.93"/>
    <n v="154.06"/>
    <n v="458020.38"/>
    <n v="270334.89"/>
    <n v="0.40977541217707386"/>
    <n v="187685.49"/>
  </r>
  <r>
    <x v="0"/>
    <s v="Liechtenstein"/>
    <x v="9"/>
    <x v="1"/>
    <x v="0"/>
    <s v="8/21/2015"/>
    <d v="2015-08-21T00:00:00"/>
    <n v="21"/>
    <s v="Aug"/>
    <x v="6"/>
    <s v="Aug-2015"/>
    <n v="184976994"/>
    <d v="2015-09-21T00:00:00"/>
    <n v="21"/>
    <s v="Sep"/>
    <n v="2015"/>
    <s v="Sep-2015"/>
    <s v="9/21/2015"/>
    <n v="31"/>
    <n v="7658"/>
    <n v="668.27"/>
    <n v="502.54"/>
    <n v="668.27"/>
    <n v="5117611.66"/>
    <n v="3848451.32"/>
    <n v="0.24799856345489099"/>
    <n v="1269160.3400000001"/>
  </r>
  <r>
    <x v="0"/>
    <s v="Cyprus"/>
    <x v="0"/>
    <x v="1"/>
    <x v="1"/>
    <s v="12/8/2013"/>
    <d v="2013-12-08T00:00:00"/>
    <n v="8"/>
    <s v="Dec"/>
    <x v="1"/>
    <s v="Dec-2013"/>
    <n v="874349772"/>
    <d v="2014-01-04T00:00:00"/>
    <n v="4"/>
    <s v="Jan"/>
    <n v="2014"/>
    <s v="Jan-2014"/>
    <s v="1/4/2014"/>
    <n v="27"/>
    <n v="8383"/>
    <n v="47.45"/>
    <n v="31.79"/>
    <n v="47.449999999999996"/>
    <n v="397773.35"/>
    <n v="266495.57"/>
    <n v="0.33003161222339306"/>
    <n v="131277.78"/>
  </r>
  <r>
    <x v="0"/>
    <s v="Andorra"/>
    <x v="9"/>
    <x v="1"/>
    <x v="3"/>
    <s v="11/15/2016"/>
    <d v="2016-11-15T00:00:00"/>
    <n v="15"/>
    <s v="Nov"/>
    <x v="4"/>
    <s v="Nov-2016"/>
    <n v="713009965"/>
    <d v="2016-12-16T00:00:00"/>
    <n v="16"/>
    <s v="Dec"/>
    <n v="2016"/>
    <s v="Dec-2016"/>
    <s v="12/16/2016"/>
    <n v="31"/>
    <n v="4348"/>
    <n v="668.27"/>
    <n v="502.54"/>
    <n v="668.27"/>
    <n v="2905637.96"/>
    <n v="2185043.92"/>
    <n v="0.24799856345489099"/>
    <n v="720594.04"/>
  </r>
  <r>
    <x v="0"/>
    <s v="Andorra"/>
    <x v="8"/>
    <x v="1"/>
    <x v="1"/>
    <s v="10/24/2016"/>
    <d v="2016-10-24T00:00:00"/>
    <n v="24"/>
    <s v="Oct"/>
    <x v="4"/>
    <s v="Oct-2016"/>
    <n v="569941365"/>
    <d v="2016-11-26T00:00:00"/>
    <n v="26"/>
    <s v="Nov"/>
    <n v="2016"/>
    <s v="Nov-2016"/>
    <s v="11/26/2016"/>
    <n v="33"/>
    <n v="7170"/>
    <n v="255.28"/>
    <n v="159.41999999999999"/>
    <n v="255.28"/>
    <n v="1830357.6"/>
    <n v="1143041.3999999999"/>
    <n v="0.37550924475086178"/>
    <n v="687316.2"/>
  </r>
  <r>
    <x v="0"/>
    <s v="Malta"/>
    <x v="9"/>
    <x v="1"/>
    <x v="3"/>
    <s v="9/9/2010"/>
    <d v="2010-09-09T00:00:00"/>
    <n v="9"/>
    <s v="Sep"/>
    <x v="3"/>
    <s v="Sep-2010"/>
    <n v="845067346"/>
    <d v="2010-09-13T00:00:00"/>
    <n v="13"/>
    <s v="Sep"/>
    <n v="2010"/>
    <s v="Sep-2010"/>
    <s v="9/13/2010"/>
    <n v="4"/>
    <n v="3062"/>
    <n v="668.27"/>
    <n v="502.54"/>
    <n v="668.27"/>
    <n v="2046242.74"/>
    <n v="1538777.48"/>
    <n v="0.24799856345489099"/>
    <n v="507465.26"/>
  </r>
  <r>
    <x v="0"/>
    <s v="Czech Republic"/>
    <x v="4"/>
    <x v="0"/>
    <x v="1"/>
    <s v="11/24/2014"/>
    <d v="2014-11-24T00:00:00"/>
    <n v="24"/>
    <s v="Nov"/>
    <x v="2"/>
    <s v="Nov-2014"/>
    <n v="774926936"/>
    <d v="2014-11-27T00:00:00"/>
    <n v="27"/>
    <s v="Nov"/>
    <n v="2014"/>
    <s v="Nov-2014"/>
    <s v="11/27/2014"/>
    <n v="3"/>
    <n v="6956"/>
    <n v="9.33"/>
    <n v="6.92"/>
    <n v="9.33"/>
    <n v="64899.48"/>
    <n v="48135.519999999997"/>
    <n v="0.25830653804930331"/>
    <n v="16763.96"/>
  </r>
  <r>
    <x v="0"/>
    <s v="Hungary"/>
    <x v="8"/>
    <x v="1"/>
    <x v="3"/>
    <s v="5/6/2011"/>
    <d v="2011-05-06T00:00:00"/>
    <n v="6"/>
    <s v="May"/>
    <x v="0"/>
    <s v="May-2011"/>
    <n v="217920958"/>
    <d v="2011-06-25T00:00:00"/>
    <n v="25"/>
    <s v="Jun"/>
    <n v="2011"/>
    <s v="Jun-2011"/>
    <s v="6/25/2011"/>
    <n v="50"/>
    <n v="6509"/>
    <n v="255.28"/>
    <n v="159.41999999999999"/>
    <n v="255.28"/>
    <n v="1661617.52"/>
    <n v="1037664.78"/>
    <n v="0.37550924475086178"/>
    <n v="623952.74"/>
  </r>
  <r>
    <x v="0"/>
    <s v="Lithuania"/>
    <x v="1"/>
    <x v="1"/>
    <x v="0"/>
    <s v="2/6/2013"/>
    <d v="2013-02-06T00:00:00"/>
    <n v="6"/>
    <s v="Feb"/>
    <x v="1"/>
    <s v="Feb-2013"/>
    <n v="523836123"/>
    <d v="2013-03-22T00:00:00"/>
    <n v="22"/>
    <s v="Mar"/>
    <n v="2013"/>
    <s v="Mar-2013"/>
    <s v="3/22/2013"/>
    <n v="44"/>
    <n v="3605"/>
    <n v="109.28"/>
    <n v="35.840000000000003"/>
    <n v="109.28"/>
    <n v="393954.4"/>
    <n v="129203.2"/>
    <n v="0.67203513909224011"/>
    <n v="264751.2"/>
  </r>
  <r>
    <x v="0"/>
    <s v="Ukraine"/>
    <x v="5"/>
    <x v="1"/>
    <x v="0"/>
    <s v="11/6/2011"/>
    <d v="2011-11-06T00:00:00"/>
    <n v="6"/>
    <s v="Nov"/>
    <x v="0"/>
    <s v="Nov-2011"/>
    <n v="446019017"/>
    <d v="2011-11-25T00:00:00"/>
    <n v="25"/>
    <s v="Nov"/>
    <n v="2011"/>
    <s v="Nov-2011"/>
    <s v="11/25/2011"/>
    <n v="19"/>
    <n v="5794"/>
    <n v="154.06"/>
    <n v="90.93"/>
    <n v="154.06"/>
    <n v="892623.64"/>
    <n v="526848.42000000004"/>
    <n v="0.40977541217707381"/>
    <n v="365775.22"/>
  </r>
  <r>
    <x v="0"/>
    <s v="Luxembourg"/>
    <x v="1"/>
    <x v="1"/>
    <x v="3"/>
    <s v="5/14/2011"/>
    <d v="2011-05-14T00:00:00"/>
    <n v="14"/>
    <s v="May"/>
    <x v="0"/>
    <s v="May-2011"/>
    <n v="475992381"/>
    <d v="2011-05-26T00:00:00"/>
    <n v="26"/>
    <s v="May"/>
    <n v="2011"/>
    <s v="May-2011"/>
    <s v="5/26/2011"/>
    <n v="12"/>
    <n v="5578"/>
    <n v="109.28"/>
    <n v="35.840000000000003"/>
    <n v="109.28"/>
    <n v="609563.84"/>
    <n v="199915.51999999999"/>
    <n v="0.67203513909224022"/>
    <n v="409648.32"/>
  </r>
  <r>
    <x v="0"/>
    <s v="Serbia"/>
    <x v="3"/>
    <x v="0"/>
    <x v="0"/>
    <s v="3/1/2017"/>
    <d v="2017-03-01T00:00:00"/>
    <n v="1"/>
    <s v="Mar"/>
    <x v="7"/>
    <s v="Mar-2017"/>
    <n v="410514724"/>
    <d v="2017-04-10T00:00:00"/>
    <n v="10"/>
    <s v="Apr"/>
    <n v="2017"/>
    <s v="Apr-2017"/>
    <s v="4/10/2017"/>
    <n v="40"/>
    <n v="9284"/>
    <n v="651.21"/>
    <n v="524.96"/>
    <n v="651.20999999999992"/>
    <n v="6045833.6399999997"/>
    <n v="4873728.6399999997"/>
    <n v="0.19386987300563568"/>
    <n v="1172105"/>
  </r>
  <r>
    <x v="0"/>
    <s v="Germany"/>
    <x v="11"/>
    <x v="0"/>
    <x v="0"/>
    <s v="3/14/2010"/>
    <d v="2010-03-14T00:00:00"/>
    <n v="14"/>
    <s v="Mar"/>
    <x v="3"/>
    <s v="Mar-2010"/>
    <n v="938209950"/>
    <d v="2010-03-16T00:00:00"/>
    <n v="16"/>
    <s v="Mar"/>
    <n v="2010"/>
    <s v="Mar-2010"/>
    <s v="3/16/2010"/>
    <n v="2"/>
    <n v="6028"/>
    <n v="81.73"/>
    <n v="56.67"/>
    <n v="81.73"/>
    <n v="492668.44"/>
    <n v="341606.76"/>
    <n v="0.30661935641747212"/>
    <n v="151061.68"/>
  </r>
  <r>
    <x v="0"/>
    <s v="Ukraine"/>
    <x v="1"/>
    <x v="0"/>
    <x v="3"/>
    <s v="9/27/2016"/>
    <d v="2016-09-27T00:00:00"/>
    <n v="27"/>
    <s v="Sep"/>
    <x v="4"/>
    <s v="Sep-2016"/>
    <n v="747955071"/>
    <d v="2016-10-25T00:00:00"/>
    <n v="25"/>
    <s v="Oct"/>
    <n v="2016"/>
    <s v="Oct-2016"/>
    <s v="10/25/2016"/>
    <n v="28"/>
    <n v="5382"/>
    <n v="109.28"/>
    <n v="35.840000000000003"/>
    <n v="109.27999999999999"/>
    <n v="588144.96"/>
    <n v="192890.88"/>
    <n v="0.67203513909224022"/>
    <n v="395254.08"/>
  </r>
  <r>
    <x v="0"/>
    <s v="Andorra"/>
    <x v="1"/>
    <x v="0"/>
    <x v="2"/>
    <s v="5/14/2017"/>
    <d v="2017-05-14T00:00:00"/>
    <n v="14"/>
    <s v="May"/>
    <x v="7"/>
    <s v="May-2017"/>
    <n v="923160398"/>
    <d v="2017-06-15T00:00:00"/>
    <n v="15"/>
    <s v="Jun"/>
    <n v="2017"/>
    <s v="Jun-2017"/>
    <s v="6/15/2017"/>
    <n v="32"/>
    <n v="2531"/>
    <n v="109.28"/>
    <n v="35.840000000000003"/>
    <n v="109.28"/>
    <n v="276587.68"/>
    <n v="90711.039999999994"/>
    <n v="0.67203513909224022"/>
    <n v="185876.64"/>
  </r>
  <r>
    <x v="0"/>
    <s v="Monaco"/>
    <x v="3"/>
    <x v="1"/>
    <x v="3"/>
    <s v="10/20/2012"/>
    <d v="2012-10-20T00:00:00"/>
    <n v="20"/>
    <s v="Oct"/>
    <x v="5"/>
    <s v="Oct-2012"/>
    <n v="754227149"/>
    <d v="2012-11-24T00:00:00"/>
    <n v="24"/>
    <s v="Nov"/>
    <n v="2012"/>
    <s v="Nov-2012"/>
    <s v="11/24/2012"/>
    <n v="35"/>
    <n v="1429"/>
    <n v="651.21"/>
    <n v="524.96"/>
    <n v="651.20999999999992"/>
    <n v="930579.09"/>
    <n v="750167.84"/>
    <n v="0.19386987300563566"/>
    <n v="180411.25"/>
  </r>
  <r>
    <x v="0"/>
    <s v="Norway"/>
    <x v="8"/>
    <x v="0"/>
    <x v="2"/>
    <s v="2/24/2013"/>
    <d v="2013-02-24T00:00:00"/>
    <n v="24"/>
    <s v="Feb"/>
    <x v="1"/>
    <s v="Feb-2013"/>
    <n v="357943856"/>
    <d v="2013-03-17T00:00:00"/>
    <n v="17"/>
    <s v="Mar"/>
    <n v="2013"/>
    <s v="Mar-2013"/>
    <s v="3/17/2013"/>
    <n v="21"/>
    <n v="2396"/>
    <n v="255.28"/>
    <n v="159.41999999999999"/>
    <n v="255.28"/>
    <n v="611650.88"/>
    <n v="381970.32"/>
    <n v="0.37550924475086178"/>
    <n v="229680.56"/>
  </r>
  <r>
    <x v="0"/>
    <s v="Ireland"/>
    <x v="10"/>
    <x v="1"/>
    <x v="1"/>
    <s v="1/28/2011"/>
    <d v="2011-01-28T00:00:00"/>
    <n v="28"/>
    <s v="Jan"/>
    <x v="0"/>
    <s v="Jan-2011"/>
    <n v="815917098"/>
    <d v="2011-02-13T00:00:00"/>
    <n v="13"/>
    <s v="Feb"/>
    <n v="2011"/>
    <s v="Feb-2011"/>
    <s v="2/13/2011"/>
    <n v="16"/>
    <n v="6856"/>
    <n v="437.2"/>
    <n v="263.33"/>
    <n v="437.20000000000005"/>
    <n v="2997443.2"/>
    <n v="1805390.48"/>
    <n v="0.39768984446477579"/>
    <n v="1192052.72"/>
  </r>
  <r>
    <x v="0"/>
    <s v="Monaco"/>
    <x v="1"/>
    <x v="0"/>
    <x v="2"/>
    <s v="1/2/2011"/>
    <d v="2011-01-02T00:00:00"/>
    <n v="2"/>
    <s v="Jan"/>
    <x v="0"/>
    <s v="Jan-2011"/>
    <n v="626011979"/>
    <d v="2011-01-11T00:00:00"/>
    <n v="11"/>
    <s v="Jan"/>
    <n v="2011"/>
    <s v="Jan-2011"/>
    <s v="1/11/2011"/>
    <n v="9"/>
    <n v="9711"/>
    <n v="109.28"/>
    <n v="35.840000000000003"/>
    <n v="109.28"/>
    <n v="1061218.08"/>
    <n v="348042.23999999999"/>
    <n v="0.67203513909224"/>
    <n v="713175.84"/>
  </r>
  <r>
    <x v="0"/>
    <s v="Bosnia and Herzegovina"/>
    <x v="8"/>
    <x v="1"/>
    <x v="1"/>
    <s v="4/1/2015"/>
    <d v="2015-04-01T00:00:00"/>
    <n v="1"/>
    <s v="Apr"/>
    <x v="6"/>
    <s v="Apr-2015"/>
    <n v="640295922"/>
    <d v="2015-04-03T00:00:00"/>
    <n v="3"/>
    <s v="Apr"/>
    <n v="2015"/>
    <s v="Apr-2015"/>
    <s v="4/3/2015"/>
    <n v="2"/>
    <n v="6647"/>
    <n v="255.28"/>
    <n v="159.41999999999999"/>
    <n v="255.28"/>
    <n v="1696846.16"/>
    <n v="1059664.74"/>
    <n v="0.37550924475086184"/>
    <n v="637181.42000000004"/>
  </r>
  <r>
    <x v="0"/>
    <s v="Romania"/>
    <x v="7"/>
    <x v="1"/>
    <x v="0"/>
    <s v="1/11/2010"/>
    <d v="2010-01-11T00:00:00"/>
    <n v="11"/>
    <s v="Jan"/>
    <x v="3"/>
    <s v="Jan-2010"/>
    <n v="653920686"/>
    <d v="2010-01-18T00:00:00"/>
    <n v="18"/>
    <s v="Jan"/>
    <n v="2010"/>
    <s v="Jan-2010"/>
    <s v="1/18/2010"/>
    <n v="7"/>
    <n v="8517"/>
    <n v="152.58000000000001"/>
    <n v="97.44"/>
    <n v="152.58000000000001"/>
    <n v="1299523.8600000001"/>
    <n v="829896.48"/>
    <n v="0.36138419189933146"/>
    <n v="469627.38"/>
  </r>
  <r>
    <x v="0"/>
    <s v="Sweden"/>
    <x v="4"/>
    <x v="1"/>
    <x v="1"/>
    <s v="1/10/2017"/>
    <d v="2017-01-10T00:00:00"/>
    <n v="10"/>
    <s v="Jan"/>
    <x v="7"/>
    <s v="Jan-2017"/>
    <n v="994504153"/>
    <d v="2017-01-13T00:00:00"/>
    <n v="13"/>
    <s v="Jan"/>
    <n v="2017"/>
    <s v="Jan-2017"/>
    <s v="1/13/2017"/>
    <n v="3"/>
    <n v="4734"/>
    <n v="9.33"/>
    <n v="6.92"/>
    <n v="9.33"/>
    <n v="44168.22"/>
    <n v="32759.279999999999"/>
    <n v="0.25830653804930331"/>
    <n v="11408.94"/>
  </r>
  <r>
    <x v="0"/>
    <s v="Czech Republic"/>
    <x v="6"/>
    <x v="0"/>
    <x v="1"/>
    <s v="5/9/2017"/>
    <d v="2017-05-09T00:00:00"/>
    <n v="9"/>
    <s v="May"/>
    <x v="7"/>
    <s v="May-2017"/>
    <n v="920011270"/>
    <d v="2017-06-12T00:00:00"/>
    <n v="12"/>
    <s v="Jun"/>
    <n v="2017"/>
    <s v="Jun-2017"/>
    <s v="6/12/2017"/>
    <n v="34"/>
    <n v="634"/>
    <n v="421.89"/>
    <n v="364.69"/>
    <n v="421.89"/>
    <n v="267478.26"/>
    <n v="231213.46"/>
    <n v="0.13558036455000119"/>
    <n v="36264.800000000003"/>
  </r>
  <r>
    <x v="0"/>
    <s v="Bosnia and Herzegovina"/>
    <x v="5"/>
    <x v="1"/>
    <x v="1"/>
    <s v="11/25/2013"/>
    <d v="2013-11-25T00:00:00"/>
    <n v="25"/>
    <s v="Nov"/>
    <x v="1"/>
    <s v="Nov-2013"/>
    <n v="523707807"/>
    <d v="2013-12-16T00:00:00"/>
    <n v="16"/>
    <s v="Dec"/>
    <n v="2013"/>
    <s v="Dec-2013"/>
    <s v="12/16/2013"/>
    <n v="21"/>
    <n v="5633"/>
    <n v="154.06"/>
    <n v="90.93"/>
    <n v="154.06"/>
    <n v="867819.98"/>
    <n v="512208.69"/>
    <n v="0.40977541217707386"/>
    <n v="355611.29"/>
  </r>
  <r>
    <x v="0"/>
    <s v="Belgium"/>
    <x v="4"/>
    <x v="1"/>
    <x v="2"/>
    <s v="10/17/2013"/>
    <d v="2013-10-17T00:00:00"/>
    <n v="17"/>
    <s v="Oct"/>
    <x v="1"/>
    <s v="Oct-2013"/>
    <n v="791692674"/>
    <d v="2013-11-24T00:00:00"/>
    <n v="24"/>
    <s v="Nov"/>
    <n v="2013"/>
    <s v="Nov-2013"/>
    <s v="11/24/2013"/>
    <n v="38"/>
    <n v="8310"/>
    <n v="9.33"/>
    <n v="6.92"/>
    <n v="9.33"/>
    <n v="77532.3"/>
    <n v="57505.2"/>
    <n v="0.25830653804930331"/>
    <n v="20027.099999999999"/>
  </r>
  <r>
    <x v="0"/>
    <s v="Sweden"/>
    <x v="5"/>
    <x v="1"/>
    <x v="0"/>
    <s v="1/7/2012"/>
    <d v="2012-01-07T00:00:00"/>
    <n v="7"/>
    <s v="Jan"/>
    <x v="5"/>
    <s v="Jan-2012"/>
    <n v="715863835"/>
    <d v="2012-01-26T00:00:00"/>
    <n v="26"/>
    <s v="Jan"/>
    <n v="2012"/>
    <s v="Jan-2012"/>
    <s v="1/26/2012"/>
    <n v="19"/>
    <n v="8872"/>
    <n v="154.06"/>
    <n v="90.93"/>
    <n v="154.06"/>
    <n v="1366820.32"/>
    <n v="806730.96"/>
    <n v="0.40977541217707386"/>
    <n v="560089.36"/>
  </r>
  <r>
    <x v="0"/>
    <s v="Albania"/>
    <x v="10"/>
    <x v="0"/>
    <x v="0"/>
    <s v="8/23/2010"/>
    <d v="2010-08-23T00:00:00"/>
    <n v="23"/>
    <s v="Aug"/>
    <x v="3"/>
    <s v="Aug-2010"/>
    <n v="694914710"/>
    <d v="2010-09-25T00:00:00"/>
    <n v="25"/>
    <s v="Sep"/>
    <n v="2010"/>
    <s v="Sep-2010"/>
    <s v="9/25/2010"/>
    <n v="33"/>
    <n v="9560"/>
    <n v="437.2"/>
    <n v="263.33"/>
    <n v="437.2"/>
    <n v="4179632"/>
    <n v="2517434.7999999998"/>
    <n v="0.39768984446477584"/>
    <n v="1662197.2"/>
  </r>
  <r>
    <x v="0"/>
    <s v="Macedonia"/>
    <x v="8"/>
    <x v="1"/>
    <x v="1"/>
    <s v="11/21/2015"/>
    <d v="2015-11-21T00:00:00"/>
    <n v="21"/>
    <s v="Nov"/>
    <x v="6"/>
    <s v="Nov-2015"/>
    <n v="525472486"/>
    <d v="2015-11-23T00:00:00"/>
    <n v="23"/>
    <s v="Nov"/>
    <n v="2015"/>
    <s v="Nov-2015"/>
    <s v="11/23/2015"/>
    <n v="2"/>
    <n v="7840"/>
    <n v="255.28"/>
    <n v="159.41999999999999"/>
    <n v="255.28"/>
    <n v="2001395.2"/>
    <n v="1249852.8"/>
    <n v="0.37550924475086184"/>
    <n v="751542.4"/>
  </r>
  <r>
    <x v="0"/>
    <s v="Georgia"/>
    <x v="4"/>
    <x v="1"/>
    <x v="2"/>
    <s v="10/28/2012"/>
    <d v="2012-10-28T00:00:00"/>
    <n v="28"/>
    <s v="Oct"/>
    <x v="5"/>
    <s v="Oct-2012"/>
    <n v="496826493"/>
    <d v="2012-12-11T00:00:00"/>
    <n v="11"/>
    <s v="Dec"/>
    <n v="2012"/>
    <s v="Dec-2012"/>
    <s v="12/11/2012"/>
    <n v="44"/>
    <n v="855"/>
    <n v="9.33"/>
    <n v="6.92"/>
    <n v="9.33"/>
    <n v="7977.15"/>
    <n v="5916.6"/>
    <n v="0.25830653804930337"/>
    <n v="2060.5500000000002"/>
  </r>
  <r>
    <x v="0"/>
    <s v="Liechtenstein"/>
    <x v="2"/>
    <x v="1"/>
    <x v="2"/>
    <s v="1/1/2010"/>
    <d v="2010-01-01T00:00:00"/>
    <n v="1"/>
    <s v="Jan"/>
    <x v="3"/>
    <s v="Jan-2010"/>
    <n v="940682303"/>
    <d v="2010-02-09T00:00:00"/>
    <n v="9"/>
    <s v="Feb"/>
    <n v="2010"/>
    <s v="Feb-2010"/>
    <s v="2/9/2010"/>
    <n v="39"/>
    <n v="7652"/>
    <n v="205.7"/>
    <n v="117.11"/>
    <n v="205.7"/>
    <n v="1574016.4"/>
    <n v="896125.72"/>
    <n v="0.43067574137092862"/>
    <n v="677890.68"/>
  </r>
  <r>
    <x v="0"/>
    <s v="Norway"/>
    <x v="4"/>
    <x v="0"/>
    <x v="0"/>
    <s v="10/6/2014"/>
    <d v="2014-10-06T00:00:00"/>
    <n v="6"/>
    <s v="Oct"/>
    <x v="2"/>
    <s v="Oct-2014"/>
    <n v="381774747"/>
    <d v="2014-10-23T00:00:00"/>
    <n v="23"/>
    <s v="Oct"/>
    <n v="2014"/>
    <s v="Oct-2014"/>
    <s v="10/23/2014"/>
    <n v="17"/>
    <n v="4486"/>
    <n v="9.33"/>
    <n v="6.92"/>
    <n v="9.33"/>
    <n v="41854.379999999997"/>
    <n v="31043.119999999999"/>
    <n v="0.25830653804930337"/>
    <n v="10811.26"/>
  </r>
  <r>
    <x v="0"/>
    <s v="Ireland"/>
    <x v="5"/>
    <x v="1"/>
    <x v="3"/>
    <s v="12/2/2015"/>
    <d v="2015-12-02T00:00:00"/>
    <n v="2"/>
    <s v="Dec"/>
    <x v="6"/>
    <s v="Dec-2015"/>
    <n v="934718358"/>
    <d v="2015-12-16T00:00:00"/>
    <n v="16"/>
    <s v="Dec"/>
    <n v="2015"/>
    <s v="Dec-2015"/>
    <s v="12/16/2015"/>
    <n v="14"/>
    <n v="2789"/>
    <n v="154.06"/>
    <n v="90.93"/>
    <n v="154.06"/>
    <n v="429673.34"/>
    <n v="253603.77"/>
    <n v="0.40977541217707386"/>
    <n v="176069.57"/>
  </r>
  <r>
    <x v="0"/>
    <s v="Romania"/>
    <x v="6"/>
    <x v="0"/>
    <x v="0"/>
    <s v="3/23/2012"/>
    <d v="2012-03-23T00:00:00"/>
    <n v="23"/>
    <s v="Mar"/>
    <x v="5"/>
    <s v="Mar-2012"/>
    <n v="741690289"/>
    <d v="2012-05-10T00:00:00"/>
    <n v="10"/>
    <s v="May"/>
    <n v="2012"/>
    <s v="May-2012"/>
    <s v="5/10/2012"/>
    <n v="48"/>
    <n v="1494"/>
    <n v="421.89"/>
    <n v="364.69"/>
    <n v="421.89000000000004"/>
    <n v="630303.66"/>
    <n v="544846.86"/>
    <n v="0.13558036455000119"/>
    <n v="85456.8"/>
  </r>
  <r>
    <x v="0"/>
    <s v="Serbia"/>
    <x v="1"/>
    <x v="0"/>
    <x v="2"/>
    <s v="1/12/2010"/>
    <d v="2010-01-12T00:00:00"/>
    <n v="12"/>
    <s v="Jan"/>
    <x v="3"/>
    <s v="Jan-2010"/>
    <n v="393842971"/>
    <d v="2010-01-31T00:00:00"/>
    <n v="31"/>
    <s v="Jan"/>
    <n v="2010"/>
    <s v="Jan-2010"/>
    <s v="1/31/2010"/>
    <n v="19"/>
    <n v="5742"/>
    <n v="109.28"/>
    <n v="35.840000000000003"/>
    <n v="109.28"/>
    <n v="627485.76"/>
    <n v="205793.28"/>
    <n v="0.67203513909224011"/>
    <n v="421692.48"/>
  </r>
  <r>
    <x v="0"/>
    <s v="Ireland"/>
    <x v="9"/>
    <x v="0"/>
    <x v="3"/>
    <s v="5/21/2012"/>
    <d v="2012-05-21T00:00:00"/>
    <n v="21"/>
    <s v="May"/>
    <x v="5"/>
    <s v="May-2012"/>
    <n v="143414771"/>
    <d v="2012-06-03T00:00:00"/>
    <n v="3"/>
    <s v="Jun"/>
    <n v="2012"/>
    <s v="Jun-2012"/>
    <s v="6/3/2012"/>
    <n v="13"/>
    <n v="8473"/>
    <n v="668.27"/>
    <n v="502.54"/>
    <n v="668.27"/>
    <n v="5662251.71"/>
    <n v="4258021.42"/>
    <n v="0.24799856345489099"/>
    <n v="1404230.29"/>
  </r>
  <r>
    <x v="0"/>
    <s v="Portugal"/>
    <x v="7"/>
    <x v="0"/>
    <x v="0"/>
    <s v="6/26/2010"/>
    <d v="2010-06-26T00:00:00"/>
    <n v="26"/>
    <s v="Jun"/>
    <x v="3"/>
    <s v="Jun-2010"/>
    <n v="272361218"/>
    <d v="2010-07-03T00:00:00"/>
    <n v="3"/>
    <s v="Jul"/>
    <n v="2010"/>
    <s v="Jul-2010"/>
    <s v="7/3/2010"/>
    <n v="7"/>
    <n v="6592"/>
    <n v="152.58000000000001"/>
    <n v="97.44"/>
    <n v="152.57999999999998"/>
    <n v="1005807.36"/>
    <n v="642324.47999999998"/>
    <n v="0.36138419189933152"/>
    <n v="363482.88"/>
  </r>
  <r>
    <x v="0"/>
    <s v="Lithuania"/>
    <x v="5"/>
    <x v="1"/>
    <x v="1"/>
    <s v="5/1/2017"/>
    <d v="2017-05-01T00:00:00"/>
    <n v="1"/>
    <s v="May"/>
    <x v="7"/>
    <s v="May-2017"/>
    <n v="146349751"/>
    <d v="2017-06-13T00:00:00"/>
    <n v="13"/>
    <s v="Jun"/>
    <n v="2017"/>
    <s v="Jun-2017"/>
    <s v="6/13/2017"/>
    <n v="43"/>
    <n v="6999"/>
    <n v="154.06"/>
    <n v="90.93"/>
    <n v="154.06"/>
    <n v="1078265.94"/>
    <n v="636419.06999999995"/>
    <n v="0.40977541217707386"/>
    <n v="441846.87"/>
  </r>
  <r>
    <x v="0"/>
    <s v="Georgia"/>
    <x v="6"/>
    <x v="0"/>
    <x v="0"/>
    <s v="2/22/2017"/>
    <d v="2017-02-22T00:00:00"/>
    <n v="22"/>
    <s v="Feb"/>
    <x v="7"/>
    <s v="Feb-2017"/>
    <n v="104190576"/>
    <d v="2017-03-12T00:00:00"/>
    <n v="12"/>
    <s v="Mar"/>
    <n v="2017"/>
    <s v="Mar-2017"/>
    <s v="3/12/2017"/>
    <n v="18"/>
    <n v="1162"/>
    <n v="421.89"/>
    <n v="364.69"/>
    <n v="421.89"/>
    <n v="490236.18"/>
    <n v="423769.78"/>
    <n v="0.13558036455000116"/>
    <n v="66466.399999999994"/>
  </r>
  <r>
    <x v="0"/>
    <s v="Poland"/>
    <x v="2"/>
    <x v="1"/>
    <x v="0"/>
    <s v="11/6/2013"/>
    <d v="2013-11-06T00:00:00"/>
    <n v="6"/>
    <s v="Nov"/>
    <x v="1"/>
    <s v="Nov-2013"/>
    <n v="332268464"/>
    <d v="2013-12-14T00:00:00"/>
    <n v="14"/>
    <s v="Dec"/>
    <n v="2013"/>
    <s v="Dec-2013"/>
    <s v="12/14/2013"/>
    <n v="38"/>
    <n v="4477"/>
    <n v="205.7"/>
    <n v="117.11"/>
    <n v="205.70000000000002"/>
    <n v="920918.9"/>
    <n v="524301.47"/>
    <n v="0.43067574137092851"/>
    <n v="396617.43"/>
  </r>
  <r>
    <x v="0"/>
    <s v="Spain"/>
    <x v="6"/>
    <x v="1"/>
    <x v="1"/>
    <s v="11/15/2013"/>
    <d v="2013-11-15T00:00:00"/>
    <n v="15"/>
    <s v="Nov"/>
    <x v="1"/>
    <s v="Nov-2013"/>
    <n v="459277713"/>
    <d v="2013-12-04T00:00:00"/>
    <n v="4"/>
    <s v="Dec"/>
    <n v="2013"/>
    <s v="Dec-2013"/>
    <s v="12/4/2013"/>
    <n v="19"/>
    <n v="9336"/>
    <n v="421.89"/>
    <n v="364.69"/>
    <n v="421.89"/>
    <n v="3938765.04"/>
    <n v="3404745.84"/>
    <n v="0.13558036455000116"/>
    <n v="534019.19999999995"/>
  </r>
  <r>
    <x v="0"/>
    <s v="Romania"/>
    <x v="4"/>
    <x v="0"/>
    <x v="2"/>
    <s v="7/24/2010"/>
    <d v="2010-07-24T00:00:00"/>
    <n v="24"/>
    <s v="Jul"/>
    <x v="3"/>
    <s v="Jul-2010"/>
    <n v="665786778"/>
    <d v="2010-08-15T00:00:00"/>
    <n v="15"/>
    <s v="Aug"/>
    <n v="2010"/>
    <s v="Aug-2010"/>
    <s v="8/15/2010"/>
    <n v="22"/>
    <n v="9958"/>
    <n v="9.33"/>
    <n v="6.92"/>
    <n v="9.33"/>
    <n v="92908.14"/>
    <n v="68909.36"/>
    <n v="0.25830653804930331"/>
    <n v="23998.78"/>
  </r>
  <r>
    <x v="0"/>
    <s v="Latvia"/>
    <x v="8"/>
    <x v="1"/>
    <x v="2"/>
    <s v="9/1/2010"/>
    <d v="2010-09-01T00:00:00"/>
    <n v="1"/>
    <s v="Sep"/>
    <x v="3"/>
    <s v="Sep-2010"/>
    <n v="917485272"/>
    <d v="2010-10-03T00:00:00"/>
    <n v="3"/>
    <s v="Oct"/>
    <n v="2010"/>
    <s v="Oct-2010"/>
    <s v="10/3/2010"/>
    <n v="32"/>
    <n v="3136"/>
    <n v="255.28"/>
    <n v="159.41999999999999"/>
    <n v="255.27999999999997"/>
    <n v="800558.07999999996"/>
    <n v="499941.12"/>
    <n v="0.37550924475086184"/>
    <n v="300616.96000000002"/>
  </r>
  <r>
    <x v="0"/>
    <s v="Ireland"/>
    <x v="11"/>
    <x v="0"/>
    <x v="2"/>
    <s v="4/28/2012"/>
    <d v="2012-04-28T00:00:00"/>
    <n v="28"/>
    <s v="Apr"/>
    <x v="5"/>
    <s v="Apr-2012"/>
    <n v="547225844"/>
    <d v="2012-05-30T00:00:00"/>
    <n v="30"/>
    <s v="May"/>
    <n v="2012"/>
    <s v="May-2012"/>
    <s v="5/30/2012"/>
    <n v="32"/>
    <n v="5143"/>
    <n v="81.73"/>
    <n v="56.67"/>
    <n v="81.73"/>
    <n v="420337.39"/>
    <n v="291453.81"/>
    <n v="0.30661935641747218"/>
    <n v="128883.58"/>
  </r>
  <r>
    <x v="0"/>
    <s v="Switzerland"/>
    <x v="9"/>
    <x v="0"/>
    <x v="2"/>
    <s v="7/19/2015"/>
    <d v="2015-07-19T00:00:00"/>
    <n v="19"/>
    <s v="Jul"/>
    <x v="6"/>
    <s v="Jul-2015"/>
    <n v="869291770"/>
    <d v="2015-08-21T00:00:00"/>
    <n v="21"/>
    <s v="Aug"/>
    <n v="2015"/>
    <s v="Aug-2015"/>
    <s v="8/21/2015"/>
    <n v="33"/>
    <n v="1607"/>
    <n v="668.27"/>
    <n v="502.54"/>
    <n v="668.27"/>
    <n v="1073909.8899999999"/>
    <n v="807581.78"/>
    <n v="0.24799856345489099"/>
    <n v="266328.11"/>
  </r>
  <r>
    <x v="0"/>
    <s v="Romania"/>
    <x v="1"/>
    <x v="0"/>
    <x v="2"/>
    <s v="1/12/2017"/>
    <d v="2017-01-12T00:00:00"/>
    <n v="12"/>
    <s v="Jan"/>
    <x v="7"/>
    <s v="Jan-2017"/>
    <n v="709276759"/>
    <d v="2017-03-01T00:00:00"/>
    <n v="1"/>
    <s v="Mar"/>
    <n v="2017"/>
    <s v="Mar-2017"/>
    <s v="3/1/2017"/>
    <n v="48"/>
    <n v="9610"/>
    <n v="109.28"/>
    <n v="35.840000000000003"/>
    <n v="109.28"/>
    <n v="1050180.8"/>
    <n v="344422.40000000002"/>
    <n v="0.67203513909224011"/>
    <n v="705758.4"/>
  </r>
  <r>
    <x v="0"/>
    <s v="Albania"/>
    <x v="0"/>
    <x v="1"/>
    <x v="0"/>
    <s v="10/9/2012"/>
    <d v="2012-10-09T00:00:00"/>
    <n v="9"/>
    <s v="Oct"/>
    <x v="5"/>
    <s v="Oct-2012"/>
    <n v="877062451"/>
    <d v="2012-10-29T00:00:00"/>
    <n v="29"/>
    <s v="Oct"/>
    <n v="2012"/>
    <s v="Oct-2012"/>
    <s v="10/29/2012"/>
    <n v="20"/>
    <n v="1124"/>
    <n v="47.45"/>
    <n v="31.79"/>
    <n v="47.45"/>
    <n v="53333.8"/>
    <n v="35731.96"/>
    <n v="0.33003161222339306"/>
    <n v="17601.84"/>
  </r>
  <r>
    <x v="0"/>
    <s v="Slovenia"/>
    <x v="8"/>
    <x v="1"/>
    <x v="2"/>
    <s v="10/28/2016"/>
    <d v="2016-10-28T00:00:00"/>
    <n v="28"/>
    <s v="Oct"/>
    <x v="4"/>
    <s v="Oct-2016"/>
    <n v="111893022"/>
    <d v="2016-12-02T00:00:00"/>
    <n v="2"/>
    <s v="Dec"/>
    <n v="2016"/>
    <s v="Dec-2016"/>
    <s v="12/2/2016"/>
    <n v="35"/>
    <n v="486"/>
    <n v="255.28"/>
    <n v="159.41999999999999"/>
    <n v="255.28"/>
    <n v="124066.08"/>
    <n v="77478.12"/>
    <n v="0.37550924475086178"/>
    <n v="46587.96"/>
  </r>
  <r>
    <x v="0"/>
    <s v="Slovakia"/>
    <x v="0"/>
    <x v="1"/>
    <x v="1"/>
    <s v="10/29/2014"/>
    <d v="2014-10-29T00:00:00"/>
    <n v="29"/>
    <s v="Oct"/>
    <x v="2"/>
    <s v="Oct-2014"/>
    <n v="397874438"/>
    <d v="2014-12-01T00:00:00"/>
    <n v="1"/>
    <s v="Dec"/>
    <n v="2014"/>
    <s v="Dec-2014"/>
    <s v="12/1/2014"/>
    <n v="33"/>
    <n v="8743"/>
    <n v="47.45"/>
    <n v="31.79"/>
    <n v="47.449999999999996"/>
    <n v="414855.35"/>
    <n v="277939.96999999997"/>
    <n v="0.33003161222339306"/>
    <n v="136915.38"/>
  </r>
  <r>
    <x v="0"/>
    <s v="Bulgaria"/>
    <x v="1"/>
    <x v="0"/>
    <x v="0"/>
    <s v="3/2/2010"/>
    <d v="2010-03-02T00:00:00"/>
    <n v="2"/>
    <s v="Mar"/>
    <x v="3"/>
    <s v="Mar-2010"/>
    <n v="520777547"/>
    <d v="2010-04-15T00:00:00"/>
    <n v="15"/>
    <s v="Apr"/>
    <n v="2010"/>
    <s v="Apr-2010"/>
    <s v="4/15/2010"/>
    <n v="44"/>
    <n v="8504"/>
    <n v="109.28"/>
    <n v="35.840000000000003"/>
    <n v="109.28"/>
    <n v="929317.12"/>
    <n v="304783.35999999999"/>
    <n v="0.67203513909224011"/>
    <n v="624533.76000000001"/>
  </r>
  <r>
    <x v="0"/>
    <s v="Vatican City"/>
    <x v="9"/>
    <x v="1"/>
    <x v="0"/>
    <s v="6/27/2014"/>
    <d v="2014-06-27T00:00:00"/>
    <n v="27"/>
    <s v="Jun"/>
    <x v="2"/>
    <s v="Jun-2014"/>
    <n v="672856652"/>
    <d v="2014-08-03T00:00:00"/>
    <n v="3"/>
    <s v="Aug"/>
    <n v="2014"/>
    <s v="Aug-2014"/>
    <s v="8/3/2014"/>
    <n v="37"/>
    <n v="2091"/>
    <n v="668.27"/>
    <n v="502.54"/>
    <n v="668.27"/>
    <n v="1397352.57"/>
    <n v="1050811.1399999999"/>
    <n v="0.24799856345489096"/>
    <n v="346541.43"/>
  </r>
  <r>
    <x v="0"/>
    <s v="Kosovo"/>
    <x v="3"/>
    <x v="1"/>
    <x v="2"/>
    <s v="5/15/2014"/>
    <d v="2014-05-15T00:00:00"/>
    <n v="15"/>
    <s v="May"/>
    <x v="2"/>
    <s v="May-2014"/>
    <n v="353383243"/>
    <d v="2014-06-09T00:00:00"/>
    <n v="9"/>
    <s v="Jun"/>
    <n v="2014"/>
    <s v="Jun-2014"/>
    <s v="6/9/2014"/>
    <n v="25"/>
    <n v="2809"/>
    <n v="651.21"/>
    <n v="524.96"/>
    <n v="651.20999999999992"/>
    <n v="1829248.89"/>
    <n v="1474612.64"/>
    <n v="0.19386987300563568"/>
    <n v="354636.25"/>
  </r>
  <r>
    <x v="0"/>
    <s v="Croatia"/>
    <x v="3"/>
    <x v="0"/>
    <x v="2"/>
    <s v="11/21/2012"/>
    <d v="2012-11-21T00:00:00"/>
    <n v="21"/>
    <s v="Nov"/>
    <x v="5"/>
    <s v="Nov-2012"/>
    <n v="354667699"/>
    <d v="2012-12-29T00:00:00"/>
    <n v="29"/>
    <s v="Dec"/>
    <n v="2012"/>
    <s v="Dec-2012"/>
    <s v="12/29/2012"/>
    <n v="38"/>
    <n v="2908"/>
    <n v="651.21"/>
    <n v="524.96"/>
    <n v="651.20999999999992"/>
    <n v="1893718.68"/>
    <n v="1526583.68"/>
    <n v="0.19386987300563566"/>
    <n v="367135"/>
  </r>
  <r>
    <x v="0"/>
    <s v="Switzerland"/>
    <x v="7"/>
    <x v="1"/>
    <x v="2"/>
    <s v="3/20/2012"/>
    <d v="2012-03-20T00:00:00"/>
    <n v="20"/>
    <s v="Mar"/>
    <x v="5"/>
    <s v="Mar-2012"/>
    <n v="214292466"/>
    <d v="2012-04-13T00:00:00"/>
    <n v="13"/>
    <s v="Apr"/>
    <n v="2012"/>
    <s v="Apr-2012"/>
    <s v="4/13/2012"/>
    <n v="24"/>
    <n v="2758"/>
    <n v="152.58000000000001"/>
    <n v="97.44"/>
    <n v="152.58000000000001"/>
    <n v="420815.64"/>
    <n v="268739.52"/>
    <n v="0.36138419189933146"/>
    <n v="152076.12"/>
  </r>
  <r>
    <x v="0"/>
    <s v="Portugal"/>
    <x v="9"/>
    <x v="0"/>
    <x v="3"/>
    <s v="2/18/2015"/>
    <d v="2015-02-18T00:00:00"/>
    <n v="18"/>
    <s v="Feb"/>
    <x v="6"/>
    <s v="Feb-2015"/>
    <n v="655287110"/>
    <d v="2015-02-22T00:00:00"/>
    <n v="22"/>
    <s v="Feb"/>
    <n v="2015"/>
    <s v="Feb-2015"/>
    <s v="2/22/2015"/>
    <n v="4"/>
    <n v="2873"/>
    <n v="668.27"/>
    <n v="502.54"/>
    <n v="668.27"/>
    <n v="1919939.71"/>
    <n v="1443797.42"/>
    <n v="0.24799856345489099"/>
    <n v="476142.29"/>
  </r>
  <r>
    <x v="0"/>
    <s v="Liechtenstein"/>
    <x v="8"/>
    <x v="1"/>
    <x v="3"/>
    <s v="1/18/2015"/>
    <d v="2015-01-18T00:00:00"/>
    <n v="18"/>
    <s v="Jan"/>
    <x v="6"/>
    <s v="Jan-2015"/>
    <n v="295787847"/>
    <d v="2015-02-16T00:00:00"/>
    <n v="16"/>
    <s v="Feb"/>
    <n v="2015"/>
    <s v="Feb-2015"/>
    <s v="2/16/2015"/>
    <n v="29"/>
    <n v="9052"/>
    <n v="255.28"/>
    <n v="159.41999999999999"/>
    <n v="255.28"/>
    <n v="2310794.56"/>
    <n v="1443069.84"/>
    <n v="0.37550924475086178"/>
    <n v="867724.72"/>
  </r>
  <r>
    <x v="0"/>
    <s v="Kosovo"/>
    <x v="8"/>
    <x v="0"/>
    <x v="2"/>
    <s v="6/10/2012"/>
    <d v="2012-06-10T00:00:00"/>
    <n v="10"/>
    <s v="Jun"/>
    <x v="5"/>
    <s v="Jun-2012"/>
    <n v="263852393"/>
    <d v="2012-06-29T00:00:00"/>
    <n v="29"/>
    <s v="Jun"/>
    <n v="2012"/>
    <s v="Jun-2012"/>
    <s v="6/29/2012"/>
    <n v="19"/>
    <n v="8641"/>
    <n v="255.28"/>
    <n v="159.41999999999999"/>
    <n v="255.28"/>
    <n v="2205874.48"/>
    <n v="1377548.22"/>
    <n v="0.37550924475086178"/>
    <n v="828326.26"/>
  </r>
  <r>
    <x v="0"/>
    <s v="Russia"/>
    <x v="4"/>
    <x v="0"/>
    <x v="3"/>
    <s v="3/24/2013"/>
    <d v="2013-03-24T00:00:00"/>
    <n v="24"/>
    <s v="Mar"/>
    <x v="1"/>
    <s v="Mar-2013"/>
    <n v="578666484"/>
    <d v="2013-04-11T00:00:00"/>
    <n v="11"/>
    <s v="Apr"/>
    <n v="2013"/>
    <s v="Apr-2013"/>
    <s v="4/11/2013"/>
    <n v="18"/>
    <n v="9127"/>
    <n v="9.33"/>
    <n v="6.92"/>
    <n v="9.33"/>
    <n v="85154.91"/>
    <n v="63158.84"/>
    <n v="0.25830653804930331"/>
    <n v="21996.07"/>
  </r>
  <r>
    <x v="0"/>
    <s v="Denmark"/>
    <x v="11"/>
    <x v="0"/>
    <x v="0"/>
    <s v="6/18/2014"/>
    <d v="2014-06-18T00:00:00"/>
    <n v="18"/>
    <s v="Jun"/>
    <x v="2"/>
    <s v="Jun-2014"/>
    <n v="597839343"/>
    <d v="2014-07-26T00:00:00"/>
    <n v="26"/>
    <s v="Jul"/>
    <n v="2014"/>
    <s v="Jul-2014"/>
    <s v="7/26/2014"/>
    <n v="38"/>
    <n v="2802"/>
    <n v="81.73"/>
    <n v="56.67"/>
    <n v="81.73"/>
    <n v="229007.46"/>
    <n v="158789.34"/>
    <n v="0.30661935641747218"/>
    <n v="70218.12"/>
  </r>
  <r>
    <x v="0"/>
    <s v="Romania"/>
    <x v="10"/>
    <x v="0"/>
    <x v="1"/>
    <s v="12/12/2011"/>
    <d v="2011-12-12T00:00:00"/>
    <n v="12"/>
    <s v="Dec"/>
    <x v="0"/>
    <s v="Dec-2011"/>
    <n v="299335229"/>
    <d v="2011-12-24T00:00:00"/>
    <n v="24"/>
    <s v="Dec"/>
    <n v="2011"/>
    <s v="Dec-2011"/>
    <s v="12/24/2011"/>
    <n v="12"/>
    <n v="8801"/>
    <n v="437.2"/>
    <n v="263.33"/>
    <n v="437.20000000000005"/>
    <n v="3847797.2"/>
    <n v="2317567.33"/>
    <n v="0.39768984446477584"/>
    <n v="1530229.87"/>
  </r>
  <r>
    <x v="0"/>
    <s v="Vatican City"/>
    <x v="5"/>
    <x v="0"/>
    <x v="2"/>
    <s v="1/10/2016"/>
    <d v="2016-01-10T00:00:00"/>
    <n v="10"/>
    <s v="Jan"/>
    <x v="4"/>
    <s v="Jan-2016"/>
    <n v="700069701"/>
    <d v="2016-01-21T00:00:00"/>
    <n v="21"/>
    <s v="Jan"/>
    <n v="2016"/>
    <s v="Jan-2016"/>
    <s v="1/21/2016"/>
    <n v="11"/>
    <n v="5037"/>
    <n v="154.06"/>
    <n v="90.93"/>
    <n v="154.06"/>
    <n v="776000.22"/>
    <n v="458014.41"/>
    <n v="0.40977541217707386"/>
    <n v="317985.81"/>
  </r>
  <r>
    <x v="0"/>
    <s v="Ukraine"/>
    <x v="9"/>
    <x v="1"/>
    <x v="3"/>
    <s v="7/28/2010"/>
    <d v="2010-07-28T00:00:00"/>
    <n v="28"/>
    <s v="Jul"/>
    <x v="3"/>
    <s v="Jul-2010"/>
    <n v="741866242"/>
    <d v="2010-09-13T00:00:00"/>
    <n v="13"/>
    <s v="Sep"/>
    <n v="2010"/>
    <s v="Sep-2010"/>
    <s v="9/13/2010"/>
    <n v="47"/>
    <n v="3562"/>
    <n v="668.27"/>
    <n v="502.54"/>
    <n v="668.2700000000001"/>
    <n v="2380377.7400000002"/>
    <n v="1790047.48"/>
    <n v="0.24799856345489096"/>
    <n v="590330.26"/>
  </r>
  <r>
    <x v="0"/>
    <s v="Bulgaria"/>
    <x v="7"/>
    <x v="0"/>
    <x v="2"/>
    <s v="3/1/2010"/>
    <d v="2010-03-01T00:00:00"/>
    <n v="1"/>
    <s v="Mar"/>
    <x v="3"/>
    <s v="Mar-2010"/>
    <n v="211344611"/>
    <d v="2010-03-23T00:00:00"/>
    <n v="23"/>
    <s v="Mar"/>
    <n v="2010"/>
    <s v="Mar-2010"/>
    <s v="3/23/2010"/>
    <n v="22"/>
    <n v="422"/>
    <n v="152.58000000000001"/>
    <n v="97.44"/>
    <n v="152.58000000000001"/>
    <n v="64388.76"/>
    <n v="41119.68"/>
    <n v="0.36138419189933152"/>
    <n v="23269.08"/>
  </r>
  <r>
    <x v="0"/>
    <s v="San Marino"/>
    <x v="11"/>
    <x v="0"/>
    <x v="3"/>
    <s v="9/29/2015"/>
    <d v="2015-09-29T00:00:00"/>
    <n v="29"/>
    <s v="Sep"/>
    <x v="6"/>
    <s v="Sep-2015"/>
    <n v="625751483"/>
    <d v="2015-10-01T00:00:00"/>
    <n v="1"/>
    <s v="Oct"/>
    <n v="2015"/>
    <s v="Oct-2015"/>
    <s v="10/1/2015"/>
    <n v="2"/>
    <n v="2624"/>
    <n v="81.73"/>
    <n v="56.67"/>
    <n v="81.72999999999999"/>
    <n v="214459.51999999999"/>
    <n v="148702.07999999999"/>
    <n v="0.30661935641747218"/>
    <n v="65757.440000000002"/>
  </r>
  <r>
    <x v="0"/>
    <s v="Serbia"/>
    <x v="4"/>
    <x v="1"/>
    <x v="0"/>
    <s v="9/26/2015"/>
    <d v="2015-09-26T00:00:00"/>
    <n v="26"/>
    <s v="Sep"/>
    <x v="6"/>
    <s v="Sep-2015"/>
    <n v="665817677"/>
    <d v="2015-10-10T00:00:00"/>
    <n v="10"/>
    <s v="Oct"/>
    <n v="2015"/>
    <s v="Oct-2015"/>
    <s v="10/10/2015"/>
    <n v="14"/>
    <n v="9102"/>
    <n v="9.33"/>
    <n v="6.92"/>
    <n v="9.33"/>
    <n v="84921.66"/>
    <n v="62985.84"/>
    <n v="0.25830653804930331"/>
    <n v="21935.82"/>
  </r>
  <r>
    <x v="0"/>
    <s v="Russia"/>
    <x v="8"/>
    <x v="0"/>
    <x v="2"/>
    <s v="9/20/2010"/>
    <d v="2010-09-20T00:00:00"/>
    <n v="20"/>
    <s v="Sep"/>
    <x v="3"/>
    <s v="Sep-2010"/>
    <n v="996754205"/>
    <d v="2010-09-22T00:00:00"/>
    <n v="22"/>
    <s v="Sep"/>
    <n v="2010"/>
    <s v="Sep-2010"/>
    <s v="9/22/2010"/>
    <n v="2"/>
    <n v="574"/>
    <n v="255.28"/>
    <n v="159.41999999999999"/>
    <n v="255.28"/>
    <n v="146530.72"/>
    <n v="91507.08"/>
    <n v="0.37550924475086178"/>
    <n v="55023.64"/>
  </r>
  <r>
    <x v="0"/>
    <s v="Germany"/>
    <x v="2"/>
    <x v="1"/>
    <x v="3"/>
    <s v="11/10/2014"/>
    <d v="2014-11-10T00:00:00"/>
    <n v="10"/>
    <s v="Nov"/>
    <x v="2"/>
    <s v="Nov-2014"/>
    <n v="734189975"/>
    <d v="2014-11-29T00:00:00"/>
    <n v="29"/>
    <s v="Nov"/>
    <n v="2014"/>
    <s v="Nov-2014"/>
    <s v="11/29/2014"/>
    <n v="19"/>
    <n v="1984"/>
    <n v="205.7"/>
    <n v="117.11"/>
    <n v="205.7"/>
    <n v="408108.79999999999"/>
    <n v="232346.23999999999"/>
    <n v="0.43067574137092857"/>
    <n v="175762.56"/>
  </r>
  <r>
    <x v="0"/>
    <s v="Belarus"/>
    <x v="0"/>
    <x v="1"/>
    <x v="2"/>
    <s v="10/3/2010"/>
    <d v="2010-10-03T00:00:00"/>
    <n v="3"/>
    <s v="Oct"/>
    <x v="3"/>
    <s v="Oct-2010"/>
    <n v="935789954"/>
    <d v="2010-11-18T00:00:00"/>
    <n v="18"/>
    <s v="Nov"/>
    <n v="2010"/>
    <s v="Nov-2010"/>
    <s v="11/18/2010"/>
    <n v="46"/>
    <n v="9898"/>
    <n v="47.45"/>
    <n v="31.79"/>
    <n v="47.449999999999996"/>
    <n v="469660.1"/>
    <n v="314657.42"/>
    <n v="0.33003161222339306"/>
    <n v="155002.68"/>
  </r>
  <r>
    <x v="0"/>
    <s v="Germany"/>
    <x v="2"/>
    <x v="1"/>
    <x v="1"/>
    <s v="1/23/2011"/>
    <d v="2011-01-23T00:00:00"/>
    <n v="23"/>
    <s v="Jan"/>
    <x v="0"/>
    <s v="Jan-2011"/>
    <n v="104008615"/>
    <d v="2011-02-22T00:00:00"/>
    <n v="22"/>
    <s v="Feb"/>
    <n v="2011"/>
    <s v="Feb-2011"/>
    <s v="2/22/2011"/>
    <n v="30"/>
    <n v="7315"/>
    <n v="205.7"/>
    <n v="117.11"/>
    <n v="205.7"/>
    <n v="1504695.5"/>
    <n v="856659.65"/>
    <n v="0.43067574137092851"/>
    <n v="648035.85"/>
  </r>
  <r>
    <x v="0"/>
    <s v="Belarus"/>
    <x v="0"/>
    <x v="1"/>
    <x v="3"/>
    <s v="3/24/2017"/>
    <d v="2017-03-24T00:00:00"/>
    <n v="24"/>
    <s v="Mar"/>
    <x v="7"/>
    <s v="Mar-2017"/>
    <n v="122967326"/>
    <d v="2017-04-25T00:00:00"/>
    <n v="25"/>
    <s v="Apr"/>
    <n v="2017"/>
    <s v="Apr-2017"/>
    <s v="4/25/2017"/>
    <n v="32"/>
    <n v="7619"/>
    <n v="47.45"/>
    <n v="31.79"/>
    <n v="47.449999999999996"/>
    <n v="361521.55"/>
    <n v="242208.01"/>
    <n v="0.33003161222339306"/>
    <n v="119313.54"/>
  </r>
  <r>
    <x v="0"/>
    <s v="Montenegro"/>
    <x v="2"/>
    <x v="0"/>
    <x v="1"/>
    <s v="6/6/2010"/>
    <d v="2010-06-06T00:00:00"/>
    <n v="6"/>
    <s v="Jun"/>
    <x v="3"/>
    <s v="Jun-2010"/>
    <n v="305616748"/>
    <d v="2010-07-01T00:00:00"/>
    <n v="1"/>
    <s v="Jul"/>
    <n v="2010"/>
    <s v="Jul-2010"/>
    <s v="7/1/2010"/>
    <n v="25"/>
    <n v="7642"/>
    <n v="205.7"/>
    <n v="117.11"/>
    <n v="205.7"/>
    <n v="1571959.4"/>
    <n v="894954.62"/>
    <n v="0.43067574137092857"/>
    <n v="677004.78"/>
  </r>
  <r>
    <x v="0"/>
    <s v="Malta"/>
    <x v="3"/>
    <x v="0"/>
    <x v="1"/>
    <s v="5/5/2011"/>
    <d v="2011-05-05T00:00:00"/>
    <n v="5"/>
    <s v="May"/>
    <x v="0"/>
    <s v="May-2011"/>
    <n v="243070638"/>
    <d v="2011-05-22T00:00:00"/>
    <n v="22"/>
    <s v="May"/>
    <n v="2011"/>
    <s v="May-2011"/>
    <s v="5/22/2011"/>
    <n v="17"/>
    <n v="8858"/>
    <n v="651.21"/>
    <n v="524.96"/>
    <n v="651.20999999999992"/>
    <n v="5768418.1799999997"/>
    <n v="4650095.68"/>
    <n v="0.19386987300563568"/>
    <n v="1118322.5"/>
  </r>
  <r>
    <x v="0"/>
    <s v="Bulgaria"/>
    <x v="1"/>
    <x v="0"/>
    <x v="2"/>
    <s v="5/4/2010"/>
    <d v="2010-05-04T00:00:00"/>
    <n v="4"/>
    <s v="May"/>
    <x v="3"/>
    <s v="May-2010"/>
    <n v="505867040"/>
    <d v="2010-06-12T00:00:00"/>
    <n v="12"/>
    <s v="Jun"/>
    <n v="2010"/>
    <s v="Jun-2010"/>
    <s v="6/12/2010"/>
    <n v="39"/>
    <n v="6153"/>
    <n v="109.28"/>
    <n v="35.840000000000003"/>
    <n v="109.28"/>
    <n v="672399.84"/>
    <n v="220523.51999999999"/>
    <n v="0.67203513909224011"/>
    <n v="451876.32"/>
  </r>
  <r>
    <x v="0"/>
    <s v="France"/>
    <x v="10"/>
    <x v="1"/>
    <x v="0"/>
    <s v="3/20/2014"/>
    <d v="2014-03-20T00:00:00"/>
    <n v="20"/>
    <s v="Mar"/>
    <x v="2"/>
    <s v="Mar-2014"/>
    <n v="637188422"/>
    <d v="2014-04-29T00:00:00"/>
    <n v="29"/>
    <s v="Apr"/>
    <n v="2014"/>
    <s v="Apr-2014"/>
    <s v="4/29/2014"/>
    <n v="40"/>
    <n v="7069"/>
    <n v="437.2"/>
    <n v="263.33"/>
    <n v="437.2"/>
    <n v="3090566.8"/>
    <n v="1861479.77"/>
    <n v="0.3976898444647759"/>
    <n v="1229087.03"/>
  </r>
  <r>
    <x v="0"/>
    <s v="San Marino"/>
    <x v="2"/>
    <x v="1"/>
    <x v="3"/>
    <s v="10/22/2016"/>
    <d v="2016-10-22T00:00:00"/>
    <n v="22"/>
    <s v="Oct"/>
    <x v="4"/>
    <s v="Oct-2016"/>
    <n v="518421494"/>
    <d v="2016-10-22T00:00:00"/>
    <n v="22"/>
    <s v="Oct"/>
    <n v="2016"/>
    <s v="Oct-2016"/>
    <s v="10/22/2016"/>
    <n v="0"/>
    <n v="1296"/>
    <n v="205.7"/>
    <n v="117.11"/>
    <n v="205.70000000000002"/>
    <n v="266587.2"/>
    <n v="151774.56"/>
    <n v="0.43067574137092851"/>
    <n v="114812.64"/>
  </r>
  <r>
    <x v="0"/>
    <s v="United Kingdom"/>
    <x v="4"/>
    <x v="0"/>
    <x v="1"/>
    <s v="3/27/2013"/>
    <d v="2013-03-27T00:00:00"/>
    <n v="27"/>
    <s v="Mar"/>
    <x v="1"/>
    <s v="Mar-2013"/>
    <n v="104245078"/>
    <d v="2013-04-21T00:00:00"/>
    <n v="21"/>
    <s v="Apr"/>
    <n v="2013"/>
    <s v="Apr-2013"/>
    <s v="4/21/2013"/>
    <n v="25"/>
    <n v="7290"/>
    <n v="9.33"/>
    <n v="6.92"/>
    <n v="9.33"/>
    <n v="68015.7"/>
    <n v="50446.8"/>
    <n v="0.25830653804930337"/>
    <n v="17568.900000000001"/>
  </r>
  <r>
    <x v="0"/>
    <s v="Spain"/>
    <x v="5"/>
    <x v="1"/>
    <x v="0"/>
    <s v="12/16/2010"/>
    <d v="2010-12-16T00:00:00"/>
    <n v="16"/>
    <s v="Dec"/>
    <x v="3"/>
    <s v="Dec-2010"/>
    <n v="386319911"/>
    <d v="2011-01-02T00:00:00"/>
    <n v="2"/>
    <s v="Jan"/>
    <n v="2011"/>
    <s v="Jan-2011"/>
    <s v="1/2/2011"/>
    <n v="17"/>
    <n v="9501"/>
    <n v="154.06"/>
    <n v="90.93"/>
    <n v="154.06"/>
    <n v="1463724.06"/>
    <n v="863925.93"/>
    <n v="0.40977541217707386"/>
    <n v="599798.13"/>
  </r>
  <r>
    <x v="0"/>
    <s v="Cyprus"/>
    <x v="8"/>
    <x v="1"/>
    <x v="1"/>
    <s v="3/17/2016"/>
    <d v="2016-03-17T00:00:00"/>
    <n v="17"/>
    <s v="Mar"/>
    <x v="4"/>
    <s v="Mar-2016"/>
    <n v="740300261"/>
    <d v="2016-04-23T00:00:00"/>
    <n v="23"/>
    <s v="Apr"/>
    <n v="2016"/>
    <s v="Apr-2016"/>
    <s v="4/23/2016"/>
    <n v="37"/>
    <n v="153"/>
    <n v="255.28"/>
    <n v="159.41999999999999"/>
    <n v="255.27999999999997"/>
    <n v="39057.839999999997"/>
    <n v="24391.26"/>
    <n v="0.37550924475086184"/>
    <n v="14666.58"/>
  </r>
  <r>
    <x v="0"/>
    <s v="Macedonia"/>
    <x v="3"/>
    <x v="0"/>
    <x v="0"/>
    <s v="7/17/2017"/>
    <d v="2017-07-17T00:00:00"/>
    <n v="17"/>
    <s v="Jul"/>
    <x v="7"/>
    <s v="Jul-2017"/>
    <n v="747826755"/>
    <d v="2017-07-22T00:00:00"/>
    <n v="22"/>
    <s v="Jul"/>
    <n v="2017"/>
    <s v="Jul-2017"/>
    <s v="7/22/2017"/>
    <n v="5"/>
    <n v="7410"/>
    <n v="651.21"/>
    <n v="524.96"/>
    <n v="651.20999999999992"/>
    <n v="4825466.0999999996"/>
    <n v="3889953.6"/>
    <n v="0.19386987300563568"/>
    <n v="935512.5"/>
  </r>
  <r>
    <x v="0"/>
    <s v="Romania"/>
    <x v="11"/>
    <x v="0"/>
    <x v="1"/>
    <s v="12/21/2012"/>
    <d v="2012-12-21T00:00:00"/>
    <n v="21"/>
    <s v="Dec"/>
    <x v="5"/>
    <s v="Dec-2012"/>
    <n v="215540015"/>
    <d v="2012-12-24T00:00:00"/>
    <n v="24"/>
    <s v="Dec"/>
    <n v="2012"/>
    <s v="Dec-2012"/>
    <s v="12/24/2012"/>
    <n v="3"/>
    <n v="1935"/>
    <n v="81.73"/>
    <n v="56.67"/>
    <n v="81.72999999999999"/>
    <n v="158147.54999999999"/>
    <n v="109656.45"/>
    <n v="0.30661935641747218"/>
    <n v="48491.1"/>
  </r>
  <r>
    <x v="0"/>
    <s v="Kosovo"/>
    <x v="5"/>
    <x v="0"/>
    <x v="0"/>
    <s v="7/23/2017"/>
    <d v="2017-07-23T00:00:00"/>
    <n v="23"/>
    <s v="Jul"/>
    <x v="7"/>
    <s v="Jul-2017"/>
    <n v="975080668"/>
    <d v="2017-08-20T00:00:00"/>
    <n v="20"/>
    <s v="Aug"/>
    <n v="2017"/>
    <s v="Aug-2017"/>
    <s v="8/20/2017"/>
    <n v="28"/>
    <n v="6893"/>
    <n v="154.06"/>
    <n v="90.93"/>
    <n v="154.06"/>
    <n v="1061935.58"/>
    <n v="626780.49"/>
    <n v="0.40977541217707386"/>
    <n v="435155.09"/>
  </r>
  <r>
    <x v="0"/>
    <s v="Bosnia and Herzegovina"/>
    <x v="8"/>
    <x v="1"/>
    <x v="2"/>
    <s v="10/9/2012"/>
    <d v="2012-10-09T00:00:00"/>
    <n v="9"/>
    <s v="Oct"/>
    <x v="5"/>
    <s v="Oct-2012"/>
    <n v="638041150"/>
    <d v="2012-11-28T00:00:00"/>
    <n v="28"/>
    <s v="Nov"/>
    <n v="2012"/>
    <s v="Nov-2012"/>
    <s v="11/28/2012"/>
    <n v="50"/>
    <n v="9410"/>
    <n v="255.28"/>
    <n v="159.41999999999999"/>
    <n v="255.27999999999997"/>
    <n v="2402184.7999999998"/>
    <n v="1500142.2"/>
    <n v="0.37550924475086184"/>
    <n v="902042.6"/>
  </r>
  <r>
    <x v="0"/>
    <s v="Greece"/>
    <x v="10"/>
    <x v="1"/>
    <x v="0"/>
    <s v="5/22/2010"/>
    <d v="2010-05-22T00:00:00"/>
    <n v="22"/>
    <s v="May"/>
    <x v="3"/>
    <s v="May-2010"/>
    <n v="583089339"/>
    <d v="2010-06-26T00:00:00"/>
    <n v="26"/>
    <s v="Jun"/>
    <n v="2010"/>
    <s v="Jun-2010"/>
    <s v="6/26/2010"/>
    <n v="35"/>
    <n v="7948"/>
    <n v="437.2"/>
    <n v="263.33"/>
    <n v="437.2"/>
    <n v="3474865.6"/>
    <n v="2092946.84"/>
    <n v="0.39768984446477584"/>
    <n v="1381918.76"/>
  </r>
  <r>
    <x v="0"/>
    <s v="Norway"/>
    <x v="7"/>
    <x v="1"/>
    <x v="1"/>
    <s v="2/19/2016"/>
    <d v="2016-02-19T00:00:00"/>
    <n v="19"/>
    <s v="Feb"/>
    <x v="4"/>
    <s v="Feb-2016"/>
    <n v="118086564"/>
    <d v="2016-03-13T00:00:00"/>
    <n v="13"/>
    <s v="Mar"/>
    <n v="2016"/>
    <s v="Mar-2016"/>
    <s v="3/13/2016"/>
    <n v="23"/>
    <n v="3293"/>
    <n v="152.58000000000001"/>
    <n v="97.44"/>
    <n v="152.58000000000001"/>
    <n v="502445.94"/>
    <n v="320869.92"/>
    <n v="0.36138419189933146"/>
    <n v="181576.02"/>
  </r>
  <r>
    <x v="0"/>
    <s v="Malta"/>
    <x v="8"/>
    <x v="0"/>
    <x v="0"/>
    <s v="4/27/2015"/>
    <d v="2015-04-27T00:00:00"/>
    <n v="27"/>
    <s v="Apr"/>
    <x v="6"/>
    <s v="Apr-2015"/>
    <n v="296073234"/>
    <d v="2015-06-04T00:00:00"/>
    <n v="4"/>
    <s v="Jun"/>
    <n v="2015"/>
    <s v="Jun-2015"/>
    <s v="6/4/2015"/>
    <n v="38"/>
    <n v="3504"/>
    <n v="255.28"/>
    <n v="159.41999999999999"/>
    <n v="255.28"/>
    <n v="894501.12"/>
    <n v="558607.68000000005"/>
    <n v="0.37550924475086178"/>
    <n v="335893.44"/>
  </r>
  <r>
    <x v="0"/>
    <s v="Poland"/>
    <x v="7"/>
    <x v="1"/>
    <x v="1"/>
    <s v="1/9/2013"/>
    <d v="2013-01-09T00:00:00"/>
    <n v="9"/>
    <s v="Jan"/>
    <x v="1"/>
    <s v="Jan-2013"/>
    <n v="968185460"/>
    <d v="2013-02-03T00:00:00"/>
    <n v="3"/>
    <s v="Feb"/>
    <n v="2013"/>
    <s v="Feb-2013"/>
    <s v="2/3/2013"/>
    <n v="25"/>
    <n v="6448"/>
    <n v="152.58000000000001"/>
    <n v="97.44"/>
    <n v="152.57999999999998"/>
    <n v="983835.84"/>
    <n v="628293.12"/>
    <n v="0.36138419189933146"/>
    <n v="355542.72"/>
  </r>
  <r>
    <x v="0"/>
    <s v="Kosovo"/>
    <x v="8"/>
    <x v="0"/>
    <x v="1"/>
    <s v="9/13/2012"/>
    <d v="2012-09-13T00:00:00"/>
    <n v="13"/>
    <s v="Sep"/>
    <x v="5"/>
    <s v="Sep-2012"/>
    <n v="364854514"/>
    <d v="2012-10-03T00:00:00"/>
    <n v="3"/>
    <s v="Oct"/>
    <n v="2012"/>
    <s v="Oct-2012"/>
    <s v="10/3/2012"/>
    <n v="20"/>
    <n v="7413"/>
    <n v="255.28"/>
    <n v="159.41999999999999"/>
    <n v="255.27999999999997"/>
    <n v="1892390.64"/>
    <n v="1181780.46"/>
    <n v="0.37550924475086184"/>
    <n v="710610.18"/>
  </r>
  <r>
    <x v="0"/>
    <s v="Luxembourg"/>
    <x v="10"/>
    <x v="1"/>
    <x v="0"/>
    <s v="9/6/2013"/>
    <d v="2013-09-06T00:00:00"/>
    <n v="6"/>
    <s v="Sep"/>
    <x v="1"/>
    <s v="Sep-2013"/>
    <n v="980961358"/>
    <d v="2013-10-08T00:00:00"/>
    <n v="8"/>
    <s v="Oct"/>
    <n v="2013"/>
    <s v="Oct-2013"/>
    <s v="10/8/2013"/>
    <n v="32"/>
    <n v="7120"/>
    <n v="437.2"/>
    <n v="263.33"/>
    <n v="437.2"/>
    <n v="3112864"/>
    <n v="1874909.6"/>
    <n v="0.39768984446477584"/>
    <n v="1237954.3999999999"/>
  </r>
  <r>
    <x v="0"/>
    <s v="France"/>
    <x v="4"/>
    <x v="0"/>
    <x v="0"/>
    <s v="4/9/2014"/>
    <d v="2014-04-09T00:00:00"/>
    <n v="9"/>
    <s v="Apr"/>
    <x v="2"/>
    <s v="Apr-2014"/>
    <n v="601886260"/>
    <d v="2014-05-27T00:00:00"/>
    <n v="27"/>
    <s v="May"/>
    <n v="2014"/>
    <s v="May-2014"/>
    <s v="5/27/2014"/>
    <n v="48"/>
    <n v="374"/>
    <n v="9.33"/>
    <n v="6.92"/>
    <n v="9.33"/>
    <n v="3489.42"/>
    <n v="2588.08"/>
    <n v="0.25830653804930331"/>
    <n v="901.34"/>
  </r>
  <r>
    <x v="0"/>
    <s v="Poland"/>
    <x v="9"/>
    <x v="1"/>
    <x v="2"/>
    <s v="4/27/2011"/>
    <d v="2011-04-27T00:00:00"/>
    <n v="27"/>
    <s v="Apr"/>
    <x v="0"/>
    <s v="Apr-2011"/>
    <n v="321628463"/>
    <d v="2011-05-14T00:00:00"/>
    <n v="14"/>
    <s v="May"/>
    <n v="2011"/>
    <s v="May-2011"/>
    <s v="5/14/2011"/>
    <n v="17"/>
    <n v="5864"/>
    <n v="668.27"/>
    <n v="502.54"/>
    <n v="668.27"/>
    <n v="3918735.28"/>
    <n v="2946894.56"/>
    <n v="0.24799856345489099"/>
    <n v="971840.72"/>
  </r>
  <r>
    <x v="0"/>
    <s v="Portugal"/>
    <x v="6"/>
    <x v="1"/>
    <x v="2"/>
    <s v="1/30/2014"/>
    <d v="2014-01-30T00:00:00"/>
    <n v="30"/>
    <s v="Jan"/>
    <x v="2"/>
    <s v="Jan-2014"/>
    <n v="944609057"/>
    <d v="2014-03-16T00:00:00"/>
    <n v="16"/>
    <s v="Mar"/>
    <n v="2014"/>
    <s v="Mar-2014"/>
    <s v="3/16/2014"/>
    <n v="45"/>
    <n v="9666"/>
    <n v="421.89"/>
    <n v="364.69"/>
    <n v="421.89000000000004"/>
    <n v="4077988.74"/>
    <n v="3525093.54"/>
    <n v="0.13558036455000116"/>
    <n v="552895.19999999995"/>
  </r>
  <r>
    <x v="0"/>
    <s v="Malta"/>
    <x v="10"/>
    <x v="0"/>
    <x v="3"/>
    <s v="12/14/2012"/>
    <d v="2012-12-14T00:00:00"/>
    <n v="14"/>
    <s v="Dec"/>
    <x v="5"/>
    <s v="Dec-2012"/>
    <n v="310588920"/>
    <d v="2013-01-06T00:00:00"/>
    <n v="6"/>
    <s v="Jan"/>
    <n v="2013"/>
    <s v="Jan-2013"/>
    <s v="1/6/2013"/>
    <n v="23"/>
    <n v="9018"/>
    <n v="437.2"/>
    <n v="263.33"/>
    <n v="437.2"/>
    <n v="3942669.6"/>
    <n v="2374709.94"/>
    <n v="0.39768984446477579"/>
    <n v="1567959.66"/>
  </r>
  <r>
    <x v="0"/>
    <s v="Armenia"/>
    <x v="6"/>
    <x v="0"/>
    <x v="1"/>
    <s v="6/2/2015"/>
    <d v="2015-06-02T00:00:00"/>
    <n v="2"/>
    <s v="Jun"/>
    <x v="6"/>
    <s v="Jun-2015"/>
    <n v="251208674"/>
    <d v="2015-07-19T00:00:00"/>
    <n v="19"/>
    <s v="Jul"/>
    <n v="2015"/>
    <s v="Jul-2015"/>
    <s v="7/19/2015"/>
    <n v="47"/>
    <n v="7084"/>
    <n v="421.89"/>
    <n v="364.69"/>
    <n v="421.89"/>
    <n v="2988668.76"/>
    <n v="2583463.96"/>
    <n v="0.13558036455000119"/>
    <n v="405204.8"/>
  </r>
  <r>
    <x v="0"/>
    <s v="Greece"/>
    <x v="4"/>
    <x v="1"/>
    <x v="2"/>
    <s v="10/31/2015"/>
    <d v="2015-10-31T00:00:00"/>
    <n v="31"/>
    <s v="Oct"/>
    <x v="6"/>
    <s v="Oct-2015"/>
    <n v="488316380"/>
    <d v="2015-11-18T00:00:00"/>
    <n v="18"/>
    <s v="Nov"/>
    <n v="2015"/>
    <s v="Nov-2015"/>
    <s v="11/18/2015"/>
    <n v="18"/>
    <n v="2523"/>
    <n v="9.33"/>
    <n v="6.92"/>
    <n v="9.33"/>
    <n v="23539.59"/>
    <n v="17459.16"/>
    <n v="0.25830653804930331"/>
    <n v="6080.43"/>
  </r>
  <r>
    <x v="0"/>
    <s v="Vatican City"/>
    <x v="1"/>
    <x v="1"/>
    <x v="1"/>
    <s v="3/23/2012"/>
    <d v="2012-03-23T00:00:00"/>
    <n v="23"/>
    <s v="Mar"/>
    <x v="5"/>
    <s v="Mar-2012"/>
    <n v="263647687"/>
    <d v="2012-03-30T00:00:00"/>
    <n v="30"/>
    <s v="Mar"/>
    <n v="2012"/>
    <s v="Mar-2012"/>
    <s v="3/30/2012"/>
    <n v="7"/>
    <n v="8064"/>
    <n v="109.28"/>
    <n v="35.840000000000003"/>
    <n v="109.28"/>
    <n v="881233.92000000004"/>
    <n v="289013.76000000001"/>
    <n v="0.67203513909224011"/>
    <n v="592220.16000000003"/>
  </r>
  <r>
    <x v="0"/>
    <s v="Switzerland"/>
    <x v="11"/>
    <x v="0"/>
    <x v="3"/>
    <s v="4/19/2014"/>
    <d v="2014-04-19T00:00:00"/>
    <n v="19"/>
    <s v="Apr"/>
    <x v="2"/>
    <s v="Apr-2014"/>
    <n v="653800523"/>
    <d v="2014-04-23T00:00:00"/>
    <n v="23"/>
    <s v="Apr"/>
    <n v="2014"/>
    <s v="Apr-2014"/>
    <s v="4/23/2014"/>
    <n v="4"/>
    <n v="2958"/>
    <n v="81.73"/>
    <n v="56.67"/>
    <n v="81.73"/>
    <n v="241757.34"/>
    <n v="167629.85999999999"/>
    <n v="0.30661935641747218"/>
    <n v="74127.48"/>
  </r>
  <r>
    <x v="0"/>
    <s v="Sweden"/>
    <x v="10"/>
    <x v="1"/>
    <x v="2"/>
    <s v="8/24/2013"/>
    <d v="2013-08-24T00:00:00"/>
    <n v="24"/>
    <s v="Aug"/>
    <x v="1"/>
    <s v="Aug-2013"/>
    <n v="684239947"/>
    <d v="2013-08-31T00:00:00"/>
    <n v="31"/>
    <s v="Aug"/>
    <n v="2013"/>
    <s v="Aug-2013"/>
    <s v="8/31/2013"/>
    <n v="7"/>
    <n v="661"/>
    <n v="437.2"/>
    <n v="263.33"/>
    <n v="437.20000000000005"/>
    <n v="288989.2"/>
    <n v="174061.13"/>
    <n v="0.39768984446477584"/>
    <n v="114928.07"/>
  </r>
  <r>
    <x v="0"/>
    <s v="Vatican City"/>
    <x v="11"/>
    <x v="1"/>
    <x v="3"/>
    <s v="1/27/2016"/>
    <d v="2016-01-27T00:00:00"/>
    <n v="27"/>
    <s v="Jan"/>
    <x v="4"/>
    <s v="Jan-2016"/>
    <n v="133276450"/>
    <d v="2016-03-15T00:00:00"/>
    <n v="15"/>
    <s v="Mar"/>
    <n v="2016"/>
    <s v="Mar-2016"/>
    <s v="3/15/2016"/>
    <n v="48"/>
    <n v="8318"/>
    <n v="81.73"/>
    <n v="56.67"/>
    <n v="81.73"/>
    <n v="679830.14"/>
    <n v="471381.06"/>
    <n v="0.30661935641747212"/>
    <n v="208449.08"/>
  </r>
  <r>
    <x v="0"/>
    <s v="Moldova "/>
    <x v="11"/>
    <x v="0"/>
    <x v="2"/>
    <s v="2/17/2014"/>
    <d v="2014-02-17T00:00:00"/>
    <n v="17"/>
    <s v="Feb"/>
    <x v="2"/>
    <s v="Feb-2014"/>
    <n v="838895261"/>
    <d v="2014-02-19T00:00:00"/>
    <n v="19"/>
    <s v="Feb"/>
    <n v="2014"/>
    <s v="Feb-2014"/>
    <s v="2/19/2014"/>
    <n v="2"/>
    <n v="6605"/>
    <n v="81.73"/>
    <n v="56.67"/>
    <n v="81.73"/>
    <n v="539826.65"/>
    <n v="374305.35"/>
    <n v="0.30661935641747212"/>
    <n v="165521.29999999999"/>
  </r>
  <r>
    <x v="0"/>
    <s v="Denmark"/>
    <x v="6"/>
    <x v="1"/>
    <x v="0"/>
    <s v="11/26/2011"/>
    <d v="2011-11-26T00:00:00"/>
    <n v="26"/>
    <s v="Nov"/>
    <x v="0"/>
    <s v="Nov-2011"/>
    <n v="198537814"/>
    <d v="2011-12-19T00:00:00"/>
    <n v="19"/>
    <s v="Dec"/>
    <n v="2011"/>
    <s v="Dec-2011"/>
    <s v="12/19/2011"/>
    <n v="23"/>
    <n v="606"/>
    <n v="421.89"/>
    <n v="364.69"/>
    <n v="421.89"/>
    <n v="255665.34"/>
    <n v="221002.14"/>
    <n v="0.13558036455000116"/>
    <n v="34663.199999999997"/>
  </r>
  <r>
    <x v="0"/>
    <s v="Slovenia"/>
    <x v="6"/>
    <x v="1"/>
    <x v="1"/>
    <s v="10/10/2015"/>
    <d v="2015-10-10T00:00:00"/>
    <n v="10"/>
    <s v="Oct"/>
    <x v="6"/>
    <s v="Oct-2015"/>
    <n v="885397469"/>
    <d v="2015-11-18T00:00:00"/>
    <n v="18"/>
    <s v="Nov"/>
    <n v="2015"/>
    <s v="Nov-2015"/>
    <s v="11/18/2015"/>
    <n v="39"/>
    <n v="7642"/>
    <n v="421.89"/>
    <n v="364.69"/>
    <n v="421.89"/>
    <n v="3224083.38"/>
    <n v="2786960.98"/>
    <n v="0.13558036455000119"/>
    <n v="437122.4"/>
  </r>
  <r>
    <x v="0"/>
    <s v="Hungary"/>
    <x v="11"/>
    <x v="0"/>
    <x v="3"/>
    <s v="10/16/2014"/>
    <d v="2014-10-16T00:00:00"/>
    <n v="16"/>
    <s v="Oct"/>
    <x v="2"/>
    <s v="Oct-2014"/>
    <n v="302744853"/>
    <d v="2014-11-02T00:00:00"/>
    <n v="2"/>
    <s v="Nov"/>
    <n v="2014"/>
    <s v="Nov-2014"/>
    <s v="11/2/2014"/>
    <n v="17"/>
    <n v="7785"/>
    <n v="81.73"/>
    <n v="56.67"/>
    <n v="81.73"/>
    <n v="636268.05000000005"/>
    <n v="441175.95"/>
    <n v="0.30661935641747218"/>
    <n v="195092.1"/>
  </r>
  <r>
    <x v="0"/>
    <s v="Greece"/>
    <x v="3"/>
    <x v="1"/>
    <x v="2"/>
    <s v="3/11/2014"/>
    <d v="2014-03-11T00:00:00"/>
    <n v="11"/>
    <s v="Mar"/>
    <x v="2"/>
    <s v="Mar-2014"/>
    <n v="975823962"/>
    <d v="2014-04-08T00:00:00"/>
    <n v="8"/>
    <s v="Apr"/>
    <n v="2014"/>
    <s v="Apr-2014"/>
    <s v="4/8/2014"/>
    <n v="28"/>
    <n v="6850"/>
    <n v="651.21"/>
    <n v="524.96"/>
    <n v="651.21"/>
    <n v="4460788.5"/>
    <n v="3595976"/>
    <n v="0.19386987300563566"/>
    <n v="864812.5"/>
  </r>
  <r>
    <x v="0"/>
    <s v="Denmark"/>
    <x v="10"/>
    <x v="0"/>
    <x v="1"/>
    <s v="12/27/2013"/>
    <d v="2013-12-27T00:00:00"/>
    <n v="27"/>
    <s v="Dec"/>
    <x v="1"/>
    <s v="Dec-2013"/>
    <n v="860104024"/>
    <d v="2013-12-30T00:00:00"/>
    <n v="30"/>
    <s v="Dec"/>
    <n v="2013"/>
    <s v="Dec-2013"/>
    <s v="12/30/2013"/>
    <n v="3"/>
    <n v="2749"/>
    <n v="437.2"/>
    <n v="263.33"/>
    <n v="437.2"/>
    <n v="1201862.8"/>
    <n v="723894.17"/>
    <n v="0.39768984446477584"/>
    <n v="477968.63"/>
  </r>
  <r>
    <x v="0"/>
    <s v="Montenegro"/>
    <x v="10"/>
    <x v="0"/>
    <x v="1"/>
    <s v="11/16/2012"/>
    <d v="2012-11-16T00:00:00"/>
    <n v="16"/>
    <s v="Nov"/>
    <x v="5"/>
    <s v="Nov-2012"/>
    <n v="378714883"/>
    <d v="2012-12-16T00:00:00"/>
    <n v="16"/>
    <s v="Dec"/>
    <n v="2012"/>
    <s v="Dec-2012"/>
    <s v="12/16/2012"/>
    <n v="30"/>
    <n v="9005"/>
    <n v="437.2"/>
    <n v="263.33"/>
    <n v="437.2"/>
    <n v="3936986"/>
    <n v="2371286.65"/>
    <n v="0.39768984446477584"/>
    <n v="1565699.35"/>
  </r>
  <r>
    <x v="0"/>
    <s v="France"/>
    <x v="11"/>
    <x v="0"/>
    <x v="0"/>
    <s v="3/13/2017"/>
    <d v="2017-03-13T00:00:00"/>
    <n v="13"/>
    <s v="Mar"/>
    <x v="7"/>
    <s v="Mar-2017"/>
    <n v="131585586"/>
    <d v="2017-04-13T00:00:00"/>
    <n v="13"/>
    <s v="Apr"/>
    <n v="2017"/>
    <s v="Apr-2017"/>
    <s v="4/13/2017"/>
    <n v="31"/>
    <n v="7954"/>
    <n v="81.73"/>
    <n v="56.67"/>
    <n v="81.73"/>
    <n v="650080.42000000004"/>
    <n v="450753.18"/>
    <n v="0.30661935641747212"/>
    <n v="199327.24"/>
  </r>
  <r>
    <x v="0"/>
    <s v="Greece"/>
    <x v="11"/>
    <x v="1"/>
    <x v="2"/>
    <s v="9/11/2011"/>
    <d v="2011-09-11T00:00:00"/>
    <n v="11"/>
    <s v="Sep"/>
    <x v="0"/>
    <s v="Sep-2011"/>
    <n v="588528859"/>
    <d v="2011-10-12T00:00:00"/>
    <n v="12"/>
    <s v="Oct"/>
    <n v="2011"/>
    <s v="Oct-2011"/>
    <s v="10/12/2011"/>
    <n v="31"/>
    <n v="7623"/>
    <n v="81.73"/>
    <n v="56.67"/>
    <n v="81.73"/>
    <n v="623027.79"/>
    <n v="431995.41"/>
    <n v="0.30661935641747218"/>
    <n v="191032.38"/>
  </r>
  <r>
    <x v="0"/>
    <s v="Macedonia"/>
    <x v="6"/>
    <x v="1"/>
    <x v="2"/>
    <s v="2/12/2017"/>
    <d v="2017-02-12T00:00:00"/>
    <n v="12"/>
    <s v="Feb"/>
    <x v="7"/>
    <s v="Feb-2017"/>
    <n v="796418511"/>
    <d v="2017-03-23T00:00:00"/>
    <n v="23"/>
    <s v="Mar"/>
    <n v="2017"/>
    <s v="Mar-2017"/>
    <s v="3/23/2017"/>
    <n v="39"/>
    <n v="6791"/>
    <n v="421.89"/>
    <n v="364.69"/>
    <n v="421.89000000000004"/>
    <n v="2865054.99"/>
    <n v="2476609.79"/>
    <n v="0.13558036455000119"/>
    <n v="388445.2"/>
  </r>
  <r>
    <x v="0"/>
    <s v="Kosovo"/>
    <x v="10"/>
    <x v="1"/>
    <x v="1"/>
    <s v="6/3/2011"/>
    <d v="2011-06-03T00:00:00"/>
    <n v="3"/>
    <s v="Jun"/>
    <x v="0"/>
    <s v="Jun-2011"/>
    <n v="526018369"/>
    <d v="2011-06-21T00:00:00"/>
    <n v="21"/>
    <s v="Jun"/>
    <n v="2011"/>
    <s v="Jun-2011"/>
    <s v="6/21/2011"/>
    <n v="18"/>
    <n v="9379"/>
    <n v="437.2"/>
    <n v="263.33"/>
    <n v="437.2"/>
    <n v="4100498.8"/>
    <n v="2469772.0699999998"/>
    <n v="0.39768984446477584"/>
    <n v="1630726.73"/>
  </r>
  <r>
    <x v="0"/>
    <s v="Montenegro"/>
    <x v="0"/>
    <x v="0"/>
    <x v="0"/>
    <s v="4/27/2017"/>
    <d v="2017-04-27T00:00:00"/>
    <n v="27"/>
    <s v="Apr"/>
    <x v="7"/>
    <s v="Apr-2017"/>
    <n v="122144210"/>
    <d v="2017-05-24T00:00:00"/>
    <n v="24"/>
    <s v="May"/>
    <n v="2017"/>
    <s v="May-2017"/>
    <s v="5/24/2017"/>
    <n v="27"/>
    <n v="4041"/>
    <n v="47.45"/>
    <n v="31.79"/>
    <n v="47.45"/>
    <n v="191745.45"/>
    <n v="128463.39"/>
    <n v="0.330031612223393"/>
    <n v="63282.06"/>
  </r>
  <r>
    <x v="0"/>
    <s v="Belarus"/>
    <x v="3"/>
    <x v="0"/>
    <x v="3"/>
    <s v="7/6/2016"/>
    <d v="2016-07-06T00:00:00"/>
    <n v="6"/>
    <s v="Jul"/>
    <x v="4"/>
    <s v="Jul-2016"/>
    <n v="644592607"/>
    <d v="2016-07-31T00:00:00"/>
    <n v="31"/>
    <s v="Jul"/>
    <n v="2016"/>
    <s v="Jul-2016"/>
    <s v="7/31/2016"/>
    <n v="25"/>
    <n v="8131"/>
    <n v="651.21"/>
    <n v="524.96"/>
    <n v="651.20999999999992"/>
    <n v="5294988.51"/>
    <n v="4268449.76"/>
    <n v="0.19386987300563568"/>
    <n v="1026538.75"/>
  </r>
  <r>
    <x v="0"/>
    <s v="Moldova "/>
    <x v="4"/>
    <x v="1"/>
    <x v="3"/>
    <s v="11/3/2014"/>
    <d v="2014-11-03T00:00:00"/>
    <n v="3"/>
    <s v="Nov"/>
    <x v="2"/>
    <s v="Nov-2014"/>
    <n v="598404109"/>
    <d v="2014-11-18T00:00:00"/>
    <n v="18"/>
    <s v="Nov"/>
    <n v="2014"/>
    <s v="Nov-2014"/>
    <s v="11/18/2014"/>
    <n v="15"/>
    <n v="9929"/>
    <n v="9.33"/>
    <n v="6.92"/>
    <n v="9.33"/>
    <n v="92637.57"/>
    <n v="68708.679999999993"/>
    <n v="0.25830653804930331"/>
    <n v="23928.89"/>
  </r>
  <r>
    <x v="0"/>
    <s v="Czech Republic"/>
    <x v="11"/>
    <x v="1"/>
    <x v="0"/>
    <s v="4/22/2012"/>
    <d v="2012-04-22T00:00:00"/>
    <n v="22"/>
    <s v="Apr"/>
    <x v="5"/>
    <s v="Apr-2012"/>
    <n v="577530944"/>
    <d v="2012-05-15T00:00:00"/>
    <n v="15"/>
    <s v="May"/>
    <n v="2012"/>
    <s v="May-2012"/>
    <s v="5/15/2012"/>
    <n v="23"/>
    <n v="3095"/>
    <n v="81.73"/>
    <n v="56.67"/>
    <n v="81.73"/>
    <n v="252954.35"/>
    <n v="175393.65"/>
    <n v="0.30661935641747212"/>
    <n v="77560.7"/>
  </r>
  <r>
    <x v="0"/>
    <s v="Finland"/>
    <x v="4"/>
    <x v="0"/>
    <x v="3"/>
    <s v="1/12/2016"/>
    <d v="2016-01-12T00:00:00"/>
    <n v="12"/>
    <s v="Jan"/>
    <x v="4"/>
    <s v="Jan-2016"/>
    <n v="182078921"/>
    <d v="2016-02-14T00:00:00"/>
    <n v="14"/>
    <s v="Feb"/>
    <n v="2016"/>
    <s v="Feb-2016"/>
    <s v="2/14/2016"/>
    <n v="33"/>
    <n v="54"/>
    <n v="9.33"/>
    <n v="6.92"/>
    <n v="9.33"/>
    <n v="503.82"/>
    <n v="373.68"/>
    <n v="0.25830653804930331"/>
    <n v="130.13999999999999"/>
  </r>
  <r>
    <x v="0"/>
    <s v="Serbia"/>
    <x v="8"/>
    <x v="1"/>
    <x v="3"/>
    <s v="3/22/2014"/>
    <d v="2014-03-22T00:00:00"/>
    <n v="22"/>
    <s v="Mar"/>
    <x v="2"/>
    <s v="Mar-2014"/>
    <n v="302015721"/>
    <d v="2014-04-17T00:00:00"/>
    <n v="17"/>
    <s v="Apr"/>
    <n v="2014"/>
    <s v="Apr-2014"/>
    <s v="4/17/2014"/>
    <n v="26"/>
    <n v="2018"/>
    <n v="255.28"/>
    <n v="159.41999999999999"/>
    <n v="255.28"/>
    <n v="515155.04"/>
    <n v="321709.56"/>
    <n v="0.37550924475086184"/>
    <n v="193445.48"/>
  </r>
  <r>
    <x v="0"/>
    <s v="Latvia"/>
    <x v="1"/>
    <x v="0"/>
    <x v="1"/>
    <s v="9/28/2014"/>
    <d v="2014-09-28T00:00:00"/>
    <n v="28"/>
    <s v="Sep"/>
    <x v="2"/>
    <s v="Sep-2014"/>
    <n v="233709084"/>
    <d v="2014-10-16T00:00:00"/>
    <n v="16"/>
    <s v="Oct"/>
    <n v="2014"/>
    <s v="Oct-2014"/>
    <s v="10/16/2014"/>
    <n v="18"/>
    <n v="8566"/>
    <n v="109.28"/>
    <n v="35.840000000000003"/>
    <n v="109.28"/>
    <n v="936092.48"/>
    <n v="307005.44"/>
    <n v="0.67203513909224022"/>
    <n v="629087.04"/>
  </r>
  <r>
    <x v="0"/>
    <s v="Estonia"/>
    <x v="6"/>
    <x v="0"/>
    <x v="1"/>
    <s v="8/25/2010"/>
    <d v="2010-08-25T00:00:00"/>
    <n v="25"/>
    <s v="Aug"/>
    <x v="3"/>
    <s v="Aug-2010"/>
    <n v="966800153"/>
    <d v="2010-09-10T00:00:00"/>
    <n v="10"/>
    <s v="Sep"/>
    <n v="2010"/>
    <s v="Sep-2010"/>
    <s v="9/10/2010"/>
    <n v="16"/>
    <n v="6505"/>
    <n v="421.89"/>
    <n v="364.69"/>
    <n v="421.89000000000004"/>
    <n v="2744394.45"/>
    <n v="2372308.4500000002"/>
    <n v="0.13558036455000116"/>
    <n v="372086"/>
  </r>
  <r>
    <x v="0"/>
    <s v="Bulgaria"/>
    <x v="1"/>
    <x v="1"/>
    <x v="3"/>
    <s v="4/24/2014"/>
    <d v="2014-04-24T00:00:00"/>
    <n v="24"/>
    <s v="Apr"/>
    <x v="2"/>
    <s v="Apr-2014"/>
    <n v="380498874"/>
    <d v="2014-05-13T00:00:00"/>
    <n v="13"/>
    <s v="May"/>
    <n v="2014"/>
    <s v="May-2014"/>
    <s v="5/13/2014"/>
    <n v="19"/>
    <n v="6927"/>
    <n v="109.28"/>
    <n v="35.840000000000003"/>
    <n v="109.28"/>
    <n v="756982.56"/>
    <n v="248263.67999999999"/>
    <n v="0.67203513909224011"/>
    <n v="508718.88"/>
  </r>
  <r>
    <x v="0"/>
    <s v="Luxembourg"/>
    <x v="11"/>
    <x v="0"/>
    <x v="1"/>
    <s v="12/7/2011"/>
    <d v="2011-12-07T00:00:00"/>
    <n v="7"/>
    <s v="Dec"/>
    <x v="0"/>
    <s v="Dec-2011"/>
    <n v="595385873"/>
    <d v="2011-12-21T00:00:00"/>
    <n v="21"/>
    <s v="Dec"/>
    <n v="2011"/>
    <s v="Dec-2011"/>
    <s v="12/21/2011"/>
    <n v="14"/>
    <n v="6765"/>
    <n v="81.73"/>
    <n v="56.67"/>
    <n v="81.72999999999999"/>
    <n v="552903.44999999995"/>
    <n v="383372.55"/>
    <n v="0.30661935641747218"/>
    <n v="169530.9"/>
  </r>
  <r>
    <x v="0"/>
    <s v="Luxembourg"/>
    <x v="2"/>
    <x v="1"/>
    <x v="2"/>
    <s v="6/30/2012"/>
    <d v="2012-06-30T00:00:00"/>
    <n v="30"/>
    <s v="Jun"/>
    <x v="5"/>
    <s v="Jun-2012"/>
    <n v="361659038"/>
    <d v="2012-08-03T00:00:00"/>
    <n v="3"/>
    <s v="Aug"/>
    <n v="2012"/>
    <s v="Aug-2012"/>
    <s v="8/3/2012"/>
    <n v="34"/>
    <n v="1801"/>
    <n v="205.7"/>
    <n v="117.11"/>
    <n v="205.70000000000002"/>
    <n v="370465.7"/>
    <n v="210915.11"/>
    <n v="0.43067574137092851"/>
    <n v="159550.59"/>
  </r>
  <r>
    <x v="0"/>
    <s v="Kosovo"/>
    <x v="8"/>
    <x v="1"/>
    <x v="2"/>
    <s v="12/14/2016"/>
    <d v="2016-12-14T00:00:00"/>
    <n v="14"/>
    <s v="Dec"/>
    <x v="4"/>
    <s v="Dec-2016"/>
    <n v="328721082"/>
    <d v="2016-12-18T00:00:00"/>
    <n v="18"/>
    <s v="Dec"/>
    <n v="2016"/>
    <s v="Dec-2016"/>
    <s v="12/18/2016"/>
    <n v="4"/>
    <n v="4728"/>
    <n v="255.28"/>
    <n v="159.41999999999999"/>
    <n v="255.28000000000003"/>
    <n v="1206963.8400000001"/>
    <n v="753737.76"/>
    <n v="0.37550924475086178"/>
    <n v="453226.08"/>
  </r>
  <r>
    <x v="0"/>
    <s v="Denmark"/>
    <x v="1"/>
    <x v="0"/>
    <x v="3"/>
    <s v="10/27/2014"/>
    <d v="2014-10-27T00:00:00"/>
    <n v="27"/>
    <s v="Oct"/>
    <x v="2"/>
    <s v="Oct-2014"/>
    <n v="184120833"/>
    <d v="2014-10-31T00:00:00"/>
    <n v="31"/>
    <s v="Oct"/>
    <n v="2014"/>
    <s v="Oct-2014"/>
    <s v="10/31/2014"/>
    <n v="4"/>
    <n v="4301"/>
    <n v="109.28"/>
    <n v="35.840000000000003"/>
    <n v="109.28"/>
    <n v="470013.28"/>
    <n v="154147.84"/>
    <n v="0.67203513909224011"/>
    <n v="315865.44"/>
  </r>
  <r>
    <x v="0"/>
    <s v="Liechtenstein"/>
    <x v="5"/>
    <x v="0"/>
    <x v="3"/>
    <s v="8/14/2016"/>
    <d v="2016-08-14T00:00:00"/>
    <n v="14"/>
    <s v="Aug"/>
    <x v="4"/>
    <s v="Aug-2016"/>
    <n v="933720576"/>
    <d v="2016-10-01T00:00:00"/>
    <n v="1"/>
    <s v="Oct"/>
    <n v="2016"/>
    <s v="Oct-2016"/>
    <s v="10/1/2016"/>
    <n v="48"/>
    <n v="7523"/>
    <n v="154.06"/>
    <n v="90.93"/>
    <n v="154.05999999999997"/>
    <n v="1158993.3799999999"/>
    <n v="684066.39"/>
    <n v="0.40977541217707392"/>
    <n v="474926.99"/>
  </r>
  <r>
    <x v="0"/>
    <s v="Latvia"/>
    <x v="10"/>
    <x v="1"/>
    <x v="3"/>
    <s v="3/14/2014"/>
    <d v="2014-03-14T00:00:00"/>
    <n v="14"/>
    <s v="Mar"/>
    <x v="2"/>
    <s v="Mar-2014"/>
    <n v="765101468"/>
    <d v="2014-04-06T00:00:00"/>
    <n v="6"/>
    <s v="Apr"/>
    <n v="2014"/>
    <s v="Apr-2014"/>
    <s v="4/6/2014"/>
    <n v="23"/>
    <n v="9382"/>
    <n v="437.2"/>
    <n v="263.33"/>
    <n v="437.2"/>
    <n v="4101810.4"/>
    <n v="2470562.06"/>
    <n v="0.3976898444647759"/>
    <n v="1631248.34"/>
  </r>
  <r>
    <x v="0"/>
    <s v="Armenia"/>
    <x v="9"/>
    <x v="0"/>
    <x v="1"/>
    <s v="9/3/2012"/>
    <d v="2012-09-03T00:00:00"/>
    <n v="3"/>
    <s v="Sep"/>
    <x v="5"/>
    <s v="Sep-2012"/>
    <n v="516460692"/>
    <d v="2012-09-24T00:00:00"/>
    <n v="24"/>
    <s v="Sep"/>
    <n v="2012"/>
    <s v="Sep-2012"/>
    <s v="9/24/2012"/>
    <n v="21"/>
    <n v="1051"/>
    <n v="668.27"/>
    <n v="502.54"/>
    <n v="668.27"/>
    <n v="702351.77"/>
    <n v="528169.54"/>
    <n v="0.24799856345489099"/>
    <n v="174182.23"/>
  </r>
  <r>
    <x v="0"/>
    <s v="Ukraine"/>
    <x v="6"/>
    <x v="0"/>
    <x v="3"/>
    <s v="4/25/2017"/>
    <d v="2017-04-25T00:00:00"/>
    <n v="25"/>
    <s v="Apr"/>
    <x v="7"/>
    <s v="Apr-2017"/>
    <n v="783594977"/>
    <d v="2017-05-01T00:00:00"/>
    <n v="1"/>
    <s v="May"/>
    <n v="2017"/>
    <s v="May-2017"/>
    <s v="5/1/2017"/>
    <n v="6"/>
    <n v="2022"/>
    <n v="421.89"/>
    <n v="364.69"/>
    <n v="421.89"/>
    <n v="853061.58"/>
    <n v="737403.18"/>
    <n v="0.13558036455000119"/>
    <n v="115658.4"/>
  </r>
  <r>
    <x v="0"/>
    <s v="Romania"/>
    <x v="7"/>
    <x v="1"/>
    <x v="2"/>
    <s v="4/3/2016"/>
    <d v="2016-04-03T00:00:00"/>
    <n v="3"/>
    <s v="Apr"/>
    <x v="4"/>
    <s v="Apr-2016"/>
    <n v="406270396"/>
    <d v="2016-05-19T00:00:00"/>
    <n v="19"/>
    <s v="May"/>
    <n v="2016"/>
    <s v="May-2016"/>
    <s v="5/19/2016"/>
    <n v="46"/>
    <n v="3293"/>
    <n v="152.58000000000001"/>
    <n v="97.44"/>
    <n v="152.58000000000001"/>
    <n v="502445.94"/>
    <n v="320869.92"/>
    <n v="0.36138419189933146"/>
    <n v="181576.02"/>
  </r>
  <r>
    <x v="0"/>
    <s v="Kosovo"/>
    <x v="5"/>
    <x v="1"/>
    <x v="2"/>
    <s v="1/13/2010"/>
    <d v="2010-01-13T00:00:00"/>
    <n v="13"/>
    <s v="Jan"/>
    <x v="3"/>
    <s v="Jan-2010"/>
    <n v="805095136"/>
    <d v="2010-01-20T00:00:00"/>
    <n v="20"/>
    <s v="Jan"/>
    <n v="2010"/>
    <s v="Jan-2010"/>
    <s v="1/20/2010"/>
    <n v="7"/>
    <n v="4396"/>
    <n v="154.06"/>
    <n v="90.93"/>
    <n v="154.06"/>
    <n v="677247.76"/>
    <n v="399728.28"/>
    <n v="0.40977541217707386"/>
    <n v="277519.48"/>
  </r>
  <r>
    <x v="0"/>
    <s v="United Kingdom"/>
    <x v="2"/>
    <x v="1"/>
    <x v="1"/>
    <s v="10/1/2011"/>
    <d v="2011-10-01T00:00:00"/>
    <n v="1"/>
    <s v="Oct"/>
    <x v="0"/>
    <s v="Oct-2011"/>
    <n v="985417258"/>
    <d v="2011-10-21T00:00:00"/>
    <n v="21"/>
    <s v="Oct"/>
    <n v="2011"/>
    <s v="Oct-2011"/>
    <s v="10/21/2011"/>
    <n v="20"/>
    <n v="5720"/>
    <n v="205.7"/>
    <n v="117.11"/>
    <n v="205.7"/>
    <n v="1176604"/>
    <n v="669869.19999999995"/>
    <n v="0.43067574137092851"/>
    <n v="506734.8"/>
  </r>
  <r>
    <x v="0"/>
    <s v="Serbia"/>
    <x v="2"/>
    <x v="0"/>
    <x v="1"/>
    <s v="6/15/2013"/>
    <d v="2013-06-15T00:00:00"/>
    <n v="15"/>
    <s v="Jun"/>
    <x v="1"/>
    <s v="Jun-2013"/>
    <n v="443125665"/>
    <d v="2013-07-09T00:00:00"/>
    <n v="9"/>
    <s v="Jul"/>
    <n v="2013"/>
    <s v="Jul-2013"/>
    <s v="7/9/2013"/>
    <n v="24"/>
    <n v="9586"/>
    <n v="205.7"/>
    <n v="117.11"/>
    <n v="205.7"/>
    <n v="1971840.2"/>
    <n v="1122616.46"/>
    <n v="0.43067574137092857"/>
    <n v="849223.74"/>
  </r>
  <r>
    <x v="0"/>
    <s v="Belgium"/>
    <x v="0"/>
    <x v="1"/>
    <x v="2"/>
    <s v="6/23/2014"/>
    <d v="2014-06-23T00:00:00"/>
    <n v="23"/>
    <s v="Jun"/>
    <x v="2"/>
    <s v="Jun-2014"/>
    <n v="931477820"/>
    <d v="2014-07-19T00:00:00"/>
    <n v="19"/>
    <s v="Jul"/>
    <n v="2014"/>
    <s v="Jul-2014"/>
    <s v="7/19/2014"/>
    <n v="26"/>
    <n v="3841"/>
    <n v="47.45"/>
    <n v="31.79"/>
    <n v="47.45"/>
    <n v="182255.45"/>
    <n v="122105.39"/>
    <n v="0.330031612223393"/>
    <n v="60150.06"/>
  </r>
  <r>
    <x v="0"/>
    <s v="United Kingdom"/>
    <x v="11"/>
    <x v="0"/>
    <x v="3"/>
    <s v="12/23/2013"/>
    <d v="2013-12-23T00:00:00"/>
    <n v="23"/>
    <s v="Dec"/>
    <x v="1"/>
    <s v="Dec-2013"/>
    <n v="387098824"/>
    <d v="2014-01-04T00:00:00"/>
    <n v="4"/>
    <s v="Jan"/>
    <n v="2014"/>
    <s v="Jan-2014"/>
    <s v="1/4/2014"/>
    <n v="12"/>
    <n v="9999"/>
    <n v="81.73"/>
    <n v="56.67"/>
    <n v="81.73"/>
    <n v="817218.27"/>
    <n v="566643.32999999996"/>
    <n v="0.30661935641747218"/>
    <n v="250574.94"/>
  </r>
  <r>
    <x v="0"/>
    <s v="Denmark"/>
    <x v="6"/>
    <x v="0"/>
    <x v="1"/>
    <s v="8/12/2012"/>
    <d v="2012-08-12T00:00:00"/>
    <n v="12"/>
    <s v="Aug"/>
    <x v="5"/>
    <s v="Aug-2012"/>
    <n v="595922315"/>
    <d v="2012-09-04T00:00:00"/>
    <n v="4"/>
    <s v="Sep"/>
    <n v="2012"/>
    <s v="Sep-2012"/>
    <s v="9/4/2012"/>
    <n v="23"/>
    <n v="5510"/>
    <n v="421.89"/>
    <n v="364.69"/>
    <n v="421.89"/>
    <n v="2324613.9"/>
    <n v="2009441.9"/>
    <n v="0.13558036455000119"/>
    <n v="315172"/>
  </r>
  <r>
    <x v="0"/>
    <s v="Slovakia"/>
    <x v="3"/>
    <x v="1"/>
    <x v="1"/>
    <s v="3/23/2016"/>
    <d v="2016-03-23T00:00:00"/>
    <n v="23"/>
    <s v="Mar"/>
    <x v="4"/>
    <s v="Mar-2016"/>
    <n v="653909957"/>
    <d v="2016-04-06T00:00:00"/>
    <n v="6"/>
    <s v="Apr"/>
    <n v="2016"/>
    <s v="Apr-2016"/>
    <s v="4/6/2016"/>
    <n v="14"/>
    <n v="5342"/>
    <n v="651.21"/>
    <n v="524.96"/>
    <n v="651.20999999999992"/>
    <n v="3478763.82"/>
    <n v="2804336.32"/>
    <n v="0.19386987300563568"/>
    <n v="674427.5"/>
  </r>
  <r>
    <x v="0"/>
    <s v="Serbia"/>
    <x v="0"/>
    <x v="0"/>
    <x v="3"/>
    <s v="8/11/2012"/>
    <d v="2012-08-11T00:00:00"/>
    <n v="11"/>
    <s v="Aug"/>
    <x v="5"/>
    <s v="Aug-2012"/>
    <n v="103435266"/>
    <d v="2012-09-18T00:00:00"/>
    <n v="18"/>
    <s v="Sep"/>
    <n v="2012"/>
    <s v="Sep-2012"/>
    <s v="9/18/2012"/>
    <n v="38"/>
    <n v="7648"/>
    <n v="47.45"/>
    <n v="31.79"/>
    <n v="47.449999999999996"/>
    <n v="362897.6"/>
    <n v="243129.92"/>
    <n v="0.33003161222339306"/>
    <n v="119767.67999999999"/>
  </r>
  <r>
    <x v="0"/>
    <s v="Sweden"/>
    <x v="6"/>
    <x v="0"/>
    <x v="2"/>
    <s v="12/12/2016"/>
    <d v="2016-12-12T00:00:00"/>
    <n v="12"/>
    <s v="Dec"/>
    <x v="4"/>
    <s v="Dec-2016"/>
    <n v="863202941"/>
    <d v="2016-12-13T00:00:00"/>
    <n v="13"/>
    <s v="Dec"/>
    <n v="2016"/>
    <s v="Dec-2016"/>
    <s v="12/13/2016"/>
    <n v="1"/>
    <n v="9787"/>
    <n v="421.89"/>
    <n v="364.69"/>
    <n v="421.89000000000004"/>
    <n v="4129037.43"/>
    <n v="3569221.03"/>
    <n v="0.13558036455000119"/>
    <n v="559816.4"/>
  </r>
  <r>
    <x v="0"/>
    <s v="Cyprus"/>
    <x v="1"/>
    <x v="0"/>
    <x v="1"/>
    <s v="3/8/2014"/>
    <d v="2014-03-08T00:00:00"/>
    <n v="8"/>
    <s v="Mar"/>
    <x v="2"/>
    <s v="Mar-2014"/>
    <n v="396552217"/>
    <d v="2014-04-24T00:00:00"/>
    <n v="24"/>
    <s v="Apr"/>
    <n v="2014"/>
    <s v="Apr-2014"/>
    <s v="4/24/2014"/>
    <n v="47"/>
    <n v="7468"/>
    <n v="109.28"/>
    <n v="35.840000000000003"/>
    <n v="109.28"/>
    <n v="816103.04"/>
    <n v="267653.12"/>
    <n v="0.67203513909224011"/>
    <n v="548449.92000000004"/>
  </r>
  <r>
    <x v="0"/>
    <s v="United Kingdom"/>
    <x v="10"/>
    <x v="0"/>
    <x v="1"/>
    <s v="5/6/2015"/>
    <d v="2015-05-06T00:00:00"/>
    <n v="6"/>
    <s v="May"/>
    <x v="6"/>
    <s v="May-2015"/>
    <n v="801352488"/>
    <d v="2015-05-23T00:00:00"/>
    <n v="23"/>
    <s v="May"/>
    <n v="2015"/>
    <s v="May-2015"/>
    <s v="5/23/2015"/>
    <n v="17"/>
    <n v="6864"/>
    <n v="437.2"/>
    <n v="263.33"/>
    <n v="437.2"/>
    <n v="3000940.8"/>
    <n v="1807497.12"/>
    <n v="0.39768984446477584"/>
    <n v="1193443.68"/>
  </r>
  <r>
    <x v="0"/>
    <s v="Luxembourg"/>
    <x v="4"/>
    <x v="1"/>
    <x v="3"/>
    <s v="10/7/2011"/>
    <d v="2011-10-07T00:00:00"/>
    <n v="7"/>
    <s v="Oct"/>
    <x v="0"/>
    <s v="Oct-2011"/>
    <n v="479234206"/>
    <d v="2011-11-14T00:00:00"/>
    <n v="14"/>
    <s v="Nov"/>
    <n v="2011"/>
    <s v="Nov-2011"/>
    <s v="11/14/2011"/>
    <n v="38"/>
    <n v="4906"/>
    <n v="9.33"/>
    <n v="6.92"/>
    <n v="9.33"/>
    <n v="45772.98"/>
    <n v="33949.519999999997"/>
    <n v="0.25830653804930326"/>
    <n v="11823.46"/>
  </r>
  <r>
    <x v="0"/>
    <s v="Romania"/>
    <x v="6"/>
    <x v="0"/>
    <x v="1"/>
    <s v="2/19/2010"/>
    <d v="2010-02-19T00:00:00"/>
    <n v="19"/>
    <s v="Feb"/>
    <x v="3"/>
    <s v="Feb-2010"/>
    <n v="627003753"/>
    <d v="2010-03-26T00:00:00"/>
    <n v="26"/>
    <s v="Mar"/>
    <n v="2010"/>
    <s v="Mar-2010"/>
    <s v="3/26/2010"/>
    <n v="35"/>
    <n v="3199"/>
    <n v="421.89"/>
    <n v="364.69"/>
    <n v="421.89000000000004"/>
    <n v="1349626.11"/>
    <n v="1166643.31"/>
    <n v="0.13558036455000116"/>
    <n v="182982.8"/>
  </r>
  <r>
    <x v="0"/>
    <s v="France"/>
    <x v="4"/>
    <x v="0"/>
    <x v="0"/>
    <s v="3/12/2017"/>
    <d v="2017-03-12T00:00:00"/>
    <n v="12"/>
    <s v="Mar"/>
    <x v="7"/>
    <s v="Mar-2017"/>
    <n v="393709933"/>
    <d v="2017-04-25T00:00:00"/>
    <n v="25"/>
    <s v="Apr"/>
    <n v="2017"/>
    <s v="Apr-2017"/>
    <s v="4/25/2017"/>
    <n v="44"/>
    <n v="6373"/>
    <n v="9.33"/>
    <n v="6.92"/>
    <n v="9.33"/>
    <n v="59460.09"/>
    <n v="44101.16"/>
    <n v="0.25830653804930337"/>
    <n v="15358.93"/>
  </r>
  <r>
    <x v="0"/>
    <s v="Latvia"/>
    <x v="0"/>
    <x v="0"/>
    <x v="2"/>
    <s v="2/20/2016"/>
    <d v="2016-02-20T00:00:00"/>
    <n v="20"/>
    <s v="Feb"/>
    <x v="4"/>
    <s v="Feb-2016"/>
    <n v="136624276"/>
    <d v="2016-03-08T00:00:00"/>
    <n v="8"/>
    <s v="Mar"/>
    <n v="2016"/>
    <s v="Mar-2016"/>
    <s v="3/8/2016"/>
    <n v="17"/>
    <n v="9014"/>
    <n v="47.45"/>
    <n v="31.79"/>
    <n v="47.449999999999996"/>
    <n v="427714.3"/>
    <n v="286555.06"/>
    <n v="0.33003161222339306"/>
    <n v="141159.24"/>
  </r>
  <r>
    <x v="0"/>
    <s v="United Kingdom"/>
    <x v="1"/>
    <x v="1"/>
    <x v="2"/>
    <s v="9/3/2010"/>
    <d v="2010-09-03T00:00:00"/>
    <n v="3"/>
    <s v="Sep"/>
    <x v="3"/>
    <s v="Sep-2010"/>
    <n v="251823222"/>
    <d v="2010-10-01T00:00:00"/>
    <n v="1"/>
    <s v="Oct"/>
    <n v="2010"/>
    <s v="Oct-2010"/>
    <s v="10/1/2010"/>
    <n v="28"/>
    <n v="8942"/>
    <n v="109.28"/>
    <n v="35.840000000000003"/>
    <n v="109.28"/>
    <n v="977181.76"/>
    <n v="320481.28000000003"/>
    <n v="0.67203513909224011"/>
    <n v="656700.48"/>
  </r>
  <r>
    <x v="0"/>
    <s v="Macedonia"/>
    <x v="8"/>
    <x v="0"/>
    <x v="3"/>
    <s v="4/1/2014"/>
    <d v="2014-04-01T00:00:00"/>
    <n v="1"/>
    <s v="Apr"/>
    <x v="2"/>
    <s v="Apr-2014"/>
    <n v="200354850"/>
    <d v="2014-05-04T00:00:00"/>
    <n v="4"/>
    <s v="May"/>
    <n v="2014"/>
    <s v="May-2014"/>
    <s v="5/4/2014"/>
    <n v="33"/>
    <n v="8307"/>
    <n v="255.28"/>
    <n v="159.41999999999999"/>
    <n v="255.28"/>
    <n v="2120610.96"/>
    <n v="1324301.94"/>
    <n v="0.37550924475086184"/>
    <n v="796309.02"/>
  </r>
  <r>
    <x v="0"/>
    <s v="Germany"/>
    <x v="6"/>
    <x v="0"/>
    <x v="3"/>
    <s v="5/2/2017"/>
    <d v="2017-05-02T00:00:00"/>
    <n v="2"/>
    <s v="May"/>
    <x v="7"/>
    <s v="May-2017"/>
    <n v="692757356"/>
    <d v="2017-05-12T00:00:00"/>
    <n v="12"/>
    <s v="May"/>
    <n v="2017"/>
    <s v="May-2017"/>
    <s v="5/12/2017"/>
    <n v="10"/>
    <n v="1151"/>
    <n v="421.89"/>
    <n v="364.69"/>
    <n v="421.89"/>
    <n v="485595.39"/>
    <n v="419758.19"/>
    <n v="0.13558036455000116"/>
    <n v="65837.2"/>
  </r>
  <r>
    <x v="0"/>
    <s v="Liechtenstein"/>
    <x v="8"/>
    <x v="0"/>
    <x v="2"/>
    <s v="10/12/2012"/>
    <d v="2012-10-12T00:00:00"/>
    <n v="12"/>
    <s v="Oct"/>
    <x v="5"/>
    <s v="Oct-2012"/>
    <n v="651895511"/>
    <d v="2012-11-01T00:00:00"/>
    <n v="1"/>
    <s v="Nov"/>
    <n v="2012"/>
    <s v="Nov-2012"/>
    <s v="11/1/2012"/>
    <n v="20"/>
    <n v="9223"/>
    <n v="255.28"/>
    <n v="159.41999999999999"/>
    <n v="255.28"/>
    <n v="2354447.44"/>
    <n v="1470330.66"/>
    <n v="0.37550924475086184"/>
    <n v="884116.78"/>
  </r>
  <r>
    <x v="0"/>
    <s v="Lithuania"/>
    <x v="1"/>
    <x v="0"/>
    <x v="0"/>
    <s v="6/26/2016"/>
    <d v="2016-06-26T00:00:00"/>
    <n v="26"/>
    <s v="Jun"/>
    <x v="4"/>
    <s v="Jun-2016"/>
    <n v="156158483"/>
    <d v="2016-08-05T00:00:00"/>
    <n v="5"/>
    <s v="Aug"/>
    <n v="2016"/>
    <s v="Aug-2016"/>
    <s v="8/5/2016"/>
    <n v="40"/>
    <n v="9620"/>
    <n v="109.28"/>
    <n v="35.840000000000003"/>
    <n v="109.28000000000002"/>
    <n v="1051273.6000000001"/>
    <n v="344780.79999999999"/>
    <n v="0.67203513909224011"/>
    <n v="706492.8"/>
  </r>
  <r>
    <x v="0"/>
    <s v="Serbia"/>
    <x v="7"/>
    <x v="0"/>
    <x v="0"/>
    <s v="11/18/2013"/>
    <d v="2013-11-18T00:00:00"/>
    <n v="18"/>
    <s v="Nov"/>
    <x v="1"/>
    <s v="Nov-2013"/>
    <n v="703966844"/>
    <d v="2013-11-30T00:00:00"/>
    <n v="30"/>
    <s v="Nov"/>
    <n v="2013"/>
    <s v="Nov-2013"/>
    <s v="11/30/2013"/>
    <n v="12"/>
    <n v="8288"/>
    <n v="152.58000000000001"/>
    <n v="97.44"/>
    <n v="152.58000000000001"/>
    <n v="1264583.04"/>
    <n v="807582.71999999997"/>
    <n v="0.36138419189933152"/>
    <n v="457000.32"/>
  </r>
  <r>
    <x v="0"/>
    <s v="Slovenia"/>
    <x v="9"/>
    <x v="0"/>
    <x v="2"/>
    <s v="2/11/2017"/>
    <d v="2017-02-11T00:00:00"/>
    <n v="11"/>
    <s v="Feb"/>
    <x v="7"/>
    <s v="Feb-2017"/>
    <n v="736240041"/>
    <d v="2017-02-20T00:00:00"/>
    <n v="20"/>
    <s v="Feb"/>
    <n v="2017"/>
    <s v="Feb-2017"/>
    <s v="2/20/2017"/>
    <n v="9"/>
    <n v="8644"/>
    <n v="668.27"/>
    <n v="502.54"/>
    <n v="668.27"/>
    <n v="5776525.8799999999"/>
    <n v="4343955.76"/>
    <n v="0.24799856345489102"/>
    <n v="1432570.12"/>
  </r>
  <r>
    <x v="0"/>
    <s v="Montenegro"/>
    <x v="10"/>
    <x v="1"/>
    <x v="0"/>
    <s v="5/22/2015"/>
    <d v="2015-05-22T00:00:00"/>
    <n v="22"/>
    <s v="May"/>
    <x v="6"/>
    <s v="May-2015"/>
    <n v="357434880"/>
    <d v="2015-06-29T00:00:00"/>
    <n v="29"/>
    <s v="Jun"/>
    <n v="2015"/>
    <s v="Jun-2015"/>
    <s v="6/29/2015"/>
    <n v="38"/>
    <n v="1779"/>
    <n v="437.2"/>
    <n v="263.33"/>
    <n v="437.20000000000005"/>
    <n v="777778.8"/>
    <n v="468464.07"/>
    <n v="0.39768984446477579"/>
    <n v="309314.73"/>
  </r>
  <r>
    <x v="0"/>
    <s v="Russia"/>
    <x v="1"/>
    <x v="0"/>
    <x v="3"/>
    <s v="8/15/2015"/>
    <d v="2015-08-15T00:00:00"/>
    <n v="15"/>
    <s v="Aug"/>
    <x v="6"/>
    <s v="Aug-2015"/>
    <n v="358624064"/>
    <d v="2015-10-03T00:00:00"/>
    <n v="3"/>
    <s v="Oct"/>
    <n v="2015"/>
    <s v="Oct-2015"/>
    <s v="10/3/2015"/>
    <n v="49"/>
    <n v="3685"/>
    <n v="109.28"/>
    <n v="35.840000000000003"/>
    <n v="109.28"/>
    <n v="402696.8"/>
    <n v="132070.39999999999"/>
    <n v="0.67203513909224022"/>
    <n v="270626.40000000002"/>
  </r>
  <r>
    <x v="0"/>
    <s v="Spain"/>
    <x v="5"/>
    <x v="1"/>
    <x v="1"/>
    <s v="11/12/2011"/>
    <d v="2011-11-12T00:00:00"/>
    <n v="12"/>
    <s v="Nov"/>
    <x v="0"/>
    <s v="Nov-2011"/>
    <n v="103762280"/>
    <d v="2011-12-14T00:00:00"/>
    <n v="14"/>
    <s v="Dec"/>
    <n v="2011"/>
    <s v="Dec-2011"/>
    <s v="12/14/2011"/>
    <n v="32"/>
    <n v="4419"/>
    <n v="154.06"/>
    <n v="90.93"/>
    <n v="154.06"/>
    <n v="680791.14"/>
    <n v="401819.67"/>
    <n v="0.40977541217707381"/>
    <n v="278971.46999999997"/>
  </r>
  <r>
    <x v="0"/>
    <s v="Slovenia"/>
    <x v="8"/>
    <x v="0"/>
    <x v="1"/>
    <s v="3/12/2013"/>
    <d v="2013-03-12T00:00:00"/>
    <n v="12"/>
    <s v="Mar"/>
    <x v="1"/>
    <s v="Mar-2013"/>
    <n v="144743001"/>
    <d v="2013-04-21T00:00:00"/>
    <n v="21"/>
    <s v="Apr"/>
    <n v="2013"/>
    <s v="Apr-2013"/>
    <s v="4/21/2013"/>
    <n v="40"/>
    <n v="1525"/>
    <n v="255.28"/>
    <n v="159.41999999999999"/>
    <n v="255.28"/>
    <n v="389302"/>
    <n v="243115.5"/>
    <n v="0.37550924475086178"/>
    <n v="146186.5"/>
  </r>
  <r>
    <x v="0"/>
    <s v="Iceland"/>
    <x v="0"/>
    <x v="1"/>
    <x v="2"/>
    <s v="2/11/2017"/>
    <d v="2017-02-11T00:00:00"/>
    <n v="11"/>
    <s v="Feb"/>
    <x v="7"/>
    <s v="Feb-2017"/>
    <n v="439204919"/>
    <d v="2017-02-19T00:00:00"/>
    <n v="19"/>
    <s v="Feb"/>
    <n v="2017"/>
    <s v="Feb-2017"/>
    <s v="2/19/2017"/>
    <n v="8"/>
    <n v="9350"/>
    <n v="47.45"/>
    <n v="31.79"/>
    <n v="47.45"/>
    <n v="443657.5"/>
    <n v="297236.5"/>
    <n v="0.33003161222339306"/>
    <n v="146421"/>
  </r>
  <r>
    <x v="0"/>
    <s v="Malta"/>
    <x v="4"/>
    <x v="0"/>
    <x v="0"/>
    <s v="2/3/2010"/>
    <d v="2010-02-03T00:00:00"/>
    <n v="3"/>
    <s v="Feb"/>
    <x v="3"/>
    <s v="Feb-2010"/>
    <n v="114954173"/>
    <d v="2010-02-11T00:00:00"/>
    <n v="11"/>
    <s v="Feb"/>
    <n v="2010"/>
    <s v="Feb-2010"/>
    <s v="2/11/2010"/>
    <n v="8"/>
    <n v="6349"/>
    <n v="9.33"/>
    <n v="6.92"/>
    <n v="9.33"/>
    <n v="59236.17"/>
    <n v="43935.08"/>
    <n v="0.25830653804930331"/>
    <n v="15301.09"/>
  </r>
  <r>
    <x v="0"/>
    <s v="Norway"/>
    <x v="0"/>
    <x v="0"/>
    <x v="2"/>
    <s v="12/22/2012"/>
    <d v="2012-12-22T00:00:00"/>
    <n v="22"/>
    <s v="Dec"/>
    <x v="5"/>
    <s v="Dec-2012"/>
    <n v="238170993"/>
    <d v="2013-02-07T00:00:00"/>
    <n v="7"/>
    <s v="Feb"/>
    <n v="2013"/>
    <s v="Feb-2013"/>
    <s v="2/7/2013"/>
    <n v="47"/>
    <n v="8944"/>
    <n v="47.45"/>
    <n v="31.79"/>
    <n v="47.449999999999996"/>
    <n v="424392.8"/>
    <n v="284329.76"/>
    <n v="0.33003161222339306"/>
    <n v="140063.04000000001"/>
  </r>
  <r>
    <x v="0"/>
    <s v="Italy"/>
    <x v="1"/>
    <x v="1"/>
    <x v="1"/>
    <s v="4/2/2012"/>
    <d v="2012-04-02T00:00:00"/>
    <n v="2"/>
    <s v="Apr"/>
    <x v="5"/>
    <s v="Apr-2012"/>
    <n v="134790503"/>
    <d v="2012-04-26T00:00:00"/>
    <n v="26"/>
    <s v="Apr"/>
    <n v="2012"/>
    <s v="Apr-2012"/>
    <s v="4/26/2012"/>
    <n v="24"/>
    <n v="6360"/>
    <n v="109.28"/>
    <n v="35.840000000000003"/>
    <n v="109.28"/>
    <n v="695020.8"/>
    <n v="227942.39999999999"/>
    <n v="0.67203513909224011"/>
    <n v="467078.40000000002"/>
  </r>
  <r>
    <x v="0"/>
    <s v="Montenegro"/>
    <x v="5"/>
    <x v="1"/>
    <x v="3"/>
    <s v="3/30/2013"/>
    <d v="2013-03-30T00:00:00"/>
    <n v="30"/>
    <s v="Mar"/>
    <x v="1"/>
    <s v="Mar-2013"/>
    <n v="409112679"/>
    <d v="2013-05-18T00:00:00"/>
    <n v="18"/>
    <s v="May"/>
    <n v="2013"/>
    <s v="May-2013"/>
    <s v="5/18/2013"/>
    <n v="49"/>
    <n v="4388"/>
    <n v="154.06"/>
    <n v="90.93"/>
    <n v="154.06"/>
    <n v="676015.28"/>
    <n v="399000.84"/>
    <n v="0.40977541217707386"/>
    <n v="277014.44"/>
  </r>
  <r>
    <x v="0"/>
    <s v="Italy"/>
    <x v="6"/>
    <x v="0"/>
    <x v="3"/>
    <s v="7/19/2013"/>
    <d v="2013-07-19T00:00:00"/>
    <n v="19"/>
    <s v="Jul"/>
    <x v="1"/>
    <s v="Jul-2013"/>
    <n v="727175891"/>
    <d v="2013-09-07T00:00:00"/>
    <n v="7"/>
    <s v="Sep"/>
    <n v="2013"/>
    <s v="Sep-2013"/>
    <s v="9/7/2013"/>
    <n v="50"/>
    <n v="6360"/>
    <n v="421.89"/>
    <n v="364.69"/>
    <n v="421.89"/>
    <n v="2683220.4"/>
    <n v="2319428.4"/>
    <n v="0.13558036455000119"/>
    <n v="363792"/>
  </r>
  <r>
    <x v="0"/>
    <s v="Sweden"/>
    <x v="10"/>
    <x v="1"/>
    <x v="2"/>
    <s v="10/26/2012"/>
    <d v="2012-10-26T00:00:00"/>
    <n v="26"/>
    <s v="Oct"/>
    <x v="5"/>
    <s v="Oct-2012"/>
    <n v="638593900"/>
    <d v="2012-12-12T00:00:00"/>
    <n v="12"/>
    <s v="Dec"/>
    <n v="2012"/>
    <s v="Dec-2012"/>
    <s v="12/12/2012"/>
    <n v="47"/>
    <n v="2981"/>
    <n v="437.2"/>
    <n v="263.33"/>
    <n v="437.2"/>
    <n v="1303293.2"/>
    <n v="784986.73"/>
    <n v="0.39768984446477584"/>
    <n v="518306.47"/>
  </r>
  <r>
    <x v="0"/>
    <s v="Albania"/>
    <x v="0"/>
    <x v="0"/>
    <x v="3"/>
    <s v="4/28/2013"/>
    <d v="2013-04-28T00:00:00"/>
    <n v="28"/>
    <s v="Apr"/>
    <x v="1"/>
    <s v="Apr-2013"/>
    <n v="833473765"/>
    <d v="2013-05-25T00:00:00"/>
    <n v="25"/>
    <s v="May"/>
    <n v="2013"/>
    <s v="May-2013"/>
    <s v="5/25/2013"/>
    <n v="27"/>
    <n v="2264"/>
    <n v="47.45"/>
    <n v="31.79"/>
    <n v="47.45"/>
    <n v="107426.8"/>
    <n v="71972.56"/>
    <n v="0.330031612223393"/>
    <n v="35454.239999999998"/>
  </r>
  <r>
    <x v="0"/>
    <s v="Denmark"/>
    <x v="10"/>
    <x v="0"/>
    <x v="1"/>
    <s v="7/8/2014"/>
    <d v="2014-07-08T00:00:00"/>
    <n v="8"/>
    <s v="Jul"/>
    <x v="2"/>
    <s v="Jul-2014"/>
    <n v="606224572"/>
    <d v="2014-07-15T00:00:00"/>
    <n v="15"/>
    <s v="Jul"/>
    <n v="2014"/>
    <s v="Jul-2014"/>
    <s v="7/15/2014"/>
    <n v="7"/>
    <n v="4177"/>
    <n v="437.2"/>
    <n v="263.33"/>
    <n v="437.2"/>
    <n v="1826184.4"/>
    <n v="1099929.4099999999"/>
    <n v="0.39768984446477584"/>
    <n v="726254.99"/>
  </r>
  <r>
    <x v="0"/>
    <s v="Cyprus"/>
    <x v="1"/>
    <x v="1"/>
    <x v="3"/>
    <s v="1/6/2012"/>
    <d v="2012-01-06T00:00:00"/>
    <n v="6"/>
    <s v="Jan"/>
    <x v="5"/>
    <s v="Jan-2012"/>
    <n v="325314033"/>
    <d v="2012-01-30T00:00:00"/>
    <n v="30"/>
    <s v="Jan"/>
    <n v="2012"/>
    <s v="Jan-2012"/>
    <s v="1/30/2012"/>
    <n v="24"/>
    <n v="6506"/>
    <n v="109.28"/>
    <n v="35.840000000000003"/>
    <n v="109.28"/>
    <n v="710975.68"/>
    <n v="233175.04000000001"/>
    <n v="0.67203513909224011"/>
    <n v="477800.64"/>
  </r>
  <r>
    <x v="0"/>
    <s v="Kosovo"/>
    <x v="6"/>
    <x v="0"/>
    <x v="1"/>
    <s v="11/19/2012"/>
    <d v="2012-11-19T00:00:00"/>
    <n v="19"/>
    <s v="Nov"/>
    <x v="5"/>
    <s v="Nov-2012"/>
    <n v="159805858"/>
    <d v="2012-12-17T00:00:00"/>
    <n v="17"/>
    <s v="Dec"/>
    <n v="2012"/>
    <s v="Dec-2012"/>
    <s v="12/17/2012"/>
    <n v="28"/>
    <n v="8959"/>
    <n v="421.89"/>
    <n v="364.69"/>
    <n v="421.89"/>
    <n v="3779712.51"/>
    <n v="3267257.71"/>
    <n v="0.13558036455000119"/>
    <n v="512454.8"/>
  </r>
  <r>
    <x v="0"/>
    <s v="Switzerland"/>
    <x v="7"/>
    <x v="1"/>
    <x v="3"/>
    <s v="4/6/2012"/>
    <d v="2012-04-06T00:00:00"/>
    <n v="6"/>
    <s v="Apr"/>
    <x v="5"/>
    <s v="Apr-2012"/>
    <n v="722248780"/>
    <d v="2012-04-08T00:00:00"/>
    <n v="8"/>
    <s v="Apr"/>
    <n v="2012"/>
    <s v="Apr-2012"/>
    <s v="4/8/2012"/>
    <n v="2"/>
    <n v="8319"/>
    <n v="152.58000000000001"/>
    <n v="97.44"/>
    <n v="152.58000000000001"/>
    <n v="1269313.02"/>
    <n v="810603.36"/>
    <n v="0.36138419189933146"/>
    <n v="458709.66"/>
  </r>
  <r>
    <x v="0"/>
    <s v="Spain"/>
    <x v="5"/>
    <x v="1"/>
    <x v="3"/>
    <s v="6/1/2015"/>
    <d v="2015-06-01T00:00:00"/>
    <n v="1"/>
    <s v="Jun"/>
    <x v="6"/>
    <s v="Jun-2015"/>
    <n v="399115979"/>
    <d v="2015-06-24T00:00:00"/>
    <n v="24"/>
    <s v="Jun"/>
    <n v="2015"/>
    <s v="Jun-2015"/>
    <s v="6/24/2015"/>
    <n v="23"/>
    <n v="6142"/>
    <n v="154.06"/>
    <n v="90.93"/>
    <n v="154.06"/>
    <n v="946236.52"/>
    <n v="558492.06000000006"/>
    <n v="0.40977541217707386"/>
    <n v="387744.46"/>
  </r>
  <r>
    <x v="0"/>
    <s v="Kosovo"/>
    <x v="9"/>
    <x v="0"/>
    <x v="1"/>
    <s v="11/25/2015"/>
    <d v="2015-11-25T00:00:00"/>
    <n v="25"/>
    <s v="Nov"/>
    <x v="6"/>
    <s v="Nov-2015"/>
    <n v="792792594"/>
    <d v="2016-01-02T00:00:00"/>
    <n v="2"/>
    <s v="Jan"/>
    <n v="2016"/>
    <s v="Jan-2016"/>
    <s v="1/2/2016"/>
    <n v="38"/>
    <n v="3801"/>
    <n v="668.27"/>
    <n v="502.54"/>
    <n v="668.27"/>
    <n v="2540094.27"/>
    <n v="1910154.54"/>
    <n v="0.24799856345489099"/>
    <n v="629939.73"/>
  </r>
  <r>
    <x v="0"/>
    <s v="Portugal"/>
    <x v="10"/>
    <x v="0"/>
    <x v="0"/>
    <s v="5/24/2013"/>
    <d v="2013-05-24T00:00:00"/>
    <n v="24"/>
    <s v="May"/>
    <x v="1"/>
    <s v="May-2013"/>
    <n v="626453149"/>
    <d v="2013-06-10T00:00:00"/>
    <n v="10"/>
    <s v="Jun"/>
    <n v="2013"/>
    <s v="Jun-2013"/>
    <s v="6/10/2013"/>
    <n v="17"/>
    <n v="263"/>
    <n v="437.2"/>
    <n v="263.33"/>
    <n v="437.20000000000005"/>
    <n v="114983.6"/>
    <n v="69255.789999999994"/>
    <n v="0.39768984446477579"/>
    <n v="45727.81"/>
  </r>
  <r>
    <x v="0"/>
    <s v="Armenia"/>
    <x v="7"/>
    <x v="0"/>
    <x v="2"/>
    <s v="7/31/2013"/>
    <d v="2013-07-31T00:00:00"/>
    <n v="31"/>
    <s v="Jul"/>
    <x v="1"/>
    <s v="Jul-2013"/>
    <n v="737095344"/>
    <d v="2013-09-13T00:00:00"/>
    <n v="13"/>
    <s v="Sep"/>
    <n v="2013"/>
    <s v="Sep-2013"/>
    <s v="9/13/2013"/>
    <n v="44"/>
    <n v="1747"/>
    <n v="152.58000000000001"/>
    <n v="97.44"/>
    <n v="152.58000000000001"/>
    <n v="266557.26"/>
    <n v="170227.68"/>
    <n v="0.36138419189933152"/>
    <n v="96329.58"/>
  </r>
  <r>
    <x v="0"/>
    <s v="San Marino"/>
    <x v="4"/>
    <x v="0"/>
    <x v="2"/>
    <s v="9/18/2016"/>
    <d v="2016-09-18T00:00:00"/>
    <n v="18"/>
    <s v="Sep"/>
    <x v="4"/>
    <s v="Sep-2016"/>
    <n v="708320605"/>
    <d v="2016-10-05T00:00:00"/>
    <n v="5"/>
    <s v="Oct"/>
    <n v="2016"/>
    <s v="Oct-2016"/>
    <s v="10/5/2016"/>
    <n v="17"/>
    <n v="6662"/>
    <n v="9.33"/>
    <n v="6.92"/>
    <n v="9.33"/>
    <n v="62156.46"/>
    <n v="46101.04"/>
    <n v="0.25830653804930331"/>
    <n v="16055.42"/>
  </r>
  <r>
    <x v="0"/>
    <s v="Lithuania"/>
    <x v="3"/>
    <x v="0"/>
    <x v="1"/>
    <s v="3/5/2013"/>
    <d v="2013-03-05T00:00:00"/>
    <n v="5"/>
    <s v="Mar"/>
    <x v="1"/>
    <s v="Mar-2013"/>
    <n v="433079183"/>
    <d v="2013-04-19T00:00:00"/>
    <n v="19"/>
    <s v="Apr"/>
    <n v="2013"/>
    <s v="Apr-2013"/>
    <s v="4/19/2013"/>
    <n v="45"/>
    <n v="6609"/>
    <n v="651.21"/>
    <n v="524.96"/>
    <n v="651.20999999999992"/>
    <n v="4303846.8899999997"/>
    <n v="3469460.64"/>
    <n v="0.19386987300563568"/>
    <n v="834386.25"/>
  </r>
  <r>
    <x v="0"/>
    <s v="Georgia"/>
    <x v="11"/>
    <x v="0"/>
    <x v="2"/>
    <s v="5/22/2012"/>
    <d v="2012-05-22T00:00:00"/>
    <n v="22"/>
    <s v="May"/>
    <x v="5"/>
    <s v="May-2012"/>
    <n v="604494225"/>
    <d v="2012-06-25T00:00:00"/>
    <n v="25"/>
    <s v="Jun"/>
    <n v="2012"/>
    <s v="Jun-2012"/>
    <s v="6/25/2012"/>
    <n v="34"/>
    <n v="2129"/>
    <n v="81.73"/>
    <n v="56.67"/>
    <n v="81.73"/>
    <n v="174003.17"/>
    <n v="120650.43"/>
    <n v="0.30661935641747212"/>
    <n v="53352.74"/>
  </r>
  <r>
    <x v="0"/>
    <s v="Macedonia"/>
    <x v="4"/>
    <x v="1"/>
    <x v="1"/>
    <s v="12/30/2010"/>
    <d v="2010-12-30T00:00:00"/>
    <n v="30"/>
    <s v="Dec"/>
    <x v="3"/>
    <s v="Dec-2010"/>
    <n v="707718932"/>
    <d v="2011-01-06T00:00:00"/>
    <n v="6"/>
    <s v="Jan"/>
    <n v="2011"/>
    <s v="Jan-2011"/>
    <s v="1/6/2011"/>
    <n v="7"/>
    <n v="8614"/>
    <n v="9.33"/>
    <n v="6.92"/>
    <n v="9.33"/>
    <n v="80368.62"/>
    <n v="59608.88"/>
    <n v="0.25830653804930337"/>
    <n v="20759.740000000002"/>
  </r>
  <r>
    <x v="0"/>
    <s v="Sweden"/>
    <x v="9"/>
    <x v="0"/>
    <x v="0"/>
    <s v="6/24/2011"/>
    <d v="2011-06-24T00:00:00"/>
    <n v="24"/>
    <s v="Jun"/>
    <x v="0"/>
    <s v="Jun-2011"/>
    <n v="656689155"/>
    <d v="2011-08-09T00:00:00"/>
    <n v="9"/>
    <s v="Aug"/>
    <n v="2011"/>
    <s v="Aug-2011"/>
    <s v="8/9/2011"/>
    <n v="46"/>
    <n v="7769"/>
    <n v="668.27"/>
    <n v="502.54"/>
    <n v="668.27"/>
    <n v="5191789.63"/>
    <n v="3904233.26"/>
    <n v="0.24799856345489102"/>
    <n v="1287556.3700000001"/>
  </r>
  <r>
    <x v="0"/>
    <s v="Macedonia"/>
    <x v="0"/>
    <x v="0"/>
    <x v="1"/>
    <s v="2/25/2016"/>
    <d v="2016-02-25T00:00:00"/>
    <n v="25"/>
    <s v="Feb"/>
    <x v="4"/>
    <s v="Feb-2016"/>
    <n v="935907542"/>
    <d v="2016-03-21T00:00:00"/>
    <n v="21"/>
    <s v="Mar"/>
    <n v="2016"/>
    <s v="Mar-2016"/>
    <s v="3/21/2016"/>
    <n v="25"/>
    <n v="4695"/>
    <n v="47.45"/>
    <n v="31.79"/>
    <n v="47.45"/>
    <n v="222777.75"/>
    <n v="149254.04999999999"/>
    <n v="0.33003161222339306"/>
    <n v="73523.7"/>
  </r>
  <r>
    <x v="0"/>
    <s v="Ireland"/>
    <x v="9"/>
    <x v="0"/>
    <x v="0"/>
    <s v="3/14/2015"/>
    <d v="2015-03-14T00:00:00"/>
    <n v="14"/>
    <s v="Mar"/>
    <x v="6"/>
    <s v="Mar-2015"/>
    <n v="421660268"/>
    <d v="2015-04-11T00:00:00"/>
    <n v="11"/>
    <s v="Apr"/>
    <n v="2015"/>
    <s v="Apr-2015"/>
    <s v="4/11/2015"/>
    <n v="28"/>
    <n v="7498"/>
    <n v="668.27"/>
    <n v="502.54"/>
    <n v="668.27"/>
    <n v="5010688.46"/>
    <n v="3768044.92"/>
    <n v="0.24799856345489099"/>
    <n v="1242643.54"/>
  </r>
  <r>
    <x v="0"/>
    <s v="San Marino"/>
    <x v="10"/>
    <x v="0"/>
    <x v="0"/>
    <s v="8/22/2014"/>
    <d v="2014-08-22T00:00:00"/>
    <n v="22"/>
    <s v="Aug"/>
    <x v="2"/>
    <s v="Aug-2014"/>
    <n v="447183310"/>
    <d v="2014-09-19T00:00:00"/>
    <n v="19"/>
    <s v="Sep"/>
    <n v="2014"/>
    <s v="Sep-2014"/>
    <s v="9/19/2014"/>
    <n v="28"/>
    <n v="334"/>
    <n v="437.2"/>
    <n v="263.33"/>
    <n v="437.2"/>
    <n v="146024.79999999999"/>
    <n v="87952.22"/>
    <n v="0.3976898444647759"/>
    <n v="58072.58"/>
  </r>
  <r>
    <x v="0"/>
    <s v="Estonia"/>
    <x v="5"/>
    <x v="0"/>
    <x v="2"/>
    <s v="12/7/2011"/>
    <d v="2011-12-07T00:00:00"/>
    <n v="7"/>
    <s v="Dec"/>
    <x v="0"/>
    <s v="Dec-2011"/>
    <n v="127694451"/>
    <d v="2011-12-27T00:00:00"/>
    <n v="27"/>
    <s v="Dec"/>
    <n v="2011"/>
    <s v="Dec-2011"/>
    <s v="12/27/2011"/>
    <n v="20"/>
    <n v="6481"/>
    <n v="154.06"/>
    <n v="90.93"/>
    <n v="154.06"/>
    <n v="998462.86"/>
    <n v="589317.32999999996"/>
    <n v="0.40977541217707392"/>
    <n v="409145.53"/>
  </r>
  <r>
    <x v="0"/>
    <s v="Vatican City"/>
    <x v="6"/>
    <x v="0"/>
    <x v="1"/>
    <s v="6/13/2012"/>
    <d v="2012-06-13T00:00:00"/>
    <n v="13"/>
    <s v="Jun"/>
    <x v="5"/>
    <s v="Jun-2012"/>
    <n v="697617518"/>
    <d v="2012-07-07T00:00:00"/>
    <n v="7"/>
    <s v="Jul"/>
    <n v="2012"/>
    <s v="Jul-2012"/>
    <s v="7/7/2012"/>
    <n v="24"/>
    <n v="9381"/>
    <n v="421.89"/>
    <n v="364.69"/>
    <n v="421.89"/>
    <n v="3957750.09"/>
    <n v="3421156.89"/>
    <n v="0.13558036455000119"/>
    <n v="536593.19999999995"/>
  </r>
  <r>
    <x v="0"/>
    <s v="United Kingdom"/>
    <x v="11"/>
    <x v="0"/>
    <x v="2"/>
    <s v="1/22/2015"/>
    <d v="2015-01-22T00:00:00"/>
    <n v="22"/>
    <s v="Jan"/>
    <x v="6"/>
    <s v="Jan-2015"/>
    <n v="311688840"/>
    <d v="2015-02-14T00:00:00"/>
    <n v="14"/>
    <s v="Feb"/>
    <n v="2015"/>
    <s v="Feb-2015"/>
    <s v="2/14/2015"/>
    <n v="23"/>
    <n v="4509"/>
    <n v="81.73"/>
    <n v="56.67"/>
    <n v="81.73"/>
    <n v="368520.57"/>
    <n v="255525.03"/>
    <n v="0.30661935641747212"/>
    <n v="112995.54"/>
  </r>
  <r>
    <x v="0"/>
    <s v="Cyprus"/>
    <x v="10"/>
    <x v="0"/>
    <x v="1"/>
    <s v="11/6/2015"/>
    <d v="2015-11-06T00:00:00"/>
    <n v="6"/>
    <s v="Nov"/>
    <x v="6"/>
    <s v="Nov-2015"/>
    <n v="385080945"/>
    <d v="2015-11-07T00:00:00"/>
    <n v="7"/>
    <s v="Nov"/>
    <n v="2015"/>
    <s v="Nov-2015"/>
    <s v="11/7/2015"/>
    <n v="1"/>
    <n v="2864"/>
    <n v="437.2"/>
    <n v="263.33"/>
    <n v="437.2"/>
    <n v="1252140.8"/>
    <n v="754177.12"/>
    <n v="0.39768984446477584"/>
    <n v="497963.68"/>
  </r>
  <r>
    <x v="0"/>
    <s v="Spain"/>
    <x v="9"/>
    <x v="0"/>
    <x v="1"/>
    <s v="4/23/2012"/>
    <d v="2012-04-23T00:00:00"/>
    <n v="23"/>
    <s v="Apr"/>
    <x v="5"/>
    <s v="Apr-2012"/>
    <n v="309148681"/>
    <d v="2012-05-05T00:00:00"/>
    <n v="5"/>
    <s v="May"/>
    <n v="2012"/>
    <s v="May-2012"/>
    <s v="5/5/2012"/>
    <n v="12"/>
    <n v="2819"/>
    <n v="668.27"/>
    <n v="502.54"/>
    <n v="668.27"/>
    <n v="1883853.13"/>
    <n v="1416660.26"/>
    <n v="0.24799856345489099"/>
    <n v="467192.87"/>
  </r>
  <r>
    <x v="0"/>
    <s v="Serbia"/>
    <x v="8"/>
    <x v="0"/>
    <x v="2"/>
    <s v="2/21/2014"/>
    <d v="2014-02-21T00:00:00"/>
    <n v="21"/>
    <s v="Feb"/>
    <x v="2"/>
    <s v="Feb-2014"/>
    <n v="630219399"/>
    <d v="2014-03-14T00:00:00"/>
    <n v="14"/>
    <s v="Mar"/>
    <n v="2014"/>
    <s v="Mar-2014"/>
    <s v="3/14/2014"/>
    <n v="21"/>
    <n v="4780"/>
    <n v="255.28"/>
    <n v="159.41999999999999"/>
    <n v="255.27999999999997"/>
    <n v="1220238.3999999999"/>
    <n v="762027.6"/>
    <n v="0.37550924475086184"/>
    <n v="458210.8"/>
  </r>
  <r>
    <x v="0"/>
    <s v="Denmark"/>
    <x v="7"/>
    <x v="1"/>
    <x v="3"/>
    <s v="4/13/2012"/>
    <d v="2012-04-13T00:00:00"/>
    <n v="13"/>
    <s v="Apr"/>
    <x v="5"/>
    <s v="Apr-2012"/>
    <n v="585677134"/>
    <d v="2012-05-04T00:00:00"/>
    <n v="4"/>
    <s v="May"/>
    <n v="2012"/>
    <s v="May-2012"/>
    <s v="5/4/2012"/>
    <n v="21"/>
    <n v="3734"/>
    <n v="152.58000000000001"/>
    <n v="97.44"/>
    <n v="152.57999999999998"/>
    <n v="569733.72"/>
    <n v="363840.96"/>
    <n v="0.36138419189933152"/>
    <n v="205892.76"/>
  </r>
  <r>
    <x v="0"/>
    <s v="Italy"/>
    <x v="9"/>
    <x v="1"/>
    <x v="0"/>
    <s v="12/23/2016"/>
    <d v="2016-12-23T00:00:00"/>
    <n v="23"/>
    <s v="Dec"/>
    <x v="4"/>
    <s v="Dec-2016"/>
    <n v="692704999"/>
    <d v="2017-01-24T00:00:00"/>
    <n v="24"/>
    <s v="Jan"/>
    <n v="2017"/>
    <s v="Jan-2017"/>
    <s v="1/24/2017"/>
    <n v="32"/>
    <n v="5657"/>
    <n v="668.27"/>
    <n v="502.54"/>
    <n v="668.27"/>
    <n v="3780403.39"/>
    <n v="2842868.78"/>
    <n v="0.24799856345489096"/>
    <n v="937534.61"/>
  </r>
  <r>
    <x v="0"/>
    <s v="Iceland"/>
    <x v="10"/>
    <x v="1"/>
    <x v="1"/>
    <s v="2/9/2011"/>
    <d v="2011-02-09T00:00:00"/>
    <n v="9"/>
    <s v="Feb"/>
    <x v="0"/>
    <s v="Feb-2011"/>
    <n v="942454278"/>
    <d v="2011-03-29T00:00:00"/>
    <n v="29"/>
    <s v="Mar"/>
    <n v="2011"/>
    <s v="Mar-2011"/>
    <s v="3/29/2011"/>
    <n v="48"/>
    <n v="2019"/>
    <n v="437.2"/>
    <n v="263.33"/>
    <n v="437.20000000000005"/>
    <n v="882706.8"/>
    <n v="531663.27"/>
    <n v="0.39768984446477584"/>
    <n v="351043.53"/>
  </r>
  <r>
    <x v="0"/>
    <s v="Kosovo"/>
    <x v="3"/>
    <x v="0"/>
    <x v="3"/>
    <s v="5/19/2015"/>
    <d v="2015-05-19T00:00:00"/>
    <n v="19"/>
    <s v="May"/>
    <x v="6"/>
    <s v="May-2015"/>
    <n v="150293242"/>
    <d v="2015-06-21T00:00:00"/>
    <n v="21"/>
    <s v="Jun"/>
    <n v="2015"/>
    <s v="Jun-2015"/>
    <s v="6/21/2015"/>
    <n v="33"/>
    <n v="3965"/>
    <n v="651.21"/>
    <n v="524.96"/>
    <n v="651.20999999999992"/>
    <n v="2582047.65"/>
    <n v="2081466.4"/>
    <n v="0.19386987300563566"/>
    <n v="500581.25"/>
  </r>
  <r>
    <x v="0"/>
    <s v="Germany"/>
    <x v="3"/>
    <x v="0"/>
    <x v="3"/>
    <s v="12/19/2013"/>
    <d v="2013-12-19T00:00:00"/>
    <n v="19"/>
    <s v="Dec"/>
    <x v="1"/>
    <s v="Dec-2013"/>
    <n v="236042392"/>
    <d v="2014-01-26T00:00:00"/>
    <n v="26"/>
    <s v="Jan"/>
    <n v="2014"/>
    <s v="Jan-2014"/>
    <s v="1/26/2014"/>
    <n v="38"/>
    <n v="9044"/>
    <n v="651.21"/>
    <n v="524.96"/>
    <n v="651.21"/>
    <n v="5889543.2400000002"/>
    <n v="4747738.24"/>
    <n v="0.19386987300563566"/>
    <n v="1141805"/>
  </r>
  <r>
    <x v="0"/>
    <s v="Italy"/>
    <x v="8"/>
    <x v="0"/>
    <x v="2"/>
    <s v="6/15/2012"/>
    <d v="2012-06-15T00:00:00"/>
    <n v="15"/>
    <s v="Jun"/>
    <x v="5"/>
    <s v="Jun-2012"/>
    <n v="314782178"/>
    <d v="2012-07-12T00:00:00"/>
    <n v="12"/>
    <s v="Jul"/>
    <n v="2012"/>
    <s v="Jul-2012"/>
    <s v="7/12/2012"/>
    <n v="27"/>
    <n v="9896"/>
    <n v="255.28"/>
    <n v="159.41999999999999"/>
    <n v="255.28"/>
    <n v="2526250.88"/>
    <n v="1577620.32"/>
    <n v="0.37550924475086184"/>
    <n v="948630.56"/>
  </r>
  <r>
    <x v="0"/>
    <s v="Belgium"/>
    <x v="10"/>
    <x v="0"/>
    <x v="1"/>
    <s v="7/27/2016"/>
    <d v="2016-07-27T00:00:00"/>
    <n v="27"/>
    <s v="Jul"/>
    <x v="4"/>
    <s v="Jul-2016"/>
    <n v="193472945"/>
    <d v="2016-09-13T00:00:00"/>
    <n v="13"/>
    <s v="Sep"/>
    <n v="2016"/>
    <s v="Sep-2016"/>
    <s v="9/13/2016"/>
    <n v="48"/>
    <n v="1799"/>
    <n v="437.2"/>
    <n v="263.33"/>
    <n v="437.20000000000005"/>
    <n v="786522.8"/>
    <n v="473730.67"/>
    <n v="0.39768984446477584"/>
    <n v="312792.13"/>
  </r>
  <r>
    <x v="0"/>
    <s v="Monaco"/>
    <x v="10"/>
    <x v="0"/>
    <x v="3"/>
    <s v="9/27/2010"/>
    <d v="2010-09-27T00:00:00"/>
    <n v="27"/>
    <s v="Sep"/>
    <x v="3"/>
    <s v="Sep-2010"/>
    <n v="434013879"/>
    <d v="2010-11-05T00:00:00"/>
    <n v="5"/>
    <s v="Nov"/>
    <n v="2010"/>
    <s v="Nov-2010"/>
    <s v="11/5/2010"/>
    <n v="39"/>
    <n v="3206"/>
    <n v="437.2"/>
    <n v="263.33"/>
    <n v="437.2"/>
    <n v="1401663.2"/>
    <n v="844235.98"/>
    <n v="0.39768984446477584"/>
    <n v="557427.22"/>
  </r>
  <r>
    <x v="0"/>
    <s v="Greece"/>
    <x v="2"/>
    <x v="1"/>
    <x v="2"/>
    <s v="8/26/2015"/>
    <d v="2015-08-26T00:00:00"/>
    <n v="26"/>
    <s v="Aug"/>
    <x v="6"/>
    <s v="Aug-2015"/>
    <n v="431240689"/>
    <d v="2015-10-13T00:00:00"/>
    <n v="13"/>
    <s v="Oct"/>
    <n v="2015"/>
    <s v="Oct-2015"/>
    <s v="10/13/2015"/>
    <n v="48"/>
    <n v="2558"/>
    <n v="205.7"/>
    <n v="117.11"/>
    <n v="205.7"/>
    <n v="526180.6"/>
    <n v="299567.38"/>
    <n v="0.43067574137092857"/>
    <n v="226613.22"/>
  </r>
  <r>
    <x v="0"/>
    <s v="Switzerland"/>
    <x v="6"/>
    <x v="0"/>
    <x v="2"/>
    <s v="4/26/2012"/>
    <d v="2012-04-26T00:00:00"/>
    <n v="26"/>
    <s v="Apr"/>
    <x v="5"/>
    <s v="Apr-2012"/>
    <n v="643259227"/>
    <d v="2012-04-26T00:00:00"/>
    <n v="26"/>
    <s v="Apr"/>
    <n v="2012"/>
    <s v="Apr-2012"/>
    <s v="4/26/2012"/>
    <n v="0"/>
    <n v="3555"/>
    <n v="421.89"/>
    <n v="364.69"/>
    <n v="421.89"/>
    <n v="1499818.95"/>
    <n v="1296472.95"/>
    <n v="0.13558036455000119"/>
    <n v="203346"/>
  </r>
  <r>
    <x v="0"/>
    <s v="Czech Republic"/>
    <x v="10"/>
    <x v="1"/>
    <x v="3"/>
    <s v="6/6/2017"/>
    <d v="2017-06-06T00:00:00"/>
    <n v="6"/>
    <s v="Jun"/>
    <x v="7"/>
    <s v="Jun-2017"/>
    <n v="151312482"/>
    <d v="2017-07-12T00:00:00"/>
    <n v="12"/>
    <s v="Jul"/>
    <n v="2017"/>
    <s v="Jul-2017"/>
    <s v="7/12/2017"/>
    <n v="36"/>
    <n v="5581"/>
    <n v="437.2"/>
    <n v="263.33"/>
    <n v="437.20000000000005"/>
    <n v="2440013.2000000002"/>
    <n v="1469644.73"/>
    <n v="0.39768984446477579"/>
    <n v="970368.47"/>
  </r>
  <r>
    <x v="0"/>
    <s v="Austria"/>
    <x v="4"/>
    <x v="1"/>
    <x v="1"/>
    <s v="7/31/2012"/>
    <d v="2012-07-31T00:00:00"/>
    <n v="31"/>
    <s v="Jul"/>
    <x v="5"/>
    <s v="Jul-2012"/>
    <n v="750047194"/>
    <d v="2012-09-18T00:00:00"/>
    <n v="18"/>
    <s v="Sep"/>
    <n v="2012"/>
    <s v="Sep-2012"/>
    <s v="9/18/2012"/>
    <n v="49"/>
    <n v="4487"/>
    <n v="9.33"/>
    <n v="6.92"/>
    <n v="9.33"/>
    <n v="41863.71"/>
    <n v="31050.04"/>
    <n v="0.25830653804930331"/>
    <n v="10813.67"/>
  </r>
  <r>
    <x v="0"/>
    <s v="Switzerland"/>
    <x v="4"/>
    <x v="0"/>
    <x v="2"/>
    <s v="11/29/2015"/>
    <d v="2015-11-29T00:00:00"/>
    <n v="29"/>
    <s v="Nov"/>
    <x v="6"/>
    <s v="Nov-2015"/>
    <n v="721318805"/>
    <d v="2015-12-09T00:00:00"/>
    <n v="9"/>
    <s v="Dec"/>
    <n v="2015"/>
    <s v="Dec-2015"/>
    <s v="12/9/2015"/>
    <n v="10"/>
    <n v="3118"/>
    <n v="9.33"/>
    <n v="6.92"/>
    <n v="9.33"/>
    <n v="29090.94"/>
    <n v="21576.560000000001"/>
    <n v="0.25830653804930331"/>
    <n v="7514.38"/>
  </r>
  <r>
    <x v="0"/>
    <s v="Vatican City"/>
    <x v="0"/>
    <x v="0"/>
    <x v="3"/>
    <s v="2/13/2012"/>
    <d v="2012-02-13T00:00:00"/>
    <n v="13"/>
    <s v="Feb"/>
    <x v="5"/>
    <s v="Feb-2012"/>
    <n v="599997556"/>
    <d v="2012-02-14T00:00:00"/>
    <n v="14"/>
    <s v="Feb"/>
    <n v="2012"/>
    <s v="Feb-2012"/>
    <s v="2/14/2012"/>
    <n v="1"/>
    <n v="1465"/>
    <n v="47.45"/>
    <n v="31.79"/>
    <n v="47.45"/>
    <n v="69514.25"/>
    <n v="46572.35"/>
    <n v="0.33003161222339306"/>
    <n v="22941.9"/>
  </r>
  <r>
    <x v="0"/>
    <s v="Estonia"/>
    <x v="0"/>
    <x v="1"/>
    <x v="1"/>
    <s v="11/28/2016"/>
    <d v="2016-11-28T00:00:00"/>
    <n v="28"/>
    <s v="Nov"/>
    <x v="4"/>
    <s v="Nov-2016"/>
    <n v="826677262"/>
    <d v="2017-01-09T00:00:00"/>
    <n v="9"/>
    <s v="Jan"/>
    <n v="2017"/>
    <s v="Jan-2017"/>
    <s v="1/9/2017"/>
    <n v="42"/>
    <n v="1027"/>
    <n v="47.45"/>
    <n v="31.79"/>
    <n v="47.45"/>
    <n v="48731.15"/>
    <n v="32648.33"/>
    <n v="0.33003161222339306"/>
    <n v="16082.82"/>
  </r>
  <r>
    <x v="0"/>
    <s v="Poland"/>
    <x v="0"/>
    <x v="0"/>
    <x v="3"/>
    <s v="7/5/2011"/>
    <d v="2011-07-05T00:00:00"/>
    <n v="5"/>
    <s v="Jul"/>
    <x v="0"/>
    <s v="Jul-2011"/>
    <n v="735445678"/>
    <d v="2011-07-22T00:00:00"/>
    <n v="22"/>
    <s v="Jul"/>
    <n v="2011"/>
    <s v="Jul-2011"/>
    <s v="7/22/2011"/>
    <n v="17"/>
    <n v="3574"/>
    <n v="47.45"/>
    <n v="31.79"/>
    <n v="47.449999999999996"/>
    <n v="169586.3"/>
    <n v="113617.46"/>
    <n v="0.33003161222339306"/>
    <n v="55968.84"/>
  </r>
  <r>
    <x v="0"/>
    <s v="San Marino"/>
    <x v="5"/>
    <x v="0"/>
    <x v="2"/>
    <s v="10/14/2012"/>
    <d v="2012-10-14T00:00:00"/>
    <n v="14"/>
    <s v="Oct"/>
    <x v="5"/>
    <s v="Oct-2012"/>
    <n v="354270303"/>
    <d v="2012-11-27T00:00:00"/>
    <n v="27"/>
    <s v="Nov"/>
    <n v="2012"/>
    <s v="Nov-2012"/>
    <s v="11/27/2012"/>
    <n v="44"/>
    <n v="5310"/>
    <n v="154.06"/>
    <n v="90.93"/>
    <n v="154.06"/>
    <n v="818058.6"/>
    <n v="482838.3"/>
    <n v="0.40977541217707386"/>
    <n v="335220.3"/>
  </r>
  <r>
    <x v="0"/>
    <s v="Spain"/>
    <x v="2"/>
    <x v="0"/>
    <x v="3"/>
    <s v="12/4/2010"/>
    <d v="2010-12-04T00:00:00"/>
    <n v="4"/>
    <s v="Dec"/>
    <x v="3"/>
    <s v="Dec-2010"/>
    <n v="806662404"/>
    <d v="2010-12-07T00:00:00"/>
    <n v="7"/>
    <s v="Dec"/>
    <n v="2010"/>
    <s v="Dec-2010"/>
    <s v="12/7/2010"/>
    <n v="3"/>
    <n v="8186"/>
    <n v="205.7"/>
    <n v="117.11"/>
    <n v="205.7"/>
    <n v="1683860.2"/>
    <n v="958662.46"/>
    <n v="0.43067574137092857"/>
    <n v="725197.74"/>
  </r>
  <r>
    <x v="0"/>
    <s v="Netherlands"/>
    <x v="11"/>
    <x v="0"/>
    <x v="0"/>
    <s v="11/13/2013"/>
    <d v="2013-11-13T00:00:00"/>
    <n v="13"/>
    <s v="Nov"/>
    <x v="1"/>
    <s v="Nov-2013"/>
    <n v="933699119"/>
    <d v="2013-11-24T00:00:00"/>
    <n v="24"/>
    <s v="Nov"/>
    <n v="2013"/>
    <s v="Nov-2013"/>
    <s v="11/24/2013"/>
    <n v="11"/>
    <n v="1173"/>
    <n v="81.73"/>
    <n v="56.67"/>
    <n v="81.72999999999999"/>
    <n v="95869.29"/>
    <n v="66473.91"/>
    <n v="0.30661935641747218"/>
    <n v="29395.38"/>
  </r>
  <r>
    <x v="0"/>
    <s v="Switzerland"/>
    <x v="8"/>
    <x v="0"/>
    <x v="0"/>
    <s v="6/27/2015"/>
    <d v="2015-06-27T00:00:00"/>
    <n v="27"/>
    <s v="Jun"/>
    <x v="6"/>
    <s v="Jun-2015"/>
    <n v="726223170"/>
    <d v="2015-07-31T00:00:00"/>
    <n v="31"/>
    <s v="Jul"/>
    <n v="2015"/>
    <s v="Jul-2015"/>
    <s v="7/31/2015"/>
    <n v="34"/>
    <n v="4429"/>
    <n v="255.28"/>
    <n v="159.41999999999999"/>
    <n v="255.28000000000003"/>
    <n v="1130635.1200000001"/>
    <n v="706071.18"/>
    <n v="0.37550924475086178"/>
    <n v="424563.94"/>
  </r>
  <r>
    <x v="0"/>
    <s v="Czech Republic"/>
    <x v="6"/>
    <x v="1"/>
    <x v="1"/>
    <s v="1/9/2015"/>
    <d v="2015-01-09T00:00:00"/>
    <n v="9"/>
    <s v="Jan"/>
    <x v="6"/>
    <s v="Jan-2015"/>
    <n v="692555224"/>
    <d v="2015-02-01T00:00:00"/>
    <n v="1"/>
    <s v="Feb"/>
    <n v="2015"/>
    <s v="Feb-2015"/>
    <s v="2/1/2015"/>
    <n v="23"/>
    <n v="1336"/>
    <n v="421.89"/>
    <n v="364.69"/>
    <n v="421.89000000000004"/>
    <n v="563645.04"/>
    <n v="487225.84"/>
    <n v="0.13558036455000116"/>
    <n v="76419.199999999997"/>
  </r>
  <r>
    <x v="0"/>
    <s v="Estonia"/>
    <x v="5"/>
    <x v="1"/>
    <x v="2"/>
    <s v="2/28/2011"/>
    <d v="2011-02-28T00:00:00"/>
    <n v="28"/>
    <s v="Feb"/>
    <x v="0"/>
    <s v="Feb-2011"/>
    <n v="134121024"/>
    <d v="2011-04-08T00:00:00"/>
    <n v="8"/>
    <s v="Apr"/>
    <n v="2011"/>
    <s v="Apr-2011"/>
    <s v="4/8/2011"/>
    <n v="39"/>
    <n v="8246"/>
    <n v="154.06"/>
    <n v="90.93"/>
    <n v="154.06"/>
    <n v="1270378.76"/>
    <n v="749808.78"/>
    <n v="0.40977541217707386"/>
    <n v="520569.98"/>
  </r>
  <r>
    <x v="0"/>
    <s v="Estonia"/>
    <x v="1"/>
    <x v="0"/>
    <x v="0"/>
    <s v="12/18/2016"/>
    <d v="2016-12-18T00:00:00"/>
    <n v="18"/>
    <s v="Dec"/>
    <x v="4"/>
    <s v="Dec-2016"/>
    <n v="660312926"/>
    <d v="2017-01-05T00:00:00"/>
    <n v="5"/>
    <s v="Jan"/>
    <n v="2017"/>
    <s v="Jan-2017"/>
    <s v="1/5/2017"/>
    <n v="18"/>
    <n v="123"/>
    <n v="109.28"/>
    <n v="35.840000000000003"/>
    <n v="109.28"/>
    <n v="13441.44"/>
    <n v="4408.32"/>
    <n v="0.67203513909224011"/>
    <n v="9033.1200000000008"/>
  </r>
  <r>
    <x v="0"/>
    <s v="Ukraine"/>
    <x v="10"/>
    <x v="1"/>
    <x v="0"/>
    <s v="7/8/2014"/>
    <d v="2014-07-08T00:00:00"/>
    <n v="8"/>
    <s v="Jul"/>
    <x v="2"/>
    <s v="Jul-2014"/>
    <n v="140461766"/>
    <d v="2014-07-20T00:00:00"/>
    <n v="20"/>
    <s v="Jul"/>
    <n v="2014"/>
    <s v="Jul-2014"/>
    <s v="7/20/2014"/>
    <n v="12"/>
    <n v="4613"/>
    <n v="437.2"/>
    <n v="263.33"/>
    <n v="437.20000000000005"/>
    <n v="2016803.6"/>
    <n v="1214741.29"/>
    <n v="0.39768984446477584"/>
    <n v="802062.31"/>
  </r>
  <r>
    <x v="0"/>
    <s v="Ukraine"/>
    <x v="2"/>
    <x v="0"/>
    <x v="0"/>
    <s v="2/13/2011"/>
    <d v="2011-02-13T00:00:00"/>
    <n v="13"/>
    <s v="Feb"/>
    <x v="0"/>
    <s v="Feb-2011"/>
    <n v="741964948"/>
    <d v="2011-02-26T00:00:00"/>
    <n v="26"/>
    <s v="Feb"/>
    <n v="2011"/>
    <s v="Feb-2011"/>
    <s v="2/26/2011"/>
    <n v="13"/>
    <n v="2771"/>
    <n v="205.7"/>
    <n v="117.11"/>
    <n v="205.7"/>
    <n v="569994.69999999995"/>
    <n v="324511.81"/>
    <n v="0.43067574137092862"/>
    <n v="245482.89"/>
  </r>
  <r>
    <x v="0"/>
    <s v="San Marino"/>
    <x v="7"/>
    <x v="0"/>
    <x v="0"/>
    <s v="7/22/2017"/>
    <d v="2017-07-22T00:00:00"/>
    <n v="22"/>
    <s v="Jul"/>
    <x v="7"/>
    <s v="Jul-2017"/>
    <n v="476453721"/>
    <d v="2017-08-10T00:00:00"/>
    <n v="10"/>
    <s v="Aug"/>
    <n v="2017"/>
    <s v="Aug-2017"/>
    <s v="8/10/2017"/>
    <n v="19"/>
    <n v="2099"/>
    <n v="152.58000000000001"/>
    <n v="97.44"/>
    <n v="152.57999999999998"/>
    <n v="320265.42"/>
    <n v="204526.56"/>
    <n v="0.36138419189933152"/>
    <n v="115738.86"/>
  </r>
  <r>
    <x v="0"/>
    <s v="Belgium"/>
    <x v="4"/>
    <x v="1"/>
    <x v="1"/>
    <s v="4/28/2011"/>
    <d v="2011-04-28T00:00:00"/>
    <n v="28"/>
    <s v="Apr"/>
    <x v="0"/>
    <s v="Apr-2011"/>
    <n v="111496055"/>
    <d v="2011-06-04T00:00:00"/>
    <n v="4"/>
    <s v="Jun"/>
    <n v="2011"/>
    <s v="Jun-2011"/>
    <s v="6/4/2011"/>
    <n v="37"/>
    <n v="3015"/>
    <n v="9.33"/>
    <n v="6.92"/>
    <n v="9.33"/>
    <n v="28129.95"/>
    <n v="20863.8"/>
    <n v="0.25830653804930331"/>
    <n v="7266.15"/>
  </r>
  <r>
    <x v="0"/>
    <s v="Slovakia"/>
    <x v="5"/>
    <x v="1"/>
    <x v="2"/>
    <s v="12/25/2015"/>
    <d v="2015-12-25T00:00:00"/>
    <n v="25"/>
    <s v="Dec"/>
    <x v="6"/>
    <s v="Dec-2015"/>
    <n v="628515231"/>
    <d v="2016-02-01T00:00:00"/>
    <n v="1"/>
    <s v="Feb"/>
    <n v="2016"/>
    <s v="Feb-2016"/>
    <s v="2/1/2016"/>
    <n v="38"/>
    <n v="479"/>
    <n v="154.06"/>
    <n v="90.93"/>
    <n v="154.06"/>
    <n v="73794.740000000005"/>
    <n v="43555.47"/>
    <n v="0.40977541217707386"/>
    <n v="30239.27"/>
  </r>
  <r>
    <x v="0"/>
    <s v="Slovakia"/>
    <x v="3"/>
    <x v="0"/>
    <x v="1"/>
    <s v="3/2/2010"/>
    <d v="2010-03-02T00:00:00"/>
    <n v="2"/>
    <s v="Mar"/>
    <x v="3"/>
    <s v="Mar-2010"/>
    <n v="601894414"/>
    <d v="2010-03-19T00:00:00"/>
    <n v="19"/>
    <s v="Mar"/>
    <n v="2010"/>
    <s v="Mar-2010"/>
    <s v="3/19/2010"/>
    <n v="17"/>
    <n v="2787"/>
    <n v="651.21"/>
    <n v="524.96"/>
    <n v="651.21"/>
    <n v="1814922.27"/>
    <n v="1463063.52"/>
    <n v="0.19386987300563566"/>
    <n v="351858.75"/>
  </r>
  <r>
    <x v="0"/>
    <s v="Bosnia and Herzegovina"/>
    <x v="7"/>
    <x v="0"/>
    <x v="2"/>
    <s v="7/14/2011"/>
    <d v="2011-07-14T00:00:00"/>
    <n v="14"/>
    <s v="Jul"/>
    <x v="0"/>
    <s v="Jul-2011"/>
    <n v="954040992"/>
    <d v="2011-08-27T00:00:00"/>
    <n v="27"/>
    <s v="Aug"/>
    <n v="2011"/>
    <s v="Aug-2011"/>
    <s v="8/27/2011"/>
    <n v="44"/>
    <n v="785"/>
    <n v="152.58000000000001"/>
    <n v="97.44"/>
    <n v="152.58000000000001"/>
    <n v="119775.3"/>
    <n v="76490.399999999994"/>
    <n v="0.36138419189933152"/>
    <n v="43284.9"/>
  </r>
  <r>
    <x v="0"/>
    <s v="Czech Republic"/>
    <x v="3"/>
    <x v="1"/>
    <x v="1"/>
    <s v="5/9/2014"/>
    <d v="2014-05-09T00:00:00"/>
    <n v="9"/>
    <s v="May"/>
    <x v="2"/>
    <s v="May-2014"/>
    <n v="865824210"/>
    <d v="2014-05-14T00:00:00"/>
    <n v="14"/>
    <s v="May"/>
    <n v="2014"/>
    <s v="May-2014"/>
    <s v="5/14/2014"/>
    <n v="5"/>
    <n v="5479"/>
    <n v="651.21"/>
    <n v="524.96"/>
    <n v="651.20999999999992"/>
    <n v="3567979.59"/>
    <n v="2876255.84"/>
    <n v="0.19386987300563568"/>
    <n v="691723.75"/>
  </r>
  <r>
    <x v="0"/>
    <s v="Belgium"/>
    <x v="1"/>
    <x v="0"/>
    <x v="1"/>
    <s v="9/20/2016"/>
    <d v="2016-09-20T00:00:00"/>
    <n v="20"/>
    <s v="Sep"/>
    <x v="4"/>
    <s v="Sep-2016"/>
    <n v="761887109"/>
    <d v="2016-10-14T00:00:00"/>
    <n v="14"/>
    <s v="Oct"/>
    <n v="2016"/>
    <s v="Oct-2016"/>
    <s v="10/14/2016"/>
    <n v="24"/>
    <n v="8181"/>
    <n v="109.28"/>
    <n v="35.840000000000003"/>
    <n v="109.28"/>
    <n v="894019.68"/>
    <n v="293207.03999999998"/>
    <n v="0.67203513909224011"/>
    <n v="600812.64"/>
  </r>
  <r>
    <x v="0"/>
    <s v="Romania"/>
    <x v="3"/>
    <x v="1"/>
    <x v="2"/>
    <s v="9/27/2015"/>
    <d v="2015-09-27T00:00:00"/>
    <n v="27"/>
    <s v="Sep"/>
    <x v="6"/>
    <s v="Sep-2015"/>
    <n v="160578763"/>
    <d v="2015-10-30T00:00:00"/>
    <n v="30"/>
    <s v="Oct"/>
    <n v="2015"/>
    <s v="Oct-2015"/>
    <s v="10/30/2015"/>
    <n v="33"/>
    <n v="7679"/>
    <n v="651.21"/>
    <n v="524.96"/>
    <n v="651.21"/>
    <n v="5000641.59"/>
    <n v="4031167.84"/>
    <n v="0.19386987300563566"/>
    <n v="969473.75"/>
  </r>
  <r>
    <x v="0"/>
    <s v="Serbia"/>
    <x v="5"/>
    <x v="0"/>
    <x v="1"/>
    <s v="3/8/2011"/>
    <d v="2011-03-08T00:00:00"/>
    <n v="8"/>
    <s v="Mar"/>
    <x v="0"/>
    <s v="Mar-2011"/>
    <n v="992992675"/>
    <d v="2011-03-09T00:00:00"/>
    <n v="9"/>
    <s v="Mar"/>
    <n v="2011"/>
    <s v="Mar-2011"/>
    <s v="3/9/2011"/>
    <n v="1"/>
    <n v="7454"/>
    <n v="154.06"/>
    <n v="90.93"/>
    <n v="154.06"/>
    <n v="1148363.24"/>
    <n v="677792.22"/>
    <n v="0.40977541217707386"/>
    <n v="470571.02"/>
  </r>
  <r>
    <x v="0"/>
    <s v="Slovakia"/>
    <x v="1"/>
    <x v="1"/>
    <x v="1"/>
    <s v="5/9/2015"/>
    <d v="2015-05-09T00:00:00"/>
    <n v="9"/>
    <s v="May"/>
    <x v="6"/>
    <s v="May-2015"/>
    <n v="231369769"/>
    <d v="2015-05-16T00:00:00"/>
    <n v="16"/>
    <s v="May"/>
    <n v="2015"/>
    <s v="May-2015"/>
    <s v="5/16/2015"/>
    <n v="7"/>
    <n v="6311"/>
    <n v="109.28"/>
    <n v="35.840000000000003"/>
    <n v="109.27999999999999"/>
    <n v="689666.08"/>
    <n v="226186.23999999999"/>
    <n v="0.67203513909224022"/>
    <n v="463479.84"/>
  </r>
  <r>
    <x v="0"/>
    <s v="Lithuania"/>
    <x v="10"/>
    <x v="1"/>
    <x v="1"/>
    <s v="3/28/2016"/>
    <d v="2016-03-28T00:00:00"/>
    <n v="28"/>
    <s v="Mar"/>
    <x v="4"/>
    <s v="Mar-2016"/>
    <n v="852392995"/>
    <d v="2016-04-19T00:00:00"/>
    <n v="19"/>
    <s v="Apr"/>
    <n v="2016"/>
    <s v="Apr-2016"/>
    <s v="4/19/2016"/>
    <n v="22"/>
    <n v="884"/>
    <n v="437.2"/>
    <n v="263.33"/>
    <n v="437.2"/>
    <n v="386484.8"/>
    <n v="232783.72"/>
    <n v="0.39768984446477584"/>
    <n v="153701.07999999999"/>
  </r>
  <r>
    <x v="0"/>
    <s v="Macedonia"/>
    <x v="7"/>
    <x v="0"/>
    <x v="1"/>
    <s v="9/6/2012"/>
    <d v="2012-09-06T00:00:00"/>
    <n v="6"/>
    <s v="Sep"/>
    <x v="5"/>
    <s v="Sep-2012"/>
    <n v="597105491"/>
    <d v="2012-10-20T00:00:00"/>
    <n v="20"/>
    <s v="Oct"/>
    <n v="2012"/>
    <s v="Oct-2012"/>
    <s v="10/20/2012"/>
    <n v="44"/>
    <n v="5639"/>
    <n v="152.58000000000001"/>
    <n v="97.44"/>
    <n v="152.58000000000001"/>
    <n v="860398.62"/>
    <n v="549464.16"/>
    <n v="0.36138419189933152"/>
    <n v="310934.46000000002"/>
  </r>
  <r>
    <x v="0"/>
    <s v="Andorra"/>
    <x v="4"/>
    <x v="0"/>
    <x v="2"/>
    <s v="3/4/2016"/>
    <d v="2016-03-04T00:00:00"/>
    <n v="4"/>
    <s v="Mar"/>
    <x v="4"/>
    <s v="Mar-2016"/>
    <n v="716054379"/>
    <d v="2016-03-26T00:00:00"/>
    <n v="26"/>
    <s v="Mar"/>
    <n v="2016"/>
    <s v="Mar-2016"/>
    <s v="3/26/2016"/>
    <n v="22"/>
    <n v="5258"/>
    <n v="9.33"/>
    <n v="6.92"/>
    <n v="9.33"/>
    <n v="49057.14"/>
    <n v="36385.360000000001"/>
    <n v="0.25830653804930331"/>
    <n v="12671.78"/>
  </r>
  <r>
    <x v="0"/>
    <s v="Austria"/>
    <x v="3"/>
    <x v="0"/>
    <x v="0"/>
    <s v="3/21/2015"/>
    <d v="2015-03-21T00:00:00"/>
    <n v="21"/>
    <s v="Mar"/>
    <x v="6"/>
    <s v="Mar-2015"/>
    <n v="511712110"/>
    <d v="2015-05-07T00:00:00"/>
    <n v="7"/>
    <s v="May"/>
    <n v="2015"/>
    <s v="May-2015"/>
    <s v="5/7/2015"/>
    <n v="47"/>
    <n v="5839"/>
    <n v="651.21"/>
    <n v="524.96"/>
    <n v="651.21"/>
    <n v="3802415.19"/>
    <n v="3065241.44"/>
    <n v="0.19386987300563566"/>
    <n v="737173.75"/>
  </r>
  <r>
    <x v="0"/>
    <s v="Finland"/>
    <x v="8"/>
    <x v="0"/>
    <x v="0"/>
    <s v="9/7/2014"/>
    <d v="2014-09-07T00:00:00"/>
    <n v="7"/>
    <s v="Sep"/>
    <x v="2"/>
    <s v="Sep-2014"/>
    <n v="481308305"/>
    <d v="2014-10-16T00:00:00"/>
    <n v="16"/>
    <s v="Oct"/>
    <n v="2014"/>
    <s v="Oct-2014"/>
    <s v="10/16/2014"/>
    <n v="39"/>
    <n v="8678"/>
    <n v="255.28"/>
    <n v="159.41999999999999"/>
    <n v="255.27999999999997"/>
    <n v="2215319.84"/>
    <n v="1383446.76"/>
    <n v="0.37550924475086178"/>
    <n v="831873.08"/>
  </r>
  <r>
    <x v="0"/>
    <s v="Andorra"/>
    <x v="9"/>
    <x v="1"/>
    <x v="0"/>
    <s v="5/22/2014"/>
    <d v="2014-05-22T00:00:00"/>
    <n v="22"/>
    <s v="May"/>
    <x v="2"/>
    <s v="May-2014"/>
    <n v="266638886"/>
    <d v="2014-06-19T00:00:00"/>
    <n v="19"/>
    <s v="Jun"/>
    <n v="2014"/>
    <s v="Jun-2014"/>
    <s v="6/19/2014"/>
    <n v="28"/>
    <n v="3227"/>
    <n v="668.27"/>
    <n v="502.54"/>
    <n v="668.27"/>
    <n v="2156507.29"/>
    <n v="1621696.58"/>
    <n v="0.24799856345489096"/>
    <n v="534810.71"/>
  </r>
  <r>
    <x v="0"/>
    <s v="Moldova "/>
    <x v="6"/>
    <x v="1"/>
    <x v="3"/>
    <s v="9/17/2012"/>
    <d v="2012-09-17T00:00:00"/>
    <n v="17"/>
    <s v="Sep"/>
    <x v="5"/>
    <s v="Sep-2012"/>
    <n v="638314521"/>
    <d v="2012-10-15T00:00:00"/>
    <n v="15"/>
    <s v="Oct"/>
    <n v="2012"/>
    <s v="Oct-2012"/>
    <s v="10/15/2012"/>
    <n v="28"/>
    <n v="306"/>
    <n v="421.89"/>
    <n v="364.69"/>
    <n v="421.89"/>
    <n v="129098.34"/>
    <n v="111595.14"/>
    <n v="0.13558036455000119"/>
    <n v="17503.2"/>
  </r>
  <r>
    <x v="0"/>
    <s v="Switzerland"/>
    <x v="10"/>
    <x v="1"/>
    <x v="1"/>
    <s v="4/15/2015"/>
    <d v="2015-04-15T00:00:00"/>
    <n v="15"/>
    <s v="Apr"/>
    <x v="6"/>
    <s v="Apr-2015"/>
    <n v="811977040"/>
    <d v="2015-05-28T00:00:00"/>
    <n v="28"/>
    <s v="May"/>
    <n v="2015"/>
    <s v="May-2015"/>
    <s v="5/28/2015"/>
    <n v="43"/>
    <n v="905"/>
    <n v="437.2"/>
    <n v="263.33"/>
    <n v="437.2"/>
    <n v="395666"/>
    <n v="238313.65"/>
    <n v="0.39768984446477584"/>
    <n v="157352.35"/>
  </r>
  <r>
    <x v="0"/>
    <s v="Netherlands"/>
    <x v="6"/>
    <x v="1"/>
    <x v="1"/>
    <s v="10/9/2010"/>
    <d v="2010-10-09T00:00:00"/>
    <n v="9"/>
    <s v="Oct"/>
    <x v="3"/>
    <s v="Oct-2010"/>
    <n v="344160735"/>
    <d v="2010-11-20T00:00:00"/>
    <n v="20"/>
    <s v="Nov"/>
    <n v="2010"/>
    <s v="Nov-2010"/>
    <s v="11/20/2010"/>
    <n v="42"/>
    <n v="3664"/>
    <n v="421.89"/>
    <n v="364.69"/>
    <n v="421.89"/>
    <n v="1545804.96"/>
    <n v="1336224.1599999999"/>
    <n v="0.13558036455000119"/>
    <n v="209580.79999999999"/>
  </r>
  <r>
    <x v="0"/>
    <s v="Russia"/>
    <x v="9"/>
    <x v="1"/>
    <x v="3"/>
    <s v="4/3/2017"/>
    <d v="2017-04-03T00:00:00"/>
    <n v="3"/>
    <s v="Apr"/>
    <x v="7"/>
    <s v="Apr-2017"/>
    <n v="549058330"/>
    <d v="2017-05-11T00:00:00"/>
    <n v="11"/>
    <s v="May"/>
    <n v="2017"/>
    <s v="May-2017"/>
    <s v="5/11/2017"/>
    <n v="38"/>
    <n v="7416"/>
    <n v="668.27"/>
    <n v="502.54"/>
    <n v="668.2700000000001"/>
    <n v="4955890.32"/>
    <n v="3726836.64"/>
    <n v="0.24799856345489096"/>
    <n v="1229053.68"/>
  </r>
  <r>
    <x v="0"/>
    <s v="Greece"/>
    <x v="6"/>
    <x v="1"/>
    <x v="3"/>
    <s v="11/12/2013"/>
    <d v="2013-11-12T00:00:00"/>
    <n v="12"/>
    <s v="Nov"/>
    <x v="1"/>
    <s v="Nov-2013"/>
    <n v="969199979"/>
    <d v="2013-12-07T00:00:00"/>
    <n v="7"/>
    <s v="Dec"/>
    <n v="2013"/>
    <s v="Dec-2013"/>
    <s v="12/7/2013"/>
    <n v="25"/>
    <n v="6666"/>
    <n v="421.89"/>
    <n v="364.69"/>
    <n v="421.89000000000004"/>
    <n v="2812318.74"/>
    <n v="2431023.54"/>
    <n v="0.13558036455000119"/>
    <n v="381295.2"/>
  </r>
  <r>
    <x v="0"/>
    <s v="Spain"/>
    <x v="8"/>
    <x v="0"/>
    <x v="2"/>
    <s v="5/22/2011"/>
    <d v="2011-05-22T00:00:00"/>
    <n v="22"/>
    <s v="May"/>
    <x v="0"/>
    <s v="May-2011"/>
    <n v="956594026"/>
    <d v="2011-06-17T00:00:00"/>
    <n v="17"/>
    <s v="Jun"/>
    <n v="2011"/>
    <s v="Jun-2011"/>
    <s v="6/17/2011"/>
    <n v="26"/>
    <n v="6285"/>
    <n v="255.28"/>
    <n v="159.41999999999999"/>
    <n v="255.28"/>
    <n v="1604434.8"/>
    <n v="1001954.7"/>
    <n v="0.37550924475086178"/>
    <n v="602480.1"/>
  </r>
  <r>
    <x v="0"/>
    <s v="Ukraine"/>
    <x v="0"/>
    <x v="1"/>
    <x v="3"/>
    <s v="3/24/2015"/>
    <d v="2015-03-24T00:00:00"/>
    <n v="24"/>
    <s v="Mar"/>
    <x v="6"/>
    <s v="Mar-2015"/>
    <n v="712595832"/>
    <d v="2015-03-28T00:00:00"/>
    <n v="28"/>
    <s v="Mar"/>
    <n v="2015"/>
    <s v="Mar-2015"/>
    <s v="3/28/2015"/>
    <n v="4"/>
    <n v="1797"/>
    <n v="47.45"/>
    <n v="31.79"/>
    <n v="47.449999999999996"/>
    <n v="85267.65"/>
    <n v="57126.63"/>
    <n v="0.33003161222339306"/>
    <n v="28141.02"/>
  </r>
  <r>
    <x v="0"/>
    <s v="Italy"/>
    <x v="8"/>
    <x v="0"/>
    <x v="0"/>
    <s v="6/26/2010"/>
    <d v="2010-06-26T00:00:00"/>
    <n v="26"/>
    <s v="Jun"/>
    <x v="3"/>
    <s v="Jun-2010"/>
    <n v="748357188"/>
    <d v="2010-07-20T00:00:00"/>
    <n v="20"/>
    <s v="Jul"/>
    <n v="2010"/>
    <s v="Jul-2010"/>
    <s v="7/20/2010"/>
    <n v="24"/>
    <n v="4377"/>
    <n v="255.28"/>
    <n v="159.41999999999999"/>
    <n v="255.28"/>
    <n v="1117360.56"/>
    <n v="697781.34"/>
    <n v="0.37550924475086178"/>
    <n v="419579.22"/>
  </r>
  <r>
    <x v="0"/>
    <s v="Estonia"/>
    <x v="4"/>
    <x v="0"/>
    <x v="2"/>
    <s v="2/25/2013"/>
    <d v="2013-02-25T00:00:00"/>
    <n v="25"/>
    <s v="Feb"/>
    <x v="1"/>
    <s v="Feb-2013"/>
    <n v="898211562"/>
    <d v="2013-03-12T00:00:00"/>
    <n v="12"/>
    <s v="Mar"/>
    <n v="2013"/>
    <s v="Mar-2013"/>
    <s v="3/12/2013"/>
    <n v="15"/>
    <n v="9616"/>
    <n v="9.33"/>
    <n v="6.92"/>
    <n v="9.33"/>
    <n v="89717.28"/>
    <n v="66542.720000000001"/>
    <n v="0.25830653804930331"/>
    <n v="23174.560000000001"/>
  </r>
  <r>
    <x v="0"/>
    <s v="Ireland"/>
    <x v="3"/>
    <x v="0"/>
    <x v="0"/>
    <s v="6/15/2014"/>
    <d v="2014-06-15T00:00:00"/>
    <n v="15"/>
    <s v="Jun"/>
    <x v="2"/>
    <s v="Jun-2014"/>
    <n v="729373586"/>
    <d v="2014-07-05T00:00:00"/>
    <n v="5"/>
    <s v="Jul"/>
    <n v="2014"/>
    <s v="Jul-2014"/>
    <s v="7/5/2014"/>
    <n v="20"/>
    <n v="6707"/>
    <n v="651.21"/>
    <n v="524.96"/>
    <n v="651.20999999999992"/>
    <n v="4367665.47"/>
    <n v="3520906.72"/>
    <n v="0.19386987300563568"/>
    <n v="846758.75"/>
  </r>
  <r>
    <x v="0"/>
    <s v="Norway"/>
    <x v="4"/>
    <x v="0"/>
    <x v="1"/>
    <s v="12/20/2011"/>
    <d v="2011-12-20T00:00:00"/>
    <n v="20"/>
    <s v="Dec"/>
    <x v="0"/>
    <s v="Dec-2011"/>
    <n v="991761863"/>
    <d v="2011-12-24T00:00:00"/>
    <n v="24"/>
    <s v="Dec"/>
    <n v="2011"/>
    <s v="Dec-2011"/>
    <s v="12/24/2011"/>
    <n v="4"/>
    <n v="3229"/>
    <n v="9.33"/>
    <n v="6.92"/>
    <n v="9.33"/>
    <n v="30126.57"/>
    <n v="22344.68"/>
    <n v="0.25830653804930331"/>
    <n v="7781.89"/>
  </r>
  <r>
    <x v="0"/>
    <s v="Latvia"/>
    <x v="11"/>
    <x v="0"/>
    <x v="0"/>
    <s v="10/29/2011"/>
    <d v="2011-10-29T00:00:00"/>
    <n v="29"/>
    <s v="Oct"/>
    <x v="0"/>
    <s v="Oct-2011"/>
    <n v="160751283"/>
    <d v="2011-11-13T00:00:00"/>
    <n v="13"/>
    <s v="Nov"/>
    <n v="2011"/>
    <s v="Nov-2011"/>
    <s v="11/13/2011"/>
    <n v="15"/>
    <n v="8732"/>
    <n v="81.73"/>
    <n v="56.67"/>
    <n v="81.73"/>
    <n v="713666.36"/>
    <n v="494842.44"/>
    <n v="0.30661935641747218"/>
    <n v="218823.92"/>
  </r>
  <r>
    <x v="0"/>
    <s v="Macedonia"/>
    <x v="9"/>
    <x v="1"/>
    <x v="3"/>
    <s v="2/22/2017"/>
    <d v="2017-02-22T00:00:00"/>
    <n v="22"/>
    <s v="Feb"/>
    <x v="7"/>
    <s v="Feb-2017"/>
    <n v="241392648"/>
    <d v="2017-03-16T00:00:00"/>
    <n v="16"/>
    <s v="Mar"/>
    <n v="2017"/>
    <s v="Mar-2017"/>
    <s v="3/16/2017"/>
    <n v="22"/>
    <n v="2304"/>
    <n v="668.27"/>
    <n v="502.54"/>
    <n v="668.27"/>
    <n v="1539694.08"/>
    <n v="1157852.1599999999"/>
    <n v="0.24799856345489096"/>
    <n v="381841.91999999998"/>
  </r>
  <r>
    <x v="0"/>
    <s v="Malta"/>
    <x v="6"/>
    <x v="1"/>
    <x v="3"/>
    <s v="3/24/2015"/>
    <d v="2015-03-24T00:00:00"/>
    <n v="24"/>
    <s v="Mar"/>
    <x v="6"/>
    <s v="Mar-2015"/>
    <n v="901789844"/>
    <d v="2015-05-05T00:00:00"/>
    <n v="5"/>
    <s v="May"/>
    <n v="2015"/>
    <s v="May-2015"/>
    <s v="5/5/2015"/>
    <n v="42"/>
    <n v="8509"/>
    <n v="421.89"/>
    <n v="364.69"/>
    <n v="421.89"/>
    <n v="3589862.01"/>
    <n v="3103147.21"/>
    <n v="0.13558036455000119"/>
    <n v="486714.8"/>
  </r>
  <r>
    <x v="0"/>
    <s v="Portugal"/>
    <x v="3"/>
    <x v="1"/>
    <x v="1"/>
    <s v="11/21/2016"/>
    <d v="2016-11-21T00:00:00"/>
    <n v="21"/>
    <s v="Nov"/>
    <x v="4"/>
    <s v="Nov-2016"/>
    <n v="410229337"/>
    <d v="2016-12-22T00:00:00"/>
    <n v="22"/>
    <s v="Dec"/>
    <n v="2016"/>
    <s v="Dec-2016"/>
    <s v="12/22/2016"/>
    <n v="31"/>
    <n v="4832"/>
    <n v="651.21"/>
    <n v="524.96"/>
    <n v="651.21"/>
    <n v="3146646.72"/>
    <n v="2536606.7200000002"/>
    <n v="0.19386987300563566"/>
    <n v="610040"/>
  </r>
  <r>
    <x v="0"/>
    <s v="Switzerland"/>
    <x v="0"/>
    <x v="1"/>
    <x v="2"/>
    <s v="4/4/2017"/>
    <d v="2017-04-04T00:00:00"/>
    <n v="4"/>
    <s v="Apr"/>
    <x v="7"/>
    <s v="Apr-2017"/>
    <n v="837906920"/>
    <d v="2017-05-16T00:00:00"/>
    <n v="16"/>
    <s v="May"/>
    <n v="2017"/>
    <s v="May-2017"/>
    <s v="5/16/2017"/>
    <n v="42"/>
    <n v="4133"/>
    <n v="47.45"/>
    <n v="31.79"/>
    <n v="47.45"/>
    <n v="196110.85"/>
    <n v="131388.07"/>
    <n v="0.33003161222339306"/>
    <n v="64722.78"/>
  </r>
  <r>
    <x v="0"/>
    <s v="Slovakia"/>
    <x v="9"/>
    <x v="1"/>
    <x v="0"/>
    <s v="1/30/2016"/>
    <d v="2016-01-30T00:00:00"/>
    <n v="30"/>
    <s v="Jan"/>
    <x v="4"/>
    <s v="Jan-2016"/>
    <n v="704361665"/>
    <d v="2016-03-01T00:00:00"/>
    <n v="1"/>
    <s v="Mar"/>
    <n v="2016"/>
    <s v="Mar-2016"/>
    <s v="3/1/2016"/>
    <n v="31"/>
    <n v="5124"/>
    <n v="668.27"/>
    <n v="502.54"/>
    <n v="668.27"/>
    <n v="3424215.48"/>
    <n v="2575014.96"/>
    <n v="0.24799856345489099"/>
    <n v="849200.52"/>
  </r>
  <r>
    <x v="0"/>
    <s v="Austria"/>
    <x v="7"/>
    <x v="0"/>
    <x v="1"/>
    <s v="7/11/2013"/>
    <d v="2013-07-11T00:00:00"/>
    <n v="11"/>
    <s v="Jul"/>
    <x v="1"/>
    <s v="Jul-2013"/>
    <n v="400267398"/>
    <d v="2013-07-20T00:00:00"/>
    <n v="20"/>
    <s v="Jul"/>
    <n v="2013"/>
    <s v="Jul-2013"/>
    <s v="7/20/2013"/>
    <n v="9"/>
    <n v="6873"/>
    <n v="152.58000000000001"/>
    <n v="97.44"/>
    <n v="152.58000000000001"/>
    <n v="1048682.3400000001"/>
    <n v="669705.12"/>
    <n v="0.36138419189933146"/>
    <n v="378977.22"/>
  </r>
  <r>
    <x v="0"/>
    <s v="France"/>
    <x v="6"/>
    <x v="1"/>
    <x v="0"/>
    <s v="5/19/2014"/>
    <d v="2014-05-19T00:00:00"/>
    <n v="19"/>
    <s v="May"/>
    <x v="2"/>
    <s v="May-2014"/>
    <n v="531281936"/>
    <d v="2014-06-03T00:00:00"/>
    <n v="3"/>
    <s v="Jun"/>
    <n v="2014"/>
    <s v="Jun-2014"/>
    <s v="6/3/2014"/>
    <n v="15"/>
    <n v="6986"/>
    <n v="421.89"/>
    <n v="364.69"/>
    <n v="421.89"/>
    <n v="2947323.54"/>
    <n v="2547724.34"/>
    <n v="0.13558036455000119"/>
    <n v="399599.2"/>
  </r>
  <r>
    <x v="0"/>
    <s v="Greece"/>
    <x v="10"/>
    <x v="1"/>
    <x v="0"/>
    <s v="6/20/2017"/>
    <d v="2017-06-20T00:00:00"/>
    <n v="20"/>
    <s v="Jun"/>
    <x v="7"/>
    <s v="Jun-2017"/>
    <n v="900808799"/>
    <d v="2017-06-28T00:00:00"/>
    <n v="28"/>
    <s v="Jun"/>
    <n v="2017"/>
    <s v="Jun-2017"/>
    <s v="6/28/2017"/>
    <n v="8"/>
    <n v="8196"/>
    <n v="437.2"/>
    <n v="263.33"/>
    <n v="437.20000000000005"/>
    <n v="3583291.2"/>
    <n v="2158252.6800000002"/>
    <n v="0.39768984446477584"/>
    <n v="1425038.52"/>
  </r>
  <r>
    <x v="0"/>
    <s v="Czech Republic"/>
    <x v="6"/>
    <x v="1"/>
    <x v="3"/>
    <s v="1/22/2015"/>
    <d v="2015-01-22T00:00:00"/>
    <n v="22"/>
    <s v="Jan"/>
    <x v="6"/>
    <s v="Jan-2015"/>
    <n v="756395232"/>
    <d v="2015-03-13T00:00:00"/>
    <n v="13"/>
    <s v="Mar"/>
    <n v="2015"/>
    <s v="Mar-2015"/>
    <s v="3/13/2015"/>
    <n v="50"/>
    <n v="3013"/>
    <n v="421.89"/>
    <n v="364.69"/>
    <n v="421.89000000000004"/>
    <n v="1271154.57"/>
    <n v="1098810.97"/>
    <n v="0.13558036455000119"/>
    <n v="172343.6"/>
  </r>
  <r>
    <x v="0"/>
    <s v="Ireland"/>
    <x v="1"/>
    <x v="1"/>
    <x v="0"/>
    <s v="10/2/2012"/>
    <d v="2012-10-02T00:00:00"/>
    <n v="2"/>
    <s v="Oct"/>
    <x v="5"/>
    <s v="Oct-2012"/>
    <n v="261187350"/>
    <d v="2012-10-03T00:00:00"/>
    <n v="3"/>
    <s v="Oct"/>
    <n v="2012"/>
    <s v="Oct-2012"/>
    <s v="10/3/2012"/>
    <n v="1"/>
    <n v="9996"/>
    <n v="109.28"/>
    <n v="35.840000000000003"/>
    <n v="109.27999999999999"/>
    <n v="1092362.8799999999"/>
    <n v="358256.64000000001"/>
    <n v="0.67203513909224022"/>
    <n v="734106.24"/>
  </r>
  <r>
    <x v="0"/>
    <s v="Slovenia"/>
    <x v="1"/>
    <x v="0"/>
    <x v="2"/>
    <s v="5/16/2014"/>
    <d v="2014-05-16T00:00:00"/>
    <n v="16"/>
    <s v="May"/>
    <x v="2"/>
    <s v="May-2014"/>
    <n v="188866841"/>
    <d v="2014-05-20T00:00:00"/>
    <n v="20"/>
    <s v="May"/>
    <n v="2014"/>
    <s v="May-2014"/>
    <s v="5/20/2014"/>
    <n v="4"/>
    <n v="8750"/>
    <n v="109.28"/>
    <n v="35.840000000000003"/>
    <n v="109.28"/>
    <n v="956200"/>
    <n v="313600"/>
    <n v="0.67203513909224011"/>
    <n v="642600"/>
  </r>
  <r>
    <x v="0"/>
    <s v="Cyprus"/>
    <x v="9"/>
    <x v="1"/>
    <x v="0"/>
    <s v="6/18/2012"/>
    <d v="2012-06-18T00:00:00"/>
    <n v="18"/>
    <s v="Jun"/>
    <x v="5"/>
    <s v="Jun-2012"/>
    <n v="709071195"/>
    <d v="2012-08-02T00:00:00"/>
    <n v="2"/>
    <s v="Aug"/>
    <n v="2012"/>
    <s v="Aug-2012"/>
    <s v="8/2/2012"/>
    <n v="45"/>
    <n v="8778"/>
    <n v="668.27"/>
    <n v="502.54"/>
    <n v="668.27"/>
    <n v="5866074.0599999996"/>
    <n v="4411296.12"/>
    <n v="0.24799856345489099"/>
    <n v="1454777.94"/>
  </r>
  <r>
    <x v="0"/>
    <s v="Belarus"/>
    <x v="2"/>
    <x v="1"/>
    <x v="2"/>
    <s v="12/15/2012"/>
    <d v="2012-12-15T00:00:00"/>
    <n v="15"/>
    <s v="Dec"/>
    <x v="5"/>
    <s v="Dec-2012"/>
    <n v="674060428"/>
    <d v="2012-12-17T00:00:00"/>
    <n v="17"/>
    <s v="Dec"/>
    <n v="2012"/>
    <s v="Dec-2012"/>
    <s v="12/17/2012"/>
    <n v="2"/>
    <n v="8315"/>
    <n v="205.7"/>
    <n v="117.11"/>
    <n v="205.7"/>
    <n v="1710395.5"/>
    <n v="973769.65"/>
    <n v="0.43067574137092851"/>
    <n v="736625.85"/>
  </r>
  <r>
    <x v="0"/>
    <s v="San Marino"/>
    <x v="10"/>
    <x v="0"/>
    <x v="0"/>
    <s v="10/27/2016"/>
    <d v="2016-10-27T00:00:00"/>
    <n v="27"/>
    <s v="Oct"/>
    <x v="4"/>
    <s v="Oct-2016"/>
    <n v="284595954"/>
    <d v="2016-10-29T00:00:00"/>
    <n v="29"/>
    <s v="Oct"/>
    <n v="2016"/>
    <s v="Oct-2016"/>
    <s v="10/29/2016"/>
    <n v="2"/>
    <n v="7122"/>
    <n v="437.2"/>
    <n v="263.33"/>
    <n v="437.2"/>
    <n v="3113738.4"/>
    <n v="1875436.26"/>
    <n v="0.39768984446477584"/>
    <n v="1238302.1399999999"/>
  </r>
  <r>
    <x v="0"/>
    <s v="Iceland"/>
    <x v="8"/>
    <x v="0"/>
    <x v="0"/>
    <s v="5/6/2016"/>
    <d v="2016-05-06T00:00:00"/>
    <n v="6"/>
    <s v="May"/>
    <x v="4"/>
    <s v="May-2016"/>
    <n v="580314862"/>
    <d v="2016-05-12T00:00:00"/>
    <n v="12"/>
    <s v="May"/>
    <n v="2016"/>
    <s v="May-2016"/>
    <s v="5/12/2016"/>
    <n v="6"/>
    <n v="6918"/>
    <n v="255.28"/>
    <n v="159.41999999999999"/>
    <n v="255.28"/>
    <n v="1766027.04"/>
    <n v="1102867.56"/>
    <n v="0.37550924475086178"/>
    <n v="663159.48"/>
  </r>
  <r>
    <x v="0"/>
    <s v="Luxembourg"/>
    <x v="7"/>
    <x v="1"/>
    <x v="2"/>
    <s v="2/21/2013"/>
    <d v="2013-02-21T00:00:00"/>
    <n v="21"/>
    <s v="Feb"/>
    <x v="1"/>
    <s v="Feb-2013"/>
    <n v="437604176"/>
    <d v="2013-04-07T00:00:00"/>
    <n v="7"/>
    <s v="Apr"/>
    <n v="2013"/>
    <s v="Apr-2013"/>
    <s v="4/7/2013"/>
    <n v="45"/>
    <n v="5655"/>
    <n v="152.58000000000001"/>
    <n v="97.44"/>
    <n v="152.58000000000001"/>
    <n v="862839.9"/>
    <n v="551023.19999999995"/>
    <n v="0.36138419189933152"/>
    <n v="311816.7"/>
  </r>
  <r>
    <x v="0"/>
    <s v="Italy"/>
    <x v="0"/>
    <x v="0"/>
    <x v="3"/>
    <s v="12/5/2014"/>
    <d v="2014-12-05T00:00:00"/>
    <n v="5"/>
    <s v="Dec"/>
    <x v="2"/>
    <s v="Dec-2014"/>
    <n v="994978797"/>
    <d v="2015-01-02T00:00:00"/>
    <n v="2"/>
    <s v="Jan"/>
    <n v="2015"/>
    <s v="Jan-2015"/>
    <s v="1/2/2015"/>
    <n v="28"/>
    <n v="5192"/>
    <n v="47.45"/>
    <n v="31.79"/>
    <n v="47.449999999999996"/>
    <n v="246360.4"/>
    <n v="165053.68"/>
    <n v="0.33003161222339306"/>
    <n v="81306.720000000001"/>
  </r>
  <r>
    <x v="0"/>
    <s v="Greece"/>
    <x v="0"/>
    <x v="0"/>
    <x v="3"/>
    <s v="4/30/2017"/>
    <d v="2017-04-30T00:00:00"/>
    <n v="30"/>
    <s v="Apr"/>
    <x v="7"/>
    <s v="Apr-2017"/>
    <n v="317006051"/>
    <d v="2017-06-05T00:00:00"/>
    <n v="5"/>
    <s v="Jun"/>
    <n v="2017"/>
    <s v="Jun-2017"/>
    <s v="6/5/2017"/>
    <n v="36"/>
    <n v="7990"/>
    <n v="47.45"/>
    <n v="31.79"/>
    <n v="47.45"/>
    <n v="379125.5"/>
    <n v="254002.1"/>
    <n v="0.33003161222339306"/>
    <n v="125123.4"/>
  </r>
  <r>
    <x v="0"/>
    <s v="Montenegro"/>
    <x v="11"/>
    <x v="1"/>
    <x v="3"/>
    <s v="4/19/2012"/>
    <d v="2012-04-19T00:00:00"/>
    <n v="19"/>
    <s v="Apr"/>
    <x v="5"/>
    <s v="Apr-2012"/>
    <n v="933642041"/>
    <d v="2012-05-19T00:00:00"/>
    <n v="19"/>
    <s v="May"/>
    <n v="2012"/>
    <s v="May-2012"/>
    <s v="5/19/2012"/>
    <n v="30"/>
    <n v="4282"/>
    <n v="81.73"/>
    <n v="56.67"/>
    <n v="81.72999999999999"/>
    <n v="349967.86"/>
    <n v="242660.94"/>
    <n v="0.30661935641747218"/>
    <n v="107306.92"/>
  </r>
  <r>
    <x v="0"/>
    <s v="Italy"/>
    <x v="3"/>
    <x v="0"/>
    <x v="1"/>
    <s v="6/9/2016"/>
    <d v="2016-06-09T00:00:00"/>
    <n v="9"/>
    <s v="Jun"/>
    <x v="4"/>
    <s v="Jun-2016"/>
    <n v="764592492"/>
    <d v="2016-07-19T00:00:00"/>
    <n v="19"/>
    <s v="Jul"/>
    <n v="2016"/>
    <s v="Jul-2016"/>
    <s v="7/19/2016"/>
    <n v="40"/>
    <n v="8764"/>
    <n v="651.21"/>
    <n v="524.96"/>
    <n v="651.21"/>
    <n v="5707204.4400000004"/>
    <n v="4600749.4400000004"/>
    <n v="0.19386987300563566"/>
    <n v="1106455"/>
  </r>
  <r>
    <x v="0"/>
    <s v="Hungary"/>
    <x v="1"/>
    <x v="0"/>
    <x v="0"/>
    <s v="6/25/2013"/>
    <d v="2013-06-25T00:00:00"/>
    <n v="25"/>
    <s v="Jun"/>
    <x v="1"/>
    <s v="Jun-2013"/>
    <n v="931559789"/>
    <d v="2013-07-05T00:00:00"/>
    <n v="5"/>
    <s v="Jul"/>
    <n v="2013"/>
    <s v="Jul-2013"/>
    <s v="7/5/2013"/>
    <n v="10"/>
    <n v="8098"/>
    <n v="109.28"/>
    <n v="35.840000000000003"/>
    <n v="109.27999999999999"/>
    <n v="884949.44"/>
    <n v="290232.32000000001"/>
    <n v="0.67203513909224011"/>
    <n v="594717.12"/>
  </r>
  <r>
    <x v="0"/>
    <s v="Germany"/>
    <x v="0"/>
    <x v="0"/>
    <x v="2"/>
    <s v="11/26/2015"/>
    <d v="2015-11-26T00:00:00"/>
    <n v="26"/>
    <s v="Nov"/>
    <x v="6"/>
    <s v="Nov-2015"/>
    <n v="682314765"/>
    <d v="2015-12-20T00:00:00"/>
    <n v="20"/>
    <s v="Dec"/>
    <n v="2015"/>
    <s v="Dec-2015"/>
    <s v="12/20/2015"/>
    <n v="24"/>
    <n v="956"/>
    <n v="47.45"/>
    <n v="31.79"/>
    <n v="47.449999999999996"/>
    <n v="45362.2"/>
    <n v="30391.24"/>
    <n v="0.33003161222339306"/>
    <n v="14970.96"/>
  </r>
  <r>
    <x v="0"/>
    <s v="Spain"/>
    <x v="7"/>
    <x v="1"/>
    <x v="0"/>
    <s v="11/11/2016"/>
    <d v="2016-11-11T00:00:00"/>
    <n v="11"/>
    <s v="Nov"/>
    <x v="4"/>
    <s v="Nov-2016"/>
    <n v="485165965"/>
    <d v="2016-12-14T00:00:00"/>
    <n v="14"/>
    <s v="Dec"/>
    <n v="2016"/>
    <s v="Dec-2016"/>
    <s v="12/14/2016"/>
    <n v="33"/>
    <n v="245"/>
    <n v="152.58000000000001"/>
    <n v="97.44"/>
    <n v="152.57999999999998"/>
    <n v="37382.1"/>
    <n v="23872.799999999999"/>
    <n v="0.36138419189933152"/>
    <n v="13509.3"/>
  </r>
  <r>
    <x v="0"/>
    <s v="Netherlands"/>
    <x v="0"/>
    <x v="1"/>
    <x v="0"/>
    <s v="3/4/2010"/>
    <d v="2010-03-04T00:00:00"/>
    <n v="4"/>
    <s v="Mar"/>
    <x v="3"/>
    <s v="Mar-2010"/>
    <n v="601422345"/>
    <d v="2010-03-20T00:00:00"/>
    <n v="20"/>
    <s v="Mar"/>
    <n v="2010"/>
    <s v="Mar-2010"/>
    <s v="3/20/2010"/>
    <n v="16"/>
    <n v="3092"/>
    <n v="47.45"/>
    <n v="31.79"/>
    <n v="47.449999999999996"/>
    <n v="146715.4"/>
    <n v="98294.68"/>
    <n v="0.33003161222339306"/>
    <n v="48420.72"/>
  </r>
  <r>
    <x v="0"/>
    <s v="Albania"/>
    <x v="9"/>
    <x v="0"/>
    <x v="1"/>
    <s v="3/31/2012"/>
    <d v="2012-03-31T00:00:00"/>
    <n v="31"/>
    <s v="Mar"/>
    <x v="5"/>
    <s v="Mar-2012"/>
    <n v="999879729"/>
    <d v="2012-05-06T00:00:00"/>
    <n v="6"/>
    <s v="May"/>
    <n v="2012"/>
    <s v="May-2012"/>
    <s v="5/6/2012"/>
    <n v="36"/>
    <n v="5486"/>
    <n v="668.27"/>
    <n v="502.54"/>
    <n v="668.27"/>
    <n v="3666129.22"/>
    <n v="2756934.44"/>
    <n v="0.24799856345489099"/>
    <n v="909194.78"/>
  </r>
  <r>
    <x v="0"/>
    <s v="Latvia"/>
    <x v="10"/>
    <x v="0"/>
    <x v="3"/>
    <s v="3/5/2012"/>
    <d v="2012-03-05T00:00:00"/>
    <n v="5"/>
    <s v="Mar"/>
    <x v="5"/>
    <s v="Mar-2012"/>
    <n v="246603858"/>
    <d v="2012-04-15T00:00:00"/>
    <n v="15"/>
    <s v="Apr"/>
    <n v="2012"/>
    <s v="Apr-2012"/>
    <s v="4/15/2012"/>
    <n v="41"/>
    <n v="4417"/>
    <n v="437.2"/>
    <n v="263.33"/>
    <n v="437.2"/>
    <n v="1931112.4"/>
    <n v="1163128.6100000001"/>
    <n v="0.3976898444647759"/>
    <n v="767983.79"/>
  </r>
  <r>
    <x v="0"/>
    <s v="Slovakia"/>
    <x v="0"/>
    <x v="1"/>
    <x v="2"/>
    <s v="10/23/2013"/>
    <d v="2013-10-23T00:00:00"/>
    <n v="23"/>
    <s v="Oct"/>
    <x v="1"/>
    <s v="Oct-2013"/>
    <n v="291531503"/>
    <d v="2013-10-26T00:00:00"/>
    <n v="26"/>
    <s v="Oct"/>
    <n v="2013"/>
    <s v="Oct-2013"/>
    <s v="10/26/2013"/>
    <n v="3"/>
    <n v="9505"/>
    <n v="47.45"/>
    <n v="31.79"/>
    <n v="47.45"/>
    <n v="451012.25"/>
    <n v="302163.95"/>
    <n v="0.330031612223393"/>
    <n v="148848.29999999999"/>
  </r>
  <r>
    <x v="0"/>
    <s v="Kosovo"/>
    <x v="2"/>
    <x v="0"/>
    <x v="3"/>
    <s v="7/18/2017"/>
    <d v="2017-07-18T00:00:00"/>
    <n v="18"/>
    <s v="Jul"/>
    <x v="7"/>
    <s v="Jul-2017"/>
    <n v="483655774"/>
    <d v="2017-08-05T00:00:00"/>
    <n v="5"/>
    <s v="Aug"/>
    <n v="2017"/>
    <s v="Aug-2017"/>
    <s v="8/5/2017"/>
    <n v="18"/>
    <n v="3346"/>
    <n v="205.7"/>
    <n v="117.11"/>
    <n v="205.7"/>
    <n v="688272.2"/>
    <n v="391850.06"/>
    <n v="0.43067574137092857"/>
    <n v="296422.14"/>
  </r>
  <r>
    <x v="0"/>
    <s v="Armenia"/>
    <x v="11"/>
    <x v="1"/>
    <x v="0"/>
    <s v="12/10/2010"/>
    <d v="2010-12-10T00:00:00"/>
    <n v="10"/>
    <s v="Dec"/>
    <x v="3"/>
    <s v="Dec-2010"/>
    <n v="840747058"/>
    <d v="2010-12-26T00:00:00"/>
    <n v="26"/>
    <s v="Dec"/>
    <n v="2010"/>
    <s v="Dec-2010"/>
    <s v="12/26/2010"/>
    <n v="16"/>
    <n v="4593"/>
    <n v="81.73"/>
    <n v="56.67"/>
    <n v="81.73"/>
    <n v="375385.89"/>
    <n v="260285.31"/>
    <n v="0.30661935641747218"/>
    <n v="115100.58"/>
  </r>
  <r>
    <x v="0"/>
    <s v="Bosnia and Herzegovina"/>
    <x v="10"/>
    <x v="0"/>
    <x v="3"/>
    <s v="2/12/2012"/>
    <d v="2012-02-12T00:00:00"/>
    <n v="12"/>
    <s v="Feb"/>
    <x v="5"/>
    <s v="Feb-2012"/>
    <n v="205354487"/>
    <d v="2012-02-20T00:00:00"/>
    <n v="20"/>
    <s v="Feb"/>
    <n v="2012"/>
    <s v="Feb-2012"/>
    <s v="2/20/2012"/>
    <n v="8"/>
    <n v="7811"/>
    <n v="437.2"/>
    <n v="263.33"/>
    <n v="437.20000000000005"/>
    <n v="3414969.2"/>
    <n v="2056870.63"/>
    <n v="0.39768984446477584"/>
    <n v="1358098.57"/>
  </r>
  <r>
    <x v="0"/>
    <s v="Finland"/>
    <x v="2"/>
    <x v="1"/>
    <x v="3"/>
    <s v="7/16/2011"/>
    <d v="2011-07-16T00:00:00"/>
    <n v="16"/>
    <s v="Jul"/>
    <x v="0"/>
    <s v="Jul-2011"/>
    <n v="280192410"/>
    <d v="2011-08-28T00:00:00"/>
    <n v="28"/>
    <s v="Aug"/>
    <n v="2011"/>
    <s v="Aug-2011"/>
    <s v="8/28/2011"/>
    <n v="43"/>
    <n v="4016"/>
    <n v="205.7"/>
    <n v="117.11"/>
    <n v="205.7"/>
    <n v="826091.2"/>
    <n v="470313.76"/>
    <n v="0.43067574137092857"/>
    <n v="355777.44"/>
  </r>
  <r>
    <x v="0"/>
    <s v="Germany"/>
    <x v="5"/>
    <x v="0"/>
    <x v="0"/>
    <s v="3/14/2011"/>
    <d v="2011-03-14T00:00:00"/>
    <n v="14"/>
    <s v="Mar"/>
    <x v="0"/>
    <s v="Mar-2011"/>
    <n v="465753209"/>
    <d v="2011-03-14T00:00:00"/>
    <n v="14"/>
    <s v="Mar"/>
    <n v="2011"/>
    <s v="Mar-2011"/>
    <s v="3/14/2011"/>
    <n v="0"/>
    <n v="5579"/>
    <n v="154.06"/>
    <n v="90.93"/>
    <n v="154.06"/>
    <n v="859500.74"/>
    <n v="507298.47"/>
    <n v="0.40977541217707392"/>
    <n v="352202.27"/>
  </r>
  <r>
    <x v="0"/>
    <s v="Sweden"/>
    <x v="11"/>
    <x v="1"/>
    <x v="0"/>
    <s v="4/26/2011"/>
    <d v="2011-04-26T00:00:00"/>
    <n v="26"/>
    <s v="Apr"/>
    <x v="0"/>
    <s v="Apr-2011"/>
    <n v="587846076"/>
    <d v="2011-05-24T00:00:00"/>
    <n v="24"/>
    <s v="May"/>
    <n v="2011"/>
    <s v="May-2011"/>
    <s v="5/24/2011"/>
    <n v="28"/>
    <n v="5572"/>
    <n v="81.73"/>
    <n v="56.67"/>
    <n v="81.73"/>
    <n v="455399.56"/>
    <n v="315765.24"/>
    <n v="0.30661935641747218"/>
    <n v="139634.32"/>
  </r>
  <r>
    <x v="0"/>
    <s v="Armenia"/>
    <x v="2"/>
    <x v="0"/>
    <x v="3"/>
    <s v="9/10/2011"/>
    <d v="2011-09-10T00:00:00"/>
    <n v="10"/>
    <s v="Sep"/>
    <x v="0"/>
    <s v="Sep-2011"/>
    <n v="580342328"/>
    <d v="2011-10-14T00:00:00"/>
    <n v="14"/>
    <s v="Oct"/>
    <n v="2011"/>
    <s v="Oct-2011"/>
    <s v="10/14/2011"/>
    <n v="34"/>
    <n v="5046"/>
    <n v="205.7"/>
    <n v="117.11"/>
    <n v="205.7"/>
    <n v="1037962.2"/>
    <n v="590937.06000000006"/>
    <n v="0.43067574137092857"/>
    <n v="447025.14"/>
  </r>
  <r>
    <x v="0"/>
    <s v="Switzerland"/>
    <x v="6"/>
    <x v="1"/>
    <x v="0"/>
    <s v="4/21/2012"/>
    <d v="2012-04-21T00:00:00"/>
    <n v="21"/>
    <s v="Apr"/>
    <x v="5"/>
    <s v="Apr-2012"/>
    <n v="877084767"/>
    <d v="2012-06-09T00:00:00"/>
    <n v="9"/>
    <s v="Jun"/>
    <n v="2012"/>
    <s v="Jun-2012"/>
    <s v="6/9/2012"/>
    <n v="49"/>
    <n v="7728"/>
    <n v="421.89"/>
    <n v="364.69"/>
    <n v="421.89"/>
    <n v="3260365.92"/>
    <n v="2818324.32"/>
    <n v="0.13558036455000119"/>
    <n v="442041.59999999998"/>
  </r>
  <r>
    <x v="0"/>
    <s v="Norway"/>
    <x v="1"/>
    <x v="1"/>
    <x v="0"/>
    <s v="4/29/2012"/>
    <d v="2012-04-29T00:00:00"/>
    <n v="29"/>
    <s v="Apr"/>
    <x v="5"/>
    <s v="Apr-2012"/>
    <n v="709105527"/>
    <d v="2012-05-01T00:00:00"/>
    <n v="1"/>
    <s v="May"/>
    <n v="2012"/>
    <s v="May-2012"/>
    <s v="5/1/2012"/>
    <n v="2"/>
    <n v="8938"/>
    <n v="109.28"/>
    <n v="35.840000000000003"/>
    <n v="109.28"/>
    <n v="976744.64"/>
    <n v="320337.91999999998"/>
    <n v="0.67203513909224011"/>
    <n v="656406.72"/>
  </r>
  <r>
    <x v="0"/>
    <s v="San Marino"/>
    <x v="6"/>
    <x v="1"/>
    <x v="3"/>
    <s v="5/23/2016"/>
    <d v="2016-05-23T00:00:00"/>
    <n v="23"/>
    <s v="May"/>
    <x v="4"/>
    <s v="May-2016"/>
    <n v="614321839"/>
    <d v="2016-07-05T00:00:00"/>
    <n v="5"/>
    <s v="Jul"/>
    <n v="2016"/>
    <s v="Jul-2016"/>
    <s v="7/5/2016"/>
    <n v="43"/>
    <n v="339"/>
    <n v="421.89"/>
    <n v="364.69"/>
    <n v="421.89"/>
    <n v="143020.71"/>
    <n v="123629.91"/>
    <n v="0.13558036455000119"/>
    <n v="19390.8"/>
  </r>
  <r>
    <x v="0"/>
    <s v="Ukraine"/>
    <x v="10"/>
    <x v="1"/>
    <x v="2"/>
    <s v="1/18/2011"/>
    <d v="2011-01-18T00:00:00"/>
    <n v="18"/>
    <s v="Jan"/>
    <x v="0"/>
    <s v="Jan-2011"/>
    <n v="329529607"/>
    <d v="2011-01-23T00:00:00"/>
    <n v="23"/>
    <s v="Jan"/>
    <n v="2011"/>
    <s v="Jan-2011"/>
    <s v="1/23/2011"/>
    <n v="5"/>
    <n v="3988"/>
    <n v="437.2"/>
    <n v="263.33"/>
    <n v="437.20000000000005"/>
    <n v="1743553.6"/>
    <n v="1050160.04"/>
    <n v="0.39768984446477584"/>
    <n v="693393.56"/>
  </r>
  <r>
    <x v="0"/>
    <s v="Ireland"/>
    <x v="4"/>
    <x v="1"/>
    <x v="2"/>
    <s v="5/30/2010"/>
    <d v="2010-05-30T00:00:00"/>
    <n v="30"/>
    <s v="May"/>
    <x v="3"/>
    <s v="May-2010"/>
    <n v="223869454"/>
    <d v="2010-06-27T00:00:00"/>
    <n v="27"/>
    <s v="Jun"/>
    <n v="2010"/>
    <s v="Jun-2010"/>
    <s v="6/27/2010"/>
    <n v="28"/>
    <n v="6801"/>
    <n v="9.33"/>
    <n v="6.92"/>
    <n v="9.33"/>
    <n v="63453.33"/>
    <n v="47062.92"/>
    <n v="0.25830653804930331"/>
    <n v="16390.41"/>
  </r>
  <r>
    <x v="0"/>
    <s v="Czech Republic"/>
    <x v="3"/>
    <x v="0"/>
    <x v="3"/>
    <s v="5/11/2012"/>
    <d v="2012-05-11T00:00:00"/>
    <n v="11"/>
    <s v="May"/>
    <x v="5"/>
    <s v="May-2012"/>
    <n v="189108455"/>
    <d v="2012-06-30T00:00:00"/>
    <n v="30"/>
    <s v="Jun"/>
    <n v="2012"/>
    <s v="Jun-2012"/>
    <s v="6/30/2012"/>
    <n v="50"/>
    <n v="249"/>
    <n v="651.21"/>
    <n v="524.96"/>
    <n v="651.21"/>
    <n v="162151.29"/>
    <n v="130715.04"/>
    <n v="0.19386987300563566"/>
    <n v="31436.25"/>
  </r>
  <r>
    <x v="0"/>
    <s v="Sweden"/>
    <x v="4"/>
    <x v="0"/>
    <x v="2"/>
    <s v="1/14/2015"/>
    <d v="2015-01-14T00:00:00"/>
    <n v="14"/>
    <s v="Jan"/>
    <x v="6"/>
    <s v="Jan-2015"/>
    <n v="452471768"/>
    <d v="2015-02-10T00:00:00"/>
    <n v="10"/>
    <s v="Feb"/>
    <n v="2015"/>
    <s v="Feb-2015"/>
    <s v="2/10/2015"/>
    <n v="27"/>
    <n v="5306"/>
    <n v="9.33"/>
    <n v="6.92"/>
    <n v="9.33"/>
    <n v="49504.98"/>
    <n v="36717.519999999997"/>
    <n v="0.25830653804930331"/>
    <n v="12787.46"/>
  </r>
  <r>
    <x v="0"/>
    <s v="Germany"/>
    <x v="2"/>
    <x v="0"/>
    <x v="1"/>
    <s v="4/30/2016"/>
    <d v="2016-04-30T00:00:00"/>
    <n v="30"/>
    <s v="Apr"/>
    <x v="4"/>
    <s v="Apr-2016"/>
    <n v="174218118"/>
    <d v="2016-06-13T00:00:00"/>
    <n v="13"/>
    <s v="Jun"/>
    <n v="2016"/>
    <s v="Jun-2016"/>
    <s v="6/13/2016"/>
    <n v="44"/>
    <n v="3867"/>
    <n v="205.7"/>
    <n v="117.11"/>
    <n v="205.70000000000002"/>
    <n v="795441.9"/>
    <n v="452864.37"/>
    <n v="0.43067574137092857"/>
    <n v="342577.53"/>
  </r>
  <r>
    <x v="0"/>
    <s v="Germany"/>
    <x v="6"/>
    <x v="1"/>
    <x v="3"/>
    <s v="5/28/2017"/>
    <d v="2017-05-28T00:00:00"/>
    <n v="28"/>
    <s v="May"/>
    <x v="7"/>
    <s v="May-2017"/>
    <n v="820437371"/>
    <d v="2017-06-11T00:00:00"/>
    <n v="11"/>
    <s v="Jun"/>
    <n v="2017"/>
    <s v="Jun-2017"/>
    <s v="6/11/2017"/>
    <n v="14"/>
    <n v="4505"/>
    <n v="421.89"/>
    <n v="364.69"/>
    <n v="421.89"/>
    <n v="1900614.45"/>
    <n v="1642928.45"/>
    <n v="0.13558036455000119"/>
    <n v="257686"/>
  </r>
  <r>
    <x v="0"/>
    <s v="Slovenia"/>
    <x v="11"/>
    <x v="0"/>
    <x v="2"/>
    <s v="2/6/2012"/>
    <d v="2012-02-06T00:00:00"/>
    <n v="6"/>
    <s v="Feb"/>
    <x v="5"/>
    <s v="Feb-2012"/>
    <n v="410291135"/>
    <d v="2012-02-22T00:00:00"/>
    <n v="22"/>
    <s v="Feb"/>
    <n v="2012"/>
    <s v="Feb-2012"/>
    <s v="2/22/2012"/>
    <n v="16"/>
    <n v="3119"/>
    <n v="81.73"/>
    <n v="56.67"/>
    <n v="81.73"/>
    <n v="254915.87"/>
    <n v="176753.73"/>
    <n v="0.30661935641747218"/>
    <n v="78162.14"/>
  </r>
  <r>
    <x v="0"/>
    <s v="Andorra"/>
    <x v="8"/>
    <x v="0"/>
    <x v="0"/>
    <s v="6/24/2017"/>
    <d v="2017-06-24T00:00:00"/>
    <n v="24"/>
    <s v="Jun"/>
    <x v="7"/>
    <s v="Jun-2017"/>
    <n v="174614226"/>
    <d v="2017-08-13T00:00:00"/>
    <n v="13"/>
    <s v="Aug"/>
    <n v="2017"/>
    <s v="Aug-2017"/>
    <s v="8/13/2017"/>
    <n v="50"/>
    <n v="1085"/>
    <n v="255.28"/>
    <n v="159.41999999999999"/>
    <n v="255.28"/>
    <n v="276978.8"/>
    <n v="172970.7"/>
    <n v="0.37550924475086184"/>
    <n v="104008.1"/>
  </r>
  <r>
    <x v="0"/>
    <s v="Vatican City"/>
    <x v="7"/>
    <x v="0"/>
    <x v="2"/>
    <s v="6/2/2011"/>
    <d v="2011-06-02T00:00:00"/>
    <n v="2"/>
    <s v="Jun"/>
    <x v="0"/>
    <s v="Jun-2011"/>
    <n v="118859469"/>
    <d v="2011-07-01T00:00:00"/>
    <n v="1"/>
    <s v="Jul"/>
    <n v="2011"/>
    <s v="Jul-2011"/>
    <s v="7/1/2011"/>
    <n v="29"/>
    <n v="2013"/>
    <n v="152.58000000000001"/>
    <n v="97.44"/>
    <n v="152.57999999999998"/>
    <n v="307143.53999999998"/>
    <n v="196146.72"/>
    <n v="0.36138419189933152"/>
    <n v="110996.82"/>
  </r>
  <r>
    <x v="0"/>
    <s v="Belarus"/>
    <x v="10"/>
    <x v="0"/>
    <x v="3"/>
    <s v="7/30/2015"/>
    <d v="2015-07-30T00:00:00"/>
    <n v="30"/>
    <s v="Jul"/>
    <x v="6"/>
    <s v="Jul-2015"/>
    <n v="669550883"/>
    <d v="2015-09-16T00:00:00"/>
    <n v="16"/>
    <s v="Sep"/>
    <n v="2015"/>
    <s v="Sep-2015"/>
    <s v="9/16/2015"/>
    <n v="48"/>
    <n v="3840"/>
    <n v="437.2"/>
    <n v="263.33"/>
    <n v="437.2"/>
    <n v="1678848"/>
    <n v="1011187.2"/>
    <n v="0.3976898444647759"/>
    <n v="667660.80000000005"/>
  </r>
  <r>
    <x v="0"/>
    <s v="United Kingdom"/>
    <x v="11"/>
    <x v="1"/>
    <x v="1"/>
    <s v="6/17/2012"/>
    <d v="2012-06-17T00:00:00"/>
    <n v="17"/>
    <s v="Jun"/>
    <x v="5"/>
    <s v="Jun-2012"/>
    <n v="439114367"/>
    <d v="2012-06-26T00:00:00"/>
    <n v="26"/>
    <s v="Jun"/>
    <n v="2012"/>
    <s v="Jun-2012"/>
    <s v="6/26/2012"/>
    <n v="9"/>
    <n v="2554"/>
    <n v="81.73"/>
    <n v="56.67"/>
    <n v="81.73"/>
    <n v="208738.42"/>
    <n v="144735.18"/>
    <n v="0.30661935641747212"/>
    <n v="64003.24"/>
  </r>
  <r>
    <x v="0"/>
    <s v="Moldova "/>
    <x v="9"/>
    <x v="1"/>
    <x v="1"/>
    <s v="1/31/2011"/>
    <d v="2011-01-31T00:00:00"/>
    <n v="31"/>
    <s v="Jan"/>
    <x v="0"/>
    <s v="Jan-2011"/>
    <n v="582563626"/>
    <d v="2011-02-19T00:00:00"/>
    <n v="19"/>
    <s v="Feb"/>
    <n v="2011"/>
    <s v="Feb-2011"/>
    <s v="2/19/2011"/>
    <n v="19"/>
    <n v="2378"/>
    <n v="668.27"/>
    <n v="502.54"/>
    <n v="668.27"/>
    <n v="1589146.06"/>
    <n v="1195040.1200000001"/>
    <n v="0.24799856345489099"/>
    <n v="394105.94"/>
  </r>
  <r>
    <x v="0"/>
    <s v="Latvia"/>
    <x v="7"/>
    <x v="1"/>
    <x v="1"/>
    <s v="2/8/2013"/>
    <d v="2013-02-08T00:00:00"/>
    <n v="8"/>
    <s v="Feb"/>
    <x v="1"/>
    <s v="Feb-2013"/>
    <n v="943274819"/>
    <d v="2013-03-08T00:00:00"/>
    <n v="8"/>
    <s v="Mar"/>
    <n v="2013"/>
    <s v="Mar-2013"/>
    <s v="3/8/2013"/>
    <n v="28"/>
    <n v="4836"/>
    <n v="152.58000000000001"/>
    <n v="97.44"/>
    <n v="152.58000000000001"/>
    <n v="737876.88"/>
    <n v="471219.84"/>
    <n v="0.36138419189933146"/>
    <n v="266657.03999999998"/>
  </r>
  <r>
    <x v="0"/>
    <s v="Hungary"/>
    <x v="3"/>
    <x v="1"/>
    <x v="3"/>
    <s v="12/5/2010"/>
    <d v="2010-12-05T00:00:00"/>
    <n v="5"/>
    <s v="Dec"/>
    <x v="3"/>
    <s v="Dec-2010"/>
    <n v="313821303"/>
    <d v="2011-01-17T00:00:00"/>
    <n v="17"/>
    <s v="Jan"/>
    <n v="2011"/>
    <s v="Jan-2011"/>
    <s v="1/17/2011"/>
    <n v="43"/>
    <n v="5552"/>
    <n v="651.21"/>
    <n v="524.96"/>
    <n v="651.21"/>
    <n v="3615517.92"/>
    <n v="2914577.92"/>
    <n v="0.19386987300563566"/>
    <n v="700940"/>
  </r>
  <r>
    <x v="0"/>
    <s v="Slovakia"/>
    <x v="0"/>
    <x v="1"/>
    <x v="1"/>
    <s v="9/2/2015"/>
    <d v="2015-09-02T00:00:00"/>
    <n v="2"/>
    <s v="Sep"/>
    <x v="6"/>
    <s v="Sep-2015"/>
    <n v="431753098"/>
    <d v="2015-10-19T00:00:00"/>
    <n v="19"/>
    <s v="Oct"/>
    <n v="2015"/>
    <s v="Oct-2015"/>
    <s v="10/19/2015"/>
    <n v="47"/>
    <n v="4191"/>
    <n v="47.45"/>
    <n v="31.79"/>
    <n v="47.45"/>
    <n v="198862.95"/>
    <n v="133231.89000000001"/>
    <n v="0.330031612223393"/>
    <n v="65631.06"/>
  </r>
  <r>
    <x v="0"/>
    <s v="Bosnia and Herzegovina"/>
    <x v="9"/>
    <x v="1"/>
    <x v="0"/>
    <s v="12/28/2011"/>
    <d v="2011-12-28T00:00:00"/>
    <n v="28"/>
    <s v="Dec"/>
    <x v="0"/>
    <s v="Dec-2011"/>
    <n v="969289243"/>
    <d v="2012-02-02T00:00:00"/>
    <n v="2"/>
    <s v="Feb"/>
    <n v="2012"/>
    <s v="Feb-2012"/>
    <s v="2/2/2012"/>
    <n v="36"/>
    <n v="3082"/>
    <n v="668.27"/>
    <n v="502.54"/>
    <n v="668.27"/>
    <n v="2059608.14"/>
    <n v="1548828.28"/>
    <n v="0.24799856345489099"/>
    <n v="510779.86"/>
  </r>
  <r>
    <x v="0"/>
    <s v="Norway"/>
    <x v="7"/>
    <x v="0"/>
    <x v="1"/>
    <s v="7/17/2011"/>
    <d v="2011-07-17T00:00:00"/>
    <n v="17"/>
    <s v="Jul"/>
    <x v="0"/>
    <s v="Jul-2011"/>
    <n v="861982858"/>
    <d v="2011-09-04T00:00:00"/>
    <n v="4"/>
    <s v="Sep"/>
    <n v="2011"/>
    <s v="Sep-2011"/>
    <s v="9/4/2011"/>
    <n v="49"/>
    <n v="8738"/>
    <n v="152.58000000000001"/>
    <n v="97.44"/>
    <n v="152.58000000000001"/>
    <n v="1333244.04"/>
    <n v="851430.72"/>
    <n v="0.36138419189933152"/>
    <n v="481813.32"/>
  </r>
  <r>
    <x v="0"/>
    <s v="Italy"/>
    <x v="6"/>
    <x v="1"/>
    <x v="1"/>
    <s v="2/21/2016"/>
    <d v="2016-02-21T00:00:00"/>
    <n v="21"/>
    <s v="Feb"/>
    <x v="4"/>
    <s v="Feb-2016"/>
    <n v="290317428"/>
    <d v="2016-04-02T00:00:00"/>
    <n v="2"/>
    <s v="Apr"/>
    <n v="2016"/>
    <s v="Apr-2016"/>
    <s v="4/2/2016"/>
    <n v="41"/>
    <n v="233"/>
    <n v="421.89"/>
    <n v="364.69"/>
    <n v="421.89"/>
    <n v="98300.37"/>
    <n v="84972.77"/>
    <n v="0.13558036455000119"/>
    <n v="13327.6"/>
  </r>
  <r>
    <x v="0"/>
    <s v="Slovenia"/>
    <x v="1"/>
    <x v="0"/>
    <x v="0"/>
    <s v="6/2/2016"/>
    <d v="2016-06-02T00:00:00"/>
    <n v="2"/>
    <s v="Jun"/>
    <x v="4"/>
    <s v="Jun-2016"/>
    <n v="105030000"/>
    <d v="2016-06-13T00:00:00"/>
    <n v="13"/>
    <s v="Jun"/>
    <n v="2016"/>
    <s v="Jun-2016"/>
    <s v="6/13/2016"/>
    <n v="11"/>
    <n v="9566"/>
    <n v="109.28"/>
    <n v="35.840000000000003"/>
    <n v="109.28"/>
    <n v="1045372.48"/>
    <n v="342845.44"/>
    <n v="0.67203513909224022"/>
    <n v="702527.04"/>
  </r>
  <r>
    <x v="0"/>
    <s v="Belgium"/>
    <x v="0"/>
    <x v="1"/>
    <x v="3"/>
    <s v="8/31/2015"/>
    <d v="2015-08-31T00:00:00"/>
    <n v="31"/>
    <s v="Aug"/>
    <x v="6"/>
    <s v="Aug-2015"/>
    <n v="960213077"/>
    <d v="2015-10-16T00:00:00"/>
    <n v="16"/>
    <s v="Oct"/>
    <n v="2015"/>
    <s v="Oct-2015"/>
    <s v="10/16/2015"/>
    <n v="46"/>
    <n v="7242"/>
    <n v="47.45"/>
    <n v="31.79"/>
    <n v="47.45"/>
    <n v="343632.9"/>
    <n v="230223.18"/>
    <n v="0.330031612223393"/>
    <n v="113409.72"/>
  </r>
  <r>
    <x v="0"/>
    <s v="Hungary"/>
    <x v="10"/>
    <x v="0"/>
    <x v="2"/>
    <s v="5/27/2014"/>
    <d v="2014-05-27T00:00:00"/>
    <n v="27"/>
    <s v="May"/>
    <x v="2"/>
    <s v="May-2014"/>
    <n v="743619334"/>
    <d v="2014-07-09T00:00:00"/>
    <n v="9"/>
    <s v="Jul"/>
    <n v="2014"/>
    <s v="Jul-2014"/>
    <s v="7/9/2014"/>
    <n v="43"/>
    <n v="2341"/>
    <n v="437.2"/>
    <n v="263.33"/>
    <n v="437.2"/>
    <n v="1023485.2"/>
    <n v="616455.53"/>
    <n v="0.39768984446477584"/>
    <n v="407029.67"/>
  </r>
  <r>
    <x v="0"/>
    <s v="Ireland"/>
    <x v="3"/>
    <x v="0"/>
    <x v="3"/>
    <s v="12/15/2016"/>
    <d v="2016-12-15T00:00:00"/>
    <n v="15"/>
    <s v="Dec"/>
    <x v="4"/>
    <s v="Dec-2016"/>
    <n v="263977277"/>
    <d v="2017-01-10T00:00:00"/>
    <n v="10"/>
    <s v="Jan"/>
    <n v="2017"/>
    <s v="Jan-2017"/>
    <s v="1/10/2017"/>
    <n v="26"/>
    <n v="5597"/>
    <n v="651.21"/>
    <n v="524.96"/>
    <n v="651.21"/>
    <n v="3644822.37"/>
    <n v="2938201.12"/>
    <n v="0.19386987300563566"/>
    <n v="706621.25"/>
  </r>
  <r>
    <x v="0"/>
    <s v="Montenegro"/>
    <x v="3"/>
    <x v="0"/>
    <x v="3"/>
    <s v="4/23/2011"/>
    <d v="2011-04-23T00:00:00"/>
    <n v="23"/>
    <s v="Apr"/>
    <x v="0"/>
    <s v="Apr-2011"/>
    <n v="819152915"/>
    <d v="2011-04-24T00:00:00"/>
    <n v="24"/>
    <s v="Apr"/>
    <n v="2011"/>
    <s v="Apr-2011"/>
    <s v="4/24/2011"/>
    <n v="1"/>
    <n v="4406"/>
    <n v="651.21"/>
    <n v="524.96"/>
    <n v="651.20999999999992"/>
    <n v="2869231.26"/>
    <n v="2312973.7599999998"/>
    <n v="0.19386987300563568"/>
    <n v="556257.5"/>
  </r>
  <r>
    <x v="0"/>
    <s v="France"/>
    <x v="11"/>
    <x v="0"/>
    <x v="0"/>
    <s v="8/13/2015"/>
    <d v="2015-08-13T00:00:00"/>
    <n v="13"/>
    <s v="Aug"/>
    <x v="6"/>
    <s v="Aug-2015"/>
    <n v="980598723"/>
    <d v="2015-09-24T00:00:00"/>
    <n v="24"/>
    <s v="Sep"/>
    <n v="2015"/>
    <s v="Sep-2015"/>
    <s v="9/24/2015"/>
    <n v="42"/>
    <n v="9808"/>
    <n v="81.73"/>
    <n v="56.67"/>
    <n v="81.72999999999999"/>
    <n v="801607.84"/>
    <n v="555819.36"/>
    <n v="0.30661935641747218"/>
    <n v="245788.48"/>
  </r>
  <r>
    <x v="0"/>
    <s v="Andorra"/>
    <x v="1"/>
    <x v="0"/>
    <x v="2"/>
    <s v="5/18/2011"/>
    <d v="2011-05-18T00:00:00"/>
    <n v="18"/>
    <s v="May"/>
    <x v="0"/>
    <s v="May-2011"/>
    <n v="974147260"/>
    <d v="2011-06-08T00:00:00"/>
    <n v="8"/>
    <s v="Jun"/>
    <n v="2011"/>
    <s v="Jun-2011"/>
    <s v="6/8/2011"/>
    <n v="21"/>
    <n v="677"/>
    <n v="109.28"/>
    <n v="35.840000000000003"/>
    <n v="109.28"/>
    <n v="73982.559999999998"/>
    <n v="24263.68"/>
    <n v="0.67203513909224011"/>
    <n v="49718.879999999997"/>
  </r>
  <r>
    <x v="0"/>
    <s v="Finland"/>
    <x v="3"/>
    <x v="1"/>
    <x v="3"/>
    <s v="12/21/2011"/>
    <d v="2011-12-21T00:00:00"/>
    <n v="21"/>
    <s v="Dec"/>
    <x v="0"/>
    <s v="Dec-2011"/>
    <n v="719404351"/>
    <d v="2012-01-10T00:00:00"/>
    <n v="10"/>
    <s v="Jan"/>
    <n v="2012"/>
    <s v="Jan-2012"/>
    <s v="1/10/2012"/>
    <n v="20"/>
    <n v="6589"/>
    <n v="651.21"/>
    <n v="524.96"/>
    <n v="651.21"/>
    <n v="4290822.6900000004"/>
    <n v="3458961.44"/>
    <n v="0.19386987300563566"/>
    <n v="831861.25"/>
  </r>
  <r>
    <x v="0"/>
    <s v="Georgia"/>
    <x v="11"/>
    <x v="0"/>
    <x v="2"/>
    <s v="7/24/2015"/>
    <d v="2015-07-24T00:00:00"/>
    <n v="24"/>
    <s v="Jul"/>
    <x v="6"/>
    <s v="Jul-2015"/>
    <n v="643770778"/>
    <d v="2015-07-31T00:00:00"/>
    <n v="31"/>
    <s v="Jul"/>
    <n v="2015"/>
    <s v="Jul-2015"/>
    <s v="7/31/2015"/>
    <n v="7"/>
    <n v="4934"/>
    <n v="81.73"/>
    <n v="56.67"/>
    <n v="81.73"/>
    <n v="403255.82"/>
    <n v="279609.78000000003"/>
    <n v="0.30661935641747212"/>
    <n v="123646.04"/>
  </r>
  <r>
    <x v="0"/>
    <s v="Armenia"/>
    <x v="6"/>
    <x v="0"/>
    <x v="0"/>
    <s v="10/1/2016"/>
    <d v="2016-10-01T00:00:00"/>
    <n v="1"/>
    <s v="Oct"/>
    <x v="4"/>
    <s v="Oct-2016"/>
    <n v="645309722"/>
    <d v="2016-11-06T00:00:00"/>
    <n v="6"/>
    <s v="Nov"/>
    <n v="2016"/>
    <s v="Nov-2016"/>
    <s v="11/6/2016"/>
    <n v="36"/>
    <n v="342"/>
    <n v="421.89"/>
    <n v="364.69"/>
    <n v="421.89"/>
    <n v="144286.38"/>
    <n v="124723.98"/>
    <n v="0.13558036455000119"/>
    <n v="19562.400000000001"/>
  </r>
  <r>
    <x v="0"/>
    <s v="Malta"/>
    <x v="2"/>
    <x v="0"/>
    <x v="1"/>
    <s v="7/20/2013"/>
    <d v="2013-07-20T00:00:00"/>
    <n v="20"/>
    <s v="Jul"/>
    <x v="1"/>
    <s v="Jul-2013"/>
    <n v="469144809"/>
    <d v="2013-08-24T00:00:00"/>
    <n v="24"/>
    <s v="Aug"/>
    <n v="2013"/>
    <s v="Aug-2013"/>
    <s v="8/24/2013"/>
    <n v="35"/>
    <n v="9229"/>
    <n v="205.7"/>
    <n v="117.11"/>
    <n v="205.70000000000002"/>
    <n v="1898405.3"/>
    <n v="1080808.19"/>
    <n v="0.43067574137092851"/>
    <n v="817597.11"/>
  </r>
  <r>
    <x v="0"/>
    <s v="Norway"/>
    <x v="10"/>
    <x v="1"/>
    <x v="2"/>
    <s v="7/20/2011"/>
    <d v="2011-07-20T00:00:00"/>
    <n v="20"/>
    <s v="Jul"/>
    <x v="0"/>
    <s v="Jul-2011"/>
    <n v="821916663"/>
    <d v="2011-08-26T00:00:00"/>
    <n v="26"/>
    <s v="Aug"/>
    <n v="2011"/>
    <s v="Aug-2011"/>
    <s v="8/26/2011"/>
    <n v="37"/>
    <n v="2260"/>
    <n v="437.2"/>
    <n v="263.33"/>
    <n v="437.2"/>
    <n v="988072"/>
    <n v="595125.80000000005"/>
    <n v="0.39768984446477584"/>
    <n v="392946.2"/>
  </r>
  <r>
    <x v="0"/>
    <s v="Austria"/>
    <x v="9"/>
    <x v="0"/>
    <x v="1"/>
    <s v="8/27/2010"/>
    <d v="2010-08-27T00:00:00"/>
    <n v="27"/>
    <s v="Aug"/>
    <x v="3"/>
    <s v="Aug-2010"/>
    <n v="835265910"/>
    <d v="2010-10-01T00:00:00"/>
    <n v="1"/>
    <s v="Oct"/>
    <n v="2010"/>
    <s v="Oct-2010"/>
    <s v="10/1/2010"/>
    <n v="35"/>
    <n v="2599"/>
    <n v="668.27"/>
    <n v="502.54"/>
    <n v="668.27"/>
    <n v="1736833.73"/>
    <n v="1306101.46"/>
    <n v="0.24799856345489099"/>
    <n v="430732.27"/>
  </r>
  <r>
    <x v="0"/>
    <s v="Greece"/>
    <x v="9"/>
    <x v="1"/>
    <x v="2"/>
    <s v="9/26/2013"/>
    <d v="2013-09-26T00:00:00"/>
    <n v="26"/>
    <s v="Sep"/>
    <x v="1"/>
    <s v="Sep-2013"/>
    <n v="195259082"/>
    <d v="2013-10-11T00:00:00"/>
    <n v="11"/>
    <s v="Oct"/>
    <n v="2013"/>
    <s v="Oct-2013"/>
    <s v="10/11/2013"/>
    <n v="15"/>
    <n v="356"/>
    <n v="668.27"/>
    <n v="502.54"/>
    <n v="668.27"/>
    <n v="237904.12"/>
    <n v="178904.24"/>
    <n v="0.24799856345489099"/>
    <n v="58999.88"/>
  </r>
  <r>
    <x v="0"/>
    <s v="Cyprus"/>
    <x v="1"/>
    <x v="1"/>
    <x v="0"/>
    <s v="5/17/2012"/>
    <d v="2012-05-17T00:00:00"/>
    <n v="17"/>
    <s v="May"/>
    <x v="5"/>
    <s v="May-2012"/>
    <n v="593158566"/>
    <d v="2012-06-25T00:00:00"/>
    <n v="25"/>
    <s v="Jun"/>
    <n v="2012"/>
    <s v="Jun-2012"/>
    <s v="6/25/2012"/>
    <n v="39"/>
    <n v="7656"/>
    <n v="109.28"/>
    <n v="35.840000000000003"/>
    <n v="109.28"/>
    <n v="836647.68"/>
    <n v="274391.03999999998"/>
    <n v="0.67203513909224011"/>
    <n v="562256.64000000001"/>
  </r>
  <r>
    <x v="0"/>
    <s v="Serbia"/>
    <x v="5"/>
    <x v="0"/>
    <x v="0"/>
    <s v="3/22/2014"/>
    <d v="2014-03-22T00:00:00"/>
    <n v="22"/>
    <s v="Mar"/>
    <x v="2"/>
    <s v="Mar-2014"/>
    <n v="717833220"/>
    <d v="2014-04-03T00:00:00"/>
    <n v="3"/>
    <s v="Apr"/>
    <n v="2014"/>
    <s v="Apr-2014"/>
    <s v="4/3/2014"/>
    <n v="12"/>
    <n v="1657"/>
    <n v="154.06"/>
    <n v="90.93"/>
    <n v="154.06"/>
    <n v="255277.42"/>
    <n v="150671.01"/>
    <n v="0.40977541217707386"/>
    <n v="104606.41"/>
  </r>
  <r>
    <x v="0"/>
    <s v="Belgium"/>
    <x v="5"/>
    <x v="1"/>
    <x v="3"/>
    <s v="5/26/2013"/>
    <d v="2013-05-26T00:00:00"/>
    <n v="26"/>
    <s v="May"/>
    <x v="1"/>
    <s v="May-2013"/>
    <n v="682066285"/>
    <d v="2013-07-13T00:00:00"/>
    <n v="13"/>
    <s v="Jul"/>
    <n v="2013"/>
    <s v="Jul-2013"/>
    <s v="7/13/2013"/>
    <n v="48"/>
    <n v="7426"/>
    <n v="154.06"/>
    <n v="90.93"/>
    <n v="154.06"/>
    <n v="1144049.56"/>
    <n v="675246.18"/>
    <n v="0.40977541217707386"/>
    <n v="468803.38"/>
  </r>
  <r>
    <x v="0"/>
    <s v="Greece"/>
    <x v="2"/>
    <x v="1"/>
    <x v="3"/>
    <s v="1/24/2013"/>
    <d v="2013-01-24T00:00:00"/>
    <n v="24"/>
    <s v="Jan"/>
    <x v="1"/>
    <s v="Jan-2013"/>
    <n v="412215459"/>
    <d v="2013-01-31T00:00:00"/>
    <n v="31"/>
    <s v="Jan"/>
    <n v="2013"/>
    <s v="Jan-2013"/>
    <s v="1/31/2013"/>
    <n v="7"/>
    <n v="2569"/>
    <n v="205.7"/>
    <n v="117.11"/>
    <n v="205.70000000000002"/>
    <n v="528443.30000000005"/>
    <n v="300855.59000000003"/>
    <n v="0.43067574137092851"/>
    <n v="227587.71"/>
  </r>
  <r>
    <x v="0"/>
    <s v="Bosnia and Herzegovina"/>
    <x v="3"/>
    <x v="0"/>
    <x v="0"/>
    <s v="5/2/2010"/>
    <d v="2010-05-02T00:00:00"/>
    <n v="2"/>
    <s v="May"/>
    <x v="3"/>
    <s v="May-2010"/>
    <n v="152746713"/>
    <d v="2010-05-08T00:00:00"/>
    <n v="8"/>
    <s v="May"/>
    <n v="2010"/>
    <s v="May-2010"/>
    <s v="5/8/2010"/>
    <n v="6"/>
    <n v="2"/>
    <n v="651.21"/>
    <n v="524.96"/>
    <n v="651.21"/>
    <n v="1302.42"/>
    <n v="1049.92"/>
    <n v="0.19386987300563566"/>
    <n v="252.5"/>
  </r>
  <r>
    <x v="0"/>
    <s v="Italy"/>
    <x v="2"/>
    <x v="1"/>
    <x v="1"/>
    <s v="1/6/2013"/>
    <d v="2013-01-06T00:00:00"/>
    <n v="6"/>
    <s v="Jan"/>
    <x v="1"/>
    <s v="Jan-2013"/>
    <n v="715309798"/>
    <d v="2013-02-10T00:00:00"/>
    <n v="10"/>
    <s v="Feb"/>
    <n v="2013"/>
    <s v="Feb-2013"/>
    <s v="2/10/2013"/>
    <n v="35"/>
    <n v="4920"/>
    <n v="205.7"/>
    <n v="117.11"/>
    <n v="205.7"/>
    <n v="1012044"/>
    <n v="576181.19999999995"/>
    <n v="0.43067574137092851"/>
    <n v="435862.8"/>
  </r>
  <r>
    <x v="0"/>
    <s v="Belarus"/>
    <x v="4"/>
    <x v="1"/>
    <x v="2"/>
    <s v="8/1/2010"/>
    <d v="2010-08-01T00:00:00"/>
    <n v="1"/>
    <s v="Aug"/>
    <x v="3"/>
    <s v="Aug-2010"/>
    <n v="466517961"/>
    <d v="2010-09-07T00:00:00"/>
    <n v="7"/>
    <s v="Sep"/>
    <n v="2010"/>
    <s v="Sep-2010"/>
    <s v="9/7/2010"/>
    <n v="37"/>
    <n v="1886"/>
    <n v="9.33"/>
    <n v="6.92"/>
    <n v="9.33"/>
    <n v="17596.38"/>
    <n v="13051.12"/>
    <n v="0.25830653804930331"/>
    <n v="4545.26"/>
  </r>
  <r>
    <x v="0"/>
    <s v="Latvia"/>
    <x v="6"/>
    <x v="0"/>
    <x v="0"/>
    <s v="7/24/2011"/>
    <d v="2011-07-24T00:00:00"/>
    <n v="24"/>
    <s v="Jul"/>
    <x v="0"/>
    <s v="Jul-2011"/>
    <n v="825065791"/>
    <d v="2011-08-28T00:00:00"/>
    <n v="28"/>
    <s v="Aug"/>
    <n v="2011"/>
    <s v="Aug-2011"/>
    <s v="8/28/2011"/>
    <n v="35"/>
    <n v="4157"/>
    <n v="421.89"/>
    <n v="364.69"/>
    <n v="421.89"/>
    <n v="1753796.73"/>
    <n v="1516016.33"/>
    <n v="0.13558036455000119"/>
    <n v="237780.4"/>
  </r>
  <r>
    <x v="0"/>
    <s v="Iceland"/>
    <x v="3"/>
    <x v="1"/>
    <x v="2"/>
    <s v="2/18/2015"/>
    <d v="2015-02-18T00:00:00"/>
    <n v="18"/>
    <s v="Feb"/>
    <x v="6"/>
    <s v="Feb-2015"/>
    <n v="384976232"/>
    <d v="2015-04-03T00:00:00"/>
    <n v="3"/>
    <s v="Apr"/>
    <n v="2015"/>
    <s v="Apr-2015"/>
    <s v="4/3/2015"/>
    <n v="44"/>
    <n v="1877"/>
    <n v="651.21"/>
    <n v="524.96"/>
    <n v="651.20999999999992"/>
    <n v="1222321.17"/>
    <n v="985349.92"/>
    <n v="0.19386987300563568"/>
    <n v="236971.25"/>
  </r>
  <r>
    <x v="0"/>
    <s v="Hungary"/>
    <x v="3"/>
    <x v="0"/>
    <x v="0"/>
    <s v="9/18/2015"/>
    <d v="2015-09-18T00:00:00"/>
    <n v="18"/>
    <s v="Sep"/>
    <x v="6"/>
    <s v="Sep-2015"/>
    <n v="467924726"/>
    <d v="2015-10-20T00:00:00"/>
    <n v="20"/>
    <s v="Oct"/>
    <n v="2015"/>
    <s v="Oct-2015"/>
    <s v="10/20/2015"/>
    <n v="32"/>
    <n v="8179"/>
    <n v="651.21"/>
    <n v="524.96"/>
    <n v="651.21"/>
    <n v="5326246.59"/>
    <n v="4293647.84"/>
    <n v="0.19386987300563566"/>
    <n v="1032598.75"/>
  </r>
  <r>
    <x v="0"/>
    <s v="Greece"/>
    <x v="2"/>
    <x v="0"/>
    <x v="2"/>
    <s v="10/23/2011"/>
    <d v="2011-10-23T00:00:00"/>
    <n v="23"/>
    <s v="Oct"/>
    <x v="0"/>
    <s v="Oct-2011"/>
    <n v="280477797"/>
    <d v="2011-10-24T00:00:00"/>
    <n v="24"/>
    <s v="Oct"/>
    <n v="2011"/>
    <s v="Oct-2011"/>
    <s v="10/24/2011"/>
    <n v="1"/>
    <n v="8468"/>
    <n v="205.7"/>
    <n v="117.11"/>
    <n v="205.70000000000002"/>
    <n v="1741867.6"/>
    <n v="991687.48"/>
    <n v="0.43067574137092851"/>
    <n v="750180.12"/>
  </r>
  <r>
    <x v="0"/>
    <s v="Bulgaria"/>
    <x v="4"/>
    <x v="1"/>
    <x v="2"/>
    <s v="3/12/2016"/>
    <d v="2016-03-12T00:00:00"/>
    <n v="12"/>
    <s v="Mar"/>
    <x v="4"/>
    <s v="Mar-2016"/>
    <n v="774698626"/>
    <d v="2016-04-07T00:00:00"/>
    <n v="7"/>
    <s v="Apr"/>
    <n v="2016"/>
    <s v="Apr-2016"/>
    <s v="4/7/2016"/>
    <n v="26"/>
    <n v="9394"/>
    <n v="9.33"/>
    <n v="6.92"/>
    <n v="9.33"/>
    <n v="87646.02"/>
    <n v="65006.48"/>
    <n v="0.25830653804930331"/>
    <n v="22639.54"/>
  </r>
  <r>
    <x v="0"/>
    <s v="Slovenia"/>
    <x v="2"/>
    <x v="1"/>
    <x v="1"/>
    <s v="2/21/2012"/>
    <d v="2012-02-21T00:00:00"/>
    <n v="21"/>
    <s v="Feb"/>
    <x v="5"/>
    <s v="Feb-2012"/>
    <n v="652501904"/>
    <d v="2012-03-25T00:00:00"/>
    <n v="25"/>
    <s v="Mar"/>
    <n v="2012"/>
    <s v="Mar-2012"/>
    <s v="3/25/2012"/>
    <n v="33"/>
    <n v="8668"/>
    <n v="205.7"/>
    <n v="117.11"/>
    <n v="205.70000000000002"/>
    <n v="1783007.6"/>
    <n v="1015109.48"/>
    <n v="0.43067574137092851"/>
    <n v="767898.12"/>
  </r>
  <r>
    <x v="0"/>
    <s v="Bulgaria"/>
    <x v="9"/>
    <x v="1"/>
    <x v="1"/>
    <s v="5/31/2017"/>
    <d v="2017-05-31T00:00:00"/>
    <n v="31"/>
    <s v="May"/>
    <x v="7"/>
    <s v="May-2017"/>
    <n v="688903129"/>
    <d v="2017-07-02T00:00:00"/>
    <n v="2"/>
    <s v="Jul"/>
    <n v="2017"/>
    <s v="Jul-2017"/>
    <s v="7/2/2017"/>
    <n v="32"/>
    <n v="600"/>
    <n v="668.27"/>
    <n v="502.54"/>
    <n v="668.27"/>
    <n v="400962"/>
    <n v="301524"/>
    <n v="0.24799856345489099"/>
    <n v="99438"/>
  </r>
  <r>
    <x v="0"/>
    <s v="Finland"/>
    <x v="11"/>
    <x v="1"/>
    <x v="1"/>
    <s v="7/25/2014"/>
    <d v="2014-07-25T00:00:00"/>
    <n v="25"/>
    <s v="Jul"/>
    <x v="2"/>
    <s v="Jul-2014"/>
    <n v="195171105"/>
    <d v="2014-09-04T00:00:00"/>
    <n v="4"/>
    <s v="Sep"/>
    <n v="2014"/>
    <s v="Sep-2014"/>
    <s v="9/4/2014"/>
    <n v="41"/>
    <n v="4322"/>
    <n v="81.73"/>
    <n v="56.67"/>
    <n v="81.73"/>
    <n v="353237.06"/>
    <n v="244927.74"/>
    <n v="0.30661935641747218"/>
    <n v="108309.32"/>
  </r>
  <r>
    <x v="0"/>
    <s v="Vatican City"/>
    <x v="9"/>
    <x v="0"/>
    <x v="0"/>
    <s v="2/13/2011"/>
    <d v="2011-02-13T00:00:00"/>
    <n v="13"/>
    <s v="Feb"/>
    <x v="0"/>
    <s v="Feb-2011"/>
    <n v="128766906"/>
    <d v="2011-03-28T00:00:00"/>
    <n v="28"/>
    <s v="Mar"/>
    <n v="2011"/>
    <s v="Mar-2011"/>
    <s v="3/28/2011"/>
    <n v="43"/>
    <n v="3844"/>
    <n v="668.27"/>
    <n v="502.54"/>
    <n v="668.27"/>
    <n v="2568829.88"/>
    <n v="1931763.76"/>
    <n v="0.24799856345489099"/>
    <n v="637066.12"/>
  </r>
  <r>
    <x v="0"/>
    <s v="San Marino"/>
    <x v="5"/>
    <x v="0"/>
    <x v="2"/>
    <s v="6/27/2016"/>
    <d v="2016-06-27T00:00:00"/>
    <n v="27"/>
    <s v="Jun"/>
    <x v="4"/>
    <s v="Jun-2016"/>
    <n v="361725556"/>
    <d v="2016-07-18T00:00:00"/>
    <n v="18"/>
    <s v="Jul"/>
    <n v="2016"/>
    <s v="Jul-2016"/>
    <s v="7/18/2016"/>
    <n v="21"/>
    <n v="1485"/>
    <n v="154.06"/>
    <n v="90.93"/>
    <n v="154.06"/>
    <n v="228779.1"/>
    <n v="135031.04999999999"/>
    <n v="0.40977541217707386"/>
    <n v="93748.05"/>
  </r>
  <r>
    <x v="0"/>
    <s v="Armenia"/>
    <x v="11"/>
    <x v="1"/>
    <x v="0"/>
    <s v="12/6/2016"/>
    <d v="2016-12-06T00:00:00"/>
    <n v="6"/>
    <s v="Dec"/>
    <x v="4"/>
    <s v="Dec-2016"/>
    <n v="789760196"/>
    <d v="2017-01-02T00:00:00"/>
    <n v="2"/>
    <s v="Jan"/>
    <n v="2017"/>
    <s v="Jan-2017"/>
    <s v="1/2/2017"/>
    <n v="27"/>
    <n v="6447"/>
    <n v="81.73"/>
    <n v="56.67"/>
    <n v="81.73"/>
    <n v="526913.31000000006"/>
    <n v="365351.49"/>
    <n v="0.30661935641747212"/>
    <n v="161561.82"/>
  </r>
  <r>
    <x v="0"/>
    <s v="Slovakia"/>
    <x v="10"/>
    <x v="1"/>
    <x v="0"/>
    <s v="11/1/2013"/>
    <d v="2013-11-01T00:00:00"/>
    <n v="1"/>
    <s v="Nov"/>
    <x v="1"/>
    <s v="Nov-2013"/>
    <n v="327072703"/>
    <d v="2013-11-16T00:00:00"/>
    <n v="16"/>
    <s v="Nov"/>
    <n v="2013"/>
    <s v="Nov-2013"/>
    <s v="11/16/2013"/>
    <n v="15"/>
    <n v="6936"/>
    <n v="437.2"/>
    <n v="263.33"/>
    <n v="437.20000000000005"/>
    <n v="3032419.2"/>
    <n v="1826456.88"/>
    <n v="0.39768984446477584"/>
    <n v="1205962.32"/>
  </r>
  <r>
    <x v="0"/>
    <s v="Switzerland"/>
    <x v="5"/>
    <x v="1"/>
    <x v="3"/>
    <s v="9/18/2013"/>
    <d v="2013-09-18T00:00:00"/>
    <n v="18"/>
    <s v="Sep"/>
    <x v="1"/>
    <s v="Sep-2013"/>
    <n v="130356919"/>
    <d v="2013-10-01T00:00:00"/>
    <n v="1"/>
    <s v="Oct"/>
    <n v="2013"/>
    <s v="Oct-2013"/>
    <s v="10/1/2013"/>
    <n v="13"/>
    <n v="4364"/>
    <n v="154.06"/>
    <n v="90.93"/>
    <n v="154.06"/>
    <n v="672317.84"/>
    <n v="396818.52"/>
    <n v="0.40977541217707392"/>
    <n v="275499.32"/>
  </r>
  <r>
    <x v="0"/>
    <s v="Portugal"/>
    <x v="2"/>
    <x v="0"/>
    <x v="3"/>
    <s v="2/5/2013"/>
    <d v="2013-02-05T00:00:00"/>
    <n v="5"/>
    <s v="Feb"/>
    <x v="1"/>
    <s v="Feb-2013"/>
    <n v="636360585"/>
    <d v="2013-03-08T00:00:00"/>
    <n v="8"/>
    <s v="Mar"/>
    <n v="2013"/>
    <s v="Mar-2013"/>
    <s v="3/8/2013"/>
    <n v="31"/>
    <n v="2093"/>
    <n v="205.7"/>
    <n v="117.11"/>
    <n v="205.7"/>
    <n v="430530.1"/>
    <n v="245111.23"/>
    <n v="0.43067574137092857"/>
    <n v="185418.87"/>
  </r>
  <r>
    <x v="0"/>
    <s v="Belarus"/>
    <x v="0"/>
    <x v="1"/>
    <x v="1"/>
    <s v="7/24/2012"/>
    <d v="2012-07-24T00:00:00"/>
    <n v="24"/>
    <s v="Jul"/>
    <x v="5"/>
    <s v="Jul-2012"/>
    <n v="123938930"/>
    <d v="2012-08-02T00:00:00"/>
    <n v="2"/>
    <s v="Aug"/>
    <n v="2012"/>
    <s v="Aug-2012"/>
    <s v="8/2/2012"/>
    <n v="9"/>
    <n v="5138"/>
    <n v="47.45"/>
    <n v="31.79"/>
    <n v="47.45"/>
    <n v="243798.1"/>
    <n v="163337.01999999999"/>
    <n v="0.33003161222339306"/>
    <n v="80461.08"/>
  </r>
  <r>
    <x v="0"/>
    <s v="Kosovo"/>
    <x v="3"/>
    <x v="0"/>
    <x v="0"/>
    <s v="7/26/2014"/>
    <d v="2014-07-26T00:00:00"/>
    <n v="26"/>
    <s v="Jul"/>
    <x v="2"/>
    <s v="Jul-2014"/>
    <n v="770821654"/>
    <d v="2014-08-19T00:00:00"/>
    <n v="19"/>
    <s v="Aug"/>
    <n v="2014"/>
    <s v="Aug-2014"/>
    <s v="8/19/2014"/>
    <n v="24"/>
    <n v="2112"/>
    <n v="651.21"/>
    <n v="524.96"/>
    <n v="651.21"/>
    <n v="1375355.52"/>
    <n v="1108715.52"/>
    <n v="0.19386987300563566"/>
    <n v="266640"/>
  </r>
  <r>
    <x v="0"/>
    <s v="United Kingdom"/>
    <x v="10"/>
    <x v="1"/>
    <x v="1"/>
    <s v="12/14/2012"/>
    <d v="2012-12-14T00:00:00"/>
    <n v="14"/>
    <s v="Dec"/>
    <x v="5"/>
    <s v="Dec-2012"/>
    <n v="692952191"/>
    <d v="2013-01-04T00:00:00"/>
    <n v="4"/>
    <s v="Jan"/>
    <n v="2013"/>
    <s v="Jan-2013"/>
    <s v="1/4/2013"/>
    <n v="21"/>
    <n v="8807"/>
    <n v="437.2"/>
    <n v="263.33"/>
    <n v="437.2"/>
    <n v="3850420.4"/>
    <n v="2319147.31"/>
    <n v="0.3976898444647759"/>
    <n v="1531273.09"/>
  </r>
  <r>
    <x v="0"/>
    <s v="Ukraine"/>
    <x v="0"/>
    <x v="0"/>
    <x v="2"/>
    <s v="9/7/2013"/>
    <d v="2013-09-07T00:00:00"/>
    <n v="7"/>
    <s v="Sep"/>
    <x v="1"/>
    <s v="Sep-2013"/>
    <n v="947507131"/>
    <d v="2013-10-20T00:00:00"/>
    <n v="20"/>
    <s v="Oct"/>
    <n v="2013"/>
    <s v="Oct-2013"/>
    <s v="10/20/2013"/>
    <n v="43"/>
    <n v="7271"/>
    <n v="47.45"/>
    <n v="31.79"/>
    <n v="47.45"/>
    <n v="345008.95"/>
    <n v="231145.09"/>
    <n v="0.33003161222339306"/>
    <n v="113863.86"/>
  </r>
  <r>
    <x v="0"/>
    <s v="Ireland"/>
    <x v="11"/>
    <x v="0"/>
    <x v="2"/>
    <s v="1/21/2016"/>
    <d v="2016-01-21T00:00:00"/>
    <n v="21"/>
    <s v="Jan"/>
    <x v="4"/>
    <s v="Jan-2016"/>
    <n v="396462953"/>
    <d v="2016-02-26T00:00:00"/>
    <n v="26"/>
    <s v="Feb"/>
    <n v="2016"/>
    <s v="Feb-2016"/>
    <s v="2/26/2016"/>
    <n v="36"/>
    <n v="1053"/>
    <n v="81.73"/>
    <n v="56.67"/>
    <n v="81.73"/>
    <n v="86061.69"/>
    <n v="59673.51"/>
    <n v="0.30661935641747218"/>
    <n v="26388.18"/>
  </r>
  <r>
    <x v="0"/>
    <s v="Russia"/>
    <x v="0"/>
    <x v="0"/>
    <x v="1"/>
    <s v="8/30/2011"/>
    <d v="2011-08-30T00:00:00"/>
    <n v="30"/>
    <s v="Aug"/>
    <x v="0"/>
    <s v="Aug-2011"/>
    <n v="162791907"/>
    <d v="2011-10-19T00:00:00"/>
    <n v="19"/>
    <s v="Oct"/>
    <n v="2011"/>
    <s v="Oct-2011"/>
    <s v="10/19/2011"/>
    <n v="50"/>
    <n v="2598"/>
    <n v="47.45"/>
    <n v="31.79"/>
    <n v="47.45"/>
    <n v="123275.1"/>
    <n v="82590.42"/>
    <n v="0.33003161222339306"/>
    <n v="40684.68"/>
  </r>
  <r>
    <x v="0"/>
    <s v="Luxembourg"/>
    <x v="10"/>
    <x v="1"/>
    <x v="1"/>
    <s v="1/26/2017"/>
    <d v="2017-01-26T00:00:00"/>
    <n v="26"/>
    <s v="Jan"/>
    <x v="7"/>
    <s v="Jan-2017"/>
    <n v="835341870"/>
    <d v="2017-02-24T00:00:00"/>
    <n v="24"/>
    <s v="Feb"/>
    <n v="2017"/>
    <s v="Feb-2017"/>
    <s v="2/24/2017"/>
    <n v="29"/>
    <n v="5077"/>
    <n v="437.2"/>
    <n v="263.33"/>
    <n v="437.2"/>
    <n v="2219664.4"/>
    <n v="1336926.4099999999"/>
    <n v="0.39768984446477584"/>
    <n v="882737.99"/>
  </r>
  <r>
    <x v="0"/>
    <s v="Norway"/>
    <x v="9"/>
    <x v="0"/>
    <x v="0"/>
    <s v="4/29/2013"/>
    <d v="2013-04-29T00:00:00"/>
    <n v="29"/>
    <s v="Apr"/>
    <x v="1"/>
    <s v="Apr-2013"/>
    <n v="149274003"/>
    <d v="2013-05-29T00:00:00"/>
    <n v="29"/>
    <s v="May"/>
    <n v="2013"/>
    <s v="May-2013"/>
    <s v="5/29/2013"/>
    <n v="30"/>
    <n v="2350"/>
    <n v="668.27"/>
    <n v="502.54"/>
    <n v="668.27"/>
    <n v="1570434.5"/>
    <n v="1180969"/>
    <n v="0.24799856345489099"/>
    <n v="389465.5"/>
  </r>
  <r>
    <x v="0"/>
    <s v="Estonia"/>
    <x v="10"/>
    <x v="0"/>
    <x v="0"/>
    <s v="1/4/2017"/>
    <d v="2017-01-04T00:00:00"/>
    <n v="4"/>
    <s v="Jan"/>
    <x v="7"/>
    <s v="Jan-2017"/>
    <n v="311956632"/>
    <d v="2017-01-10T00:00:00"/>
    <n v="10"/>
    <s v="Jan"/>
    <n v="2017"/>
    <s v="Jan-2017"/>
    <s v="1/10/2017"/>
    <n v="6"/>
    <n v="3755"/>
    <n v="437.2"/>
    <n v="263.33"/>
    <n v="437.2"/>
    <n v="1641686"/>
    <n v="988804.15"/>
    <n v="0.39768984446477584"/>
    <n v="652881.85"/>
  </r>
  <r>
    <x v="0"/>
    <s v="Ukraine"/>
    <x v="8"/>
    <x v="0"/>
    <x v="2"/>
    <s v="5/5/2014"/>
    <d v="2014-05-05T00:00:00"/>
    <n v="5"/>
    <s v="May"/>
    <x v="2"/>
    <s v="May-2014"/>
    <n v="920688903"/>
    <d v="2014-06-12T00:00:00"/>
    <n v="12"/>
    <s v="Jun"/>
    <n v="2014"/>
    <s v="Jun-2014"/>
    <s v="6/12/2014"/>
    <n v="38"/>
    <n v="1161"/>
    <n v="255.28"/>
    <n v="159.41999999999999"/>
    <n v="255.28"/>
    <n v="296380.08"/>
    <n v="185086.62"/>
    <n v="0.37550924475086178"/>
    <n v="111293.46"/>
  </r>
  <r>
    <x v="0"/>
    <s v="San Marino"/>
    <x v="11"/>
    <x v="1"/>
    <x v="2"/>
    <s v="9/25/2010"/>
    <d v="2010-09-25T00:00:00"/>
    <n v="25"/>
    <s v="Sep"/>
    <x v="3"/>
    <s v="Sep-2010"/>
    <n v="434485948"/>
    <d v="2010-11-03T00:00:00"/>
    <n v="3"/>
    <s v="Nov"/>
    <n v="2010"/>
    <s v="Nov-2010"/>
    <s v="11/3/2010"/>
    <n v="39"/>
    <n v="2902"/>
    <n v="81.73"/>
    <n v="56.67"/>
    <n v="81.73"/>
    <n v="237180.46"/>
    <n v="164456.34"/>
    <n v="0.30661935641747218"/>
    <n v="72724.12"/>
  </r>
  <r>
    <x v="0"/>
    <s v="Estonia"/>
    <x v="8"/>
    <x v="0"/>
    <x v="3"/>
    <s v="5/22/2014"/>
    <d v="2014-05-22T00:00:00"/>
    <n v="22"/>
    <s v="May"/>
    <x v="2"/>
    <s v="May-2014"/>
    <n v="316466176"/>
    <d v="2014-06-02T00:00:00"/>
    <n v="2"/>
    <s v="Jun"/>
    <n v="2014"/>
    <s v="Jun-2014"/>
    <s v="6/2/2014"/>
    <n v="11"/>
    <n v="8229"/>
    <n v="255.28"/>
    <n v="159.41999999999999"/>
    <n v="255.28"/>
    <n v="2100699.12"/>
    <n v="1311867.18"/>
    <n v="0.37550924475086173"/>
    <n v="788831.94"/>
  </r>
  <r>
    <x v="0"/>
    <s v="Kosovo"/>
    <x v="9"/>
    <x v="1"/>
    <x v="1"/>
    <s v="7/18/2014"/>
    <d v="2014-07-18T00:00:00"/>
    <n v="18"/>
    <s v="Jul"/>
    <x v="2"/>
    <s v="Jul-2014"/>
    <n v="101025998"/>
    <d v="2014-08-11T00:00:00"/>
    <n v="11"/>
    <s v="Aug"/>
    <n v="2014"/>
    <s v="Aug-2014"/>
    <s v="8/11/2014"/>
    <n v="24"/>
    <n v="4693"/>
    <n v="668.27"/>
    <n v="502.54"/>
    <n v="668.27"/>
    <n v="3136191.11"/>
    <n v="2358420.2200000002"/>
    <n v="0.24799856345489099"/>
    <n v="777770.89"/>
  </r>
  <r>
    <x v="0"/>
    <s v="Luxembourg"/>
    <x v="11"/>
    <x v="0"/>
    <x v="3"/>
    <s v="9/25/2015"/>
    <d v="2015-09-25T00:00:00"/>
    <n v="25"/>
    <s v="Sep"/>
    <x v="6"/>
    <s v="Sep-2015"/>
    <n v="547625386"/>
    <d v="2015-09-29T00:00:00"/>
    <n v="29"/>
    <s v="Sep"/>
    <n v="2015"/>
    <s v="Sep-2015"/>
    <s v="9/29/2015"/>
    <n v="4"/>
    <n v="3376"/>
    <n v="81.73"/>
    <n v="56.67"/>
    <n v="81.72999999999999"/>
    <n v="275920.48"/>
    <n v="191317.92"/>
    <n v="0.30661935641747218"/>
    <n v="84602.559999999998"/>
  </r>
  <r>
    <x v="0"/>
    <s v="Montenegro"/>
    <x v="4"/>
    <x v="1"/>
    <x v="3"/>
    <s v="1/31/2016"/>
    <d v="2016-01-31T00:00:00"/>
    <n v="31"/>
    <s v="Jan"/>
    <x v="4"/>
    <s v="Jan-2016"/>
    <n v="394456660"/>
    <d v="2016-02-09T00:00:00"/>
    <n v="9"/>
    <s v="Feb"/>
    <n v="2016"/>
    <s v="Feb-2016"/>
    <s v="2/9/2016"/>
    <n v="9"/>
    <n v="7346"/>
    <n v="9.33"/>
    <n v="6.92"/>
    <n v="9.3299999999999983"/>
    <n v="68538.179999999993"/>
    <n v="50834.32"/>
    <n v="0.25830653804930337"/>
    <n v="17703.86"/>
  </r>
  <r>
    <x v="0"/>
    <s v="Kosovo"/>
    <x v="8"/>
    <x v="1"/>
    <x v="1"/>
    <s v="1/1/2014"/>
    <d v="2014-01-01T00:00:00"/>
    <n v="1"/>
    <s v="Jan"/>
    <x v="2"/>
    <s v="Jan-2014"/>
    <n v="104548490"/>
    <d v="2014-01-05T00:00:00"/>
    <n v="5"/>
    <s v="Jan"/>
    <n v="2014"/>
    <s v="Jan-2014"/>
    <s v="1/5/2014"/>
    <n v="4"/>
    <n v="7076"/>
    <n v="255.28"/>
    <n v="159.41999999999999"/>
    <n v="255.28"/>
    <n v="1806361.28"/>
    <n v="1128055.92"/>
    <n v="0.37550924475086178"/>
    <n v="678305.36"/>
  </r>
  <r>
    <x v="0"/>
    <s v="Greece"/>
    <x v="2"/>
    <x v="1"/>
    <x v="1"/>
    <s v="1/10/2010"/>
    <d v="2010-01-10T00:00:00"/>
    <n v="10"/>
    <s v="Jan"/>
    <x v="3"/>
    <s v="Jan-2010"/>
    <n v="687374913"/>
    <d v="2010-02-26T00:00:00"/>
    <n v="26"/>
    <s v="Feb"/>
    <n v="2010"/>
    <s v="Feb-2010"/>
    <s v="2/26/2010"/>
    <n v="47"/>
    <n v="8367"/>
    <n v="205.7"/>
    <n v="117.11"/>
    <n v="205.7"/>
    <n v="1721091.9"/>
    <n v="979859.37"/>
    <n v="0.43067574137092857"/>
    <n v="741232.53"/>
  </r>
  <r>
    <x v="0"/>
    <s v="Greece"/>
    <x v="5"/>
    <x v="1"/>
    <x v="1"/>
    <s v="10/4/2012"/>
    <d v="2012-10-04T00:00:00"/>
    <n v="4"/>
    <s v="Oct"/>
    <x v="5"/>
    <s v="Oct-2012"/>
    <n v="921693980"/>
    <d v="2012-11-04T00:00:00"/>
    <n v="4"/>
    <s v="Nov"/>
    <n v="2012"/>
    <s v="Nov-2012"/>
    <s v="11/4/2012"/>
    <n v="31"/>
    <n v="8586"/>
    <n v="154.06"/>
    <n v="90.93"/>
    <n v="154.06"/>
    <n v="1322759.1599999999"/>
    <n v="780724.98"/>
    <n v="0.40977541217707392"/>
    <n v="542034.18000000005"/>
  </r>
  <r>
    <x v="0"/>
    <s v="Montenegro"/>
    <x v="9"/>
    <x v="1"/>
    <x v="2"/>
    <s v="8/29/2012"/>
    <d v="2012-08-29T00:00:00"/>
    <n v="29"/>
    <s v="Aug"/>
    <x v="5"/>
    <s v="Aug-2012"/>
    <n v="829356467"/>
    <d v="2012-09-16T00:00:00"/>
    <n v="16"/>
    <s v="Sep"/>
    <n v="2012"/>
    <s v="Sep-2012"/>
    <s v="9/16/2012"/>
    <n v="18"/>
    <n v="3864"/>
    <n v="668.27"/>
    <n v="502.54"/>
    <n v="668.27"/>
    <n v="2582195.2799999998"/>
    <n v="1941814.56"/>
    <n v="0.24799856345489099"/>
    <n v="640380.72"/>
  </r>
  <r>
    <x v="0"/>
    <s v="Czech Republic"/>
    <x v="2"/>
    <x v="0"/>
    <x v="0"/>
    <s v="5/20/2015"/>
    <d v="2015-05-20T00:00:00"/>
    <n v="20"/>
    <s v="May"/>
    <x v="6"/>
    <s v="May-2015"/>
    <n v="322524106"/>
    <d v="2015-05-20T00:00:00"/>
    <n v="20"/>
    <s v="May"/>
    <n v="2015"/>
    <s v="May-2015"/>
    <s v="5/20/2015"/>
    <n v="0"/>
    <n v="905"/>
    <n v="205.7"/>
    <n v="117.11"/>
    <n v="205.7"/>
    <n v="186158.5"/>
    <n v="105984.55"/>
    <n v="0.43067574137092851"/>
    <n v="80173.95"/>
  </r>
  <r>
    <x v="0"/>
    <s v="Portugal"/>
    <x v="2"/>
    <x v="0"/>
    <x v="1"/>
    <s v="9/14/2014"/>
    <d v="2014-09-14T00:00:00"/>
    <n v="14"/>
    <s v="Sep"/>
    <x v="2"/>
    <s v="Sep-2014"/>
    <n v="897638213"/>
    <d v="2014-10-08T00:00:00"/>
    <n v="8"/>
    <s v="Oct"/>
    <n v="2014"/>
    <s v="Oct-2014"/>
    <s v="10/8/2014"/>
    <n v="24"/>
    <n v="9950"/>
    <n v="205.7"/>
    <n v="117.11"/>
    <n v="205.7"/>
    <n v="2046715"/>
    <n v="1165244.5"/>
    <n v="0.43067574137092851"/>
    <n v="881470.5"/>
  </r>
  <r>
    <x v="0"/>
    <s v="Italy"/>
    <x v="8"/>
    <x v="0"/>
    <x v="2"/>
    <s v="3/23/2017"/>
    <d v="2017-03-23T00:00:00"/>
    <n v="23"/>
    <s v="Mar"/>
    <x v="7"/>
    <s v="Mar-2017"/>
    <n v="480652987"/>
    <d v="2017-04-05T00:00:00"/>
    <n v="5"/>
    <s v="Apr"/>
    <n v="2017"/>
    <s v="Apr-2017"/>
    <s v="4/5/2017"/>
    <n v="13"/>
    <n v="4755"/>
    <n v="255.28"/>
    <n v="159.41999999999999"/>
    <n v="255.27999999999997"/>
    <n v="1213856.3999999999"/>
    <n v="758042.1"/>
    <n v="0.37550924475086184"/>
    <n v="455814.3"/>
  </r>
  <r>
    <x v="0"/>
    <s v="France"/>
    <x v="3"/>
    <x v="1"/>
    <x v="0"/>
    <s v="6/20/2010"/>
    <d v="2010-06-20T00:00:00"/>
    <n v="20"/>
    <s v="Jun"/>
    <x v="3"/>
    <s v="Jun-2010"/>
    <n v="340213811"/>
    <d v="2010-07-26T00:00:00"/>
    <n v="26"/>
    <s v="Jul"/>
    <n v="2010"/>
    <s v="Jul-2010"/>
    <s v="7/26/2010"/>
    <n v="36"/>
    <n v="5682"/>
    <n v="651.21"/>
    <n v="524.96"/>
    <n v="651.21"/>
    <n v="3700175.22"/>
    <n v="2982822.72"/>
    <n v="0.19386987300563566"/>
    <n v="717352.5"/>
  </r>
  <r>
    <x v="0"/>
    <s v="Iceland"/>
    <x v="8"/>
    <x v="1"/>
    <x v="3"/>
    <s v="3/20/2013"/>
    <d v="2013-03-20T00:00:00"/>
    <n v="20"/>
    <s v="Mar"/>
    <x v="1"/>
    <s v="Mar-2013"/>
    <n v="826936471"/>
    <d v="2013-03-30T00:00:00"/>
    <n v="30"/>
    <s v="Mar"/>
    <n v="2013"/>
    <s v="Mar-2013"/>
    <s v="3/30/2013"/>
    <n v="10"/>
    <n v="7733"/>
    <n v="255.28"/>
    <n v="159.41999999999999"/>
    <n v="255.28"/>
    <n v="1974080.24"/>
    <n v="1232794.8600000001"/>
    <n v="0.37550924475086178"/>
    <n v="741285.38"/>
  </r>
  <r>
    <x v="0"/>
    <s v="Norway"/>
    <x v="10"/>
    <x v="1"/>
    <x v="3"/>
    <s v="5/14/2015"/>
    <d v="2015-05-14T00:00:00"/>
    <n v="14"/>
    <s v="May"/>
    <x v="6"/>
    <s v="May-2015"/>
    <n v="477633464"/>
    <d v="2015-06-07T00:00:00"/>
    <n v="7"/>
    <s v="Jun"/>
    <n v="2015"/>
    <s v="Jun-2015"/>
    <s v="6/7/2015"/>
    <n v="24"/>
    <n v="1211"/>
    <n v="437.2"/>
    <n v="263.33"/>
    <n v="437.2"/>
    <n v="529449.19999999995"/>
    <n v="318892.63"/>
    <n v="0.3976898444647759"/>
    <n v="210556.57"/>
  </r>
  <r>
    <x v="0"/>
    <s v="Latvia"/>
    <x v="6"/>
    <x v="1"/>
    <x v="2"/>
    <s v="11/25/2014"/>
    <d v="2014-11-25T00:00:00"/>
    <n v="25"/>
    <s v="Nov"/>
    <x v="2"/>
    <s v="Nov-2014"/>
    <n v="849431836"/>
    <d v="2014-11-28T00:00:00"/>
    <n v="28"/>
    <s v="Nov"/>
    <n v="2014"/>
    <s v="Nov-2014"/>
    <s v="11/28/2014"/>
    <n v="3"/>
    <n v="4611"/>
    <n v="421.89"/>
    <n v="364.69"/>
    <n v="421.89"/>
    <n v="1945334.79"/>
    <n v="1681585.59"/>
    <n v="0.13558036455000119"/>
    <n v="263749.2"/>
  </r>
  <r>
    <x v="0"/>
    <s v="United Kingdom"/>
    <x v="8"/>
    <x v="1"/>
    <x v="3"/>
    <s v="7/8/2012"/>
    <d v="2012-07-08T00:00:00"/>
    <n v="8"/>
    <s v="Jul"/>
    <x v="5"/>
    <s v="Jul-2012"/>
    <n v="844307315"/>
    <d v="2012-07-29T00:00:00"/>
    <n v="29"/>
    <s v="Jul"/>
    <n v="2012"/>
    <s v="Jul-2012"/>
    <s v="7/29/2012"/>
    <n v="21"/>
    <n v="8152"/>
    <n v="255.28"/>
    <n v="159.41999999999999"/>
    <n v="255.28"/>
    <n v="2081042.56"/>
    <n v="1299591.8400000001"/>
    <n v="0.37550924475086178"/>
    <n v="781450.72"/>
  </r>
  <r>
    <x v="0"/>
    <s v="Finland"/>
    <x v="7"/>
    <x v="1"/>
    <x v="3"/>
    <s v="6/20/2017"/>
    <d v="2017-06-20T00:00:00"/>
    <n v="20"/>
    <s v="Jun"/>
    <x v="7"/>
    <s v="Jun-2017"/>
    <n v="414579665"/>
    <d v="2017-07-10T00:00:00"/>
    <n v="10"/>
    <s v="Jul"/>
    <n v="2017"/>
    <s v="Jul-2017"/>
    <s v="7/10/2017"/>
    <n v="20"/>
    <n v="2191"/>
    <n v="152.58000000000001"/>
    <n v="97.44"/>
    <n v="152.58000000000001"/>
    <n v="334302.78000000003"/>
    <n v="213491.04"/>
    <n v="0.36138419189933146"/>
    <n v="120811.74"/>
  </r>
  <r>
    <x v="0"/>
    <s v="Switzerland"/>
    <x v="2"/>
    <x v="0"/>
    <x v="1"/>
    <s v="10/18/2015"/>
    <d v="2015-10-18T00:00:00"/>
    <n v="18"/>
    <s v="Oct"/>
    <x v="6"/>
    <s v="Oct-2015"/>
    <n v="569864976"/>
    <d v="2015-11-30T00:00:00"/>
    <n v="30"/>
    <s v="Nov"/>
    <n v="2015"/>
    <s v="Nov-2015"/>
    <s v="11/30/2015"/>
    <n v="43"/>
    <n v="4565"/>
    <n v="205.7"/>
    <n v="117.11"/>
    <n v="205.7"/>
    <n v="939020.5"/>
    <n v="534607.15"/>
    <n v="0.43067574137092851"/>
    <n v="404413.35"/>
  </r>
  <r>
    <x v="0"/>
    <s v="United Kingdom"/>
    <x v="1"/>
    <x v="1"/>
    <x v="2"/>
    <s v="2/26/2017"/>
    <d v="2017-02-26T00:00:00"/>
    <n v="26"/>
    <s v="Feb"/>
    <x v="7"/>
    <s v="Feb-2017"/>
    <n v="783116900"/>
    <d v="2017-03-14T00:00:00"/>
    <n v="14"/>
    <s v="Mar"/>
    <n v="2017"/>
    <s v="Mar-2017"/>
    <s v="3/14/2017"/>
    <n v="16"/>
    <n v="548"/>
    <n v="109.28"/>
    <n v="35.840000000000003"/>
    <n v="109.28"/>
    <n v="59885.440000000002"/>
    <n v="19640.32"/>
    <n v="0.67203513909224011"/>
    <n v="40245.120000000003"/>
  </r>
  <r>
    <x v="0"/>
    <s v="Andorra"/>
    <x v="10"/>
    <x v="1"/>
    <x v="2"/>
    <s v="2/26/2016"/>
    <d v="2016-02-26T00:00:00"/>
    <n v="26"/>
    <s v="Feb"/>
    <x v="4"/>
    <s v="Feb-2016"/>
    <n v="727821767"/>
    <d v="2016-03-16T00:00:00"/>
    <n v="16"/>
    <s v="Mar"/>
    <n v="2016"/>
    <s v="Mar-2016"/>
    <s v="3/16/2016"/>
    <n v="19"/>
    <n v="7489"/>
    <n v="437.2"/>
    <n v="263.33"/>
    <n v="437.2"/>
    <n v="3274190.8"/>
    <n v="1972078.37"/>
    <n v="0.39768984446477584"/>
    <n v="1302112.43"/>
  </r>
  <r>
    <x v="0"/>
    <s v="Georgia"/>
    <x v="6"/>
    <x v="0"/>
    <x v="0"/>
    <s v="3/15/2012"/>
    <d v="2012-03-15T00:00:00"/>
    <n v="15"/>
    <s v="Mar"/>
    <x v="5"/>
    <s v="Mar-2012"/>
    <n v="631172120"/>
    <d v="2012-04-20T00:00:00"/>
    <n v="20"/>
    <s v="Apr"/>
    <n v="2012"/>
    <s v="Apr-2012"/>
    <s v="4/20/2012"/>
    <n v="36"/>
    <n v="6711"/>
    <n v="421.89"/>
    <n v="364.69"/>
    <n v="421.89"/>
    <n v="2831303.79"/>
    <n v="2447434.59"/>
    <n v="0.13558036455000119"/>
    <n v="383869.2"/>
  </r>
  <r>
    <x v="0"/>
    <s v="San Marino"/>
    <x v="3"/>
    <x v="0"/>
    <x v="1"/>
    <s v="5/11/2016"/>
    <d v="2016-05-11T00:00:00"/>
    <n v="11"/>
    <s v="May"/>
    <x v="4"/>
    <s v="May-2016"/>
    <n v="859914767"/>
    <d v="2016-06-18T00:00:00"/>
    <n v="18"/>
    <s v="Jun"/>
    <n v="2016"/>
    <s v="Jun-2016"/>
    <s v="6/18/2016"/>
    <n v="38"/>
    <n v="6744"/>
    <n v="651.21"/>
    <n v="524.96"/>
    <n v="651.21"/>
    <n v="4391760.24"/>
    <n v="3540330.24"/>
    <n v="0.19386987300563566"/>
    <n v="851430"/>
  </r>
  <r>
    <x v="0"/>
    <s v="Andorra"/>
    <x v="7"/>
    <x v="1"/>
    <x v="2"/>
    <s v="2/4/2011"/>
    <d v="2011-02-04T00:00:00"/>
    <n v="4"/>
    <s v="Feb"/>
    <x v="0"/>
    <s v="Feb-2011"/>
    <n v="575479590"/>
    <d v="2011-03-22T00:00:00"/>
    <n v="22"/>
    <s v="Mar"/>
    <n v="2011"/>
    <s v="Mar-2011"/>
    <s v="3/22/2011"/>
    <n v="46"/>
    <n v="6054"/>
    <n v="152.58000000000001"/>
    <n v="97.44"/>
    <n v="152.57999999999998"/>
    <n v="923719.32"/>
    <n v="589901.76"/>
    <n v="0.36138419189933152"/>
    <n v="333817.56"/>
  </r>
  <r>
    <x v="0"/>
    <s v="Spain"/>
    <x v="7"/>
    <x v="0"/>
    <x v="1"/>
    <s v="2/19/2017"/>
    <d v="2017-02-19T00:00:00"/>
    <n v="19"/>
    <s v="Feb"/>
    <x v="7"/>
    <s v="Feb-2017"/>
    <n v="352342545"/>
    <d v="2017-03-27T00:00:00"/>
    <n v="27"/>
    <s v="Mar"/>
    <n v="2017"/>
    <s v="Mar-2017"/>
    <s v="3/27/2017"/>
    <n v="36"/>
    <n v="4844"/>
    <n v="152.58000000000001"/>
    <n v="97.44"/>
    <n v="152.58000000000001"/>
    <n v="739097.52"/>
    <n v="471999.36"/>
    <n v="0.36138419189933146"/>
    <n v="267098.15999999997"/>
  </r>
  <r>
    <x v="0"/>
    <s v="Slovenia"/>
    <x v="2"/>
    <x v="1"/>
    <x v="3"/>
    <s v="7/22/2012"/>
    <d v="2012-07-22T00:00:00"/>
    <n v="22"/>
    <s v="Jul"/>
    <x v="5"/>
    <s v="Jul-2012"/>
    <n v="972419059"/>
    <d v="2012-08-17T00:00:00"/>
    <n v="17"/>
    <s v="Aug"/>
    <n v="2012"/>
    <s v="Aug-2012"/>
    <s v="8/17/2012"/>
    <n v="26"/>
    <n v="9264"/>
    <n v="205.7"/>
    <n v="117.11"/>
    <n v="205.70000000000002"/>
    <n v="1905604.8"/>
    <n v="1084907.04"/>
    <n v="0.43067574137092851"/>
    <n v="820697.76"/>
  </r>
  <r>
    <x v="0"/>
    <s v="Spain"/>
    <x v="6"/>
    <x v="0"/>
    <x v="1"/>
    <s v="5/20/2014"/>
    <d v="2014-05-20T00:00:00"/>
    <n v="20"/>
    <s v="May"/>
    <x v="2"/>
    <s v="May-2014"/>
    <n v="217165648"/>
    <d v="2014-06-08T00:00:00"/>
    <n v="8"/>
    <s v="Jun"/>
    <n v="2014"/>
    <s v="Jun-2014"/>
    <s v="6/8/2014"/>
    <n v="19"/>
    <n v="2996"/>
    <n v="421.89"/>
    <n v="364.69"/>
    <n v="421.89"/>
    <n v="1263982.44"/>
    <n v="1092611.24"/>
    <n v="0.13558036455000119"/>
    <n v="171371.2"/>
  </r>
  <r>
    <x v="0"/>
    <s v="Denmark"/>
    <x v="8"/>
    <x v="1"/>
    <x v="2"/>
    <s v="9/6/2016"/>
    <d v="2016-09-06T00:00:00"/>
    <n v="6"/>
    <s v="Sep"/>
    <x v="4"/>
    <s v="Sep-2016"/>
    <n v="764837539"/>
    <d v="2016-09-06T00:00:00"/>
    <n v="6"/>
    <s v="Sep"/>
    <n v="2016"/>
    <s v="Sep-2016"/>
    <s v="9/6/2016"/>
    <n v="0"/>
    <n v="1279"/>
    <n v="255.28"/>
    <n v="159.41999999999999"/>
    <n v="255.28"/>
    <n v="326503.12"/>
    <n v="203898.18"/>
    <n v="0.37550924475086184"/>
    <n v="122604.94"/>
  </r>
  <r>
    <x v="0"/>
    <s v="Latvia"/>
    <x v="4"/>
    <x v="0"/>
    <x v="3"/>
    <s v="3/19/2017"/>
    <d v="2017-03-19T00:00:00"/>
    <n v="19"/>
    <s v="Mar"/>
    <x v="7"/>
    <s v="Mar-2017"/>
    <n v="870218312"/>
    <d v="2017-03-27T00:00:00"/>
    <n v="27"/>
    <s v="Mar"/>
    <n v="2017"/>
    <s v="Mar-2017"/>
    <s v="3/27/2017"/>
    <n v="8"/>
    <n v="5792"/>
    <n v="9.33"/>
    <n v="6.92"/>
    <n v="9.33"/>
    <n v="54039.360000000001"/>
    <n v="40080.639999999999"/>
    <n v="0.25830653804930331"/>
    <n v="13958.72"/>
  </r>
  <r>
    <x v="0"/>
    <s v="Spain"/>
    <x v="3"/>
    <x v="1"/>
    <x v="2"/>
    <s v="7/2/2017"/>
    <d v="2017-07-02T00:00:00"/>
    <n v="2"/>
    <s v="Jul"/>
    <x v="7"/>
    <s v="Jul-2017"/>
    <n v="513802516"/>
    <d v="2017-08-07T00:00:00"/>
    <n v="7"/>
    <s v="Aug"/>
    <n v="2017"/>
    <s v="Aug-2017"/>
    <s v="8/7/2017"/>
    <n v="36"/>
    <n v="4437"/>
    <n v="651.21"/>
    <n v="524.96"/>
    <n v="651.21"/>
    <n v="2889418.77"/>
    <n v="2329247.52"/>
    <n v="0.19386987300563566"/>
    <n v="560171.25"/>
  </r>
  <r>
    <x v="0"/>
    <s v="Slovakia"/>
    <x v="0"/>
    <x v="1"/>
    <x v="1"/>
    <s v="5/31/2017"/>
    <d v="2017-05-31T00:00:00"/>
    <n v="31"/>
    <s v="May"/>
    <x v="7"/>
    <s v="May-2017"/>
    <n v="638957822"/>
    <d v="2017-06-24T00:00:00"/>
    <n v="24"/>
    <s v="Jun"/>
    <n v="2017"/>
    <s v="Jun-2017"/>
    <s v="6/24/2017"/>
    <n v="24"/>
    <n v="673"/>
    <n v="47.45"/>
    <n v="31.79"/>
    <n v="47.449999999999996"/>
    <n v="31933.85"/>
    <n v="21394.67"/>
    <n v="0.33003161222339306"/>
    <n v="10539.18"/>
  </r>
  <r>
    <x v="0"/>
    <s v="Bulgaria"/>
    <x v="8"/>
    <x v="1"/>
    <x v="3"/>
    <s v="12/19/2014"/>
    <d v="2014-12-19T00:00:00"/>
    <n v="19"/>
    <s v="Dec"/>
    <x v="2"/>
    <s v="Dec-2014"/>
    <n v="944247710"/>
    <d v="2015-01-31T00:00:00"/>
    <n v="31"/>
    <s v="Jan"/>
    <n v="2015"/>
    <s v="Jan-2015"/>
    <s v="1/31/2015"/>
    <n v="43"/>
    <n v="2736"/>
    <n v="255.28"/>
    <n v="159.41999999999999"/>
    <n v="255.27999999999997"/>
    <n v="698446.08"/>
    <n v="436173.12"/>
    <n v="0.37550924475086184"/>
    <n v="262272.96000000002"/>
  </r>
  <r>
    <x v="0"/>
    <s v="Netherlands"/>
    <x v="8"/>
    <x v="0"/>
    <x v="3"/>
    <s v="3/16/2013"/>
    <d v="2013-03-16T00:00:00"/>
    <n v="16"/>
    <s v="Mar"/>
    <x v="1"/>
    <s v="Mar-2013"/>
    <n v="694771802"/>
    <d v="2013-03-21T00:00:00"/>
    <n v="21"/>
    <s v="Mar"/>
    <n v="2013"/>
    <s v="Mar-2013"/>
    <s v="3/21/2013"/>
    <n v="5"/>
    <n v="7270"/>
    <n v="255.28"/>
    <n v="159.41999999999999"/>
    <n v="255.28"/>
    <n v="1855885.6"/>
    <n v="1158983.3999999999"/>
    <n v="0.37550924475086178"/>
    <n v="696902.2"/>
  </r>
  <r>
    <x v="0"/>
    <s v="Bosnia and Herzegovina"/>
    <x v="7"/>
    <x v="0"/>
    <x v="0"/>
    <s v="3/31/2012"/>
    <d v="2012-03-31T00:00:00"/>
    <n v="31"/>
    <s v="Mar"/>
    <x v="5"/>
    <s v="Mar-2012"/>
    <n v="388728320"/>
    <d v="2012-05-10T00:00:00"/>
    <n v="10"/>
    <s v="May"/>
    <n v="2012"/>
    <s v="May-2012"/>
    <s v="5/10/2012"/>
    <n v="40"/>
    <n v="2203"/>
    <n v="152.58000000000001"/>
    <n v="97.44"/>
    <n v="152.57999999999998"/>
    <n v="336133.74"/>
    <n v="214660.32"/>
    <n v="0.36138419189933152"/>
    <n v="121473.42"/>
  </r>
  <r>
    <x v="0"/>
    <s v="Vatican City"/>
    <x v="5"/>
    <x v="0"/>
    <x v="2"/>
    <s v="3/18/2014"/>
    <d v="2014-03-18T00:00:00"/>
    <n v="18"/>
    <s v="Mar"/>
    <x v="2"/>
    <s v="Mar-2014"/>
    <n v="452559745"/>
    <d v="2014-03-19T00:00:00"/>
    <n v="19"/>
    <s v="Mar"/>
    <n v="2014"/>
    <s v="Mar-2014"/>
    <s v="3/19/2014"/>
    <n v="1"/>
    <n v="1340"/>
    <n v="154.06"/>
    <n v="90.93"/>
    <n v="154.06"/>
    <n v="206440.4"/>
    <n v="121846.2"/>
    <n v="0.40977541217707386"/>
    <n v="84594.2"/>
  </r>
  <r>
    <x v="0"/>
    <s v="Portugal"/>
    <x v="8"/>
    <x v="0"/>
    <x v="1"/>
    <s v="3/27/2016"/>
    <d v="2016-03-27T00:00:00"/>
    <n v="27"/>
    <s v="Mar"/>
    <x v="4"/>
    <s v="Mar-2016"/>
    <n v="921230065"/>
    <d v="2016-05-16T00:00:00"/>
    <n v="16"/>
    <s v="May"/>
    <n v="2016"/>
    <s v="May-2016"/>
    <s v="5/16/2016"/>
    <n v="50"/>
    <n v="1303"/>
    <n v="255.28"/>
    <n v="159.41999999999999"/>
    <n v="255.28000000000003"/>
    <n v="332629.84000000003"/>
    <n v="207724.26"/>
    <n v="0.37550924475086178"/>
    <n v="124905.58"/>
  </r>
  <r>
    <x v="0"/>
    <s v="Malta"/>
    <x v="4"/>
    <x v="1"/>
    <x v="1"/>
    <s v="5/9/2016"/>
    <d v="2016-05-09T00:00:00"/>
    <n v="9"/>
    <s v="May"/>
    <x v="4"/>
    <s v="May-2016"/>
    <n v="831143891"/>
    <d v="2016-06-01T00:00:00"/>
    <n v="1"/>
    <s v="Jun"/>
    <n v="2016"/>
    <s v="Jun-2016"/>
    <s v="6/1/2016"/>
    <n v="23"/>
    <n v="2802"/>
    <n v="9.33"/>
    <n v="6.92"/>
    <n v="9.33"/>
    <n v="26142.66"/>
    <n v="19389.84"/>
    <n v="0.25830653804930331"/>
    <n v="6752.82"/>
  </r>
  <r>
    <x v="0"/>
    <s v="Estonia"/>
    <x v="2"/>
    <x v="1"/>
    <x v="1"/>
    <s v="10/7/2015"/>
    <d v="2015-10-07T00:00:00"/>
    <n v="7"/>
    <s v="Oct"/>
    <x v="6"/>
    <s v="Oct-2015"/>
    <n v="318523538"/>
    <d v="2015-11-05T00:00:00"/>
    <n v="5"/>
    <s v="Nov"/>
    <n v="2015"/>
    <s v="Nov-2015"/>
    <s v="11/5/2015"/>
    <n v="29"/>
    <n v="7048"/>
    <n v="205.7"/>
    <n v="117.11"/>
    <n v="205.70000000000002"/>
    <n v="1449773.6"/>
    <n v="825391.28"/>
    <n v="0.43067574137092846"/>
    <n v="624382.31999999995"/>
  </r>
  <r>
    <x v="0"/>
    <s v="Armenia"/>
    <x v="6"/>
    <x v="0"/>
    <x v="3"/>
    <s v="10/26/2010"/>
    <d v="2010-10-26T00:00:00"/>
    <n v="26"/>
    <s v="Oct"/>
    <x v="3"/>
    <s v="Oct-2010"/>
    <n v="970427358"/>
    <d v="2010-10-31T00:00:00"/>
    <n v="31"/>
    <s v="Oct"/>
    <n v="2010"/>
    <s v="Oct-2010"/>
    <s v="10/31/2010"/>
    <n v="5"/>
    <n v="9875"/>
    <n v="421.89"/>
    <n v="364.69"/>
    <n v="421.89"/>
    <n v="4166163.75"/>
    <n v="3601313.75"/>
    <n v="0.13558036455000119"/>
    <n v="564850"/>
  </r>
  <r>
    <x v="0"/>
    <s v="Estonia"/>
    <x v="2"/>
    <x v="0"/>
    <x v="3"/>
    <s v="7/18/2013"/>
    <d v="2013-07-18T00:00:00"/>
    <n v="18"/>
    <s v="Jul"/>
    <x v="1"/>
    <s v="Jul-2013"/>
    <n v="195212733"/>
    <d v="2013-08-14T00:00:00"/>
    <n v="14"/>
    <s v="Aug"/>
    <n v="2013"/>
    <s v="Aug-2013"/>
    <s v="8/14/2013"/>
    <n v="27"/>
    <n v="6641"/>
    <n v="205.7"/>
    <n v="117.11"/>
    <n v="205.7"/>
    <n v="1366053.7"/>
    <n v="777727.51"/>
    <n v="0.43067574137092851"/>
    <n v="588326.18999999994"/>
  </r>
  <r>
    <x v="0"/>
    <s v="Poland"/>
    <x v="9"/>
    <x v="1"/>
    <x v="0"/>
    <s v="3/13/2011"/>
    <d v="2011-03-13T00:00:00"/>
    <n v="13"/>
    <s v="Mar"/>
    <x v="0"/>
    <s v="Mar-2011"/>
    <n v="141875827"/>
    <d v="2011-04-16T00:00:00"/>
    <n v="16"/>
    <s v="Apr"/>
    <n v="2011"/>
    <s v="Apr-2011"/>
    <s v="4/16/2011"/>
    <n v="34"/>
    <n v="3065"/>
    <n v="668.27"/>
    <n v="502.54"/>
    <n v="668.27"/>
    <n v="2048247.55"/>
    <n v="1540285.1"/>
    <n v="0.24799856345489099"/>
    <n v="507962.45"/>
  </r>
  <r>
    <x v="0"/>
    <s v="Vatican City"/>
    <x v="0"/>
    <x v="0"/>
    <x v="2"/>
    <s v="11/4/2011"/>
    <d v="2011-11-04T00:00:00"/>
    <n v="4"/>
    <s v="Nov"/>
    <x v="0"/>
    <s v="Nov-2011"/>
    <n v="510762822"/>
    <d v="2011-12-22T00:00:00"/>
    <n v="22"/>
    <s v="Dec"/>
    <n v="2011"/>
    <s v="Dec-2011"/>
    <s v="12/22/2011"/>
    <n v="48"/>
    <n v="4924"/>
    <n v="47.45"/>
    <n v="31.79"/>
    <n v="47.449999999999996"/>
    <n v="233643.8"/>
    <n v="156533.96"/>
    <n v="0.33003161222339306"/>
    <n v="77109.84"/>
  </r>
  <r>
    <x v="0"/>
    <s v="Russia"/>
    <x v="7"/>
    <x v="0"/>
    <x v="3"/>
    <s v="7/28/2012"/>
    <d v="2012-07-28T00:00:00"/>
    <n v="28"/>
    <s v="Jul"/>
    <x v="5"/>
    <s v="Jul-2012"/>
    <n v="189667212"/>
    <d v="2012-09-03T00:00:00"/>
    <n v="3"/>
    <s v="Sep"/>
    <n v="2012"/>
    <s v="Sep-2012"/>
    <s v="9/3/2012"/>
    <n v="37"/>
    <n v="5598"/>
    <n v="152.58000000000001"/>
    <n v="97.44"/>
    <n v="152.57999999999998"/>
    <n v="854142.84"/>
    <n v="545469.12"/>
    <n v="0.36138419189933146"/>
    <n v="308673.71999999997"/>
  </r>
  <r>
    <x v="0"/>
    <s v="Germany"/>
    <x v="1"/>
    <x v="1"/>
    <x v="0"/>
    <s v="3/21/2015"/>
    <d v="2015-03-21T00:00:00"/>
    <n v="21"/>
    <s v="Mar"/>
    <x v="6"/>
    <s v="Mar-2015"/>
    <n v="276784074"/>
    <d v="2015-04-15T00:00:00"/>
    <n v="15"/>
    <s v="Apr"/>
    <n v="2015"/>
    <s v="Apr-2015"/>
    <s v="4/15/2015"/>
    <n v="25"/>
    <n v="5413"/>
    <n v="109.28"/>
    <n v="35.840000000000003"/>
    <n v="109.28"/>
    <n v="591532.64"/>
    <n v="194001.92000000001"/>
    <n v="0.67203513909224011"/>
    <n v="397530.72"/>
  </r>
  <r>
    <x v="0"/>
    <s v="Spain"/>
    <x v="1"/>
    <x v="1"/>
    <x v="3"/>
    <s v="8/14/2010"/>
    <d v="2010-08-14T00:00:00"/>
    <n v="14"/>
    <s v="Aug"/>
    <x v="3"/>
    <s v="Aug-2010"/>
    <n v="744583642"/>
    <d v="2010-09-26T00:00:00"/>
    <n v="26"/>
    <s v="Sep"/>
    <n v="2010"/>
    <s v="Sep-2010"/>
    <s v="9/26/2010"/>
    <n v="43"/>
    <n v="7701"/>
    <n v="109.28"/>
    <n v="35.840000000000003"/>
    <n v="109.28"/>
    <n v="841565.28"/>
    <n v="276003.84000000003"/>
    <n v="0.67203513909224"/>
    <n v="565561.43999999994"/>
  </r>
  <r>
    <x v="0"/>
    <s v="Moldova "/>
    <x v="0"/>
    <x v="1"/>
    <x v="3"/>
    <s v="6/26/2015"/>
    <d v="2015-06-26T00:00:00"/>
    <n v="26"/>
    <s v="Jun"/>
    <x v="6"/>
    <s v="Jun-2015"/>
    <n v="761724030"/>
    <d v="2015-08-13T00:00:00"/>
    <n v="13"/>
    <s v="Aug"/>
    <n v="2015"/>
    <s v="Aug-2015"/>
    <s v="8/13/2015"/>
    <n v="48"/>
    <n v="9923"/>
    <n v="47.45"/>
    <n v="31.79"/>
    <n v="47.449999999999996"/>
    <n v="470846.35"/>
    <n v="315452.17"/>
    <n v="0.33003161222339306"/>
    <n v="155394.18"/>
  </r>
  <r>
    <x v="0"/>
    <s v="Slovakia"/>
    <x v="3"/>
    <x v="1"/>
    <x v="0"/>
    <s v="5/5/2012"/>
    <d v="2012-05-05T00:00:00"/>
    <n v="5"/>
    <s v="May"/>
    <x v="5"/>
    <s v="May-2012"/>
    <n v="217248904"/>
    <d v="2012-06-15T00:00:00"/>
    <n v="15"/>
    <s v="Jun"/>
    <n v="2012"/>
    <s v="Jun-2012"/>
    <s v="6/15/2012"/>
    <n v="41"/>
    <n v="7633"/>
    <n v="651.21"/>
    <n v="524.96"/>
    <n v="651.20999999999992"/>
    <n v="4970685.93"/>
    <n v="4007019.68"/>
    <n v="0.19386987300563568"/>
    <n v="963666.25"/>
  </r>
  <r>
    <x v="0"/>
    <s v="Montenegro"/>
    <x v="1"/>
    <x v="1"/>
    <x v="2"/>
    <s v="4/29/2016"/>
    <d v="2016-04-29T00:00:00"/>
    <n v="29"/>
    <s v="Apr"/>
    <x v="4"/>
    <s v="Apr-2016"/>
    <n v="685596930"/>
    <d v="2016-06-16T00:00:00"/>
    <n v="16"/>
    <s v="Jun"/>
    <n v="2016"/>
    <s v="Jun-2016"/>
    <s v="6/16/2016"/>
    <n v="48"/>
    <n v="2222"/>
    <n v="109.28"/>
    <n v="35.840000000000003"/>
    <n v="109.28"/>
    <n v="242820.16"/>
    <n v="79636.479999999996"/>
    <n v="0.67203513909224011"/>
    <n v="163183.67999999999"/>
  </r>
  <r>
    <x v="0"/>
    <s v="Greece"/>
    <x v="1"/>
    <x v="1"/>
    <x v="3"/>
    <s v="1/31/2015"/>
    <d v="2015-01-31T00:00:00"/>
    <n v="31"/>
    <s v="Jan"/>
    <x v="6"/>
    <s v="Jan-2015"/>
    <n v="355534589"/>
    <d v="2015-02-06T00:00:00"/>
    <n v="6"/>
    <s v="Feb"/>
    <n v="2015"/>
    <s v="Feb-2015"/>
    <s v="2/6/2015"/>
    <n v="6"/>
    <n v="9440"/>
    <n v="109.28"/>
    <n v="35.840000000000003"/>
    <n v="109.28"/>
    <n v="1031603.2"/>
    <n v="338329.59999999998"/>
    <n v="0.67203513909224011"/>
    <n v="693273.59999999998"/>
  </r>
  <r>
    <x v="0"/>
    <s v="Belgium"/>
    <x v="3"/>
    <x v="0"/>
    <x v="2"/>
    <s v="12/1/2012"/>
    <d v="2012-12-01T00:00:00"/>
    <n v="1"/>
    <s v="Dec"/>
    <x v="5"/>
    <s v="Dec-2012"/>
    <n v="456527268"/>
    <d v="2012-12-02T00:00:00"/>
    <n v="2"/>
    <s v="Dec"/>
    <n v="2012"/>
    <s v="Dec-2012"/>
    <s v="12/2/2012"/>
    <n v="1"/>
    <n v="5419"/>
    <n v="651.21"/>
    <n v="524.96"/>
    <n v="651.21"/>
    <n v="3528906.99"/>
    <n v="2844758.24"/>
    <n v="0.19386987300563566"/>
    <n v="684148.75"/>
  </r>
  <r>
    <x v="0"/>
    <s v="Montenegro"/>
    <x v="8"/>
    <x v="0"/>
    <x v="0"/>
    <s v="2/15/2016"/>
    <d v="2016-02-15T00:00:00"/>
    <n v="15"/>
    <s v="Feb"/>
    <x v="4"/>
    <s v="Feb-2016"/>
    <n v="461917865"/>
    <d v="2016-03-21T00:00:00"/>
    <n v="21"/>
    <s v="Mar"/>
    <n v="2016"/>
    <s v="Mar-2016"/>
    <s v="3/21/2016"/>
    <n v="35"/>
    <n v="616"/>
    <n v="255.28"/>
    <n v="159.41999999999999"/>
    <n v="255.28000000000003"/>
    <n v="157252.48000000001"/>
    <n v="98202.72"/>
    <n v="0.37550924475086178"/>
    <n v="59049.760000000002"/>
  </r>
  <r>
    <x v="0"/>
    <s v="Montenegro"/>
    <x v="11"/>
    <x v="0"/>
    <x v="0"/>
    <s v="6/29/2013"/>
    <d v="2013-06-29T00:00:00"/>
    <n v="29"/>
    <s v="Jun"/>
    <x v="1"/>
    <s v="Jun-2013"/>
    <n v="284435451"/>
    <d v="2013-06-29T00:00:00"/>
    <n v="29"/>
    <s v="Jun"/>
    <n v="2013"/>
    <s v="Jun-2013"/>
    <s v="6/29/2013"/>
    <n v="0"/>
    <n v="9625"/>
    <n v="81.73"/>
    <n v="56.67"/>
    <n v="81.73"/>
    <n v="786651.25"/>
    <n v="545448.75"/>
    <n v="0.30661935641747218"/>
    <n v="241202.5"/>
  </r>
  <r>
    <x v="0"/>
    <s v="Finland"/>
    <x v="6"/>
    <x v="1"/>
    <x v="3"/>
    <s v="6/21/2014"/>
    <d v="2014-06-21T00:00:00"/>
    <n v="21"/>
    <s v="Jun"/>
    <x v="2"/>
    <s v="Jun-2014"/>
    <n v="844575107"/>
    <d v="2014-06-26T00:00:00"/>
    <n v="26"/>
    <s v="Jun"/>
    <n v="2014"/>
    <s v="Jun-2014"/>
    <s v="6/26/2014"/>
    <n v="5"/>
    <n v="7397"/>
    <n v="421.89"/>
    <n v="364.69"/>
    <n v="421.89"/>
    <n v="3120720.33"/>
    <n v="2697611.93"/>
    <n v="0.13558036455000119"/>
    <n v="423108.4"/>
  </r>
  <r>
    <x v="0"/>
    <s v="Russia"/>
    <x v="8"/>
    <x v="0"/>
    <x v="2"/>
    <s v="5/19/2015"/>
    <d v="2015-05-19T00:00:00"/>
    <n v="19"/>
    <s v="May"/>
    <x v="6"/>
    <s v="May-2015"/>
    <n v="158479773"/>
    <d v="2015-06-18T00:00:00"/>
    <n v="18"/>
    <s v="Jun"/>
    <n v="2015"/>
    <s v="Jun-2015"/>
    <s v="6/18/2015"/>
    <n v="30"/>
    <n v="6542"/>
    <n v="255.28"/>
    <n v="159.41999999999999"/>
    <n v="255.28"/>
    <n v="1670041.76"/>
    <n v="1042925.64"/>
    <n v="0.37550924475086178"/>
    <n v="627116.12"/>
  </r>
  <r>
    <x v="0"/>
    <s v="Monaco"/>
    <x v="9"/>
    <x v="1"/>
    <x v="2"/>
    <s v="6/9/2014"/>
    <d v="2014-06-09T00:00:00"/>
    <n v="9"/>
    <s v="Jun"/>
    <x v="2"/>
    <s v="Jun-2014"/>
    <n v="175723588"/>
    <d v="2014-06-14T00:00:00"/>
    <n v="14"/>
    <s v="Jun"/>
    <n v="2014"/>
    <s v="Jun-2014"/>
    <s v="6/14/2014"/>
    <n v="5"/>
    <n v="9370"/>
    <n v="668.27"/>
    <n v="502.54"/>
    <n v="668.2700000000001"/>
    <n v="6261689.9000000004"/>
    <n v="4708799.8"/>
    <n v="0.24799856345489099"/>
    <n v="1552890.1"/>
  </r>
  <r>
    <x v="0"/>
    <s v="Netherlands"/>
    <x v="9"/>
    <x v="1"/>
    <x v="0"/>
    <s v="11/4/2016"/>
    <d v="2016-11-04T00:00:00"/>
    <n v="4"/>
    <s v="Nov"/>
    <x v="4"/>
    <s v="Nov-2016"/>
    <n v="690220630"/>
    <d v="2016-11-19T00:00:00"/>
    <n v="19"/>
    <s v="Nov"/>
    <n v="2016"/>
    <s v="Nov-2016"/>
    <s v="11/19/2016"/>
    <n v="15"/>
    <n v="477"/>
    <n v="668.27"/>
    <n v="502.54"/>
    <n v="668.27"/>
    <n v="318764.78999999998"/>
    <n v="239711.58"/>
    <n v="0.24799856345489102"/>
    <n v="79053.210000000006"/>
  </r>
  <r>
    <x v="0"/>
    <s v="Macedonia"/>
    <x v="0"/>
    <x v="0"/>
    <x v="1"/>
    <s v="7/17/2017"/>
    <d v="2017-07-17T00:00:00"/>
    <n v="17"/>
    <s v="Jul"/>
    <x v="7"/>
    <s v="Jul-2017"/>
    <n v="704139363"/>
    <d v="2017-08-31T00:00:00"/>
    <n v="31"/>
    <s v="Aug"/>
    <n v="2017"/>
    <s v="Aug-2017"/>
    <s v="8/31/2017"/>
    <n v="45"/>
    <n v="9340"/>
    <n v="47.45"/>
    <n v="31.79"/>
    <n v="47.45"/>
    <n v="443183"/>
    <n v="296918.59999999998"/>
    <n v="0.33003161222339306"/>
    <n v="146264.4"/>
  </r>
  <r>
    <x v="0"/>
    <s v="Italy"/>
    <x v="4"/>
    <x v="1"/>
    <x v="3"/>
    <s v="2/2/2014"/>
    <d v="2014-02-02T00:00:00"/>
    <n v="2"/>
    <s v="Feb"/>
    <x v="2"/>
    <s v="Feb-2014"/>
    <n v="636278617"/>
    <d v="2014-03-22T00:00:00"/>
    <n v="22"/>
    <s v="Mar"/>
    <n v="2014"/>
    <s v="Mar-2014"/>
    <s v="3/22/2014"/>
    <n v="48"/>
    <n v="7837"/>
    <n v="9.33"/>
    <n v="6.92"/>
    <n v="9.33"/>
    <n v="73119.210000000006"/>
    <n v="54232.04"/>
    <n v="0.25830653804930326"/>
    <n v="18887.169999999998"/>
  </r>
  <r>
    <x v="0"/>
    <s v="Belarus"/>
    <x v="7"/>
    <x v="1"/>
    <x v="2"/>
    <s v="9/9/2012"/>
    <d v="2012-09-09T00:00:00"/>
    <n v="9"/>
    <s v="Sep"/>
    <x v="5"/>
    <s v="Sep-2012"/>
    <n v="525749719"/>
    <d v="2012-10-22T00:00:00"/>
    <n v="22"/>
    <s v="Oct"/>
    <n v="2012"/>
    <s v="Oct-2012"/>
    <s v="10/22/2012"/>
    <n v="43"/>
    <n v="9880"/>
    <n v="152.58000000000001"/>
    <n v="97.44"/>
    <n v="152.57999999999998"/>
    <n v="1507490.4"/>
    <n v="962707.2"/>
    <n v="0.36138419189933146"/>
    <n v="544783.19999999995"/>
  </r>
  <r>
    <x v="0"/>
    <s v="Romania"/>
    <x v="4"/>
    <x v="1"/>
    <x v="3"/>
    <s v="10/27/2016"/>
    <d v="2016-10-27T00:00:00"/>
    <n v="27"/>
    <s v="Oct"/>
    <x v="4"/>
    <s v="Oct-2016"/>
    <n v="481976497"/>
    <d v="2016-12-03T00:00:00"/>
    <n v="3"/>
    <s v="Dec"/>
    <n v="2016"/>
    <s v="Dec-2016"/>
    <s v="12/3/2016"/>
    <n v="37"/>
    <n v="6411"/>
    <n v="9.33"/>
    <n v="6.92"/>
    <n v="9.33"/>
    <n v="59814.63"/>
    <n v="44364.12"/>
    <n v="0.25830653804930331"/>
    <n v="15450.51"/>
  </r>
  <r>
    <x v="0"/>
    <s v="San Marino"/>
    <x v="6"/>
    <x v="1"/>
    <x v="3"/>
    <s v="10/22/2010"/>
    <d v="2010-10-22T00:00:00"/>
    <n v="22"/>
    <s v="Oct"/>
    <x v="3"/>
    <s v="Oct-2010"/>
    <n v="168979442"/>
    <d v="2010-12-10T00:00:00"/>
    <n v="10"/>
    <s v="Dec"/>
    <n v="2010"/>
    <s v="Dec-2010"/>
    <s v="12/10/2010"/>
    <n v="49"/>
    <n v="3627"/>
    <n v="421.89"/>
    <n v="364.69"/>
    <n v="421.89"/>
    <n v="1530195.03"/>
    <n v="1322730.6299999999"/>
    <n v="0.13558036455000119"/>
    <n v="207464.4"/>
  </r>
  <r>
    <x v="0"/>
    <s v="Albania"/>
    <x v="9"/>
    <x v="1"/>
    <x v="2"/>
    <s v="12/20/2010"/>
    <d v="2010-12-20T00:00:00"/>
    <n v="20"/>
    <s v="Dec"/>
    <x v="3"/>
    <s v="Dec-2010"/>
    <n v="570476520"/>
    <d v="2010-12-24T00:00:00"/>
    <n v="24"/>
    <s v="Dec"/>
    <n v="2010"/>
    <s v="Dec-2010"/>
    <s v="12/24/2010"/>
    <n v="4"/>
    <n v="5534"/>
    <n v="668.27"/>
    <n v="502.54"/>
    <n v="668.27"/>
    <n v="3698206.18"/>
    <n v="2781056.36"/>
    <n v="0.24799856345489096"/>
    <n v="917149.82"/>
  </r>
  <r>
    <x v="0"/>
    <s v="Finland"/>
    <x v="2"/>
    <x v="1"/>
    <x v="3"/>
    <s v="7/13/2013"/>
    <d v="2013-07-13T00:00:00"/>
    <n v="13"/>
    <s v="Jul"/>
    <x v="1"/>
    <s v="Jul-2013"/>
    <n v="144282948"/>
    <d v="2013-08-01T00:00:00"/>
    <n v="1"/>
    <s v="Aug"/>
    <n v="2013"/>
    <s v="Aug-2013"/>
    <s v="8/1/2013"/>
    <n v="19"/>
    <n v="5386"/>
    <n v="205.7"/>
    <n v="117.11"/>
    <n v="205.7"/>
    <n v="1107900.2"/>
    <n v="630754.46"/>
    <n v="0.43067574137092857"/>
    <n v="477145.74"/>
  </r>
  <r>
    <x v="0"/>
    <s v="Russia"/>
    <x v="0"/>
    <x v="1"/>
    <x v="1"/>
    <s v="10/10/2013"/>
    <d v="2013-10-10T00:00:00"/>
    <n v="10"/>
    <s v="Oct"/>
    <x v="1"/>
    <s v="Oct-2013"/>
    <n v="797202146"/>
    <d v="2013-11-17T00:00:00"/>
    <n v="17"/>
    <s v="Nov"/>
    <n v="2013"/>
    <s v="Nov-2013"/>
    <s v="11/17/2013"/>
    <n v="38"/>
    <n v="8685"/>
    <n v="47.45"/>
    <n v="31.79"/>
    <n v="47.45"/>
    <n v="412103.25"/>
    <n v="276096.15000000002"/>
    <n v="0.33003161222339306"/>
    <n v="136007.1"/>
  </r>
  <r>
    <x v="0"/>
    <s v="Hungary"/>
    <x v="4"/>
    <x v="0"/>
    <x v="0"/>
    <s v="4/17/2016"/>
    <d v="2016-04-17T00:00:00"/>
    <n v="17"/>
    <s v="Apr"/>
    <x v="4"/>
    <s v="Apr-2016"/>
    <n v="353492677"/>
    <d v="2016-05-23T00:00:00"/>
    <n v="23"/>
    <s v="May"/>
    <n v="2016"/>
    <s v="May-2016"/>
    <s v="5/23/2016"/>
    <n v="36"/>
    <n v="5193"/>
    <n v="9.33"/>
    <n v="6.92"/>
    <n v="9.33"/>
    <n v="48450.69"/>
    <n v="35935.56"/>
    <n v="0.25830653804930331"/>
    <n v="12515.13"/>
  </r>
  <r>
    <x v="0"/>
    <s v="Slovenia"/>
    <x v="10"/>
    <x v="0"/>
    <x v="1"/>
    <s v="1/28/2014"/>
    <d v="2014-01-28T00:00:00"/>
    <n v="28"/>
    <s v="Jan"/>
    <x v="2"/>
    <s v="Jan-2014"/>
    <n v="155086886"/>
    <d v="2014-02-05T00:00:00"/>
    <n v="5"/>
    <s v="Feb"/>
    <n v="2014"/>
    <s v="Feb-2014"/>
    <s v="2/5/2014"/>
    <n v="8"/>
    <n v="2511"/>
    <n v="437.2"/>
    <n v="263.33"/>
    <n v="437.2"/>
    <n v="1097809.2"/>
    <n v="661221.63"/>
    <n v="0.39768984446477584"/>
    <n v="436587.57"/>
  </r>
  <r>
    <x v="0"/>
    <s v="Russia"/>
    <x v="10"/>
    <x v="1"/>
    <x v="2"/>
    <s v="10/29/2010"/>
    <d v="2010-10-29T00:00:00"/>
    <n v="29"/>
    <s v="Oct"/>
    <x v="3"/>
    <s v="Oct-2010"/>
    <n v="113524663"/>
    <d v="2010-12-09T00:00:00"/>
    <n v="9"/>
    <s v="Dec"/>
    <n v="2010"/>
    <s v="Dec-2010"/>
    <s v="12/9/2010"/>
    <n v="41"/>
    <n v="3325"/>
    <n v="437.2"/>
    <n v="263.33"/>
    <n v="437.2"/>
    <n v="1453690"/>
    <n v="875572.25"/>
    <n v="0.39768984446477584"/>
    <n v="578117.75"/>
  </r>
  <r>
    <x v="0"/>
    <s v="Andorra"/>
    <x v="0"/>
    <x v="0"/>
    <x v="2"/>
    <s v="10/9/2013"/>
    <d v="2013-10-09T00:00:00"/>
    <n v="9"/>
    <s v="Oct"/>
    <x v="1"/>
    <s v="Oct-2013"/>
    <n v="932475602"/>
    <d v="2013-11-21T00:00:00"/>
    <n v="21"/>
    <s v="Nov"/>
    <n v="2013"/>
    <s v="Nov-2013"/>
    <s v="11/21/2013"/>
    <n v="43"/>
    <n v="9107"/>
    <n v="47.45"/>
    <n v="31.79"/>
    <n v="47.45"/>
    <n v="432127.15"/>
    <n v="289511.53000000003"/>
    <n v="0.330031612223393"/>
    <n v="142615.62"/>
  </r>
  <r>
    <x v="0"/>
    <s v="Russia"/>
    <x v="3"/>
    <x v="0"/>
    <x v="2"/>
    <s v="1/20/2015"/>
    <d v="2015-01-20T00:00:00"/>
    <n v="20"/>
    <s v="Jan"/>
    <x v="6"/>
    <s v="Jan-2015"/>
    <n v="282917964"/>
    <d v="2015-01-27T00:00:00"/>
    <n v="27"/>
    <s v="Jan"/>
    <n v="2015"/>
    <s v="Jan-2015"/>
    <s v="1/27/2015"/>
    <n v="7"/>
    <n v="567"/>
    <n v="651.21"/>
    <n v="524.96"/>
    <n v="651.21"/>
    <n v="369236.07"/>
    <n v="297652.32"/>
    <n v="0.19386987300563566"/>
    <n v="71583.75"/>
  </r>
  <r>
    <x v="0"/>
    <s v="Croatia"/>
    <x v="8"/>
    <x v="0"/>
    <x v="0"/>
    <s v="6/27/2013"/>
    <d v="2013-06-27T00:00:00"/>
    <n v="27"/>
    <s v="Jun"/>
    <x v="1"/>
    <s v="Jun-2013"/>
    <n v="775347936"/>
    <d v="2013-07-08T00:00:00"/>
    <n v="8"/>
    <s v="Jul"/>
    <n v="2013"/>
    <s v="Jul-2013"/>
    <s v="7/8/2013"/>
    <n v="11"/>
    <n v="1539"/>
    <n v="255.28"/>
    <n v="159.41999999999999"/>
    <n v="255.28"/>
    <n v="392875.92"/>
    <n v="245347.38"/>
    <n v="0.37550924475086184"/>
    <n v="147528.54"/>
  </r>
  <r>
    <x v="0"/>
    <s v="Bulgaria"/>
    <x v="8"/>
    <x v="0"/>
    <x v="0"/>
    <s v="9/18/2010"/>
    <d v="2010-09-18T00:00:00"/>
    <n v="18"/>
    <s v="Sep"/>
    <x v="3"/>
    <s v="Sep-2010"/>
    <n v="980381143"/>
    <d v="2010-09-26T00:00:00"/>
    <n v="26"/>
    <s v="Sep"/>
    <n v="2010"/>
    <s v="Sep-2010"/>
    <s v="9/26/2010"/>
    <n v="8"/>
    <n v="5421"/>
    <n v="255.28"/>
    <n v="159.41999999999999"/>
    <n v="255.27999999999997"/>
    <n v="1383872.88"/>
    <n v="864215.82"/>
    <n v="0.37550924475086184"/>
    <n v="519657.06"/>
  </r>
  <r>
    <x v="0"/>
    <s v="Belarus"/>
    <x v="10"/>
    <x v="0"/>
    <x v="1"/>
    <s v="1/6/2010"/>
    <d v="2010-01-06T00:00:00"/>
    <n v="6"/>
    <s v="Jan"/>
    <x v="3"/>
    <s v="Jan-2010"/>
    <n v="521874034"/>
    <d v="2010-02-03T00:00:00"/>
    <n v="3"/>
    <s v="Feb"/>
    <n v="2010"/>
    <s v="Feb-2010"/>
    <s v="2/3/2010"/>
    <n v="28"/>
    <n v="2979"/>
    <n v="437.2"/>
    <n v="263.33"/>
    <n v="437.2"/>
    <n v="1302418.8"/>
    <n v="784460.07"/>
    <n v="0.39768984446477584"/>
    <n v="517958.73"/>
  </r>
  <r>
    <x v="0"/>
    <s v="Iceland"/>
    <x v="10"/>
    <x v="1"/>
    <x v="1"/>
    <s v="4/16/2017"/>
    <d v="2017-04-16T00:00:00"/>
    <n v="16"/>
    <s v="Apr"/>
    <x v="7"/>
    <s v="Apr-2017"/>
    <n v="186847674"/>
    <d v="2017-04-23T00:00:00"/>
    <n v="23"/>
    <s v="Apr"/>
    <n v="2017"/>
    <s v="Apr-2017"/>
    <s v="4/23/2017"/>
    <n v="7"/>
    <n v="1234"/>
    <n v="437.2"/>
    <n v="263.33"/>
    <n v="437.20000000000005"/>
    <n v="539504.80000000005"/>
    <n v="324949.21999999997"/>
    <n v="0.39768984446477579"/>
    <n v="214555.58"/>
  </r>
  <r>
    <x v="0"/>
    <s v="Vatican City"/>
    <x v="4"/>
    <x v="0"/>
    <x v="3"/>
    <s v="1/24/2015"/>
    <d v="2015-01-24T00:00:00"/>
    <n v="24"/>
    <s v="Jan"/>
    <x v="6"/>
    <s v="Jan-2015"/>
    <n v="117929494"/>
    <d v="2015-03-02T00:00:00"/>
    <n v="2"/>
    <s v="Mar"/>
    <n v="2015"/>
    <s v="Mar-2015"/>
    <s v="3/2/2015"/>
    <n v="37"/>
    <n v="6813"/>
    <n v="9.33"/>
    <n v="6.92"/>
    <n v="9.33"/>
    <n v="63565.29"/>
    <n v="47145.96"/>
    <n v="0.25830653804930337"/>
    <n v="16419.330000000002"/>
  </r>
  <r>
    <x v="0"/>
    <s v="Netherlands"/>
    <x v="0"/>
    <x v="0"/>
    <x v="1"/>
    <s v="7/11/2017"/>
    <d v="2017-07-11T00:00:00"/>
    <n v="11"/>
    <s v="Jul"/>
    <x v="7"/>
    <s v="Jul-2017"/>
    <n v="786318385"/>
    <d v="2017-08-23T00:00:00"/>
    <n v="23"/>
    <s v="Aug"/>
    <n v="2017"/>
    <s v="Aug-2017"/>
    <s v="8/23/2017"/>
    <n v="43"/>
    <n v="7939"/>
    <n v="47.45"/>
    <n v="31.79"/>
    <n v="47.449999999999996"/>
    <n v="376705.55"/>
    <n v="252380.81"/>
    <n v="0.33003161222339306"/>
    <n v="124324.74"/>
  </r>
  <r>
    <x v="0"/>
    <s v="Austria"/>
    <x v="9"/>
    <x v="1"/>
    <x v="0"/>
    <s v="9/20/2015"/>
    <d v="2015-09-20T00:00:00"/>
    <n v="20"/>
    <s v="Sep"/>
    <x v="6"/>
    <s v="Sep-2015"/>
    <n v="178604066"/>
    <d v="2015-10-18T00:00:00"/>
    <n v="18"/>
    <s v="Oct"/>
    <n v="2015"/>
    <s v="Oct-2015"/>
    <s v="10/18/2015"/>
    <n v="28"/>
    <n v="1767"/>
    <n v="668.27"/>
    <n v="502.54"/>
    <n v="668.2700000000001"/>
    <n v="1180833.0900000001"/>
    <n v="887988.18"/>
    <n v="0.24799856345489094"/>
    <n v="292844.90999999997"/>
  </r>
  <r>
    <x v="0"/>
    <s v="Bulgaria"/>
    <x v="5"/>
    <x v="0"/>
    <x v="0"/>
    <s v="6/11/2014"/>
    <d v="2014-06-11T00:00:00"/>
    <n v="11"/>
    <s v="Jun"/>
    <x v="2"/>
    <s v="Jun-2014"/>
    <n v="651247489"/>
    <d v="2014-07-02T00:00:00"/>
    <n v="2"/>
    <s v="Jul"/>
    <n v="2014"/>
    <s v="Jul-2014"/>
    <s v="7/2/2014"/>
    <n v="21"/>
    <n v="7459"/>
    <n v="154.06"/>
    <n v="90.93"/>
    <n v="154.06"/>
    <n v="1149133.54"/>
    <n v="678246.87"/>
    <n v="0.40977541217707386"/>
    <n v="470886.67"/>
  </r>
  <r>
    <x v="0"/>
    <s v="Cyprus"/>
    <x v="9"/>
    <x v="1"/>
    <x v="2"/>
    <s v="3/20/2013"/>
    <d v="2013-03-20T00:00:00"/>
    <n v="20"/>
    <s v="Mar"/>
    <x v="1"/>
    <s v="Mar-2013"/>
    <n v="492353856"/>
    <d v="2013-04-11T00:00:00"/>
    <n v="11"/>
    <s v="Apr"/>
    <n v="2013"/>
    <s v="Apr-2013"/>
    <s v="4/11/2013"/>
    <n v="22"/>
    <n v="7302"/>
    <n v="668.27"/>
    <n v="502.54"/>
    <n v="668.27"/>
    <n v="4879707.54"/>
    <n v="3669547.08"/>
    <n v="0.24799856345489099"/>
    <n v="1210160.46"/>
  </r>
  <r>
    <x v="0"/>
    <s v="Ireland"/>
    <x v="11"/>
    <x v="0"/>
    <x v="1"/>
    <s v="2/16/2013"/>
    <d v="2013-02-16T00:00:00"/>
    <n v="16"/>
    <s v="Feb"/>
    <x v="1"/>
    <s v="Feb-2013"/>
    <n v="382581126"/>
    <d v="2013-03-27T00:00:00"/>
    <n v="27"/>
    <s v="Mar"/>
    <n v="2013"/>
    <s v="Mar-2013"/>
    <s v="3/27/2013"/>
    <n v="39"/>
    <n v="3112"/>
    <n v="81.73"/>
    <n v="56.67"/>
    <n v="81.73"/>
    <n v="254343.76"/>
    <n v="176357.04"/>
    <n v="0.30661935641747218"/>
    <n v="77986.720000000001"/>
  </r>
  <r>
    <x v="0"/>
    <s v="Andorra"/>
    <x v="9"/>
    <x v="1"/>
    <x v="0"/>
    <s v="9/29/2010"/>
    <d v="2010-09-29T00:00:00"/>
    <n v="29"/>
    <s v="Sep"/>
    <x v="3"/>
    <s v="Sep-2010"/>
    <n v="533314406"/>
    <d v="2010-10-29T00:00:00"/>
    <n v="29"/>
    <s v="Oct"/>
    <n v="2010"/>
    <s v="Oct-2010"/>
    <s v="10/29/2010"/>
    <n v="30"/>
    <n v="8439"/>
    <n v="668.27"/>
    <n v="502.54"/>
    <n v="668.27"/>
    <n v="5639530.5300000003"/>
    <n v="4240935.0599999996"/>
    <n v="0.24799856345489096"/>
    <n v="1398595.47"/>
  </r>
  <r>
    <x v="0"/>
    <s v="Russia"/>
    <x v="7"/>
    <x v="1"/>
    <x v="1"/>
    <s v="9/18/2016"/>
    <d v="2016-09-18T00:00:00"/>
    <n v="18"/>
    <s v="Sep"/>
    <x v="4"/>
    <s v="Sep-2016"/>
    <n v="949388539"/>
    <d v="2016-09-30T00:00:00"/>
    <n v="30"/>
    <s v="Sep"/>
    <n v="2016"/>
    <s v="Sep-2016"/>
    <s v="9/30/2016"/>
    <n v="12"/>
    <n v="4021"/>
    <n v="152.58000000000001"/>
    <n v="97.44"/>
    <n v="152.58000000000001"/>
    <n v="613524.18000000005"/>
    <n v="391806.24"/>
    <n v="0.36138419189933146"/>
    <n v="221717.94"/>
  </r>
  <r>
    <x v="0"/>
    <s v="Portugal"/>
    <x v="0"/>
    <x v="0"/>
    <x v="2"/>
    <s v="1/10/2016"/>
    <d v="2016-01-10T00:00:00"/>
    <n v="10"/>
    <s v="Jan"/>
    <x v="4"/>
    <s v="Jan-2016"/>
    <n v="122372519"/>
    <d v="2016-01-13T00:00:00"/>
    <n v="13"/>
    <s v="Jan"/>
    <n v="2016"/>
    <s v="Jan-2016"/>
    <s v="1/13/2016"/>
    <n v="3"/>
    <n v="1603"/>
    <n v="47.45"/>
    <n v="31.79"/>
    <n v="47.45"/>
    <n v="76062.350000000006"/>
    <n v="50959.37"/>
    <n v="0.330031612223393"/>
    <n v="25102.98"/>
  </r>
  <r>
    <x v="0"/>
    <s v="France"/>
    <x v="1"/>
    <x v="0"/>
    <x v="1"/>
    <s v="1/16/2014"/>
    <d v="2014-01-16T00:00:00"/>
    <n v="16"/>
    <s v="Jan"/>
    <x v="2"/>
    <s v="Jan-2014"/>
    <n v="298978602"/>
    <d v="2014-01-28T00:00:00"/>
    <n v="28"/>
    <s v="Jan"/>
    <n v="2014"/>
    <s v="Jan-2014"/>
    <s v="1/28/2014"/>
    <n v="12"/>
    <n v="3267"/>
    <n v="109.28"/>
    <n v="35.840000000000003"/>
    <n v="109.28"/>
    <n v="357017.76"/>
    <n v="117089.28"/>
    <n v="0.67203513909224011"/>
    <n v="239928.48"/>
  </r>
  <r>
    <x v="0"/>
    <s v="Belarus"/>
    <x v="1"/>
    <x v="0"/>
    <x v="0"/>
    <s v="12/27/2016"/>
    <d v="2016-12-27T00:00:00"/>
    <n v="27"/>
    <s v="Dec"/>
    <x v="4"/>
    <s v="Dec-2016"/>
    <n v="691760861"/>
    <d v="2017-01-28T00:00:00"/>
    <n v="28"/>
    <s v="Jan"/>
    <n v="2017"/>
    <s v="Jan-2017"/>
    <s v="1/28/2017"/>
    <n v="32"/>
    <n v="6266"/>
    <n v="109.28"/>
    <n v="35.840000000000003"/>
    <n v="109.28"/>
    <n v="684748.48"/>
    <n v="224573.44"/>
    <n v="0.67203513909224011"/>
    <n v="460175.04"/>
  </r>
  <r>
    <x v="0"/>
    <s v="Serbia"/>
    <x v="6"/>
    <x v="0"/>
    <x v="3"/>
    <s v="4/14/2010"/>
    <d v="2010-04-14T00:00:00"/>
    <n v="14"/>
    <s v="Apr"/>
    <x v="3"/>
    <s v="Apr-2010"/>
    <n v="447536504"/>
    <d v="2010-04-25T00:00:00"/>
    <n v="25"/>
    <s v="Apr"/>
    <n v="2010"/>
    <s v="Apr-2010"/>
    <s v="4/25/2010"/>
    <n v="11"/>
    <n v="4852"/>
    <n v="421.89"/>
    <n v="364.69"/>
    <n v="421.89"/>
    <n v="2047010.28"/>
    <n v="1769475.88"/>
    <n v="0.13558036455000119"/>
    <n v="277534.40000000002"/>
  </r>
  <r>
    <x v="0"/>
    <s v="Poland"/>
    <x v="5"/>
    <x v="0"/>
    <x v="3"/>
    <s v="1/13/2011"/>
    <d v="2011-01-13T00:00:00"/>
    <n v="13"/>
    <s v="Jan"/>
    <x v="0"/>
    <s v="Jan-2011"/>
    <n v="469840466"/>
    <d v="2011-01-22T00:00:00"/>
    <n v="22"/>
    <s v="Jan"/>
    <n v="2011"/>
    <s v="Jan-2011"/>
    <s v="1/22/2011"/>
    <n v="9"/>
    <n v="5090"/>
    <n v="154.06"/>
    <n v="90.93"/>
    <n v="154.06"/>
    <n v="784165.4"/>
    <n v="462833.7"/>
    <n v="0.40977541217707386"/>
    <n v="321331.7"/>
  </r>
  <r>
    <x v="0"/>
    <s v="Armenia"/>
    <x v="7"/>
    <x v="0"/>
    <x v="1"/>
    <s v="3/2/2011"/>
    <d v="2011-03-02T00:00:00"/>
    <n v="2"/>
    <s v="Mar"/>
    <x v="0"/>
    <s v="Mar-2011"/>
    <n v="418404281"/>
    <d v="2011-04-15T00:00:00"/>
    <n v="15"/>
    <s v="Apr"/>
    <n v="2011"/>
    <s v="Apr-2011"/>
    <s v="4/15/2011"/>
    <n v="44"/>
    <n v="3979"/>
    <n v="152.58000000000001"/>
    <n v="97.44"/>
    <n v="152.57999999999998"/>
    <n v="607115.81999999995"/>
    <n v="387713.76"/>
    <n v="0.36138419189933152"/>
    <n v="219402.06"/>
  </r>
  <r>
    <x v="0"/>
    <s v="Austria"/>
    <x v="7"/>
    <x v="1"/>
    <x v="1"/>
    <s v="1/18/2012"/>
    <d v="2012-01-18T00:00:00"/>
    <n v="18"/>
    <s v="Jan"/>
    <x v="5"/>
    <s v="Jan-2012"/>
    <n v="516122949"/>
    <d v="2012-02-21T00:00:00"/>
    <n v="21"/>
    <s v="Feb"/>
    <n v="2012"/>
    <s v="Feb-2012"/>
    <s v="2/21/2012"/>
    <n v="34"/>
    <n v="1105"/>
    <n v="152.58000000000001"/>
    <n v="97.44"/>
    <n v="152.57999999999998"/>
    <n v="168600.9"/>
    <n v="107671.2"/>
    <n v="0.36138419189933152"/>
    <n v="60929.7"/>
  </r>
  <r>
    <x v="0"/>
    <s v="Albania"/>
    <x v="10"/>
    <x v="0"/>
    <x v="2"/>
    <s v="8/29/2015"/>
    <d v="2015-08-29T00:00:00"/>
    <n v="29"/>
    <s v="Aug"/>
    <x v="6"/>
    <s v="Aug-2015"/>
    <n v="208238399"/>
    <d v="2015-10-15T00:00:00"/>
    <n v="15"/>
    <s v="Oct"/>
    <n v="2015"/>
    <s v="Oct-2015"/>
    <s v="10/15/2015"/>
    <n v="47"/>
    <n v="1224"/>
    <n v="437.2"/>
    <n v="263.33"/>
    <n v="437.20000000000005"/>
    <n v="535132.80000000005"/>
    <n v="322315.92"/>
    <n v="0.39768984446477584"/>
    <n v="212816.88"/>
  </r>
  <r>
    <x v="0"/>
    <s v="Georgia"/>
    <x v="4"/>
    <x v="1"/>
    <x v="1"/>
    <s v="12/2/2016"/>
    <d v="2016-12-02T00:00:00"/>
    <n v="2"/>
    <s v="Dec"/>
    <x v="4"/>
    <s v="Dec-2016"/>
    <n v="526533353"/>
    <d v="2017-01-12T00:00:00"/>
    <n v="12"/>
    <s v="Jan"/>
    <n v="2017"/>
    <s v="Jan-2017"/>
    <s v="1/12/2017"/>
    <n v="41"/>
    <n v="1775"/>
    <n v="9.33"/>
    <n v="6.92"/>
    <n v="9.33"/>
    <n v="16560.75"/>
    <n v="12283"/>
    <n v="0.25830653804930331"/>
    <n v="4277.75"/>
  </r>
  <r>
    <x v="0"/>
    <s v="Iceland"/>
    <x v="6"/>
    <x v="1"/>
    <x v="3"/>
    <s v="5/11/2011"/>
    <d v="2011-05-11T00:00:00"/>
    <n v="11"/>
    <s v="May"/>
    <x v="0"/>
    <s v="May-2011"/>
    <n v="643027484"/>
    <d v="2011-05-18T00:00:00"/>
    <n v="18"/>
    <s v="May"/>
    <n v="2011"/>
    <s v="May-2011"/>
    <s v="5/18/2011"/>
    <n v="7"/>
    <n v="4977"/>
    <n v="421.89"/>
    <n v="364.69"/>
    <n v="421.89"/>
    <n v="2099746.5299999998"/>
    <n v="1815062.13"/>
    <n v="0.13558036455000122"/>
    <n v="284684.40000000002"/>
  </r>
  <r>
    <x v="0"/>
    <s v="Hungary"/>
    <x v="0"/>
    <x v="1"/>
    <x v="2"/>
    <s v="4/21/2013"/>
    <d v="2013-04-21T00:00:00"/>
    <n v="21"/>
    <s v="Apr"/>
    <x v="1"/>
    <s v="Apr-2013"/>
    <n v="327604424"/>
    <d v="2013-05-13T00:00:00"/>
    <n v="13"/>
    <s v="May"/>
    <n v="2013"/>
    <s v="May-2013"/>
    <s v="5/13/2013"/>
    <n v="22"/>
    <n v="4284"/>
    <n v="47.45"/>
    <n v="31.79"/>
    <n v="47.449999999999996"/>
    <n v="203275.8"/>
    <n v="136188.35999999999"/>
    <n v="0.33003161222339306"/>
    <n v="67087.44"/>
  </r>
  <r>
    <x v="0"/>
    <s v="Ukraine"/>
    <x v="6"/>
    <x v="0"/>
    <x v="1"/>
    <s v="6/18/2014"/>
    <d v="2014-06-18T00:00:00"/>
    <n v="18"/>
    <s v="Jun"/>
    <x v="2"/>
    <s v="Jun-2014"/>
    <n v="219451320"/>
    <d v="2014-07-02T00:00:00"/>
    <n v="2"/>
    <s v="Jul"/>
    <n v="2014"/>
    <s v="Jul-2014"/>
    <s v="7/2/2014"/>
    <n v="14"/>
    <n v="9377"/>
    <n v="421.89"/>
    <n v="364.69"/>
    <n v="421.89"/>
    <n v="3956062.53"/>
    <n v="3419698.13"/>
    <n v="0.13558036455000119"/>
    <n v="536364.4"/>
  </r>
  <r>
    <x v="0"/>
    <s v="France"/>
    <x v="11"/>
    <x v="1"/>
    <x v="3"/>
    <s v="3/15/2011"/>
    <d v="2011-03-15T00:00:00"/>
    <n v="15"/>
    <s v="Mar"/>
    <x v="0"/>
    <s v="Mar-2011"/>
    <n v="575758969"/>
    <d v="2011-03-29T00:00:00"/>
    <n v="29"/>
    <s v="Mar"/>
    <n v="2011"/>
    <s v="Mar-2011"/>
    <s v="3/29/2011"/>
    <n v="14"/>
    <n v="8729"/>
    <n v="81.73"/>
    <n v="56.67"/>
    <n v="81.73"/>
    <n v="713421.17"/>
    <n v="494672.43"/>
    <n v="0.30661935641747212"/>
    <n v="218748.74"/>
  </r>
  <r>
    <x v="0"/>
    <s v="Malta"/>
    <x v="3"/>
    <x v="0"/>
    <x v="3"/>
    <s v="12/4/2014"/>
    <d v="2014-12-04T00:00:00"/>
    <n v="4"/>
    <s v="Dec"/>
    <x v="2"/>
    <s v="Dec-2014"/>
    <n v="602264344"/>
    <d v="2015-01-07T00:00:00"/>
    <n v="7"/>
    <s v="Jan"/>
    <n v="2015"/>
    <s v="Jan-2015"/>
    <s v="1/7/2015"/>
    <n v="34"/>
    <n v="2258"/>
    <n v="651.21"/>
    <n v="524.96"/>
    <n v="651.20999999999992"/>
    <n v="1470432.18"/>
    <n v="1185359.68"/>
    <n v="0.19386987300563568"/>
    <n v="285072.5"/>
  </r>
  <r>
    <x v="0"/>
    <s v="Belgium"/>
    <x v="2"/>
    <x v="0"/>
    <x v="3"/>
    <s v="11/22/2014"/>
    <d v="2014-11-22T00:00:00"/>
    <n v="22"/>
    <s v="Nov"/>
    <x v="2"/>
    <s v="Nov-2014"/>
    <n v="791890084"/>
    <d v="2014-12-15T00:00:00"/>
    <n v="15"/>
    <s v="Dec"/>
    <n v="2014"/>
    <s v="Dec-2014"/>
    <s v="12/15/2014"/>
    <n v="23"/>
    <n v="6728"/>
    <n v="205.7"/>
    <n v="117.11"/>
    <n v="205.70000000000002"/>
    <n v="1383949.6"/>
    <n v="787916.08"/>
    <n v="0.43067574137092851"/>
    <n v="596033.52"/>
  </r>
  <r>
    <x v="0"/>
    <s v="Liechtenstein"/>
    <x v="4"/>
    <x v="0"/>
    <x v="0"/>
    <s v="6/29/2012"/>
    <d v="2012-06-29T00:00:00"/>
    <n v="29"/>
    <s v="Jun"/>
    <x v="5"/>
    <s v="Jun-2012"/>
    <n v="249606645"/>
    <d v="2012-08-14T00:00:00"/>
    <n v="14"/>
    <s v="Aug"/>
    <n v="2012"/>
    <s v="Aug-2012"/>
    <s v="8/14/2012"/>
    <n v="46"/>
    <n v="3008"/>
    <n v="9.33"/>
    <n v="6.92"/>
    <n v="9.33"/>
    <n v="28064.639999999999"/>
    <n v="20815.36"/>
    <n v="0.25830653804930331"/>
    <n v="7249.28"/>
  </r>
  <r>
    <x v="0"/>
    <s v="Belgium"/>
    <x v="9"/>
    <x v="0"/>
    <x v="0"/>
    <s v="4/8/2015"/>
    <d v="2015-04-08T00:00:00"/>
    <n v="8"/>
    <s v="Apr"/>
    <x v="6"/>
    <s v="Apr-2015"/>
    <n v="497466361"/>
    <d v="2015-05-01T00:00:00"/>
    <n v="1"/>
    <s v="May"/>
    <n v="2015"/>
    <s v="May-2015"/>
    <s v="5/1/2015"/>
    <n v="23"/>
    <n v="206"/>
    <n v="668.27"/>
    <n v="502.54"/>
    <n v="668.27"/>
    <n v="137663.62"/>
    <n v="103523.24"/>
    <n v="0.24799856345489096"/>
    <n v="34140.379999999997"/>
  </r>
  <r>
    <x v="0"/>
    <s v="Belarus"/>
    <x v="1"/>
    <x v="0"/>
    <x v="2"/>
    <s v="12/23/2014"/>
    <d v="2014-12-23T00:00:00"/>
    <n v="23"/>
    <s v="Dec"/>
    <x v="2"/>
    <s v="Dec-2014"/>
    <n v="839437711"/>
    <d v="2014-12-24T00:00:00"/>
    <n v="24"/>
    <s v="Dec"/>
    <n v="2014"/>
    <s v="Dec-2014"/>
    <s v="12/24/2014"/>
    <n v="1"/>
    <n v="7128"/>
    <n v="109.28"/>
    <n v="35.840000000000003"/>
    <n v="109.28"/>
    <n v="778947.84"/>
    <n v="255467.51999999999"/>
    <n v="0.67203513909224011"/>
    <n v="523480.32000000001"/>
  </r>
  <r>
    <x v="0"/>
    <s v="Luxembourg"/>
    <x v="3"/>
    <x v="1"/>
    <x v="3"/>
    <s v="10/31/2014"/>
    <d v="2014-10-31T00:00:00"/>
    <n v="31"/>
    <s v="Oct"/>
    <x v="2"/>
    <s v="Oct-2014"/>
    <n v="549048888"/>
    <d v="2014-12-02T00:00:00"/>
    <n v="2"/>
    <s v="Dec"/>
    <n v="2014"/>
    <s v="Dec-2014"/>
    <s v="12/2/2014"/>
    <n v="32"/>
    <n v="4622"/>
    <n v="651.21"/>
    <n v="524.96"/>
    <n v="651.21"/>
    <n v="3009892.62"/>
    <n v="2426365.12"/>
    <n v="0.19386987300563566"/>
    <n v="583527.5"/>
  </r>
  <r>
    <x v="0"/>
    <s v="Finland"/>
    <x v="7"/>
    <x v="1"/>
    <x v="3"/>
    <s v="12/3/2015"/>
    <d v="2015-12-03T00:00:00"/>
    <n v="3"/>
    <s v="Dec"/>
    <x v="6"/>
    <s v="Dec-2015"/>
    <n v="427432811"/>
    <d v="2015-12-11T00:00:00"/>
    <n v="11"/>
    <s v="Dec"/>
    <n v="2015"/>
    <s v="Dec-2015"/>
    <s v="12/11/2015"/>
    <n v="8"/>
    <n v="5722"/>
    <n v="152.58000000000001"/>
    <n v="97.44"/>
    <n v="152.58000000000001"/>
    <n v="873062.76"/>
    <n v="557551.68000000005"/>
    <n v="0.36138419189933152"/>
    <n v="315511.08"/>
  </r>
  <r>
    <x v="0"/>
    <s v="Andorra"/>
    <x v="3"/>
    <x v="1"/>
    <x v="3"/>
    <s v="3/31/2014"/>
    <d v="2014-03-31T00:00:00"/>
    <n v="31"/>
    <s v="Mar"/>
    <x v="2"/>
    <s v="Mar-2014"/>
    <n v="582836139"/>
    <d v="2014-04-05T00:00:00"/>
    <n v="5"/>
    <s v="Apr"/>
    <n v="2014"/>
    <s v="Apr-2014"/>
    <s v="4/5/2014"/>
    <n v="5"/>
    <n v="3020"/>
    <n v="651.21"/>
    <n v="524.96"/>
    <n v="651.21"/>
    <n v="1966654.2"/>
    <n v="1585379.2"/>
    <n v="0.19386987300563566"/>
    <n v="381275"/>
  </r>
  <r>
    <x v="0"/>
    <s v="Netherlands"/>
    <x v="1"/>
    <x v="0"/>
    <x v="3"/>
    <s v="4/8/2012"/>
    <d v="2012-04-08T00:00:00"/>
    <n v="8"/>
    <s v="Apr"/>
    <x v="5"/>
    <s v="Apr-2012"/>
    <n v="719730079"/>
    <d v="2012-05-06T00:00:00"/>
    <n v="6"/>
    <s v="May"/>
    <n v="2012"/>
    <s v="May-2012"/>
    <s v="5/6/2012"/>
    <n v="28"/>
    <n v="2979"/>
    <n v="109.28"/>
    <n v="35.840000000000003"/>
    <n v="109.28"/>
    <n v="325545.12"/>
    <n v="106767.36"/>
    <n v="0.67203513909224011"/>
    <n v="218777.76"/>
  </r>
  <r>
    <x v="0"/>
    <s v="Bulgaria"/>
    <x v="9"/>
    <x v="1"/>
    <x v="3"/>
    <s v="4/21/2012"/>
    <d v="2012-04-21T00:00:00"/>
    <n v="21"/>
    <s v="Apr"/>
    <x v="5"/>
    <s v="Apr-2012"/>
    <n v="837608659"/>
    <d v="2012-05-02T00:00:00"/>
    <n v="2"/>
    <s v="May"/>
    <n v="2012"/>
    <s v="May-2012"/>
    <s v="5/2/2012"/>
    <n v="11"/>
    <n v="5871"/>
    <n v="668.27"/>
    <n v="502.54"/>
    <n v="668.27"/>
    <n v="3923413.17"/>
    <n v="2950412.34"/>
    <n v="0.24799856345489099"/>
    <n v="973000.83"/>
  </r>
  <r>
    <x v="0"/>
    <s v="Norway"/>
    <x v="6"/>
    <x v="1"/>
    <x v="2"/>
    <s v="2/26/2017"/>
    <d v="2017-02-26T00:00:00"/>
    <n v="26"/>
    <s v="Feb"/>
    <x v="7"/>
    <s v="Feb-2017"/>
    <n v="930670154"/>
    <d v="2017-03-15T00:00:00"/>
    <n v="15"/>
    <s v="Mar"/>
    <n v="2017"/>
    <s v="Mar-2017"/>
    <s v="3/15/2017"/>
    <n v="17"/>
    <n v="4835"/>
    <n v="421.89"/>
    <n v="364.69"/>
    <n v="421.89"/>
    <n v="2039838.15"/>
    <n v="1763276.15"/>
    <n v="0.13558036455000119"/>
    <n v="276562"/>
  </r>
  <r>
    <x v="0"/>
    <s v="Portugal"/>
    <x v="1"/>
    <x v="0"/>
    <x v="3"/>
    <s v="2/15/2012"/>
    <d v="2012-02-15T00:00:00"/>
    <n v="15"/>
    <s v="Feb"/>
    <x v="5"/>
    <s v="Feb-2012"/>
    <n v="684853637"/>
    <d v="2012-04-03T00:00:00"/>
    <n v="3"/>
    <s v="Apr"/>
    <n v="2012"/>
    <s v="Apr-2012"/>
    <s v="4/3/2012"/>
    <n v="48"/>
    <n v="2265"/>
    <n v="109.28"/>
    <n v="35.840000000000003"/>
    <n v="109.28"/>
    <n v="247519.2"/>
    <n v="81177.600000000006"/>
    <n v="0.67203513909224011"/>
    <n v="166341.6"/>
  </r>
  <r>
    <x v="0"/>
    <s v="Montenegro"/>
    <x v="2"/>
    <x v="0"/>
    <x v="3"/>
    <s v="6/20/2013"/>
    <d v="2013-06-20T00:00:00"/>
    <n v="20"/>
    <s v="Jun"/>
    <x v="1"/>
    <s v="Jun-2013"/>
    <n v="930457293"/>
    <d v="2013-07-26T00:00:00"/>
    <n v="26"/>
    <s v="Jul"/>
    <n v="2013"/>
    <s v="Jul-2013"/>
    <s v="7/26/2013"/>
    <n v="36"/>
    <n v="1845"/>
    <n v="205.7"/>
    <n v="117.11"/>
    <n v="205.7"/>
    <n v="379516.5"/>
    <n v="216067.95"/>
    <n v="0.43067574137092851"/>
    <n v="163448.54999999999"/>
  </r>
  <r>
    <x v="0"/>
    <s v="Estonia"/>
    <x v="3"/>
    <x v="0"/>
    <x v="3"/>
    <s v="3/7/2013"/>
    <d v="2013-03-07T00:00:00"/>
    <n v="7"/>
    <s v="Mar"/>
    <x v="1"/>
    <s v="Mar-2013"/>
    <n v="343185698"/>
    <d v="2013-04-25T00:00:00"/>
    <n v="25"/>
    <s v="Apr"/>
    <n v="2013"/>
    <s v="Apr-2013"/>
    <s v="4/25/2013"/>
    <n v="49"/>
    <n v="5129"/>
    <n v="651.21"/>
    <n v="524.96"/>
    <n v="651.20999999999992"/>
    <n v="3340056.09"/>
    <n v="2692519.84"/>
    <n v="0.19386987300563568"/>
    <n v="647536.25"/>
  </r>
  <r>
    <x v="0"/>
    <s v="France"/>
    <x v="10"/>
    <x v="1"/>
    <x v="1"/>
    <s v="7/26/2016"/>
    <d v="2016-07-26T00:00:00"/>
    <n v="26"/>
    <s v="Jul"/>
    <x v="4"/>
    <s v="Jul-2016"/>
    <n v="174935233"/>
    <d v="2016-07-29T00:00:00"/>
    <n v="29"/>
    <s v="Jul"/>
    <n v="2016"/>
    <s v="Jul-2016"/>
    <s v="7/29/2016"/>
    <n v="3"/>
    <n v="6078"/>
    <n v="437.2"/>
    <n v="263.33"/>
    <n v="437.2"/>
    <n v="2657301.6"/>
    <n v="1600519.74"/>
    <n v="0.39768984446477584"/>
    <n v="1056781.8600000001"/>
  </r>
  <r>
    <x v="0"/>
    <s v="Romania"/>
    <x v="4"/>
    <x v="0"/>
    <x v="1"/>
    <s v="10/9/2011"/>
    <d v="2011-10-09T00:00:00"/>
    <n v="9"/>
    <s v="Oct"/>
    <x v="0"/>
    <s v="Oct-2011"/>
    <n v="904812800"/>
    <d v="2011-11-24T00:00:00"/>
    <n v="24"/>
    <s v="Nov"/>
    <n v="2011"/>
    <s v="Nov-2011"/>
    <s v="11/24/2011"/>
    <n v="46"/>
    <n v="3069"/>
    <n v="9.33"/>
    <n v="6.92"/>
    <n v="9.33"/>
    <n v="28633.77"/>
    <n v="21237.48"/>
    <n v="0.25830653804930331"/>
    <n v="7396.29"/>
  </r>
  <r>
    <x v="0"/>
    <s v="Romania"/>
    <x v="11"/>
    <x v="1"/>
    <x v="2"/>
    <s v="6/13/2011"/>
    <d v="2011-06-13T00:00:00"/>
    <n v="13"/>
    <s v="Jun"/>
    <x v="0"/>
    <s v="Jun-2011"/>
    <n v="438683927"/>
    <d v="2011-07-29T00:00:00"/>
    <n v="29"/>
    <s v="Jul"/>
    <n v="2011"/>
    <s v="Jul-2011"/>
    <s v="7/29/2011"/>
    <n v="46"/>
    <n v="5177"/>
    <n v="81.73"/>
    <n v="56.67"/>
    <n v="81.73"/>
    <n v="423116.21"/>
    <n v="293380.59000000003"/>
    <n v="0.30661935641747212"/>
    <n v="129735.62"/>
  </r>
  <r>
    <x v="0"/>
    <s v="Iceland"/>
    <x v="4"/>
    <x v="0"/>
    <x v="3"/>
    <s v="8/13/2011"/>
    <d v="2011-08-13T00:00:00"/>
    <n v="13"/>
    <s v="Aug"/>
    <x v="0"/>
    <s v="Aug-2011"/>
    <n v="303534495"/>
    <d v="2011-08-18T00:00:00"/>
    <n v="18"/>
    <s v="Aug"/>
    <n v="2011"/>
    <s v="Aug-2011"/>
    <s v="8/18/2011"/>
    <n v="5"/>
    <n v="1457"/>
    <n v="9.33"/>
    <n v="6.92"/>
    <n v="9.33"/>
    <n v="13593.81"/>
    <n v="10082.44"/>
    <n v="0.25830653804930331"/>
    <n v="3511.37"/>
  </r>
  <r>
    <x v="0"/>
    <s v="Liechtenstein"/>
    <x v="8"/>
    <x v="1"/>
    <x v="1"/>
    <s v="11/26/2013"/>
    <d v="2013-11-26T00:00:00"/>
    <n v="26"/>
    <s v="Nov"/>
    <x v="1"/>
    <s v="Nov-2013"/>
    <n v="775008904"/>
    <d v="2014-01-02T00:00:00"/>
    <n v="2"/>
    <s v="Jan"/>
    <n v="2014"/>
    <s v="Jan-2014"/>
    <s v="1/2/2014"/>
    <n v="37"/>
    <n v="1212"/>
    <n v="255.28"/>
    <n v="159.41999999999999"/>
    <n v="255.28"/>
    <n v="309399.36"/>
    <n v="193217.04"/>
    <n v="0.37550924475086184"/>
    <n v="116182.32"/>
  </r>
  <r>
    <x v="0"/>
    <s v="Greece"/>
    <x v="4"/>
    <x v="1"/>
    <x v="1"/>
    <s v="8/16/2014"/>
    <d v="2014-08-16T00:00:00"/>
    <n v="16"/>
    <s v="Aug"/>
    <x v="2"/>
    <s v="Aug-2014"/>
    <n v="471348512"/>
    <d v="2014-10-01T00:00:00"/>
    <n v="1"/>
    <s v="Oct"/>
    <n v="2014"/>
    <s v="Oct-2014"/>
    <s v="10/1/2014"/>
    <n v="46"/>
    <n v="1354"/>
    <n v="9.33"/>
    <n v="6.92"/>
    <n v="9.33"/>
    <n v="12632.82"/>
    <n v="9369.68"/>
    <n v="0.25830653804930331"/>
    <n v="3263.14"/>
  </r>
  <r>
    <x v="0"/>
    <s v="Malta"/>
    <x v="8"/>
    <x v="0"/>
    <x v="0"/>
    <s v="12/23/2012"/>
    <d v="2012-12-23T00:00:00"/>
    <n v="23"/>
    <s v="Dec"/>
    <x v="5"/>
    <s v="Dec-2012"/>
    <n v="302442729"/>
    <d v="2013-01-17T00:00:00"/>
    <n v="17"/>
    <s v="Jan"/>
    <n v="2013"/>
    <s v="Jan-2013"/>
    <s v="1/17/2013"/>
    <n v="25"/>
    <n v="8379"/>
    <n v="255.28"/>
    <n v="159.41999999999999"/>
    <n v="255.28"/>
    <n v="2138991.12"/>
    <n v="1335780.18"/>
    <n v="0.37550924475086173"/>
    <n v="803210.94"/>
  </r>
  <r>
    <x v="0"/>
    <s v="Macedonia"/>
    <x v="5"/>
    <x v="1"/>
    <x v="0"/>
    <s v="4/12/2012"/>
    <d v="2012-04-12T00:00:00"/>
    <n v="12"/>
    <s v="Apr"/>
    <x v="5"/>
    <s v="Apr-2012"/>
    <n v="987050187"/>
    <d v="2012-04-25T00:00:00"/>
    <n v="25"/>
    <s v="Apr"/>
    <n v="2012"/>
    <s v="Apr-2012"/>
    <s v="4/25/2012"/>
    <n v="13"/>
    <n v="8940"/>
    <n v="154.06"/>
    <n v="90.93"/>
    <n v="154.06"/>
    <n v="1377296.4"/>
    <n v="812914.2"/>
    <n v="0.40977541217707386"/>
    <n v="564382.19999999995"/>
  </r>
  <r>
    <x v="0"/>
    <s v="Bulgaria"/>
    <x v="3"/>
    <x v="1"/>
    <x v="3"/>
    <s v="11/2/2015"/>
    <d v="2015-11-02T00:00:00"/>
    <n v="2"/>
    <s v="Nov"/>
    <x v="6"/>
    <s v="Nov-2015"/>
    <n v="641537463"/>
    <d v="2015-12-14T00:00:00"/>
    <n v="14"/>
    <s v="Dec"/>
    <n v="2015"/>
    <s v="Dec-2015"/>
    <s v="12/14/2015"/>
    <n v="42"/>
    <n v="4047"/>
    <n v="651.21"/>
    <n v="524.96"/>
    <n v="651.21"/>
    <n v="2635446.87"/>
    <n v="2124513.12"/>
    <n v="0.19386987300563566"/>
    <n v="510933.75"/>
  </r>
  <r>
    <x v="0"/>
    <s v="Czech Republic"/>
    <x v="9"/>
    <x v="0"/>
    <x v="2"/>
    <s v="5/15/2015"/>
    <d v="2015-05-15T00:00:00"/>
    <n v="15"/>
    <s v="May"/>
    <x v="6"/>
    <s v="May-2015"/>
    <n v="512662255"/>
    <d v="2015-06-22T00:00:00"/>
    <n v="22"/>
    <s v="Jun"/>
    <n v="2015"/>
    <s v="Jun-2015"/>
    <s v="6/22/2015"/>
    <n v="38"/>
    <n v="7009"/>
    <n v="668.27"/>
    <n v="502.54"/>
    <n v="668.27"/>
    <n v="4683904.43"/>
    <n v="3522302.86"/>
    <n v="0.24799856345489102"/>
    <n v="1161601.57"/>
  </r>
  <r>
    <x v="0"/>
    <s v="Germany"/>
    <x v="1"/>
    <x v="0"/>
    <x v="2"/>
    <s v="11/7/2010"/>
    <d v="2010-11-07T00:00:00"/>
    <n v="7"/>
    <s v="Nov"/>
    <x v="3"/>
    <s v="Nov-2010"/>
    <n v="379900634"/>
    <d v="2010-12-02T00:00:00"/>
    <n v="2"/>
    <s v="Dec"/>
    <n v="2010"/>
    <s v="Dec-2010"/>
    <s v="12/2/2010"/>
    <n v="25"/>
    <n v="9895"/>
    <n v="109.28"/>
    <n v="35.840000000000003"/>
    <n v="109.28000000000002"/>
    <n v="1081325.6000000001"/>
    <n v="354636.79999999999"/>
    <n v="0.67203513909224011"/>
    <n v="726688.8"/>
  </r>
  <r>
    <x v="0"/>
    <s v="Georgia"/>
    <x v="2"/>
    <x v="1"/>
    <x v="3"/>
    <s v="6/14/2014"/>
    <d v="2014-06-14T00:00:00"/>
    <n v="14"/>
    <s v="Jun"/>
    <x v="2"/>
    <s v="Jun-2014"/>
    <n v="243144452"/>
    <d v="2014-07-16T00:00:00"/>
    <n v="16"/>
    <s v="Jul"/>
    <n v="2014"/>
    <s v="Jul-2014"/>
    <s v="7/16/2014"/>
    <n v="32"/>
    <n v="701"/>
    <n v="205.7"/>
    <n v="117.11"/>
    <n v="205.70000000000002"/>
    <n v="144195.70000000001"/>
    <n v="82094.11"/>
    <n v="0.43067574137092846"/>
    <n v="62101.59"/>
  </r>
  <r>
    <x v="0"/>
    <s v="Malta"/>
    <x v="10"/>
    <x v="1"/>
    <x v="3"/>
    <s v="6/15/2010"/>
    <d v="2010-06-15T00:00:00"/>
    <n v="15"/>
    <s v="Jun"/>
    <x v="3"/>
    <s v="Jun-2010"/>
    <n v="998043382"/>
    <d v="2010-07-03T00:00:00"/>
    <n v="3"/>
    <s v="Jul"/>
    <n v="2010"/>
    <s v="Jul-2010"/>
    <s v="7/3/2010"/>
    <n v="18"/>
    <n v="2070"/>
    <n v="437.2"/>
    <n v="263.33"/>
    <n v="437.2"/>
    <n v="905004"/>
    <n v="545093.1"/>
    <n v="0.3976898444647759"/>
    <n v="359910.9"/>
  </r>
  <r>
    <x v="0"/>
    <s v="Spain"/>
    <x v="4"/>
    <x v="0"/>
    <x v="2"/>
    <s v="10/24/2015"/>
    <d v="2015-10-24T00:00:00"/>
    <n v="24"/>
    <s v="Oct"/>
    <x v="6"/>
    <s v="Oct-2015"/>
    <n v="446045196"/>
    <d v="2015-11-01T00:00:00"/>
    <n v="1"/>
    <s v="Nov"/>
    <n v="2015"/>
    <s v="Nov-2015"/>
    <s v="11/1/2015"/>
    <n v="8"/>
    <n v="3540"/>
    <n v="9.33"/>
    <n v="6.92"/>
    <n v="9.3299999999999983"/>
    <n v="33028.199999999997"/>
    <n v="24496.799999999999"/>
    <n v="0.25830653804930331"/>
    <n v="8531.4"/>
  </r>
  <r>
    <x v="0"/>
    <s v="Lithuania"/>
    <x v="9"/>
    <x v="0"/>
    <x v="1"/>
    <s v="10/14/2014"/>
    <d v="2014-10-14T00:00:00"/>
    <n v="14"/>
    <s v="Oct"/>
    <x v="2"/>
    <s v="Oct-2014"/>
    <n v="544284856"/>
    <d v="2014-10-25T00:00:00"/>
    <n v="25"/>
    <s v="Oct"/>
    <n v="2014"/>
    <s v="Oct-2014"/>
    <s v="10/25/2014"/>
    <n v="11"/>
    <n v="4839"/>
    <n v="668.27"/>
    <n v="502.54"/>
    <n v="668.27"/>
    <n v="3233758.53"/>
    <n v="2431791.06"/>
    <n v="0.24799856345489099"/>
    <n v="801967.47"/>
  </r>
  <r>
    <x v="0"/>
    <s v="Romania"/>
    <x v="5"/>
    <x v="0"/>
    <x v="3"/>
    <s v="11/6/2014"/>
    <d v="2014-11-06T00:00:00"/>
    <n v="6"/>
    <s v="Nov"/>
    <x v="2"/>
    <s v="Nov-2014"/>
    <n v="606118571"/>
    <d v="2014-11-18T00:00:00"/>
    <n v="18"/>
    <s v="Nov"/>
    <n v="2014"/>
    <s v="Nov-2014"/>
    <s v="11/18/2014"/>
    <n v="12"/>
    <n v="2809"/>
    <n v="154.06"/>
    <n v="90.93"/>
    <n v="154.06"/>
    <n v="432754.54"/>
    <n v="255422.37"/>
    <n v="0.40977541217707392"/>
    <n v="177332.17"/>
  </r>
  <r>
    <x v="0"/>
    <s v="Portugal"/>
    <x v="7"/>
    <x v="1"/>
    <x v="0"/>
    <s v="10/7/2010"/>
    <d v="2010-10-07T00:00:00"/>
    <n v="7"/>
    <s v="Oct"/>
    <x v="3"/>
    <s v="Oct-2010"/>
    <n v="583654105"/>
    <d v="2010-10-19T00:00:00"/>
    <n v="19"/>
    <s v="Oct"/>
    <n v="2010"/>
    <s v="Oct-2010"/>
    <s v="10/19/2010"/>
    <n v="12"/>
    <n v="5075"/>
    <n v="152.58000000000001"/>
    <n v="97.44"/>
    <n v="152.58000000000001"/>
    <n v="774343.5"/>
    <n v="494508"/>
    <n v="0.36138419189933152"/>
    <n v="279835.5"/>
  </r>
  <r>
    <x v="0"/>
    <s v="Moldova "/>
    <x v="8"/>
    <x v="1"/>
    <x v="0"/>
    <s v="1/27/2014"/>
    <d v="2014-01-27T00:00:00"/>
    <n v="27"/>
    <s v="Jan"/>
    <x v="2"/>
    <s v="Jan-2014"/>
    <n v="608451879"/>
    <d v="2014-03-01T00:00:00"/>
    <n v="1"/>
    <s v="Mar"/>
    <n v="2014"/>
    <s v="Mar-2014"/>
    <s v="3/1/2014"/>
    <n v="33"/>
    <n v="3287"/>
    <n v="255.28"/>
    <n v="159.41999999999999"/>
    <n v="255.28"/>
    <n v="839105.36"/>
    <n v="524013.54"/>
    <n v="0.37550924475086184"/>
    <n v="315091.82"/>
  </r>
  <r>
    <x v="0"/>
    <s v="Romania"/>
    <x v="0"/>
    <x v="1"/>
    <x v="1"/>
    <s v="5/10/2015"/>
    <d v="2015-05-10T00:00:00"/>
    <n v="10"/>
    <s v="May"/>
    <x v="6"/>
    <s v="May-2015"/>
    <n v="910886180"/>
    <d v="2015-06-10T00:00:00"/>
    <n v="10"/>
    <s v="Jun"/>
    <n v="2015"/>
    <s v="Jun-2015"/>
    <s v="6/10/2015"/>
    <n v="31"/>
    <n v="317"/>
    <n v="47.45"/>
    <n v="31.79"/>
    <n v="47.449999999999996"/>
    <n v="15041.65"/>
    <n v="10077.43"/>
    <n v="0.33003161222339306"/>
    <n v="4964.22"/>
  </r>
  <r>
    <x v="0"/>
    <s v="Vatican City"/>
    <x v="7"/>
    <x v="0"/>
    <x v="2"/>
    <s v="11/5/2011"/>
    <d v="2011-11-05T00:00:00"/>
    <n v="5"/>
    <s v="Nov"/>
    <x v="0"/>
    <s v="Nov-2011"/>
    <n v="820195758"/>
    <d v="2011-11-24T00:00:00"/>
    <n v="24"/>
    <s v="Nov"/>
    <n v="2011"/>
    <s v="Nov-2011"/>
    <s v="11/24/2011"/>
    <n v="19"/>
    <n v="3006"/>
    <n v="152.58000000000001"/>
    <n v="97.44"/>
    <n v="152.57999999999998"/>
    <n v="458655.48"/>
    <n v="292904.64"/>
    <n v="0.36138419189933152"/>
    <n v="165750.84"/>
  </r>
  <r>
    <x v="0"/>
    <s v="Lithuania"/>
    <x v="1"/>
    <x v="1"/>
    <x v="3"/>
    <s v="6/28/2016"/>
    <d v="2016-06-28T00:00:00"/>
    <n v="28"/>
    <s v="Jun"/>
    <x v="4"/>
    <s v="Jun-2016"/>
    <n v="378216636"/>
    <d v="2016-08-08T00:00:00"/>
    <n v="8"/>
    <s v="Aug"/>
    <n v="2016"/>
    <s v="Aug-2016"/>
    <s v="8/8/2016"/>
    <n v="41"/>
    <n v="1562"/>
    <n v="109.28"/>
    <n v="35.840000000000003"/>
    <n v="109.27999999999999"/>
    <n v="170695.36"/>
    <n v="55982.080000000002"/>
    <n v="0.67203513909224022"/>
    <n v="114713.28"/>
  </r>
  <r>
    <x v="0"/>
    <s v="Denmark"/>
    <x v="1"/>
    <x v="1"/>
    <x v="0"/>
    <s v="7/21/2014"/>
    <d v="2014-07-21T00:00:00"/>
    <n v="21"/>
    <s v="Jul"/>
    <x v="2"/>
    <s v="Jul-2014"/>
    <n v="539002406"/>
    <d v="2014-07-23T00:00:00"/>
    <n v="23"/>
    <s v="Jul"/>
    <n v="2014"/>
    <s v="Jul-2014"/>
    <s v="7/23/2014"/>
    <n v="2"/>
    <n v="1645"/>
    <n v="109.28"/>
    <n v="35.840000000000003"/>
    <n v="109.28"/>
    <n v="179765.6"/>
    <n v="58956.800000000003"/>
    <n v="0.67203513909224011"/>
    <n v="120808.8"/>
  </r>
  <r>
    <x v="0"/>
    <s v="Serbia"/>
    <x v="3"/>
    <x v="1"/>
    <x v="1"/>
    <s v="5/31/2015"/>
    <d v="2015-05-31T00:00:00"/>
    <n v="31"/>
    <s v="May"/>
    <x v="6"/>
    <s v="May-2015"/>
    <n v="659193694"/>
    <d v="2015-06-11T00:00:00"/>
    <n v="11"/>
    <s v="Jun"/>
    <n v="2015"/>
    <s v="Jun-2015"/>
    <s v="6/11/2015"/>
    <n v="11"/>
    <n v="8918"/>
    <n v="651.21"/>
    <n v="524.96"/>
    <n v="651.21"/>
    <n v="5807490.7800000003"/>
    <n v="4681593.28"/>
    <n v="0.19386987300563566"/>
    <n v="1125897.5"/>
  </r>
  <r>
    <x v="0"/>
    <s v="Andorra"/>
    <x v="0"/>
    <x v="1"/>
    <x v="3"/>
    <s v="3/11/2015"/>
    <d v="2015-03-11T00:00:00"/>
    <n v="11"/>
    <s v="Mar"/>
    <x v="6"/>
    <s v="Mar-2015"/>
    <n v="320431125"/>
    <d v="2015-04-17T00:00:00"/>
    <n v="17"/>
    <s v="Apr"/>
    <n v="2015"/>
    <s v="Apr-2015"/>
    <s v="4/17/2015"/>
    <n v="37"/>
    <n v="1545"/>
    <n v="47.45"/>
    <n v="31.79"/>
    <n v="47.45"/>
    <n v="73310.25"/>
    <n v="49115.55"/>
    <n v="0.33003161222339306"/>
    <n v="24194.7"/>
  </r>
  <r>
    <x v="0"/>
    <s v="Liechtenstein"/>
    <x v="5"/>
    <x v="0"/>
    <x v="2"/>
    <s v="11/28/2011"/>
    <d v="2011-11-28T00:00:00"/>
    <n v="28"/>
    <s v="Nov"/>
    <x v="0"/>
    <s v="Nov-2011"/>
    <n v="229355323"/>
    <d v="2011-12-10T00:00:00"/>
    <n v="10"/>
    <s v="Dec"/>
    <n v="2011"/>
    <s v="Dec-2011"/>
    <s v="12/10/2011"/>
    <n v="12"/>
    <n v="192"/>
    <n v="154.06"/>
    <n v="90.93"/>
    <n v="154.06"/>
    <n v="29579.52"/>
    <n v="17458.560000000001"/>
    <n v="0.40977541217707381"/>
    <n v="12120.96"/>
  </r>
  <r>
    <x v="0"/>
    <s v="Macedonia"/>
    <x v="0"/>
    <x v="0"/>
    <x v="2"/>
    <s v="7/5/2017"/>
    <d v="2017-07-05T00:00:00"/>
    <n v="5"/>
    <s v="Jul"/>
    <x v="7"/>
    <s v="Jul-2017"/>
    <n v="949732291"/>
    <d v="2017-08-14T00:00:00"/>
    <n v="14"/>
    <s v="Aug"/>
    <n v="2017"/>
    <s v="Aug-2017"/>
    <s v="8/14/2017"/>
    <n v="40"/>
    <n v="5745"/>
    <n v="47.45"/>
    <n v="31.79"/>
    <n v="47.45"/>
    <n v="272600.25"/>
    <n v="182633.55"/>
    <n v="0.33003161222339306"/>
    <n v="89966.7"/>
  </r>
  <r>
    <x v="0"/>
    <s v="San Marino"/>
    <x v="9"/>
    <x v="1"/>
    <x v="0"/>
    <s v="8/12/2014"/>
    <d v="2014-08-12T00:00:00"/>
    <n v="12"/>
    <s v="Aug"/>
    <x v="2"/>
    <s v="Aug-2014"/>
    <n v="871147000"/>
    <d v="2014-08-25T00:00:00"/>
    <n v="25"/>
    <s v="Aug"/>
    <n v="2014"/>
    <s v="Aug-2014"/>
    <s v="8/25/2014"/>
    <n v="13"/>
    <n v="611"/>
    <n v="668.27"/>
    <n v="502.54"/>
    <n v="668.27"/>
    <n v="408312.97"/>
    <n v="307051.94"/>
    <n v="0.24799856345489099"/>
    <n v="101261.03"/>
  </r>
  <r>
    <x v="0"/>
    <s v="Cyprus"/>
    <x v="8"/>
    <x v="1"/>
    <x v="1"/>
    <s v="1/18/2010"/>
    <d v="2010-01-18T00:00:00"/>
    <n v="18"/>
    <s v="Jan"/>
    <x v="3"/>
    <s v="Jan-2010"/>
    <n v="806197631"/>
    <d v="2010-02-18T00:00:00"/>
    <n v="18"/>
    <s v="Feb"/>
    <n v="2010"/>
    <s v="Feb-2010"/>
    <s v="2/18/2010"/>
    <n v="31"/>
    <n v="649"/>
    <n v="255.28"/>
    <n v="159.41999999999999"/>
    <n v="255.28"/>
    <n v="165676.72"/>
    <n v="103463.58"/>
    <n v="0.37550924475086178"/>
    <n v="62213.14"/>
  </r>
  <r>
    <x v="0"/>
    <s v="Lithuania"/>
    <x v="0"/>
    <x v="0"/>
    <x v="3"/>
    <s v="7/5/2015"/>
    <d v="2015-07-05T00:00:00"/>
    <n v="5"/>
    <s v="Jul"/>
    <x v="6"/>
    <s v="Jul-2015"/>
    <n v="926280772"/>
    <d v="2015-07-21T00:00:00"/>
    <n v="21"/>
    <s v="Jul"/>
    <n v="2015"/>
    <s v="Jul-2015"/>
    <s v="7/21/2015"/>
    <n v="16"/>
    <n v="5919"/>
    <n v="47.45"/>
    <n v="31.79"/>
    <n v="47.449999999999996"/>
    <n v="280856.55"/>
    <n v="188165.01"/>
    <n v="0.33003161222339306"/>
    <n v="92691.54"/>
  </r>
  <r>
    <x v="0"/>
    <s v="Greece"/>
    <x v="5"/>
    <x v="0"/>
    <x v="2"/>
    <s v="1/8/2011"/>
    <d v="2011-01-08T00:00:00"/>
    <n v="8"/>
    <s v="Jan"/>
    <x v="0"/>
    <s v="Jan-2011"/>
    <n v="936547410"/>
    <d v="2011-01-12T00:00:00"/>
    <n v="12"/>
    <s v="Jan"/>
    <n v="2011"/>
    <s v="Jan-2011"/>
    <s v="1/12/2011"/>
    <n v="4"/>
    <n v="4046"/>
    <n v="154.06"/>
    <n v="90.93"/>
    <n v="154.06"/>
    <n v="623326.76"/>
    <n v="367902.78"/>
    <n v="0.40977541217707386"/>
    <n v="255423.98"/>
  </r>
  <r>
    <x v="0"/>
    <s v="Slovenia"/>
    <x v="10"/>
    <x v="1"/>
    <x v="3"/>
    <s v="10/29/2013"/>
    <d v="2013-10-29T00:00:00"/>
    <n v="29"/>
    <s v="Oct"/>
    <x v="1"/>
    <s v="Oct-2013"/>
    <n v="498201072"/>
    <d v="2013-11-07T00:00:00"/>
    <n v="7"/>
    <s v="Nov"/>
    <n v="2013"/>
    <s v="Nov-2013"/>
    <s v="11/7/2013"/>
    <n v="9"/>
    <n v="7623"/>
    <n v="437.2"/>
    <n v="263.33"/>
    <n v="437.2"/>
    <n v="3332775.6"/>
    <n v="2007364.59"/>
    <n v="0.39768984446477584"/>
    <n v="1325411.01"/>
  </r>
  <r>
    <x v="0"/>
    <s v="Cyprus"/>
    <x v="7"/>
    <x v="0"/>
    <x v="3"/>
    <s v="7/27/2015"/>
    <d v="2015-07-27T00:00:00"/>
    <n v="27"/>
    <s v="Jul"/>
    <x v="6"/>
    <s v="Jul-2015"/>
    <n v="842725884"/>
    <d v="2015-08-11T00:00:00"/>
    <n v="11"/>
    <s v="Aug"/>
    <n v="2015"/>
    <s v="Aug-2015"/>
    <s v="8/11/2015"/>
    <n v="15"/>
    <n v="171"/>
    <n v="152.58000000000001"/>
    <n v="97.44"/>
    <n v="152.58000000000001"/>
    <n v="26091.18"/>
    <n v="16662.240000000002"/>
    <n v="0.36138419189933152"/>
    <n v="9428.94"/>
  </r>
  <r>
    <x v="0"/>
    <s v="Latvia"/>
    <x v="3"/>
    <x v="1"/>
    <x v="2"/>
    <s v="5/1/2017"/>
    <d v="2017-05-01T00:00:00"/>
    <n v="1"/>
    <s v="May"/>
    <x v="7"/>
    <s v="May-2017"/>
    <n v="343730294"/>
    <d v="2017-05-28T00:00:00"/>
    <n v="28"/>
    <s v="May"/>
    <n v="2017"/>
    <s v="May-2017"/>
    <s v="5/28/2017"/>
    <n v="27"/>
    <n v="6287"/>
    <n v="651.21"/>
    <n v="524.96"/>
    <n v="651.21"/>
    <n v="4094157.27"/>
    <n v="3300423.52"/>
    <n v="0.19386987300563566"/>
    <n v="793733.75"/>
  </r>
  <r>
    <x v="0"/>
    <s v="Georgia"/>
    <x v="5"/>
    <x v="1"/>
    <x v="0"/>
    <s v="2/26/2015"/>
    <d v="2015-02-26T00:00:00"/>
    <n v="26"/>
    <s v="Feb"/>
    <x v="6"/>
    <s v="Feb-2015"/>
    <n v="636907756"/>
    <d v="2015-04-01T00:00:00"/>
    <n v="1"/>
    <s v="Apr"/>
    <n v="2015"/>
    <s v="Apr-2015"/>
    <s v="4/1/2015"/>
    <n v="34"/>
    <n v="4013"/>
    <n v="154.06"/>
    <n v="90.93"/>
    <n v="154.06"/>
    <n v="618242.78"/>
    <n v="364902.09"/>
    <n v="0.40977541217707386"/>
    <n v="253340.69"/>
  </r>
  <r>
    <x v="0"/>
    <s v="Czech Republic"/>
    <x v="2"/>
    <x v="1"/>
    <x v="3"/>
    <s v="2/16/2013"/>
    <d v="2013-02-16T00:00:00"/>
    <n v="16"/>
    <s v="Feb"/>
    <x v="1"/>
    <s v="Feb-2013"/>
    <n v="444806230"/>
    <d v="2013-04-01T00:00:00"/>
    <n v="1"/>
    <s v="Apr"/>
    <n v="2013"/>
    <s v="Apr-2013"/>
    <s v="4/1/2013"/>
    <n v="44"/>
    <n v="6903"/>
    <n v="205.7"/>
    <n v="117.11"/>
    <n v="205.70000000000002"/>
    <n v="1419947.1"/>
    <n v="808410.33"/>
    <n v="0.43067574137092851"/>
    <n v="611536.77"/>
  </r>
  <r>
    <x v="0"/>
    <s v="Latvia"/>
    <x v="7"/>
    <x v="1"/>
    <x v="1"/>
    <s v="3/18/2017"/>
    <d v="2017-03-18T00:00:00"/>
    <n v="18"/>
    <s v="Mar"/>
    <x v="7"/>
    <s v="Mar-2017"/>
    <n v="517097985"/>
    <d v="2017-04-14T00:00:00"/>
    <n v="14"/>
    <s v="Apr"/>
    <n v="2017"/>
    <s v="Apr-2017"/>
    <s v="4/14/2017"/>
    <n v="27"/>
    <n v="9640"/>
    <n v="152.58000000000001"/>
    <n v="97.44"/>
    <n v="152.57999999999998"/>
    <n v="1470871.2"/>
    <n v="939321.6"/>
    <n v="0.36138419189933152"/>
    <n v="531549.6"/>
  </r>
  <r>
    <x v="0"/>
    <s v="Netherlands"/>
    <x v="0"/>
    <x v="0"/>
    <x v="1"/>
    <s v="10/27/2015"/>
    <d v="2015-10-27T00:00:00"/>
    <n v="27"/>
    <s v="Oct"/>
    <x v="6"/>
    <s v="Oct-2015"/>
    <n v="642953670"/>
    <d v="2015-12-09T00:00:00"/>
    <n v="9"/>
    <s v="Dec"/>
    <n v="2015"/>
    <s v="Dec-2015"/>
    <s v="12/9/2015"/>
    <n v="43"/>
    <n v="3134"/>
    <n v="47.45"/>
    <n v="31.79"/>
    <n v="47.449999999999996"/>
    <n v="148708.29999999999"/>
    <n v="99629.86"/>
    <n v="0.33003161222339311"/>
    <n v="49078.44"/>
  </r>
  <r>
    <x v="0"/>
    <s v="Serbia"/>
    <x v="7"/>
    <x v="0"/>
    <x v="1"/>
    <s v="8/18/2014"/>
    <d v="2014-08-18T00:00:00"/>
    <n v="18"/>
    <s v="Aug"/>
    <x v="2"/>
    <s v="Aug-2014"/>
    <n v="265191352"/>
    <d v="2014-09-26T00:00:00"/>
    <n v="26"/>
    <s v="Sep"/>
    <n v="2014"/>
    <s v="Sep-2014"/>
    <s v="9/26/2014"/>
    <n v="39"/>
    <n v="4869"/>
    <n v="152.58000000000001"/>
    <n v="97.44"/>
    <n v="152.58000000000001"/>
    <n v="742912.02"/>
    <n v="474435.36"/>
    <n v="0.36138419189933146"/>
    <n v="268476.65999999997"/>
  </r>
  <r>
    <x v="0"/>
    <s v="Latvia"/>
    <x v="3"/>
    <x v="1"/>
    <x v="2"/>
    <s v="6/16/2013"/>
    <d v="2013-06-16T00:00:00"/>
    <n v="16"/>
    <s v="Jun"/>
    <x v="1"/>
    <s v="Jun-2013"/>
    <n v="129127395"/>
    <d v="2013-06-20T00:00:00"/>
    <n v="20"/>
    <s v="Jun"/>
    <n v="2013"/>
    <s v="Jun-2013"/>
    <s v="6/20/2013"/>
    <n v="4"/>
    <n v="520"/>
    <n v="651.21"/>
    <n v="524.96"/>
    <n v="651.21"/>
    <n v="338629.2"/>
    <n v="272979.20000000001"/>
    <n v="0.19386987300563566"/>
    <n v="65650"/>
  </r>
  <r>
    <x v="0"/>
    <s v="Serbia"/>
    <x v="5"/>
    <x v="0"/>
    <x v="1"/>
    <s v="6/25/2011"/>
    <d v="2011-06-25T00:00:00"/>
    <n v="25"/>
    <s v="Jun"/>
    <x v="0"/>
    <s v="Jun-2011"/>
    <n v="392518174"/>
    <d v="2011-07-03T00:00:00"/>
    <n v="3"/>
    <s v="Jul"/>
    <n v="2011"/>
    <s v="Jul-2011"/>
    <s v="7/3/2011"/>
    <n v="8"/>
    <n v="3705"/>
    <n v="154.06"/>
    <n v="90.93"/>
    <n v="154.06"/>
    <n v="570792.30000000005"/>
    <n v="336895.65"/>
    <n v="0.40977541217707381"/>
    <n v="233896.65"/>
  </r>
  <r>
    <x v="0"/>
    <s v="Malta"/>
    <x v="4"/>
    <x v="1"/>
    <x v="0"/>
    <s v="11/21/2016"/>
    <d v="2016-11-21T00:00:00"/>
    <n v="21"/>
    <s v="Nov"/>
    <x v="4"/>
    <s v="Nov-2016"/>
    <n v="121380746"/>
    <d v="2016-12-18T00:00:00"/>
    <n v="18"/>
    <s v="Dec"/>
    <n v="2016"/>
    <s v="Dec-2016"/>
    <s v="12/18/2016"/>
    <n v="27"/>
    <n v="8115"/>
    <n v="9.33"/>
    <n v="6.92"/>
    <n v="9.33"/>
    <n v="75712.95"/>
    <n v="56155.8"/>
    <n v="0.25830653804930337"/>
    <n v="19557.150000000001"/>
  </r>
  <r>
    <x v="0"/>
    <s v="Russia"/>
    <x v="1"/>
    <x v="0"/>
    <x v="1"/>
    <s v="5/8/2014"/>
    <d v="2014-05-08T00:00:00"/>
    <n v="8"/>
    <s v="May"/>
    <x v="2"/>
    <s v="May-2014"/>
    <n v="745467269"/>
    <d v="2014-06-23T00:00:00"/>
    <n v="23"/>
    <s v="Jun"/>
    <n v="2014"/>
    <s v="Jun-2014"/>
    <s v="6/23/2014"/>
    <n v="46"/>
    <n v="9186"/>
    <n v="109.28"/>
    <n v="35.840000000000003"/>
    <n v="109.28"/>
    <n v="1003846.08"/>
    <n v="329226.23999999999"/>
    <n v="0.67203513909224011"/>
    <n v="674619.84"/>
  </r>
  <r>
    <x v="0"/>
    <s v="Bulgaria"/>
    <x v="6"/>
    <x v="0"/>
    <x v="3"/>
    <s v="4/7/2012"/>
    <d v="2012-04-07T00:00:00"/>
    <n v="7"/>
    <s v="Apr"/>
    <x v="5"/>
    <s v="Apr-2012"/>
    <n v="948518216"/>
    <d v="2012-05-04T00:00:00"/>
    <n v="4"/>
    <s v="May"/>
    <n v="2012"/>
    <s v="May-2012"/>
    <s v="5/4/2012"/>
    <n v="27"/>
    <n v="6473"/>
    <n v="421.89"/>
    <n v="364.69"/>
    <n v="421.89000000000004"/>
    <n v="2730893.97"/>
    <n v="2360638.37"/>
    <n v="0.13558036455000116"/>
    <n v="370255.6"/>
  </r>
  <r>
    <x v="0"/>
    <s v="Finland"/>
    <x v="3"/>
    <x v="0"/>
    <x v="2"/>
    <s v="4/17/2017"/>
    <d v="2017-04-17T00:00:00"/>
    <n v="17"/>
    <s v="Apr"/>
    <x v="7"/>
    <s v="Apr-2017"/>
    <n v="163744628"/>
    <d v="2017-05-01T00:00:00"/>
    <n v="1"/>
    <s v="May"/>
    <n v="2017"/>
    <s v="May-2017"/>
    <s v="5/1/2017"/>
    <n v="14"/>
    <n v="4529"/>
    <n v="651.21"/>
    <n v="524.96"/>
    <n v="651.20999999999992"/>
    <n v="2949330.09"/>
    <n v="2377543.84"/>
    <n v="0.19386987300563568"/>
    <n v="571786.25"/>
  </r>
  <r>
    <x v="0"/>
    <s v="Greece"/>
    <x v="9"/>
    <x v="0"/>
    <x v="1"/>
    <s v="1/23/2012"/>
    <d v="2012-01-23T00:00:00"/>
    <n v="23"/>
    <s v="Jan"/>
    <x v="5"/>
    <s v="Jan-2012"/>
    <n v="706301438"/>
    <d v="2012-02-11T00:00:00"/>
    <n v="11"/>
    <s v="Feb"/>
    <n v="2012"/>
    <s v="Feb-2012"/>
    <s v="2/11/2012"/>
    <n v="19"/>
    <n v="9146"/>
    <n v="668.27"/>
    <n v="502.54"/>
    <n v="668.27"/>
    <n v="6111997.4199999999"/>
    <n v="4596230.84"/>
    <n v="0.24799856345489099"/>
    <n v="1515766.58"/>
  </r>
  <r>
    <x v="0"/>
    <s v="Montenegro"/>
    <x v="1"/>
    <x v="1"/>
    <x v="0"/>
    <s v="3/9/2014"/>
    <d v="2014-03-09T00:00:00"/>
    <n v="9"/>
    <s v="Mar"/>
    <x v="2"/>
    <s v="Mar-2014"/>
    <n v="234082448"/>
    <d v="2014-03-09T00:00:00"/>
    <n v="9"/>
    <s v="Mar"/>
    <n v="2014"/>
    <s v="Mar-2014"/>
    <s v="3/9/2014"/>
    <n v="0"/>
    <n v="9053"/>
    <n v="109.28"/>
    <n v="35.840000000000003"/>
    <n v="109.28"/>
    <n v="989311.84"/>
    <n v="324459.52000000002"/>
    <n v="0.67203513909224011"/>
    <n v="664852.31999999995"/>
  </r>
  <r>
    <x v="0"/>
    <s v="Romania"/>
    <x v="6"/>
    <x v="0"/>
    <x v="2"/>
    <s v="8/22/2012"/>
    <d v="2012-08-22T00:00:00"/>
    <n v="22"/>
    <s v="Aug"/>
    <x v="5"/>
    <s v="Aug-2012"/>
    <n v="161607444"/>
    <d v="2012-10-03T00:00:00"/>
    <n v="3"/>
    <s v="Oct"/>
    <n v="2012"/>
    <s v="Oct-2012"/>
    <s v="10/3/2012"/>
    <n v="42"/>
    <n v="2089"/>
    <n v="421.89"/>
    <n v="364.69"/>
    <n v="421.89"/>
    <n v="881328.21"/>
    <n v="761837.41"/>
    <n v="0.13558036455000119"/>
    <n v="119490.8"/>
  </r>
  <r>
    <x v="0"/>
    <s v="Lithuania"/>
    <x v="6"/>
    <x v="0"/>
    <x v="0"/>
    <s v="7/6/2014"/>
    <d v="2014-07-06T00:00:00"/>
    <n v="6"/>
    <s v="Jul"/>
    <x v="2"/>
    <s v="Jul-2014"/>
    <n v="764483058"/>
    <d v="2014-08-05T00:00:00"/>
    <n v="5"/>
    <s v="Aug"/>
    <n v="2014"/>
    <s v="Aug-2014"/>
    <s v="8/5/2014"/>
    <n v="30"/>
    <n v="6380"/>
    <n v="421.89"/>
    <n v="364.69"/>
    <n v="421.89000000000004"/>
    <n v="2691658.2"/>
    <n v="2326722.2000000002"/>
    <n v="0.13558036455000116"/>
    <n v="364936"/>
  </r>
  <r>
    <x v="0"/>
    <s v="Iceland"/>
    <x v="8"/>
    <x v="0"/>
    <x v="1"/>
    <s v="8/5/2014"/>
    <d v="2014-08-05T00:00:00"/>
    <n v="5"/>
    <s v="Aug"/>
    <x v="2"/>
    <s v="Aug-2014"/>
    <n v="828993833"/>
    <d v="2014-09-02T00:00:00"/>
    <n v="2"/>
    <s v="Sep"/>
    <n v="2014"/>
    <s v="Sep-2014"/>
    <s v="9/2/2014"/>
    <n v="28"/>
    <n v="6552"/>
    <n v="255.28"/>
    <n v="159.41999999999999"/>
    <n v="255.28"/>
    <n v="1672594.56"/>
    <n v="1044519.84"/>
    <n v="0.37550924475086178"/>
    <n v="628074.72"/>
  </r>
  <r>
    <x v="0"/>
    <s v="Bosnia and Herzegovina"/>
    <x v="6"/>
    <x v="0"/>
    <x v="0"/>
    <s v="12/9/2015"/>
    <d v="2015-12-09T00:00:00"/>
    <n v="9"/>
    <s v="Dec"/>
    <x v="6"/>
    <s v="Dec-2015"/>
    <n v="498946940"/>
    <d v="2016-01-11T00:00:00"/>
    <n v="11"/>
    <s v="Jan"/>
    <n v="2016"/>
    <s v="Jan-2016"/>
    <s v="1/11/2016"/>
    <n v="33"/>
    <n v="8342"/>
    <n v="421.89"/>
    <n v="364.69"/>
    <n v="421.89"/>
    <n v="3519406.38"/>
    <n v="3042243.98"/>
    <n v="0.13558036455000119"/>
    <n v="477162.4"/>
  </r>
  <r>
    <x v="0"/>
    <s v="Switzerland"/>
    <x v="11"/>
    <x v="0"/>
    <x v="1"/>
    <s v="8/2/2014"/>
    <d v="2014-08-02T00:00:00"/>
    <n v="2"/>
    <s v="Aug"/>
    <x v="2"/>
    <s v="Aug-2014"/>
    <n v="287151563"/>
    <d v="2014-08-11T00:00:00"/>
    <n v="11"/>
    <s v="Aug"/>
    <n v="2014"/>
    <s v="Aug-2014"/>
    <s v="8/11/2014"/>
    <n v="9"/>
    <n v="3383"/>
    <n v="81.73"/>
    <n v="56.67"/>
    <n v="81.73"/>
    <n v="276492.59000000003"/>
    <n v="191714.61"/>
    <n v="0.30661935641747212"/>
    <n v="84777.98"/>
  </r>
  <r>
    <x v="0"/>
    <s v="Croatia"/>
    <x v="3"/>
    <x v="1"/>
    <x v="0"/>
    <s v="5/22/2013"/>
    <d v="2013-05-22T00:00:00"/>
    <n v="22"/>
    <s v="May"/>
    <x v="1"/>
    <s v="May-2013"/>
    <n v="259006392"/>
    <d v="2013-06-06T00:00:00"/>
    <n v="6"/>
    <s v="Jun"/>
    <n v="2013"/>
    <s v="Jun-2013"/>
    <s v="6/6/2013"/>
    <n v="15"/>
    <n v="4602"/>
    <n v="651.21"/>
    <n v="524.96"/>
    <n v="651.21"/>
    <n v="2996868.42"/>
    <n v="2415865.92"/>
    <n v="0.19386987300563566"/>
    <n v="581002.5"/>
  </r>
  <r>
    <x v="0"/>
    <s v="United Kingdom"/>
    <x v="5"/>
    <x v="1"/>
    <x v="0"/>
    <s v="9/30/2012"/>
    <d v="2012-09-30T00:00:00"/>
    <n v="30"/>
    <s v="Sep"/>
    <x v="5"/>
    <s v="Sep-2012"/>
    <n v="556647908"/>
    <d v="2012-10-29T00:00:00"/>
    <n v="29"/>
    <s v="Oct"/>
    <n v="2012"/>
    <s v="Oct-2012"/>
    <s v="10/29/2012"/>
    <n v="29"/>
    <n v="3341"/>
    <n v="154.06"/>
    <n v="90.93"/>
    <n v="154.06"/>
    <n v="514714.46"/>
    <n v="303797.13"/>
    <n v="0.40977541217707381"/>
    <n v="210917.33"/>
  </r>
  <r>
    <x v="0"/>
    <s v="Ireland"/>
    <x v="5"/>
    <x v="0"/>
    <x v="1"/>
    <s v="4/9/2011"/>
    <d v="2011-04-09T00:00:00"/>
    <n v="9"/>
    <s v="Apr"/>
    <x v="0"/>
    <s v="Apr-2011"/>
    <n v="923922574"/>
    <d v="2011-05-23T00:00:00"/>
    <n v="23"/>
    <s v="May"/>
    <n v="2011"/>
    <s v="May-2011"/>
    <s v="5/23/2011"/>
    <n v="44"/>
    <n v="8076"/>
    <n v="154.06"/>
    <n v="90.93"/>
    <n v="154.06"/>
    <n v="1244188.56"/>
    <n v="734350.68"/>
    <n v="0.40977541217707386"/>
    <n v="509837.88"/>
  </r>
  <r>
    <x v="0"/>
    <s v="San Marino"/>
    <x v="7"/>
    <x v="0"/>
    <x v="0"/>
    <s v="1/4/2017"/>
    <d v="2017-01-04T00:00:00"/>
    <n v="4"/>
    <s v="Jan"/>
    <x v="7"/>
    <s v="Jan-2017"/>
    <n v="742100560"/>
    <d v="2017-01-17T00:00:00"/>
    <n v="17"/>
    <s v="Jan"/>
    <n v="2017"/>
    <s v="Jan-2017"/>
    <s v="1/17/2017"/>
    <n v="13"/>
    <n v="2902"/>
    <n v="152.58000000000001"/>
    <n v="97.44"/>
    <n v="152.57999999999998"/>
    <n v="442787.16"/>
    <n v="282770.88"/>
    <n v="0.36138419189933152"/>
    <n v="160016.28"/>
  </r>
  <r>
    <x v="0"/>
    <s v="France"/>
    <x v="4"/>
    <x v="0"/>
    <x v="3"/>
    <s v="2/12/2014"/>
    <d v="2014-02-12T00:00:00"/>
    <n v="12"/>
    <s v="Feb"/>
    <x v="2"/>
    <s v="Feb-2014"/>
    <n v="605029380"/>
    <d v="2014-02-18T00:00:00"/>
    <n v="18"/>
    <s v="Feb"/>
    <n v="2014"/>
    <s v="Feb-2014"/>
    <s v="2/18/2014"/>
    <n v="6"/>
    <n v="493"/>
    <n v="9.33"/>
    <n v="6.92"/>
    <n v="9.33"/>
    <n v="4599.6899999999996"/>
    <n v="3411.56"/>
    <n v="0.25830653804930337"/>
    <n v="1188.1300000000001"/>
  </r>
  <r>
    <x v="0"/>
    <s v="Cyprus"/>
    <x v="6"/>
    <x v="1"/>
    <x v="2"/>
    <s v="6/11/2017"/>
    <d v="2017-06-11T00:00:00"/>
    <n v="11"/>
    <s v="Jun"/>
    <x v="7"/>
    <s v="Jun-2017"/>
    <n v="333304440"/>
    <d v="2017-07-05T00:00:00"/>
    <n v="5"/>
    <s v="Jul"/>
    <n v="2017"/>
    <s v="Jul-2017"/>
    <s v="7/5/2017"/>
    <n v="24"/>
    <n v="1046"/>
    <n v="421.89"/>
    <n v="364.69"/>
    <n v="421.89"/>
    <n v="441296.94"/>
    <n v="381465.74"/>
    <n v="0.13558036455000116"/>
    <n v="59831.199999999997"/>
  </r>
  <r>
    <x v="0"/>
    <s v="Russia"/>
    <x v="10"/>
    <x v="0"/>
    <x v="3"/>
    <s v="9/3/2014"/>
    <d v="2014-09-03T00:00:00"/>
    <n v="3"/>
    <s v="Sep"/>
    <x v="2"/>
    <s v="Sep-2014"/>
    <n v="486345708"/>
    <d v="2014-10-11T00:00:00"/>
    <n v="11"/>
    <s v="Oct"/>
    <n v="2014"/>
    <s v="Oct-2014"/>
    <s v="10/11/2014"/>
    <n v="38"/>
    <n v="9357"/>
    <n v="437.2"/>
    <n v="263.33"/>
    <n v="437.2"/>
    <n v="4090880.4"/>
    <n v="2463978.81"/>
    <n v="0.3976898444647759"/>
    <n v="1626901.59"/>
  </r>
  <r>
    <x v="0"/>
    <s v="Malta"/>
    <x v="0"/>
    <x v="1"/>
    <x v="1"/>
    <s v="4/30/2016"/>
    <d v="2016-04-30T00:00:00"/>
    <n v="30"/>
    <s v="Apr"/>
    <x v="4"/>
    <s v="Apr-2016"/>
    <n v="180358016"/>
    <d v="2016-05-16T00:00:00"/>
    <n v="16"/>
    <s v="May"/>
    <n v="2016"/>
    <s v="May-2016"/>
    <s v="5/16/2016"/>
    <n v="16"/>
    <n v="800"/>
    <n v="47.45"/>
    <n v="31.79"/>
    <n v="47.45"/>
    <n v="37960"/>
    <n v="25432"/>
    <n v="0.33003161222339306"/>
    <n v="12528"/>
  </r>
  <r>
    <x v="0"/>
    <s v="Georgia"/>
    <x v="1"/>
    <x v="1"/>
    <x v="3"/>
    <s v="7/18/2012"/>
    <d v="2012-07-18T00:00:00"/>
    <n v="18"/>
    <s v="Jul"/>
    <x v="5"/>
    <s v="Jul-2012"/>
    <n v="141846215"/>
    <d v="2012-08-16T00:00:00"/>
    <n v="16"/>
    <s v="Aug"/>
    <n v="2012"/>
    <s v="Aug-2012"/>
    <s v="8/16/2012"/>
    <n v="29"/>
    <n v="4302"/>
    <n v="109.28"/>
    <n v="35.840000000000003"/>
    <n v="109.28"/>
    <n v="470122.56"/>
    <n v="154183.67999999999"/>
    <n v="0.67203513909224011"/>
    <n v="315938.88"/>
  </r>
  <r>
    <x v="0"/>
    <s v="Moldova "/>
    <x v="8"/>
    <x v="0"/>
    <x v="0"/>
    <s v="6/9/2017"/>
    <d v="2017-06-09T00:00:00"/>
    <n v="9"/>
    <s v="Jun"/>
    <x v="7"/>
    <s v="Jun-2017"/>
    <n v="252541625"/>
    <d v="2017-07-05T00:00:00"/>
    <n v="5"/>
    <s v="Jul"/>
    <n v="2017"/>
    <s v="Jul-2017"/>
    <s v="7/5/2017"/>
    <n v="26"/>
    <n v="1534"/>
    <n v="255.28"/>
    <n v="159.41999999999999"/>
    <n v="255.28"/>
    <n v="391599.52"/>
    <n v="244550.28"/>
    <n v="0.37550924475086178"/>
    <n v="147049.24"/>
  </r>
  <r>
    <x v="0"/>
    <s v="Montenegro"/>
    <x v="10"/>
    <x v="0"/>
    <x v="0"/>
    <s v="3/29/2014"/>
    <d v="2014-03-29T00:00:00"/>
    <n v="29"/>
    <s v="Mar"/>
    <x v="2"/>
    <s v="Mar-2014"/>
    <n v="614597785"/>
    <d v="2014-05-14T00:00:00"/>
    <n v="14"/>
    <s v="May"/>
    <n v="2014"/>
    <s v="May-2014"/>
    <s v="5/14/2014"/>
    <n v="46"/>
    <n v="1997"/>
    <n v="437.2"/>
    <n v="263.33"/>
    <n v="437.2"/>
    <n v="873088.4"/>
    <n v="525870.01"/>
    <n v="0.39768984446477584"/>
    <n v="347218.39"/>
  </r>
  <r>
    <x v="0"/>
    <s v="Sweden"/>
    <x v="11"/>
    <x v="0"/>
    <x v="3"/>
    <s v="5/17/2011"/>
    <d v="2011-05-17T00:00:00"/>
    <n v="17"/>
    <s v="May"/>
    <x v="0"/>
    <s v="May-2011"/>
    <n v="861976850"/>
    <d v="2011-05-25T00:00:00"/>
    <n v="25"/>
    <s v="May"/>
    <n v="2011"/>
    <s v="May-2011"/>
    <s v="5/25/2011"/>
    <n v="8"/>
    <n v="6960"/>
    <n v="81.73"/>
    <n v="56.67"/>
    <n v="81.73"/>
    <n v="568840.80000000005"/>
    <n v="394423.2"/>
    <n v="0.30661935641747212"/>
    <n v="174417.6"/>
  </r>
  <r>
    <x v="0"/>
    <s v="Czech Republic"/>
    <x v="1"/>
    <x v="0"/>
    <x v="2"/>
    <s v="8/21/2012"/>
    <d v="2012-08-21T00:00:00"/>
    <n v="21"/>
    <s v="Aug"/>
    <x v="5"/>
    <s v="Aug-2012"/>
    <n v="631463515"/>
    <d v="2012-09-25T00:00:00"/>
    <n v="25"/>
    <s v="Sep"/>
    <n v="2012"/>
    <s v="Sep-2012"/>
    <s v="9/25/2012"/>
    <n v="35"/>
    <n v="2942"/>
    <n v="109.28"/>
    <n v="35.840000000000003"/>
    <n v="109.28"/>
    <n v="321501.76"/>
    <n v="105441.28"/>
    <n v="0.67203513909224011"/>
    <n v="216060.48"/>
  </r>
  <r>
    <x v="0"/>
    <s v="Moldova "/>
    <x v="4"/>
    <x v="1"/>
    <x v="1"/>
    <s v="7/29/2013"/>
    <d v="2013-07-29T00:00:00"/>
    <n v="29"/>
    <s v="Jul"/>
    <x v="1"/>
    <s v="Jul-2013"/>
    <n v="307305467"/>
    <d v="2013-08-10T00:00:00"/>
    <n v="10"/>
    <s v="Aug"/>
    <n v="2013"/>
    <s v="Aug-2013"/>
    <s v="8/10/2013"/>
    <n v="12"/>
    <n v="7371"/>
    <n v="9.33"/>
    <n v="6.92"/>
    <n v="9.3299999999999983"/>
    <n v="68771.429999999993"/>
    <n v="51007.32"/>
    <n v="0.25830653804930337"/>
    <n v="17764.11"/>
  </r>
  <r>
    <x v="0"/>
    <s v="Cyprus"/>
    <x v="2"/>
    <x v="0"/>
    <x v="3"/>
    <s v="7/5/2011"/>
    <d v="2011-07-05T00:00:00"/>
    <n v="5"/>
    <s v="Jul"/>
    <x v="0"/>
    <s v="Jul-2011"/>
    <n v="392676532"/>
    <d v="2011-08-06T00:00:00"/>
    <n v="6"/>
    <s v="Aug"/>
    <n v="2011"/>
    <s v="Aug-2011"/>
    <s v="8/6/2011"/>
    <n v="32"/>
    <n v="567"/>
    <n v="205.7"/>
    <n v="117.11"/>
    <n v="205.7"/>
    <n v="116631.9"/>
    <n v="66401.37"/>
    <n v="0.43067574137092857"/>
    <n v="50230.53"/>
  </r>
  <r>
    <x v="0"/>
    <s v="Luxembourg"/>
    <x v="8"/>
    <x v="1"/>
    <x v="2"/>
    <s v="5/26/2012"/>
    <d v="2012-05-26T00:00:00"/>
    <n v="26"/>
    <s v="May"/>
    <x v="5"/>
    <s v="May-2012"/>
    <n v="111063039"/>
    <d v="2012-07-13T00:00:00"/>
    <n v="13"/>
    <s v="Jul"/>
    <n v="2012"/>
    <s v="Jul-2012"/>
    <s v="7/13/2012"/>
    <n v="48"/>
    <n v="4876"/>
    <n v="255.28"/>
    <n v="159.41999999999999"/>
    <n v="255.28"/>
    <n v="1244745.28"/>
    <n v="777331.92"/>
    <n v="0.37550924475086178"/>
    <n v="467413.36"/>
  </r>
  <r>
    <x v="0"/>
    <s v="Spain"/>
    <x v="0"/>
    <x v="1"/>
    <x v="1"/>
    <s v="12/5/2011"/>
    <d v="2011-12-05T00:00:00"/>
    <n v="5"/>
    <s v="Dec"/>
    <x v="0"/>
    <s v="Dec-2011"/>
    <n v="556263816"/>
    <d v="2011-12-07T00:00:00"/>
    <n v="7"/>
    <s v="Dec"/>
    <n v="2011"/>
    <s v="Dec-2011"/>
    <s v="12/7/2011"/>
    <n v="2"/>
    <n v="9679"/>
    <n v="47.45"/>
    <n v="31.79"/>
    <n v="47.449999999999996"/>
    <n v="459268.55"/>
    <n v="307695.40999999997"/>
    <n v="0.33003161222339311"/>
    <n v="151573.14000000001"/>
  </r>
  <r>
    <x v="0"/>
    <s v="Greece"/>
    <x v="0"/>
    <x v="1"/>
    <x v="1"/>
    <s v="5/25/2011"/>
    <d v="2011-05-25T00:00:00"/>
    <n v="25"/>
    <s v="May"/>
    <x v="0"/>
    <s v="May-2011"/>
    <n v="642123687"/>
    <d v="2011-05-30T00:00:00"/>
    <n v="30"/>
    <s v="May"/>
    <n v="2011"/>
    <s v="May-2011"/>
    <s v="5/30/2011"/>
    <n v="5"/>
    <n v="7523"/>
    <n v="47.45"/>
    <n v="31.79"/>
    <n v="47.449999999999996"/>
    <n v="356966.35"/>
    <n v="239156.17"/>
    <n v="0.33003161222339306"/>
    <n v="117810.18"/>
  </r>
  <r>
    <x v="0"/>
    <s v="Czech Republic"/>
    <x v="0"/>
    <x v="1"/>
    <x v="1"/>
    <s v="5/2/2010"/>
    <d v="2010-05-02T00:00:00"/>
    <n v="2"/>
    <s v="May"/>
    <x v="3"/>
    <s v="May-2010"/>
    <n v="242168128"/>
    <d v="2010-05-03T00:00:00"/>
    <n v="3"/>
    <s v="May"/>
    <n v="2010"/>
    <s v="May-2010"/>
    <s v="5/3/2010"/>
    <n v="1"/>
    <n v="1785"/>
    <n v="47.45"/>
    <n v="31.79"/>
    <n v="47.45"/>
    <n v="84698.25"/>
    <n v="56745.15"/>
    <n v="0.330031612223393"/>
    <n v="27953.1"/>
  </r>
  <r>
    <x v="0"/>
    <s v="Croatia"/>
    <x v="0"/>
    <x v="0"/>
    <x v="3"/>
    <s v="3/11/2017"/>
    <d v="2017-03-11T00:00:00"/>
    <n v="11"/>
    <s v="Mar"/>
    <x v="7"/>
    <s v="Mar-2017"/>
    <n v="192236125"/>
    <d v="2017-03-22T00:00:00"/>
    <n v="22"/>
    <s v="Mar"/>
    <n v="2017"/>
    <s v="Mar-2017"/>
    <s v="3/22/2017"/>
    <n v="11"/>
    <n v="5796"/>
    <n v="47.45"/>
    <n v="31.79"/>
    <n v="47.45"/>
    <n v="275020.2"/>
    <n v="184254.84"/>
    <n v="0.33003161222339306"/>
    <n v="90765.36"/>
  </r>
  <r>
    <x v="0"/>
    <s v="Greece"/>
    <x v="7"/>
    <x v="1"/>
    <x v="2"/>
    <s v="8/18/2016"/>
    <d v="2016-08-18T00:00:00"/>
    <n v="18"/>
    <s v="Aug"/>
    <x v="4"/>
    <s v="Aug-2016"/>
    <n v="957926118"/>
    <d v="2016-09-01T00:00:00"/>
    <n v="1"/>
    <s v="Sep"/>
    <n v="2016"/>
    <s v="Sep-2016"/>
    <s v="9/1/2016"/>
    <n v="14"/>
    <n v="480"/>
    <n v="152.58000000000001"/>
    <n v="97.44"/>
    <n v="152.57999999999998"/>
    <n v="73238.399999999994"/>
    <n v="46771.199999999997"/>
    <n v="0.36138419189933152"/>
    <n v="26467.200000000001"/>
  </r>
  <r>
    <x v="0"/>
    <s v="Austria"/>
    <x v="0"/>
    <x v="1"/>
    <x v="3"/>
    <s v="11/14/2016"/>
    <d v="2016-11-14T00:00:00"/>
    <n v="14"/>
    <s v="Nov"/>
    <x v="4"/>
    <s v="Nov-2016"/>
    <n v="646691596"/>
    <d v="2016-12-13T00:00:00"/>
    <n v="13"/>
    <s v="Dec"/>
    <n v="2016"/>
    <s v="Dec-2016"/>
    <s v="12/13/2016"/>
    <n v="29"/>
    <n v="9269"/>
    <n v="47.45"/>
    <n v="31.79"/>
    <n v="47.449999999999996"/>
    <n v="439814.05"/>
    <n v="294661.51"/>
    <n v="0.33003161222339306"/>
    <n v="145152.54"/>
  </r>
  <r>
    <x v="0"/>
    <s v="Ukraine"/>
    <x v="3"/>
    <x v="0"/>
    <x v="3"/>
    <s v="12/4/2015"/>
    <d v="2015-12-04T00:00:00"/>
    <n v="4"/>
    <s v="Dec"/>
    <x v="6"/>
    <s v="Dec-2015"/>
    <n v="115363156"/>
    <d v="2016-01-10T00:00:00"/>
    <n v="10"/>
    <s v="Jan"/>
    <n v="2016"/>
    <s v="Jan-2016"/>
    <s v="1/10/2016"/>
    <n v="37"/>
    <n v="7376"/>
    <n v="651.21"/>
    <n v="524.96"/>
    <n v="651.21"/>
    <n v="4803324.96"/>
    <n v="3872104.96"/>
    <n v="0.19386987300563566"/>
    <n v="931220"/>
  </r>
  <r>
    <x v="0"/>
    <s v="Vatican City"/>
    <x v="9"/>
    <x v="0"/>
    <x v="2"/>
    <s v="3/17/2017"/>
    <d v="2017-03-17T00:00:00"/>
    <n v="17"/>
    <s v="Mar"/>
    <x v="7"/>
    <s v="Mar-2017"/>
    <n v="922564303"/>
    <d v="2017-04-02T00:00:00"/>
    <n v="2"/>
    <s v="Apr"/>
    <n v="2017"/>
    <s v="Apr-2017"/>
    <s v="4/2/2017"/>
    <n v="16"/>
    <n v="6134"/>
    <n v="668.27"/>
    <n v="502.54"/>
    <n v="668.27"/>
    <n v="4099168.18"/>
    <n v="3082580.36"/>
    <n v="0.24799856345489096"/>
    <n v="1016587.82"/>
  </r>
  <r>
    <x v="0"/>
    <s v="Bulgaria"/>
    <x v="2"/>
    <x v="0"/>
    <x v="3"/>
    <s v="2/17/2011"/>
    <d v="2011-02-17T00:00:00"/>
    <n v="17"/>
    <s v="Feb"/>
    <x v="0"/>
    <s v="Feb-2011"/>
    <n v="928168189"/>
    <d v="2011-03-15T00:00:00"/>
    <n v="15"/>
    <s v="Mar"/>
    <n v="2011"/>
    <s v="Mar-2011"/>
    <s v="3/15/2011"/>
    <n v="26"/>
    <n v="4448"/>
    <n v="205.7"/>
    <n v="117.11"/>
    <n v="205.7"/>
    <n v="914953.6"/>
    <n v="520905.28"/>
    <n v="0.43067574137092857"/>
    <n v="394048.32"/>
  </r>
  <r>
    <x v="0"/>
    <s v="Monaco"/>
    <x v="5"/>
    <x v="1"/>
    <x v="2"/>
    <s v="3/18/2011"/>
    <d v="2011-03-18T00:00:00"/>
    <n v="18"/>
    <s v="Mar"/>
    <x v="0"/>
    <s v="Mar-2011"/>
    <n v="346498763"/>
    <d v="2011-04-02T00:00:00"/>
    <n v="2"/>
    <s v="Apr"/>
    <n v="2011"/>
    <s v="Apr-2011"/>
    <s v="4/2/2011"/>
    <n v="15"/>
    <n v="5539"/>
    <n v="154.06"/>
    <n v="90.93"/>
    <n v="154.06"/>
    <n v="853338.34"/>
    <n v="503661.27"/>
    <n v="0.40977541217707392"/>
    <n v="349677.07"/>
  </r>
  <r>
    <x v="0"/>
    <s v="Serbia"/>
    <x v="0"/>
    <x v="0"/>
    <x v="3"/>
    <s v="11/29/2016"/>
    <d v="2016-11-29T00:00:00"/>
    <n v="29"/>
    <s v="Nov"/>
    <x v="4"/>
    <s v="Nov-2016"/>
    <n v="797316300"/>
    <d v="2016-11-29T00:00:00"/>
    <n v="29"/>
    <s v="Nov"/>
    <n v="2016"/>
    <s v="Nov-2016"/>
    <s v="11/29/2016"/>
    <n v="0"/>
    <n v="2466"/>
    <n v="47.45"/>
    <n v="31.79"/>
    <n v="47.449999999999996"/>
    <n v="117011.7"/>
    <n v="78394.14"/>
    <n v="0.33003161222339306"/>
    <n v="38617.56"/>
  </r>
  <r>
    <x v="0"/>
    <s v="Ireland"/>
    <x v="8"/>
    <x v="1"/>
    <x v="3"/>
    <s v="4/18/2015"/>
    <d v="2015-04-18T00:00:00"/>
    <n v="18"/>
    <s v="Apr"/>
    <x v="6"/>
    <s v="Apr-2015"/>
    <n v="497506701"/>
    <d v="2015-05-10T00:00:00"/>
    <n v="10"/>
    <s v="May"/>
    <n v="2015"/>
    <s v="May-2015"/>
    <s v="5/10/2015"/>
    <n v="22"/>
    <n v="2144"/>
    <n v="255.28"/>
    <n v="159.41999999999999"/>
    <n v="255.27999999999997"/>
    <n v="547320.31999999995"/>
    <n v="341796.48"/>
    <n v="0.37550924475086184"/>
    <n v="205523.84"/>
  </r>
  <r>
    <x v="0"/>
    <s v="Andorra"/>
    <x v="11"/>
    <x v="1"/>
    <x v="0"/>
    <s v="6/5/2010"/>
    <d v="2010-06-05T00:00:00"/>
    <n v="5"/>
    <s v="Jun"/>
    <x v="3"/>
    <s v="Jun-2010"/>
    <n v="245556294"/>
    <d v="2010-06-25T00:00:00"/>
    <n v="25"/>
    <s v="Jun"/>
    <n v="2010"/>
    <s v="Jun-2010"/>
    <s v="6/25/2010"/>
    <n v="20"/>
    <n v="4419"/>
    <n v="81.73"/>
    <n v="56.67"/>
    <n v="81.73"/>
    <n v="361164.87"/>
    <n v="250424.73"/>
    <n v="0.30661935641747218"/>
    <n v="110740.14"/>
  </r>
  <r>
    <x v="0"/>
    <s v="Latvia"/>
    <x v="11"/>
    <x v="1"/>
    <x v="2"/>
    <s v="1/27/2014"/>
    <d v="2014-01-27T00:00:00"/>
    <n v="27"/>
    <s v="Jan"/>
    <x v="2"/>
    <s v="Jan-2014"/>
    <n v="716411006"/>
    <d v="2014-02-17T00:00:00"/>
    <n v="17"/>
    <s v="Feb"/>
    <n v="2014"/>
    <s v="Feb-2014"/>
    <s v="2/17/2014"/>
    <n v="21"/>
    <n v="792"/>
    <n v="81.73"/>
    <n v="56.67"/>
    <n v="81.73"/>
    <n v="64730.16"/>
    <n v="44882.64"/>
    <n v="0.30661935641747218"/>
    <n v="19847.52"/>
  </r>
  <r>
    <x v="0"/>
    <s v="Liechtenstein"/>
    <x v="3"/>
    <x v="1"/>
    <x v="1"/>
    <s v="11/1/2015"/>
    <d v="2015-11-01T00:00:00"/>
    <n v="1"/>
    <s v="Nov"/>
    <x v="6"/>
    <s v="Nov-2015"/>
    <n v="186597907"/>
    <d v="2015-12-15T00:00:00"/>
    <n v="15"/>
    <s v="Dec"/>
    <n v="2015"/>
    <s v="Dec-2015"/>
    <s v="12/15/2015"/>
    <n v="44"/>
    <n v="7322"/>
    <n v="651.21"/>
    <n v="524.96"/>
    <n v="651.21"/>
    <n v="4768159.62"/>
    <n v="3843757.12"/>
    <n v="0.19386987300563566"/>
    <n v="924402.5"/>
  </r>
  <r>
    <x v="0"/>
    <s v="Armenia"/>
    <x v="5"/>
    <x v="1"/>
    <x v="2"/>
    <s v="5/15/2016"/>
    <d v="2016-05-15T00:00:00"/>
    <n v="15"/>
    <s v="May"/>
    <x v="4"/>
    <s v="May-2016"/>
    <n v="848737466"/>
    <d v="2016-05-31T00:00:00"/>
    <n v="31"/>
    <s v="May"/>
    <n v="2016"/>
    <s v="May-2016"/>
    <s v="5/31/2016"/>
    <n v="16"/>
    <n v="9132"/>
    <n v="154.06"/>
    <n v="90.93"/>
    <n v="154.06"/>
    <n v="1406875.92"/>
    <n v="830372.76"/>
    <n v="0.40977541217707392"/>
    <n v="576503.16"/>
  </r>
  <r>
    <x v="0"/>
    <s v="France"/>
    <x v="3"/>
    <x v="1"/>
    <x v="3"/>
    <s v="10/27/2013"/>
    <d v="2013-10-27T00:00:00"/>
    <n v="27"/>
    <s v="Oct"/>
    <x v="1"/>
    <s v="Oct-2013"/>
    <n v="130754315"/>
    <d v="2013-11-02T00:00:00"/>
    <n v="2"/>
    <s v="Nov"/>
    <n v="2013"/>
    <s v="Nov-2013"/>
    <s v="11/2/2013"/>
    <n v="6"/>
    <n v="1962"/>
    <n v="651.21"/>
    <n v="524.96"/>
    <n v="651.21"/>
    <n v="1277674.02"/>
    <n v="1029971.52"/>
    <n v="0.19386987300563566"/>
    <n v="247702.5"/>
  </r>
  <r>
    <x v="0"/>
    <s v="Netherlands"/>
    <x v="3"/>
    <x v="0"/>
    <x v="1"/>
    <s v="2/2/2011"/>
    <d v="2011-02-02T00:00:00"/>
    <n v="2"/>
    <s v="Feb"/>
    <x v="0"/>
    <s v="Feb-2011"/>
    <n v="719293630"/>
    <d v="2011-02-25T00:00:00"/>
    <n v="25"/>
    <s v="Feb"/>
    <n v="2011"/>
    <s v="Feb-2011"/>
    <s v="2/25/2011"/>
    <n v="23"/>
    <n v="3824"/>
    <n v="651.21"/>
    <n v="524.96"/>
    <n v="651.21"/>
    <n v="2490227.04"/>
    <n v="2007447.04"/>
    <n v="0.19386987300563566"/>
    <n v="482780"/>
  </r>
  <r>
    <x v="0"/>
    <s v="Kosovo"/>
    <x v="3"/>
    <x v="0"/>
    <x v="0"/>
    <s v="5/7/2011"/>
    <d v="2011-05-07T00:00:00"/>
    <n v="7"/>
    <s v="May"/>
    <x v="0"/>
    <s v="May-2011"/>
    <n v="616775310"/>
    <d v="2011-05-24T00:00:00"/>
    <n v="24"/>
    <s v="May"/>
    <n v="2011"/>
    <s v="May-2011"/>
    <s v="5/24/2011"/>
    <n v="17"/>
    <n v="6375"/>
    <n v="651.21"/>
    <n v="524.96"/>
    <n v="651.21"/>
    <n v="4151463.75"/>
    <n v="3346620"/>
    <n v="0.19386987300563566"/>
    <n v="804843.75"/>
  </r>
  <r>
    <x v="0"/>
    <s v="Finland"/>
    <x v="4"/>
    <x v="0"/>
    <x v="2"/>
    <s v="9/20/2010"/>
    <d v="2010-09-20T00:00:00"/>
    <n v="20"/>
    <s v="Sep"/>
    <x v="3"/>
    <s v="Sep-2010"/>
    <n v="591287887"/>
    <d v="2010-10-02T00:00:00"/>
    <n v="2"/>
    <s v="Oct"/>
    <n v="2010"/>
    <s v="Oct-2010"/>
    <s v="10/2/2010"/>
    <n v="12"/>
    <n v="4080"/>
    <n v="9.33"/>
    <n v="6.92"/>
    <n v="9.33"/>
    <n v="38066.400000000001"/>
    <n v="28233.599999999999"/>
    <n v="0.25830653804930331"/>
    <n v="9832.7999999999993"/>
  </r>
  <r>
    <x v="0"/>
    <s v="Italy"/>
    <x v="1"/>
    <x v="1"/>
    <x v="1"/>
    <s v="4/18/2010"/>
    <d v="2010-04-18T00:00:00"/>
    <n v="18"/>
    <s v="Apr"/>
    <x v="3"/>
    <s v="Apr-2010"/>
    <n v="334539973"/>
    <d v="2010-05-11T00:00:00"/>
    <n v="11"/>
    <s v="May"/>
    <n v="2010"/>
    <s v="May-2010"/>
    <s v="5/11/2010"/>
    <n v="23"/>
    <n v="6667"/>
    <n v="109.28"/>
    <n v="35.840000000000003"/>
    <n v="109.28"/>
    <n v="728569.76"/>
    <n v="238945.28"/>
    <n v="0.67203513909224011"/>
    <n v="489624.48"/>
  </r>
  <r>
    <x v="0"/>
    <s v="Belarus"/>
    <x v="7"/>
    <x v="0"/>
    <x v="0"/>
    <s v="1/16/2016"/>
    <d v="2016-01-16T00:00:00"/>
    <n v="16"/>
    <s v="Jan"/>
    <x v="4"/>
    <s v="Jan-2016"/>
    <n v="403665006"/>
    <d v="2016-02-19T00:00:00"/>
    <n v="19"/>
    <s v="Feb"/>
    <n v="2016"/>
    <s v="Feb-2016"/>
    <s v="2/19/2016"/>
    <n v="34"/>
    <n v="2300"/>
    <n v="152.58000000000001"/>
    <n v="97.44"/>
    <n v="152.58000000000001"/>
    <n v="350934"/>
    <n v="224112"/>
    <n v="0.36138419189933152"/>
    <n v="126822"/>
  </r>
  <r>
    <x v="0"/>
    <s v="Poland"/>
    <x v="10"/>
    <x v="0"/>
    <x v="3"/>
    <s v="4/13/2011"/>
    <d v="2011-04-13T00:00:00"/>
    <n v="13"/>
    <s v="Apr"/>
    <x v="0"/>
    <s v="Apr-2011"/>
    <n v="892042911"/>
    <d v="2011-05-12T00:00:00"/>
    <n v="12"/>
    <s v="May"/>
    <n v="2011"/>
    <s v="May-2011"/>
    <s v="5/12/2011"/>
    <n v="29"/>
    <n v="4175"/>
    <n v="437.2"/>
    <n v="263.33"/>
    <n v="437.2"/>
    <n v="1825310"/>
    <n v="1099402.75"/>
    <n v="0.39768984446477584"/>
    <n v="725907.25"/>
  </r>
  <r>
    <x v="0"/>
    <s v="United Kingdom"/>
    <x v="9"/>
    <x v="1"/>
    <x v="0"/>
    <s v="7/30/2016"/>
    <d v="2016-07-30T00:00:00"/>
    <n v="30"/>
    <s v="Jul"/>
    <x v="4"/>
    <s v="Jul-2016"/>
    <n v="394356667"/>
    <d v="2016-08-04T00:00:00"/>
    <n v="4"/>
    <s v="Aug"/>
    <n v="2016"/>
    <s v="Aug-2016"/>
    <s v="8/4/2016"/>
    <n v="5"/>
    <n v="7756"/>
    <n v="668.27"/>
    <n v="502.54"/>
    <n v="668.27"/>
    <n v="5183102.12"/>
    <n v="3897700.24"/>
    <n v="0.24799856345489096"/>
    <n v="1285401.8799999999"/>
  </r>
  <r>
    <x v="0"/>
    <s v="Norway"/>
    <x v="4"/>
    <x v="0"/>
    <x v="1"/>
    <s v="4/29/2012"/>
    <d v="2012-04-29T00:00:00"/>
    <n v="29"/>
    <s v="Apr"/>
    <x v="5"/>
    <s v="Apr-2012"/>
    <n v="752792918"/>
    <d v="2012-05-12T00:00:00"/>
    <n v="12"/>
    <s v="May"/>
    <n v="2012"/>
    <s v="May-2012"/>
    <s v="5/12/2012"/>
    <n v="13"/>
    <n v="7008"/>
    <n v="9.33"/>
    <n v="6.92"/>
    <n v="9.33"/>
    <n v="65384.639999999999"/>
    <n v="48495.360000000001"/>
    <n v="0.25830653804930331"/>
    <n v="16889.28"/>
  </r>
  <r>
    <x v="0"/>
    <s v="Bosnia and Herzegovina"/>
    <x v="5"/>
    <x v="1"/>
    <x v="0"/>
    <s v="3/2/2012"/>
    <d v="2012-03-02T00:00:00"/>
    <n v="2"/>
    <s v="Mar"/>
    <x v="5"/>
    <s v="Mar-2012"/>
    <n v="760619390"/>
    <d v="2012-04-16T00:00:00"/>
    <n v="16"/>
    <s v="Apr"/>
    <n v="2012"/>
    <s v="Apr-2012"/>
    <s v="4/16/2012"/>
    <n v="45"/>
    <n v="3035"/>
    <n v="154.06"/>
    <n v="90.93"/>
    <n v="154.06"/>
    <n v="467572.1"/>
    <n v="275972.55"/>
    <n v="0.40977541217707386"/>
    <n v="191599.55"/>
  </r>
  <r>
    <x v="0"/>
    <s v="Ukraine"/>
    <x v="0"/>
    <x v="1"/>
    <x v="1"/>
    <s v="2/19/2014"/>
    <d v="2014-02-19T00:00:00"/>
    <n v="19"/>
    <s v="Feb"/>
    <x v="2"/>
    <s v="Feb-2014"/>
    <n v="343889510"/>
    <d v="2014-04-02T00:00:00"/>
    <n v="2"/>
    <s v="Apr"/>
    <n v="2014"/>
    <s v="Apr-2014"/>
    <s v="4/2/2014"/>
    <n v="42"/>
    <n v="3403"/>
    <n v="47.45"/>
    <n v="31.79"/>
    <n v="47.45"/>
    <n v="161472.35"/>
    <n v="108181.37"/>
    <n v="0.33003161222339306"/>
    <n v="53290.98"/>
  </r>
  <r>
    <x v="0"/>
    <s v="Malta"/>
    <x v="8"/>
    <x v="0"/>
    <x v="2"/>
    <s v="6/25/2012"/>
    <d v="2012-06-25T00:00:00"/>
    <n v="25"/>
    <s v="Jun"/>
    <x v="5"/>
    <s v="Jun-2012"/>
    <n v="398104035"/>
    <d v="2012-08-12T00:00:00"/>
    <n v="12"/>
    <s v="Aug"/>
    <n v="2012"/>
    <s v="Aug-2012"/>
    <s v="8/12/2012"/>
    <n v="48"/>
    <n v="6686"/>
    <n v="255.28"/>
    <n v="159.41999999999999"/>
    <n v="255.28"/>
    <n v="1706802.08"/>
    <n v="1065882.1200000001"/>
    <n v="0.37550924475086178"/>
    <n v="640919.96"/>
  </r>
  <r>
    <x v="0"/>
    <s v="Slovenia"/>
    <x v="6"/>
    <x v="0"/>
    <x v="1"/>
    <s v="9/25/2014"/>
    <d v="2014-09-25T00:00:00"/>
    <n v="25"/>
    <s v="Sep"/>
    <x v="2"/>
    <s v="Sep-2014"/>
    <n v="631460940"/>
    <d v="2014-10-05T00:00:00"/>
    <n v="5"/>
    <s v="Oct"/>
    <n v="2014"/>
    <s v="Oct-2014"/>
    <s v="10/5/2014"/>
    <n v="10"/>
    <n v="2180"/>
    <n v="421.89"/>
    <n v="364.69"/>
    <n v="421.89"/>
    <n v="919720.2"/>
    <n v="795024.2"/>
    <n v="0.13558036455000119"/>
    <n v="124696"/>
  </r>
  <r>
    <x v="0"/>
    <s v="Moldova "/>
    <x v="7"/>
    <x v="0"/>
    <x v="1"/>
    <s v="5/1/2010"/>
    <d v="2010-05-01T00:00:00"/>
    <n v="1"/>
    <s v="May"/>
    <x v="3"/>
    <s v="May-2010"/>
    <n v="489848029"/>
    <d v="2010-05-20T00:00:00"/>
    <n v="20"/>
    <s v="May"/>
    <n v="2010"/>
    <s v="May-2010"/>
    <s v="5/20/2010"/>
    <n v="19"/>
    <n v="5772"/>
    <n v="152.58000000000001"/>
    <n v="97.44"/>
    <n v="152.58000000000001"/>
    <n v="880691.76"/>
    <n v="562423.68000000005"/>
    <n v="0.36138419189933152"/>
    <n v="318268.08"/>
  </r>
  <r>
    <x v="0"/>
    <s v="Vatican City"/>
    <x v="3"/>
    <x v="1"/>
    <x v="2"/>
    <s v="11/27/2016"/>
    <d v="2016-11-27T00:00:00"/>
    <n v="27"/>
    <s v="Nov"/>
    <x v="4"/>
    <s v="Nov-2016"/>
    <n v="797788369"/>
    <d v="2016-11-28T00:00:00"/>
    <n v="28"/>
    <s v="Nov"/>
    <n v="2016"/>
    <s v="Nov-2016"/>
    <s v="11/28/2016"/>
    <n v="1"/>
    <n v="2162"/>
    <n v="651.21"/>
    <n v="524.96"/>
    <n v="651.21"/>
    <n v="1407916.02"/>
    <n v="1134963.52"/>
    <n v="0.19386987300563566"/>
    <n v="272952.5"/>
  </r>
  <r>
    <x v="0"/>
    <s v="United Kingdom"/>
    <x v="11"/>
    <x v="1"/>
    <x v="0"/>
    <s v="6/5/2013"/>
    <d v="2013-06-05T00:00:00"/>
    <n v="5"/>
    <s v="Jun"/>
    <x v="1"/>
    <s v="Jun-2013"/>
    <n v="430687510"/>
    <d v="2013-06-10T00:00:00"/>
    <n v="10"/>
    <s v="Jun"/>
    <n v="2013"/>
    <s v="Jun-2013"/>
    <s v="6/10/2013"/>
    <n v="5"/>
    <n v="8860"/>
    <n v="81.73"/>
    <n v="56.67"/>
    <n v="81.73"/>
    <n v="724127.8"/>
    <n v="502096.2"/>
    <n v="0.30661935641747218"/>
    <n v="222031.6"/>
  </r>
  <r>
    <x v="0"/>
    <s v="Portugal"/>
    <x v="11"/>
    <x v="1"/>
    <x v="3"/>
    <s v="2/11/2015"/>
    <d v="2015-02-11T00:00:00"/>
    <n v="11"/>
    <s v="Feb"/>
    <x v="6"/>
    <s v="Feb-2015"/>
    <n v="667054498"/>
    <d v="2015-02-12T00:00:00"/>
    <n v="12"/>
    <s v="Feb"/>
    <n v="2015"/>
    <s v="Feb-2015"/>
    <s v="2/12/2015"/>
    <n v="1"/>
    <n v="5104"/>
    <n v="81.73"/>
    <n v="56.67"/>
    <n v="81.72999999999999"/>
    <n v="417149.92"/>
    <n v="289243.68"/>
    <n v="0.30661935641747218"/>
    <n v="127906.24000000001"/>
  </r>
  <r>
    <x v="0"/>
    <s v="Denmark"/>
    <x v="2"/>
    <x v="1"/>
    <x v="3"/>
    <s v="9/14/2014"/>
    <d v="2014-09-14T00:00:00"/>
    <n v="14"/>
    <s v="Sep"/>
    <x v="2"/>
    <s v="Sep-2014"/>
    <n v="666921460"/>
    <d v="2014-10-10T00:00:00"/>
    <n v="10"/>
    <s v="Oct"/>
    <n v="2014"/>
    <s v="Oct-2014"/>
    <s v="10/10/2014"/>
    <n v="26"/>
    <n v="5735"/>
    <n v="205.7"/>
    <n v="117.11"/>
    <n v="205.7"/>
    <n v="1179689.5"/>
    <n v="671625.85"/>
    <n v="0.43067574137092857"/>
    <n v="508063.65"/>
  </r>
  <r>
    <x v="0"/>
    <s v="Austria"/>
    <x v="3"/>
    <x v="1"/>
    <x v="2"/>
    <s v="3/12/2014"/>
    <d v="2014-03-12T00:00:00"/>
    <n v="12"/>
    <s v="Mar"/>
    <x v="2"/>
    <s v="Mar-2014"/>
    <n v="861252868"/>
    <d v="2014-03-28T00:00:00"/>
    <n v="28"/>
    <s v="Mar"/>
    <n v="2014"/>
    <s v="Mar-2014"/>
    <s v="3/28/2014"/>
    <n v="16"/>
    <n v="2717"/>
    <n v="651.21"/>
    <n v="524.96"/>
    <n v="651.21"/>
    <n v="1769337.57"/>
    <n v="1426316.32"/>
    <n v="0.19386987300563566"/>
    <n v="343021.25"/>
  </r>
  <r>
    <x v="0"/>
    <s v="Vatican City"/>
    <x v="8"/>
    <x v="1"/>
    <x v="0"/>
    <s v="5/24/2017"/>
    <d v="2017-05-24T00:00:00"/>
    <n v="24"/>
    <s v="May"/>
    <x v="7"/>
    <s v="May-2017"/>
    <n v="126948583"/>
    <d v="2017-07-09T00:00:00"/>
    <n v="9"/>
    <s v="Jul"/>
    <n v="2017"/>
    <s v="Jul-2017"/>
    <s v="7/9/2017"/>
    <n v="46"/>
    <n v="5762"/>
    <n v="255.28"/>
    <n v="159.41999999999999"/>
    <n v="255.28000000000003"/>
    <n v="1470923.36"/>
    <n v="918578.04"/>
    <n v="0.37550924475086173"/>
    <n v="552345.31999999995"/>
  </r>
  <r>
    <x v="0"/>
    <s v="Estonia"/>
    <x v="1"/>
    <x v="0"/>
    <x v="3"/>
    <s v="6/8/2013"/>
    <d v="2013-06-08T00:00:00"/>
    <n v="8"/>
    <s v="Jun"/>
    <x v="1"/>
    <s v="Jun-2013"/>
    <n v="353191840"/>
    <d v="2013-07-09T00:00:00"/>
    <n v="9"/>
    <s v="Jul"/>
    <n v="2013"/>
    <s v="Jul-2013"/>
    <s v="7/9/2013"/>
    <n v="31"/>
    <n v="6169"/>
    <n v="109.28"/>
    <n v="35.840000000000003"/>
    <n v="109.27999999999999"/>
    <n v="674148.32"/>
    <n v="221096.95999999999"/>
    <n v="0.67203513909224011"/>
    <n v="453051.36"/>
  </r>
  <r>
    <x v="0"/>
    <s v="Belgium"/>
    <x v="5"/>
    <x v="1"/>
    <x v="2"/>
    <s v="5/9/2017"/>
    <d v="2017-05-09T00:00:00"/>
    <n v="9"/>
    <s v="May"/>
    <x v="7"/>
    <s v="May-2017"/>
    <n v="259032571"/>
    <d v="2017-05-13T00:00:00"/>
    <n v="13"/>
    <s v="May"/>
    <n v="2017"/>
    <s v="May-2017"/>
    <s v="5/13/2017"/>
    <n v="4"/>
    <n v="2349"/>
    <n v="154.06"/>
    <n v="90.93"/>
    <n v="154.06"/>
    <n v="361886.94"/>
    <n v="213594.57"/>
    <n v="0.40977541217707386"/>
    <n v="148292.37"/>
  </r>
  <r>
    <x v="0"/>
    <s v="Georgia"/>
    <x v="6"/>
    <x v="0"/>
    <x v="2"/>
    <s v="8/3/2014"/>
    <d v="2014-08-03T00:00:00"/>
    <n v="3"/>
    <s v="Aug"/>
    <x v="2"/>
    <s v="Aug-2014"/>
    <n v="517514264"/>
    <d v="2014-09-04T00:00:00"/>
    <n v="4"/>
    <s v="Sep"/>
    <n v="2014"/>
    <s v="Sep-2014"/>
    <s v="9/4/2014"/>
    <n v="32"/>
    <n v="2826"/>
    <n v="421.89"/>
    <n v="364.69"/>
    <n v="421.89"/>
    <n v="1192261.1399999999"/>
    <n v="1030613.94"/>
    <n v="0.13558036455000122"/>
    <n v="161647.20000000001"/>
  </r>
  <r>
    <x v="0"/>
    <s v="United Kingdom"/>
    <x v="10"/>
    <x v="0"/>
    <x v="3"/>
    <s v="3/2/2016"/>
    <d v="2016-03-02T00:00:00"/>
    <n v="2"/>
    <s v="Mar"/>
    <x v="4"/>
    <s v="Mar-2016"/>
    <n v="624940383"/>
    <d v="2016-03-30T00:00:00"/>
    <n v="30"/>
    <s v="Mar"/>
    <n v="2016"/>
    <s v="Mar-2016"/>
    <s v="3/30/2016"/>
    <n v="28"/>
    <n v="2602"/>
    <n v="437.2"/>
    <n v="263.33"/>
    <n v="437.2"/>
    <n v="1137594.3999999999"/>
    <n v="685184.66"/>
    <n v="0.39768984446477584"/>
    <n v="452409.74"/>
  </r>
  <r>
    <x v="0"/>
    <s v="Malta"/>
    <x v="10"/>
    <x v="1"/>
    <x v="0"/>
    <s v="10/21/2011"/>
    <d v="2011-10-21T00:00:00"/>
    <n v="21"/>
    <s v="Oct"/>
    <x v="0"/>
    <s v="Oct-2011"/>
    <n v="567751824"/>
    <d v="2011-11-21T00:00:00"/>
    <n v="21"/>
    <s v="Nov"/>
    <n v="2011"/>
    <s v="Nov-2011"/>
    <s v="11/21/2011"/>
    <n v="31"/>
    <n v="9236"/>
    <n v="437.2"/>
    <n v="263.33"/>
    <n v="437.20000000000005"/>
    <n v="4037979.2"/>
    <n v="2432115.88"/>
    <n v="0.39768984446477584"/>
    <n v="1605863.32"/>
  </r>
  <r>
    <x v="0"/>
    <s v="Spain"/>
    <x v="4"/>
    <x v="0"/>
    <x v="3"/>
    <s v="12/6/2012"/>
    <d v="2012-12-06T00:00:00"/>
    <n v="6"/>
    <s v="Dec"/>
    <x v="5"/>
    <s v="Dec-2012"/>
    <n v="262177836"/>
    <d v="2013-01-16T00:00:00"/>
    <n v="16"/>
    <s v="Jan"/>
    <n v="2013"/>
    <s v="Jan-2013"/>
    <s v="1/16/2013"/>
    <n v="41"/>
    <n v="3103"/>
    <n v="9.33"/>
    <n v="6.92"/>
    <n v="9.33"/>
    <n v="28950.99"/>
    <n v="21472.76"/>
    <n v="0.25830653804930331"/>
    <n v="7478.23"/>
  </r>
  <r>
    <x v="0"/>
    <s v="Croatia"/>
    <x v="9"/>
    <x v="1"/>
    <x v="2"/>
    <s v="5/25/2016"/>
    <d v="2016-05-25T00:00:00"/>
    <n v="25"/>
    <s v="May"/>
    <x v="4"/>
    <s v="May-2016"/>
    <n v="582560193"/>
    <d v="2016-05-28T00:00:00"/>
    <n v="28"/>
    <s v="May"/>
    <n v="2016"/>
    <s v="May-2016"/>
    <s v="5/28/2016"/>
    <n v="3"/>
    <n v="1362"/>
    <n v="668.27"/>
    <n v="502.54"/>
    <n v="668.27"/>
    <n v="910183.74"/>
    <n v="684459.48"/>
    <n v="0.24799856345489099"/>
    <n v="225724.26"/>
  </r>
  <r>
    <x v="0"/>
    <s v="Kosovo"/>
    <x v="5"/>
    <x v="1"/>
    <x v="3"/>
    <s v="7/1/2014"/>
    <d v="2014-07-01T00:00:00"/>
    <n v="1"/>
    <s v="Jul"/>
    <x v="2"/>
    <s v="Jul-2014"/>
    <n v="139949357"/>
    <d v="2014-07-14T00:00:00"/>
    <n v="14"/>
    <s v="Jul"/>
    <n v="2014"/>
    <s v="Jul-2014"/>
    <s v="7/14/2014"/>
    <n v="13"/>
    <n v="2980"/>
    <n v="154.06"/>
    <n v="90.93"/>
    <n v="154.06"/>
    <n v="459098.8"/>
    <n v="270971.40000000002"/>
    <n v="0.40977541217707386"/>
    <n v="188127.4"/>
  </r>
  <r>
    <x v="0"/>
    <s v="Albania"/>
    <x v="1"/>
    <x v="0"/>
    <x v="3"/>
    <s v="3/9/2015"/>
    <d v="2015-03-09T00:00:00"/>
    <n v="9"/>
    <s v="Mar"/>
    <x v="6"/>
    <s v="Mar-2015"/>
    <n v="470503079"/>
    <d v="2015-03-21T00:00:00"/>
    <n v="21"/>
    <s v="Mar"/>
    <n v="2015"/>
    <s v="Mar-2015"/>
    <s v="3/21/2015"/>
    <n v="12"/>
    <n v="1172"/>
    <n v="109.28"/>
    <n v="35.840000000000003"/>
    <n v="109.28"/>
    <n v="128076.16"/>
    <n v="42004.480000000003"/>
    <n v="0.67203513909224"/>
    <n v="86071.679999999993"/>
  </r>
  <r>
    <x v="0"/>
    <s v="Austria"/>
    <x v="0"/>
    <x v="0"/>
    <x v="0"/>
    <s v="5/10/2015"/>
    <d v="2015-05-10T00:00:00"/>
    <n v="10"/>
    <s v="May"/>
    <x v="6"/>
    <s v="May-2015"/>
    <n v="413951814"/>
    <d v="2015-05-31T00:00:00"/>
    <n v="31"/>
    <s v="May"/>
    <n v="2015"/>
    <s v="May-2015"/>
    <s v="5/31/2015"/>
    <n v="21"/>
    <n v="6395"/>
    <n v="47.45"/>
    <n v="31.79"/>
    <n v="47.45"/>
    <n v="303442.75"/>
    <n v="203297.05"/>
    <n v="0.33003161222339306"/>
    <n v="100145.7"/>
  </r>
  <r>
    <x v="0"/>
    <s v="Germany"/>
    <x v="3"/>
    <x v="0"/>
    <x v="2"/>
    <s v="8/19/2010"/>
    <d v="2010-08-19T00:00:00"/>
    <n v="19"/>
    <s v="Aug"/>
    <x v="3"/>
    <s v="Aug-2010"/>
    <n v="433734500"/>
    <d v="2010-09-08T00:00:00"/>
    <n v="8"/>
    <s v="Sep"/>
    <n v="2010"/>
    <s v="Sep-2010"/>
    <s v="9/8/2010"/>
    <n v="20"/>
    <n v="532"/>
    <n v="651.21"/>
    <n v="524.96"/>
    <n v="651.20999999999992"/>
    <n v="346443.72"/>
    <n v="279278.71999999997"/>
    <n v="0.19386987300563568"/>
    <n v="67165"/>
  </r>
  <r>
    <x v="0"/>
    <s v="Ukraine"/>
    <x v="3"/>
    <x v="1"/>
    <x v="0"/>
    <s v="11/14/2012"/>
    <d v="2012-11-14T00:00:00"/>
    <n v="14"/>
    <s v="Nov"/>
    <x v="5"/>
    <s v="Nov-2012"/>
    <n v="624348151"/>
    <d v="2012-12-08T00:00:00"/>
    <n v="8"/>
    <s v="Dec"/>
    <n v="2012"/>
    <s v="Dec-2012"/>
    <s v="12/8/2012"/>
    <n v="24"/>
    <n v="7347"/>
    <n v="651.21"/>
    <n v="524.96"/>
    <n v="651.21"/>
    <n v="4784439.87"/>
    <n v="3856881.12"/>
    <n v="0.19386987300563566"/>
    <n v="927558.75"/>
  </r>
  <r>
    <x v="0"/>
    <s v="Poland"/>
    <x v="1"/>
    <x v="0"/>
    <x v="1"/>
    <s v="3/12/2012"/>
    <d v="2012-03-12T00:00:00"/>
    <n v="12"/>
    <s v="Mar"/>
    <x v="5"/>
    <s v="Mar-2012"/>
    <n v="109914195"/>
    <d v="2012-04-16T00:00:00"/>
    <n v="16"/>
    <s v="Apr"/>
    <n v="2012"/>
    <s v="Apr-2012"/>
    <s v="4/16/2012"/>
    <n v="35"/>
    <n v="4908"/>
    <n v="109.28"/>
    <n v="35.840000000000003"/>
    <n v="109.28"/>
    <n v="536346.24"/>
    <n v="175902.72"/>
    <n v="0.67203513909224011"/>
    <n v="360443.52"/>
  </r>
  <r>
    <x v="0"/>
    <s v="Georgia"/>
    <x v="7"/>
    <x v="1"/>
    <x v="0"/>
    <s v="5/31/2010"/>
    <d v="2010-05-31T00:00:00"/>
    <n v="31"/>
    <s v="May"/>
    <x v="3"/>
    <s v="May-2010"/>
    <n v="947073256"/>
    <d v="2010-06-12T00:00:00"/>
    <n v="12"/>
    <s v="Jun"/>
    <n v="2010"/>
    <s v="Jun-2010"/>
    <s v="6/12/2010"/>
    <n v="12"/>
    <n v="8878"/>
    <n v="152.58000000000001"/>
    <n v="97.44"/>
    <n v="152.58000000000001"/>
    <n v="1354605.24"/>
    <n v="865072.32"/>
    <n v="0.36138419189933146"/>
    <n v="489532.92"/>
  </r>
  <r>
    <x v="0"/>
    <s v="Bosnia and Herzegovina"/>
    <x v="11"/>
    <x v="1"/>
    <x v="2"/>
    <s v="7/24/2014"/>
    <d v="2014-07-24T00:00:00"/>
    <n v="24"/>
    <s v="Jul"/>
    <x v="2"/>
    <s v="Jul-2014"/>
    <n v="409514796"/>
    <d v="2014-09-07T00:00:00"/>
    <n v="7"/>
    <s v="Sep"/>
    <n v="2014"/>
    <s v="Sep-2014"/>
    <s v="9/7/2014"/>
    <n v="45"/>
    <n v="3383"/>
    <n v="81.73"/>
    <n v="56.67"/>
    <n v="81.73"/>
    <n v="276492.59000000003"/>
    <n v="191714.61"/>
    <n v="0.30661935641747212"/>
    <n v="84777.98"/>
  </r>
  <r>
    <x v="0"/>
    <s v="Latvia"/>
    <x v="3"/>
    <x v="1"/>
    <x v="2"/>
    <s v="5/31/2010"/>
    <d v="2010-05-31T00:00:00"/>
    <n v="31"/>
    <s v="May"/>
    <x v="3"/>
    <s v="May-2010"/>
    <n v="182228696"/>
    <d v="2010-07-12T00:00:00"/>
    <n v="12"/>
    <s v="Jul"/>
    <n v="2010"/>
    <s v="Jul-2010"/>
    <s v="7/12/2010"/>
    <n v="42"/>
    <n v="4375"/>
    <n v="651.21"/>
    <n v="524.96"/>
    <n v="651.21"/>
    <n v="2849043.75"/>
    <n v="2296700"/>
    <n v="0.19386987300563566"/>
    <n v="552343.75"/>
  </r>
  <r>
    <x v="0"/>
    <s v="Bosnia and Herzegovina"/>
    <x v="9"/>
    <x v="1"/>
    <x v="0"/>
    <s v="2/13/2013"/>
    <d v="2013-02-13T00:00:00"/>
    <n v="13"/>
    <s v="Feb"/>
    <x v="1"/>
    <s v="Feb-2013"/>
    <n v="723893725"/>
    <d v="2013-03-11T00:00:00"/>
    <n v="11"/>
    <s v="Mar"/>
    <n v="2013"/>
    <s v="Mar-2013"/>
    <s v="3/11/2013"/>
    <n v="26"/>
    <n v="5095"/>
    <n v="668.27"/>
    <n v="502.54"/>
    <n v="668.27"/>
    <n v="3404835.65"/>
    <n v="2560441.2999999998"/>
    <n v="0.24799856345489099"/>
    <n v="844394.35"/>
  </r>
  <r>
    <x v="0"/>
    <s v="Norway"/>
    <x v="7"/>
    <x v="0"/>
    <x v="2"/>
    <s v="3/12/2016"/>
    <d v="2016-03-12T00:00:00"/>
    <n v="12"/>
    <s v="Mar"/>
    <x v="4"/>
    <s v="Mar-2016"/>
    <n v="392217338"/>
    <d v="2016-03-15T00:00:00"/>
    <n v="15"/>
    <s v="Mar"/>
    <n v="2016"/>
    <s v="Mar-2016"/>
    <s v="3/15/2016"/>
    <n v="3"/>
    <n v="4681"/>
    <n v="152.58000000000001"/>
    <n v="97.44"/>
    <n v="152.57999999999998"/>
    <n v="714226.98"/>
    <n v="456116.64"/>
    <n v="0.36138419189933152"/>
    <n v="258110.34"/>
  </r>
  <r>
    <x v="0"/>
    <s v="Romania"/>
    <x v="8"/>
    <x v="0"/>
    <x v="0"/>
    <s v="2/19/2015"/>
    <d v="2015-02-19T00:00:00"/>
    <n v="19"/>
    <s v="Feb"/>
    <x v="6"/>
    <s v="Feb-2015"/>
    <n v="108407437"/>
    <d v="2015-03-27T00:00:00"/>
    <n v="27"/>
    <s v="Mar"/>
    <n v="2015"/>
    <s v="Mar-2015"/>
    <s v="3/27/2015"/>
    <n v="36"/>
    <n v="9025"/>
    <n v="255.28"/>
    <n v="159.41999999999999"/>
    <n v="255.28"/>
    <n v="2303902"/>
    <n v="1438765.5"/>
    <n v="0.37550924475086178"/>
    <n v="865136.5"/>
  </r>
  <r>
    <x v="0"/>
    <s v="Iceland"/>
    <x v="7"/>
    <x v="0"/>
    <x v="2"/>
    <s v="12/20/2016"/>
    <d v="2016-12-20T00:00:00"/>
    <n v="20"/>
    <s v="Dec"/>
    <x v="4"/>
    <s v="Dec-2016"/>
    <n v="358594453"/>
    <d v="2017-02-02T00:00:00"/>
    <n v="2"/>
    <s v="Feb"/>
    <n v="2017"/>
    <s v="Feb-2017"/>
    <s v="2/2/2017"/>
    <n v="44"/>
    <n v="4922"/>
    <n v="152.58000000000001"/>
    <n v="97.44"/>
    <n v="152.58000000000001"/>
    <n v="750998.76"/>
    <n v="479599.68"/>
    <n v="0.36138419189933152"/>
    <n v="271399.08"/>
  </r>
  <r>
    <x v="0"/>
    <s v="Denmark"/>
    <x v="7"/>
    <x v="0"/>
    <x v="0"/>
    <s v="6/3/2013"/>
    <d v="2013-06-03T00:00:00"/>
    <n v="3"/>
    <s v="Jun"/>
    <x v="1"/>
    <s v="Jun-2013"/>
    <n v="784397923"/>
    <d v="2013-06-15T00:00:00"/>
    <n v="15"/>
    <s v="Jun"/>
    <n v="2013"/>
    <s v="Jun-2013"/>
    <s v="6/15/2013"/>
    <n v="12"/>
    <n v="9631"/>
    <n v="152.58000000000001"/>
    <n v="97.44"/>
    <n v="152.57999999999998"/>
    <n v="1469497.98"/>
    <n v="938444.64"/>
    <n v="0.36138419189933146"/>
    <n v="531053.34"/>
  </r>
  <r>
    <x v="0"/>
    <s v="Cyprus"/>
    <x v="6"/>
    <x v="0"/>
    <x v="1"/>
    <s v="6/9/2017"/>
    <d v="2017-06-09T00:00:00"/>
    <n v="9"/>
    <s v="Jun"/>
    <x v="7"/>
    <s v="Jun-2017"/>
    <n v="111246287"/>
    <d v="2017-07-02T00:00:00"/>
    <n v="2"/>
    <s v="Jul"/>
    <n v="2017"/>
    <s v="Jul-2017"/>
    <s v="7/2/2017"/>
    <n v="23"/>
    <n v="9103"/>
    <n v="421.89"/>
    <n v="364.69"/>
    <n v="421.89"/>
    <n v="3840464.67"/>
    <n v="3319773.07"/>
    <n v="0.13558036455000119"/>
    <n v="520691.6"/>
  </r>
  <r>
    <x v="0"/>
    <s v="Poland"/>
    <x v="5"/>
    <x v="1"/>
    <x v="2"/>
    <s v="2/19/2016"/>
    <d v="2016-02-19T00:00:00"/>
    <n v="19"/>
    <s v="Feb"/>
    <x v="4"/>
    <s v="Feb-2016"/>
    <n v="777018630"/>
    <d v="2016-03-19T00:00:00"/>
    <n v="19"/>
    <s v="Mar"/>
    <n v="2016"/>
    <s v="Mar-2016"/>
    <s v="3/19/2016"/>
    <n v="29"/>
    <n v="5935"/>
    <n v="154.06"/>
    <n v="90.93"/>
    <n v="154.06"/>
    <n v="914346.1"/>
    <n v="539669.55000000005"/>
    <n v="0.40977541217707386"/>
    <n v="374676.55"/>
  </r>
  <r>
    <x v="0"/>
    <s v="Moldova "/>
    <x v="1"/>
    <x v="0"/>
    <x v="3"/>
    <s v="9/1/2013"/>
    <d v="2013-09-01T00:00:00"/>
    <n v="1"/>
    <s v="Sep"/>
    <x v="1"/>
    <s v="Sep-2013"/>
    <n v="601588857"/>
    <d v="2013-09-10T00:00:00"/>
    <n v="10"/>
    <s v="Sep"/>
    <n v="2013"/>
    <s v="Sep-2013"/>
    <s v="9/10/2013"/>
    <n v="9"/>
    <n v="2366"/>
    <n v="109.28"/>
    <n v="35.840000000000003"/>
    <n v="109.28"/>
    <n v="258556.48"/>
    <n v="84797.440000000002"/>
    <n v="0.67203513909224011"/>
    <n v="173759.04"/>
  </r>
  <r>
    <x v="0"/>
    <s v="Russia"/>
    <x v="5"/>
    <x v="0"/>
    <x v="2"/>
    <s v="3/17/2014"/>
    <d v="2014-03-17T00:00:00"/>
    <n v="17"/>
    <s v="Mar"/>
    <x v="2"/>
    <s v="Mar-2014"/>
    <n v="249039304"/>
    <d v="2014-05-01T00:00:00"/>
    <n v="1"/>
    <s v="May"/>
    <n v="2014"/>
    <s v="May-2014"/>
    <s v="5/1/2014"/>
    <n v="45"/>
    <n v="5119"/>
    <n v="154.06"/>
    <n v="90.93"/>
    <n v="154.06"/>
    <n v="788633.14"/>
    <n v="465470.67"/>
    <n v="0.40977541217707381"/>
    <n v="323162.46999999997"/>
  </r>
  <r>
    <x v="0"/>
    <s v="Denmark"/>
    <x v="2"/>
    <x v="1"/>
    <x v="0"/>
    <s v="11/30/2015"/>
    <d v="2015-11-30T00:00:00"/>
    <n v="30"/>
    <s v="Nov"/>
    <x v="6"/>
    <s v="Nov-2015"/>
    <n v="905947482"/>
    <d v="2016-01-18T00:00:00"/>
    <n v="18"/>
    <s v="Jan"/>
    <n v="2016"/>
    <s v="Jan-2016"/>
    <s v="1/18/2016"/>
    <n v="49"/>
    <n v="8847"/>
    <n v="205.7"/>
    <n v="117.11"/>
    <n v="205.7"/>
    <n v="1819827.9"/>
    <n v="1036072.17"/>
    <n v="0.43067574137092857"/>
    <n v="783755.73"/>
  </r>
  <r>
    <x v="0"/>
    <s v="Italy"/>
    <x v="5"/>
    <x v="1"/>
    <x v="3"/>
    <s v="7/22/2011"/>
    <d v="2011-07-22T00:00:00"/>
    <n v="22"/>
    <s v="Jul"/>
    <x v="0"/>
    <s v="Jul-2011"/>
    <n v="359893071"/>
    <d v="2011-08-06T00:00:00"/>
    <n v="6"/>
    <s v="Aug"/>
    <n v="2011"/>
    <s v="Aug-2011"/>
    <s v="8/6/2011"/>
    <n v="15"/>
    <n v="9212"/>
    <n v="154.06"/>
    <n v="90.93"/>
    <n v="154.06"/>
    <n v="1419200.72"/>
    <n v="837647.16"/>
    <n v="0.40977541217707392"/>
    <n v="581553.56000000006"/>
  </r>
  <r>
    <x v="0"/>
    <s v="Poland"/>
    <x v="10"/>
    <x v="0"/>
    <x v="1"/>
    <s v="7/20/2016"/>
    <d v="2016-07-20T00:00:00"/>
    <n v="20"/>
    <s v="Jul"/>
    <x v="4"/>
    <s v="Jul-2016"/>
    <n v="284310567"/>
    <d v="2016-09-02T00:00:00"/>
    <n v="2"/>
    <s v="Sep"/>
    <n v="2016"/>
    <s v="Sep-2016"/>
    <s v="9/2/2016"/>
    <n v="44"/>
    <n v="2670"/>
    <n v="437.2"/>
    <n v="263.33"/>
    <n v="437.2"/>
    <n v="1167324"/>
    <n v="703091.1"/>
    <n v="0.39768984446477584"/>
    <n v="464232.9"/>
  </r>
  <r>
    <x v="0"/>
    <s v="Bosnia and Herzegovina"/>
    <x v="5"/>
    <x v="0"/>
    <x v="1"/>
    <s v="2/6/2012"/>
    <d v="2012-02-06T00:00:00"/>
    <n v="6"/>
    <s v="Feb"/>
    <x v="5"/>
    <s v="Feb-2012"/>
    <n v="942372310"/>
    <d v="2012-02-19T00:00:00"/>
    <n v="19"/>
    <s v="Feb"/>
    <n v="2012"/>
    <s v="Feb-2012"/>
    <s v="2/19/2012"/>
    <n v="13"/>
    <n v="7763"/>
    <n v="154.06"/>
    <n v="90.93"/>
    <n v="154.06"/>
    <n v="1195967.78"/>
    <n v="705889.59"/>
    <n v="0.40977541217707386"/>
    <n v="490078.19"/>
  </r>
  <r>
    <x v="0"/>
    <s v="Macedonia"/>
    <x v="6"/>
    <x v="1"/>
    <x v="0"/>
    <s v="3/16/2015"/>
    <d v="2015-03-16T00:00:00"/>
    <n v="16"/>
    <s v="Mar"/>
    <x v="6"/>
    <s v="Mar-2015"/>
    <n v="604124295"/>
    <d v="2015-04-02T00:00:00"/>
    <n v="2"/>
    <s v="Apr"/>
    <n v="2015"/>
    <s v="Apr-2015"/>
    <s v="4/2/2015"/>
    <n v="17"/>
    <n v="2659"/>
    <n v="421.89"/>
    <n v="364.69"/>
    <n v="421.89"/>
    <n v="1121805.51"/>
    <n v="969710.71"/>
    <n v="0.13558036455000116"/>
    <n v="152094.79999999999"/>
  </r>
  <r>
    <x v="0"/>
    <s v="Kosovo"/>
    <x v="4"/>
    <x v="1"/>
    <x v="0"/>
    <s v="3/7/2015"/>
    <d v="2015-03-07T00:00:00"/>
    <n v="7"/>
    <s v="Mar"/>
    <x v="6"/>
    <s v="Mar-2015"/>
    <n v="720229613"/>
    <d v="2015-03-11T00:00:00"/>
    <n v="11"/>
    <s v="Mar"/>
    <n v="2015"/>
    <s v="Mar-2015"/>
    <s v="3/11/2015"/>
    <n v="4"/>
    <n v="803"/>
    <n v="9.33"/>
    <n v="6.92"/>
    <n v="9.33"/>
    <n v="7491.99"/>
    <n v="5556.76"/>
    <n v="0.25830653804930331"/>
    <n v="1935.23"/>
  </r>
  <r>
    <x v="0"/>
    <s v="Austria"/>
    <x v="11"/>
    <x v="1"/>
    <x v="1"/>
    <s v="7/31/2014"/>
    <d v="2014-07-31T00:00:00"/>
    <n v="31"/>
    <s v="Jul"/>
    <x v="2"/>
    <s v="Jul-2014"/>
    <n v="967258059"/>
    <d v="2014-08-08T00:00:00"/>
    <n v="8"/>
    <s v="Aug"/>
    <n v="2014"/>
    <s v="Aug-2014"/>
    <s v="8/8/2014"/>
    <n v="8"/>
    <n v="2009"/>
    <n v="81.73"/>
    <n v="56.67"/>
    <n v="81.73"/>
    <n v="164195.57"/>
    <n v="113850.03"/>
    <n v="0.30661935641747218"/>
    <n v="50345.54"/>
  </r>
  <r>
    <x v="0"/>
    <s v="Poland"/>
    <x v="2"/>
    <x v="0"/>
    <x v="1"/>
    <s v="6/10/2011"/>
    <d v="2011-06-10T00:00:00"/>
    <n v="10"/>
    <s v="Jun"/>
    <x v="0"/>
    <s v="Jun-2011"/>
    <n v="520390880"/>
    <d v="2011-07-24T00:00:00"/>
    <n v="24"/>
    <s v="Jul"/>
    <n v="2011"/>
    <s v="Jul-2011"/>
    <s v="7/24/2011"/>
    <n v="44"/>
    <n v="4080"/>
    <n v="205.7"/>
    <n v="117.11"/>
    <n v="205.7"/>
    <n v="839256"/>
    <n v="477808.8"/>
    <n v="0.43067574137092857"/>
    <n v="361447.2"/>
  </r>
  <r>
    <x v="0"/>
    <s v="Bosnia and Herzegovina"/>
    <x v="4"/>
    <x v="0"/>
    <x v="2"/>
    <s v="10/15/2016"/>
    <d v="2016-10-15T00:00:00"/>
    <n v="15"/>
    <s v="Oct"/>
    <x v="4"/>
    <s v="Oct-2016"/>
    <n v="623821580"/>
    <d v="2016-10-31T00:00:00"/>
    <n v="31"/>
    <s v="Oct"/>
    <n v="2016"/>
    <s v="Oct-2016"/>
    <s v="10/31/2016"/>
    <n v="16"/>
    <n v="1523"/>
    <n v="9.33"/>
    <n v="6.92"/>
    <n v="9.33"/>
    <n v="14209.59"/>
    <n v="10539.16"/>
    <n v="0.25830653804930331"/>
    <n v="3670.43"/>
  </r>
  <r>
    <x v="0"/>
    <s v="Bulgaria"/>
    <x v="6"/>
    <x v="1"/>
    <x v="0"/>
    <s v="7/20/2010"/>
    <d v="2010-07-20T00:00:00"/>
    <n v="20"/>
    <s v="Jul"/>
    <x v="3"/>
    <s v="Jul-2010"/>
    <n v="273662412"/>
    <d v="2010-07-23T00:00:00"/>
    <n v="23"/>
    <s v="Jul"/>
    <n v="2010"/>
    <s v="Jul-2010"/>
    <s v="7/23/2010"/>
    <n v="3"/>
    <n v="1644"/>
    <n v="421.89"/>
    <n v="364.69"/>
    <n v="421.89000000000004"/>
    <n v="693587.16"/>
    <n v="599550.36"/>
    <n v="0.13558036455000119"/>
    <n v="94036.800000000003"/>
  </r>
  <r>
    <x v="0"/>
    <s v="Kosovo"/>
    <x v="5"/>
    <x v="0"/>
    <x v="1"/>
    <s v="3/8/2017"/>
    <d v="2017-03-08T00:00:00"/>
    <n v="8"/>
    <s v="Mar"/>
    <x v="7"/>
    <s v="Mar-2017"/>
    <n v="941061675"/>
    <d v="2017-03-20T00:00:00"/>
    <n v="20"/>
    <s v="Mar"/>
    <n v="2017"/>
    <s v="Mar-2017"/>
    <s v="3/20/2017"/>
    <n v="12"/>
    <n v="9917"/>
    <n v="154.06"/>
    <n v="90.93"/>
    <n v="154.06"/>
    <n v="1527813.02"/>
    <n v="901752.81"/>
    <n v="0.40977541217707386"/>
    <n v="626060.21"/>
  </r>
  <r>
    <x v="0"/>
    <s v="Moldova "/>
    <x v="6"/>
    <x v="1"/>
    <x v="1"/>
    <s v="12/7/2013"/>
    <d v="2013-12-07T00:00:00"/>
    <n v="7"/>
    <s v="Dec"/>
    <x v="1"/>
    <s v="Dec-2013"/>
    <n v="421456849"/>
    <d v="2013-12-10T00:00:00"/>
    <n v="10"/>
    <s v="Dec"/>
    <n v="2013"/>
    <s v="Dec-2013"/>
    <s v="12/10/2013"/>
    <n v="3"/>
    <n v="7302"/>
    <n v="421.89"/>
    <n v="364.69"/>
    <n v="421.89"/>
    <n v="3080640.78"/>
    <n v="2662966.38"/>
    <n v="0.13558036455000119"/>
    <n v="417674.4"/>
  </r>
  <r>
    <x v="0"/>
    <s v="Andorra"/>
    <x v="10"/>
    <x v="1"/>
    <x v="3"/>
    <s v="4/10/2012"/>
    <d v="2012-04-10T00:00:00"/>
    <n v="10"/>
    <s v="Apr"/>
    <x v="5"/>
    <s v="Apr-2012"/>
    <n v="291160714"/>
    <d v="2012-05-26T00:00:00"/>
    <n v="26"/>
    <s v="May"/>
    <n v="2012"/>
    <s v="May-2012"/>
    <s v="5/26/2012"/>
    <n v="46"/>
    <n v="9780"/>
    <n v="437.2"/>
    <n v="263.33"/>
    <n v="437.2"/>
    <n v="4275816"/>
    <n v="2575367.4"/>
    <n v="0.39768984446477584"/>
    <n v="1700448.6"/>
  </r>
  <r>
    <x v="0"/>
    <s v="Georgia"/>
    <x v="4"/>
    <x v="0"/>
    <x v="1"/>
    <s v="1/21/2014"/>
    <d v="2014-01-21T00:00:00"/>
    <n v="21"/>
    <s v="Jan"/>
    <x v="2"/>
    <s v="Jan-2014"/>
    <n v="724085128"/>
    <d v="2014-02-10T00:00:00"/>
    <n v="10"/>
    <s v="Feb"/>
    <n v="2014"/>
    <s v="Feb-2014"/>
    <s v="2/10/2014"/>
    <n v="20"/>
    <n v="1735"/>
    <n v="9.33"/>
    <n v="6.92"/>
    <n v="9.33"/>
    <n v="16187.55"/>
    <n v="12006.2"/>
    <n v="0.25830653804930337"/>
    <n v="4181.3500000000004"/>
  </r>
  <r>
    <x v="0"/>
    <s v="Luxembourg"/>
    <x v="5"/>
    <x v="1"/>
    <x v="1"/>
    <s v="9/30/2014"/>
    <d v="2014-09-30T00:00:00"/>
    <n v="30"/>
    <s v="Sep"/>
    <x v="2"/>
    <s v="Sep-2014"/>
    <n v="742569196"/>
    <d v="2014-11-17T00:00:00"/>
    <n v="17"/>
    <s v="Nov"/>
    <n v="2014"/>
    <s v="Nov-2014"/>
    <s v="11/17/2014"/>
    <n v="48"/>
    <n v="1581"/>
    <n v="154.06"/>
    <n v="90.93"/>
    <n v="154.06"/>
    <n v="243568.86"/>
    <n v="143760.32999999999"/>
    <n v="0.40977541217707386"/>
    <n v="99808.53"/>
  </r>
  <r>
    <x v="0"/>
    <s v="Poland"/>
    <x v="9"/>
    <x v="1"/>
    <x v="1"/>
    <s v="7/29/2016"/>
    <d v="2016-07-29T00:00:00"/>
    <n v="29"/>
    <s v="Jul"/>
    <x v="4"/>
    <s v="Jul-2016"/>
    <n v="760346877"/>
    <d v="2016-08-06T00:00:00"/>
    <n v="6"/>
    <s v="Aug"/>
    <n v="2016"/>
    <s v="Aug-2016"/>
    <s v="8/6/2016"/>
    <n v="8"/>
    <n v="2392"/>
    <n v="668.27"/>
    <n v="502.54"/>
    <n v="668.27"/>
    <n v="1598501.84"/>
    <n v="1202075.68"/>
    <n v="0.24799856345489096"/>
    <n v="396426.16"/>
  </r>
  <r>
    <x v="0"/>
    <s v="Moldova "/>
    <x v="10"/>
    <x v="1"/>
    <x v="1"/>
    <s v="11/5/2015"/>
    <d v="2015-11-05T00:00:00"/>
    <n v="5"/>
    <s v="Nov"/>
    <x v="6"/>
    <s v="Nov-2015"/>
    <n v="260630738"/>
    <d v="2015-12-19T00:00:00"/>
    <n v="19"/>
    <s v="Dec"/>
    <n v="2015"/>
    <s v="Dec-2015"/>
    <s v="12/19/2015"/>
    <n v="44"/>
    <n v="5282"/>
    <n v="437.2"/>
    <n v="263.33"/>
    <n v="437.2"/>
    <n v="2309290.4"/>
    <n v="1390909.06"/>
    <n v="0.39768984446477584"/>
    <n v="918381.34"/>
  </r>
  <r>
    <x v="0"/>
    <s v="Spain"/>
    <x v="6"/>
    <x v="1"/>
    <x v="3"/>
    <s v="4/2/2013"/>
    <d v="2013-04-02T00:00:00"/>
    <n v="2"/>
    <s v="Apr"/>
    <x v="1"/>
    <s v="Apr-2013"/>
    <n v="462561166"/>
    <d v="2013-05-02T00:00:00"/>
    <n v="2"/>
    <s v="May"/>
    <n v="2013"/>
    <s v="May-2013"/>
    <s v="5/2/2013"/>
    <n v="30"/>
    <n v="983"/>
    <n v="421.89"/>
    <n v="364.69"/>
    <n v="421.89"/>
    <n v="414717.87"/>
    <n v="358490.27"/>
    <n v="0.13558036455000119"/>
    <n v="56227.6"/>
  </r>
  <r>
    <x v="0"/>
    <s v="Netherlands"/>
    <x v="11"/>
    <x v="0"/>
    <x v="3"/>
    <s v="10/2/2014"/>
    <d v="2014-10-02T00:00:00"/>
    <n v="2"/>
    <s v="Oct"/>
    <x v="2"/>
    <s v="Oct-2014"/>
    <n v="353475940"/>
    <d v="2014-10-04T00:00:00"/>
    <n v="4"/>
    <s v="Oct"/>
    <n v="2014"/>
    <s v="Oct-2014"/>
    <s v="10/4/2014"/>
    <n v="2"/>
    <n v="240"/>
    <n v="81.73"/>
    <n v="56.67"/>
    <n v="81.73"/>
    <n v="19615.2"/>
    <n v="13600.8"/>
    <n v="0.30661935641747212"/>
    <n v="6014.4"/>
  </r>
  <r>
    <x v="0"/>
    <s v="Armenia"/>
    <x v="0"/>
    <x v="1"/>
    <x v="3"/>
    <s v="6/5/2011"/>
    <d v="2011-06-05T00:00:00"/>
    <n v="5"/>
    <s v="Jun"/>
    <x v="0"/>
    <s v="Jun-2011"/>
    <n v="432031619"/>
    <d v="2011-06-29T00:00:00"/>
    <n v="29"/>
    <s v="Jun"/>
    <n v="2011"/>
    <s v="Jun-2011"/>
    <s v="6/29/2011"/>
    <n v="24"/>
    <n v="6612"/>
    <n v="47.45"/>
    <n v="31.79"/>
    <n v="47.45"/>
    <n v="313739.40000000002"/>
    <n v="210195.48"/>
    <n v="0.330031612223393"/>
    <n v="103543.92"/>
  </r>
  <r>
    <x v="0"/>
    <s v="Armenia"/>
    <x v="9"/>
    <x v="1"/>
    <x v="2"/>
    <s v="2/19/2012"/>
    <d v="2012-02-19T00:00:00"/>
    <n v="19"/>
    <s v="Feb"/>
    <x v="5"/>
    <s v="Feb-2012"/>
    <n v="104165685"/>
    <d v="2012-03-06T00:00:00"/>
    <n v="6"/>
    <s v="Mar"/>
    <n v="2012"/>
    <s v="Mar-2012"/>
    <s v="3/6/2012"/>
    <n v="16"/>
    <n v="3796"/>
    <n v="668.27"/>
    <n v="502.54"/>
    <n v="668.27"/>
    <n v="2536752.92"/>
    <n v="1907641.84"/>
    <n v="0.24799856345489099"/>
    <n v="629111.07999999996"/>
  </r>
  <r>
    <x v="0"/>
    <s v="Ukraine"/>
    <x v="11"/>
    <x v="1"/>
    <x v="1"/>
    <s v="2/26/2011"/>
    <d v="2011-02-26T00:00:00"/>
    <n v="26"/>
    <s v="Feb"/>
    <x v="0"/>
    <s v="Feb-2011"/>
    <n v="762117564"/>
    <d v="2011-03-28T00:00:00"/>
    <n v="28"/>
    <s v="Mar"/>
    <n v="2011"/>
    <s v="Mar-2011"/>
    <s v="3/28/2011"/>
    <n v="30"/>
    <n v="6378"/>
    <n v="81.73"/>
    <n v="56.67"/>
    <n v="81.73"/>
    <n v="521273.94"/>
    <n v="361441.26"/>
    <n v="0.30661935641747212"/>
    <n v="159832.68"/>
  </r>
  <r>
    <x v="0"/>
    <s v="Finland"/>
    <x v="7"/>
    <x v="0"/>
    <x v="3"/>
    <s v="3/10/2013"/>
    <d v="2013-03-10T00:00:00"/>
    <n v="10"/>
    <s v="Mar"/>
    <x v="1"/>
    <s v="Mar-2013"/>
    <n v="918364179"/>
    <d v="2013-04-11T00:00:00"/>
    <n v="11"/>
    <s v="Apr"/>
    <n v="2013"/>
    <s v="Apr-2013"/>
    <s v="4/11/2013"/>
    <n v="32"/>
    <n v="3223"/>
    <n v="152.58000000000001"/>
    <n v="97.44"/>
    <n v="152.58000000000001"/>
    <n v="491765.34"/>
    <n v="314049.12"/>
    <n v="0.36138419189933146"/>
    <n v="177716.22"/>
  </r>
  <r>
    <x v="0"/>
    <s v="Georgia"/>
    <x v="6"/>
    <x v="1"/>
    <x v="1"/>
    <s v="4/18/2011"/>
    <d v="2011-04-18T00:00:00"/>
    <n v="18"/>
    <s v="Apr"/>
    <x v="0"/>
    <s v="Apr-2011"/>
    <n v="913729751"/>
    <d v="2011-05-09T00:00:00"/>
    <n v="9"/>
    <s v="May"/>
    <n v="2011"/>
    <s v="May-2011"/>
    <s v="5/9/2011"/>
    <n v="21"/>
    <n v="1793"/>
    <n v="421.89"/>
    <n v="364.69"/>
    <n v="421.89"/>
    <n v="756448.77"/>
    <n v="653889.17000000004"/>
    <n v="0.13558036455000119"/>
    <n v="102559.6"/>
  </r>
  <r>
    <x v="0"/>
    <s v="Armenia"/>
    <x v="7"/>
    <x v="1"/>
    <x v="3"/>
    <s v="2/28/2011"/>
    <d v="2011-02-28T00:00:00"/>
    <n v="28"/>
    <s v="Feb"/>
    <x v="0"/>
    <s v="Feb-2011"/>
    <n v="196346127"/>
    <d v="2011-04-12T00:00:00"/>
    <n v="12"/>
    <s v="Apr"/>
    <n v="2011"/>
    <s v="Apr-2011"/>
    <s v="4/12/2011"/>
    <n v="43"/>
    <n v="2037"/>
    <n v="152.58000000000001"/>
    <n v="97.44"/>
    <n v="152.58000000000001"/>
    <n v="310805.46000000002"/>
    <n v="198485.28"/>
    <n v="0.36138419189933146"/>
    <n v="112320.18"/>
  </r>
  <r>
    <x v="0"/>
    <s v="Cyprus"/>
    <x v="11"/>
    <x v="1"/>
    <x v="1"/>
    <s v="12/21/2014"/>
    <d v="2014-12-21T00:00:00"/>
    <n v="21"/>
    <s v="Dec"/>
    <x v="2"/>
    <s v="Dec-2014"/>
    <n v="553107821"/>
    <d v="2015-01-13T00:00:00"/>
    <n v="13"/>
    <s v="Jan"/>
    <n v="2015"/>
    <s v="Jan-2015"/>
    <s v="1/13/2015"/>
    <n v="23"/>
    <n v="5751"/>
    <n v="81.73"/>
    <n v="56.67"/>
    <n v="81.72999999999999"/>
    <n v="470029.23"/>
    <n v="325909.17"/>
    <n v="0.30661935641747218"/>
    <n v="144120.06"/>
  </r>
  <r>
    <x v="0"/>
    <s v="San Marino"/>
    <x v="2"/>
    <x v="1"/>
    <x v="1"/>
    <s v="5/8/2014"/>
    <d v="2014-05-08T00:00:00"/>
    <n v="8"/>
    <s v="May"/>
    <x v="2"/>
    <s v="May-2014"/>
    <n v="591774117"/>
    <d v="2014-05-30T00:00:00"/>
    <n v="30"/>
    <s v="May"/>
    <n v="2014"/>
    <s v="May-2014"/>
    <s v="5/30/2014"/>
    <n v="22"/>
    <n v="7967"/>
    <n v="205.7"/>
    <n v="117.11"/>
    <n v="205.7"/>
    <n v="1638811.9"/>
    <n v="933015.37"/>
    <n v="0.43067574137092857"/>
    <n v="705796.53"/>
  </r>
  <r>
    <x v="0"/>
    <s v="Cyprus"/>
    <x v="11"/>
    <x v="1"/>
    <x v="0"/>
    <s v="6/2/2015"/>
    <d v="2015-06-02T00:00:00"/>
    <n v="2"/>
    <s v="Jun"/>
    <x v="6"/>
    <s v="Jun-2015"/>
    <n v="627432048"/>
    <d v="2015-06-23T00:00:00"/>
    <n v="23"/>
    <s v="Jun"/>
    <n v="2015"/>
    <s v="Jun-2015"/>
    <s v="6/23/2015"/>
    <n v="21"/>
    <n v="9941"/>
    <n v="81.73"/>
    <n v="56.67"/>
    <n v="81.73"/>
    <n v="812477.93"/>
    <n v="563356.47"/>
    <n v="0.30661935641747212"/>
    <n v="249121.46"/>
  </r>
  <r>
    <x v="0"/>
    <s v="Germany"/>
    <x v="6"/>
    <x v="0"/>
    <x v="1"/>
    <s v="1/14/2017"/>
    <d v="2017-01-14T00:00:00"/>
    <n v="14"/>
    <s v="Jan"/>
    <x v="7"/>
    <s v="Jan-2017"/>
    <n v="615290009"/>
    <d v="2017-01-18T00:00:00"/>
    <n v="18"/>
    <s v="Jan"/>
    <n v="2017"/>
    <s v="Jan-2017"/>
    <s v="1/18/2017"/>
    <n v="4"/>
    <n v="6842"/>
    <n v="421.89"/>
    <n v="364.69"/>
    <n v="421.89"/>
    <n v="2886571.38"/>
    <n v="2495208.98"/>
    <n v="0.13558036455000119"/>
    <n v="391362.4"/>
  </r>
  <r>
    <x v="0"/>
    <s v="Italy"/>
    <x v="0"/>
    <x v="1"/>
    <x v="3"/>
    <s v="8/13/2015"/>
    <d v="2015-08-13T00:00:00"/>
    <n v="13"/>
    <s v="Aug"/>
    <x v="6"/>
    <s v="Aug-2015"/>
    <n v="897317206"/>
    <d v="2015-09-01T00:00:00"/>
    <n v="1"/>
    <s v="Sep"/>
    <n v="2015"/>
    <s v="Sep-2015"/>
    <s v="9/1/2015"/>
    <n v="19"/>
    <n v="4957"/>
    <n v="47.45"/>
    <n v="31.79"/>
    <n v="47.449999999999996"/>
    <n v="235209.65"/>
    <n v="157583.03"/>
    <n v="0.33003161222339306"/>
    <n v="77626.62"/>
  </r>
  <r>
    <x v="0"/>
    <s v="Montenegro"/>
    <x v="11"/>
    <x v="0"/>
    <x v="2"/>
    <s v="11/14/2016"/>
    <d v="2016-11-14T00:00:00"/>
    <n v="14"/>
    <s v="Nov"/>
    <x v="4"/>
    <s v="Nov-2016"/>
    <n v="594699656"/>
    <d v="2016-12-30T00:00:00"/>
    <n v="30"/>
    <s v="Dec"/>
    <n v="2016"/>
    <s v="Dec-2016"/>
    <s v="12/30/2016"/>
    <n v="46"/>
    <n v="3699"/>
    <n v="81.73"/>
    <n v="56.67"/>
    <n v="81.73"/>
    <n v="302319.27"/>
    <n v="209622.33"/>
    <n v="0.30661935641747218"/>
    <n v="92696.94"/>
  </r>
  <r>
    <x v="0"/>
    <s v="Ukraine"/>
    <x v="10"/>
    <x v="0"/>
    <x v="1"/>
    <s v="6/28/2017"/>
    <d v="2017-06-28T00:00:00"/>
    <n v="28"/>
    <s v="Jun"/>
    <x v="7"/>
    <s v="Jun-2017"/>
    <n v="574925124"/>
    <d v="2017-07-13T00:00:00"/>
    <n v="13"/>
    <s v="Jul"/>
    <n v="2017"/>
    <s v="Jul-2017"/>
    <s v="7/13/2017"/>
    <n v="15"/>
    <n v="1975"/>
    <n v="437.2"/>
    <n v="263.33"/>
    <n v="437.2"/>
    <n v="863470"/>
    <n v="520076.75"/>
    <n v="0.39768984446477584"/>
    <n v="343393.25"/>
  </r>
  <r>
    <x v="0"/>
    <s v="Ukraine"/>
    <x v="0"/>
    <x v="0"/>
    <x v="1"/>
    <s v="3/19/2015"/>
    <d v="2015-03-19T00:00:00"/>
    <n v="19"/>
    <s v="Mar"/>
    <x v="6"/>
    <s v="Mar-2015"/>
    <n v="946421372"/>
    <d v="2015-03-21T00:00:00"/>
    <n v="21"/>
    <s v="Mar"/>
    <n v="2015"/>
    <s v="Mar-2015"/>
    <s v="3/21/2015"/>
    <n v="2"/>
    <n v="5971"/>
    <n v="47.45"/>
    <n v="31.79"/>
    <n v="47.45"/>
    <n v="283323.95"/>
    <n v="189818.09"/>
    <n v="0.33003161222339306"/>
    <n v="93505.86"/>
  </r>
  <r>
    <x v="0"/>
    <s v="Armenia"/>
    <x v="1"/>
    <x v="0"/>
    <x v="0"/>
    <s v="2/21/2017"/>
    <d v="2017-02-21T00:00:00"/>
    <n v="21"/>
    <s v="Feb"/>
    <x v="7"/>
    <s v="Feb-2017"/>
    <n v="885998284"/>
    <d v="2017-02-28T00:00:00"/>
    <n v="28"/>
    <s v="Feb"/>
    <n v="2017"/>
    <s v="Feb-2017"/>
    <s v="2/28/2017"/>
    <n v="7"/>
    <n v="5436"/>
    <n v="109.28"/>
    <n v="35.840000000000003"/>
    <n v="109.27999999999999"/>
    <n v="594046.07999999996"/>
    <n v="194826.23999999999"/>
    <n v="0.67203513909224022"/>
    <n v="399219.84"/>
  </r>
  <r>
    <x v="0"/>
    <s v="Hungary"/>
    <x v="9"/>
    <x v="0"/>
    <x v="2"/>
    <s v="7/17/2016"/>
    <d v="2016-07-17T00:00:00"/>
    <n v="17"/>
    <s v="Jul"/>
    <x v="4"/>
    <s v="Jul-2016"/>
    <n v="954065883"/>
    <d v="2016-09-01T00:00:00"/>
    <n v="1"/>
    <s v="Sep"/>
    <n v="2016"/>
    <s v="Sep-2016"/>
    <s v="9/1/2016"/>
    <n v="46"/>
    <n v="8151"/>
    <n v="668.27"/>
    <n v="502.54"/>
    <n v="668.27"/>
    <n v="5447068.7699999996"/>
    <n v="4096203.54"/>
    <n v="0.24799856345489099"/>
    <n v="1350865.23"/>
  </r>
  <r>
    <x v="0"/>
    <s v="Malta"/>
    <x v="0"/>
    <x v="1"/>
    <x v="1"/>
    <s v="6/7/2015"/>
    <d v="2015-06-07T00:00:00"/>
    <n v="7"/>
    <s v="Jun"/>
    <x v="6"/>
    <s v="Jun-2015"/>
    <n v="994406735"/>
    <d v="2015-06-30T00:00:00"/>
    <n v="30"/>
    <s v="Jun"/>
    <n v="2015"/>
    <s v="Jun-2015"/>
    <s v="6/30/2015"/>
    <n v="23"/>
    <n v="5906"/>
    <n v="47.45"/>
    <n v="31.79"/>
    <n v="47.45"/>
    <n v="280239.7"/>
    <n v="187751.74"/>
    <n v="0.33003161222339306"/>
    <n v="92487.96"/>
  </r>
  <r>
    <x v="0"/>
    <s v="Austria"/>
    <x v="11"/>
    <x v="1"/>
    <x v="1"/>
    <s v="7/9/2017"/>
    <d v="2017-07-09T00:00:00"/>
    <n v="9"/>
    <s v="Jul"/>
    <x v="7"/>
    <s v="Jul-2017"/>
    <n v="132069671"/>
    <d v="2017-07-20T00:00:00"/>
    <n v="20"/>
    <s v="Jul"/>
    <n v="2017"/>
    <s v="Jul-2017"/>
    <s v="7/20/2017"/>
    <n v="11"/>
    <n v="1205"/>
    <n v="81.73"/>
    <n v="56.67"/>
    <n v="81.72999999999999"/>
    <n v="98484.65"/>
    <n v="68287.350000000006"/>
    <n v="0.30661935641747218"/>
    <n v="30197.3"/>
  </r>
  <r>
    <x v="0"/>
    <s v="Belarus"/>
    <x v="9"/>
    <x v="1"/>
    <x v="1"/>
    <s v="11/30/2013"/>
    <d v="2013-11-30T00:00:00"/>
    <n v="30"/>
    <s v="Nov"/>
    <x v="1"/>
    <s v="Nov-2013"/>
    <n v="990455090"/>
    <d v="2013-12-14T00:00:00"/>
    <n v="14"/>
    <s v="Dec"/>
    <n v="2013"/>
    <s v="Dec-2013"/>
    <s v="12/14/2013"/>
    <n v="14"/>
    <n v="6526"/>
    <n v="668.27"/>
    <n v="502.54"/>
    <n v="668.27"/>
    <n v="4361130.0199999996"/>
    <n v="3279576.04"/>
    <n v="0.24799856345489102"/>
    <n v="1081553.98"/>
  </r>
  <r>
    <x v="0"/>
    <s v="Norway"/>
    <x v="2"/>
    <x v="0"/>
    <x v="0"/>
    <s v="6/6/2015"/>
    <d v="2015-06-06T00:00:00"/>
    <n v="6"/>
    <s v="Jun"/>
    <x v="6"/>
    <s v="Jun-2015"/>
    <n v="445952498"/>
    <d v="2015-07-07T00:00:00"/>
    <n v="7"/>
    <s v="Jul"/>
    <n v="2015"/>
    <s v="Jul-2015"/>
    <s v="7/7/2015"/>
    <n v="31"/>
    <n v="6109"/>
    <n v="205.7"/>
    <n v="117.11"/>
    <n v="205.70000000000002"/>
    <n v="1256621.3"/>
    <n v="715424.99"/>
    <n v="0.43067574137092857"/>
    <n v="541196.31000000006"/>
  </r>
  <r>
    <x v="0"/>
    <s v="Estonia"/>
    <x v="3"/>
    <x v="0"/>
    <x v="1"/>
    <s v="4/26/2016"/>
    <d v="2016-04-26T00:00:00"/>
    <n v="26"/>
    <s v="Apr"/>
    <x v="4"/>
    <s v="Apr-2016"/>
    <n v="628055179"/>
    <d v="2016-05-13T00:00:00"/>
    <n v="13"/>
    <s v="May"/>
    <n v="2016"/>
    <s v="May-2016"/>
    <s v="5/13/2016"/>
    <n v="17"/>
    <n v="4339"/>
    <n v="651.21"/>
    <n v="524.96"/>
    <n v="651.21"/>
    <n v="2825600.19"/>
    <n v="2277801.44"/>
    <n v="0.19386987300563566"/>
    <n v="547798.75"/>
  </r>
  <r>
    <x v="0"/>
    <s v="Slovenia"/>
    <x v="11"/>
    <x v="1"/>
    <x v="0"/>
    <s v="6/6/2010"/>
    <d v="2010-06-06T00:00:00"/>
    <n v="6"/>
    <s v="Jun"/>
    <x v="3"/>
    <s v="Jun-2010"/>
    <n v="243391644"/>
    <d v="2010-06-27T00:00:00"/>
    <n v="27"/>
    <s v="Jun"/>
    <n v="2010"/>
    <s v="Jun-2010"/>
    <s v="6/27/2010"/>
    <n v="21"/>
    <n v="3851"/>
    <n v="81.73"/>
    <n v="56.67"/>
    <n v="81.72999999999999"/>
    <n v="314742.23"/>
    <n v="218236.17"/>
    <n v="0.30661935641747218"/>
    <n v="96506.06"/>
  </r>
  <r>
    <x v="0"/>
    <s v="Ukraine"/>
    <x v="1"/>
    <x v="1"/>
    <x v="3"/>
    <s v="3/11/2015"/>
    <d v="2015-03-11T00:00:00"/>
    <n v="11"/>
    <s v="Mar"/>
    <x v="6"/>
    <s v="Mar-2015"/>
    <n v="823505389"/>
    <d v="2015-03-30T00:00:00"/>
    <n v="30"/>
    <s v="Mar"/>
    <n v="2015"/>
    <s v="Mar-2015"/>
    <s v="3/30/2015"/>
    <n v="19"/>
    <n v="2400"/>
    <n v="109.28"/>
    <n v="35.840000000000003"/>
    <n v="109.28"/>
    <n v="262272"/>
    <n v="86016"/>
    <n v="0.67203513909224011"/>
    <n v="176256"/>
  </r>
  <r>
    <x v="0"/>
    <s v="Ireland"/>
    <x v="7"/>
    <x v="1"/>
    <x v="2"/>
    <s v="12/30/2011"/>
    <d v="2011-12-30T00:00:00"/>
    <n v="30"/>
    <s v="Dec"/>
    <x v="0"/>
    <s v="Dec-2011"/>
    <n v="846413600"/>
    <d v="2011-12-31T00:00:00"/>
    <n v="31"/>
    <s v="Dec"/>
    <n v="2011"/>
    <s v="Dec-2011"/>
    <s v="12/31/2011"/>
    <n v="1"/>
    <n v="1448"/>
    <n v="152.58000000000001"/>
    <n v="97.44"/>
    <n v="152.57999999999998"/>
    <n v="220935.84"/>
    <n v="141093.12"/>
    <n v="0.36138419189933152"/>
    <n v="79842.720000000001"/>
  </r>
  <r>
    <x v="0"/>
    <s v="Cyprus"/>
    <x v="4"/>
    <x v="0"/>
    <x v="0"/>
    <s v="3/31/2012"/>
    <d v="2012-03-31T00:00:00"/>
    <n v="31"/>
    <s v="Mar"/>
    <x v="5"/>
    <s v="Mar-2012"/>
    <n v="850279843"/>
    <d v="2012-04-10T00:00:00"/>
    <n v="10"/>
    <s v="Apr"/>
    <n v="2012"/>
    <s v="Apr-2012"/>
    <s v="4/10/2012"/>
    <n v="10"/>
    <n v="5556"/>
    <n v="9.33"/>
    <n v="6.92"/>
    <n v="9.33"/>
    <n v="51837.48"/>
    <n v="38447.519999999997"/>
    <n v="0.25830653804930331"/>
    <n v="13389.96"/>
  </r>
  <r>
    <x v="0"/>
    <s v="Austria"/>
    <x v="3"/>
    <x v="1"/>
    <x v="3"/>
    <s v="2/25/2010"/>
    <d v="2010-02-25T00:00:00"/>
    <n v="25"/>
    <s v="Feb"/>
    <x v="3"/>
    <s v="Feb-2010"/>
    <n v="268373954"/>
    <d v="2010-02-28T00:00:00"/>
    <n v="28"/>
    <s v="Feb"/>
    <n v="2010"/>
    <s v="Feb-2010"/>
    <s v="2/28/2010"/>
    <n v="3"/>
    <n v="6672"/>
    <n v="651.21"/>
    <n v="524.96"/>
    <n v="651.21"/>
    <n v="4344873.12"/>
    <n v="3502533.12"/>
    <n v="0.19386987300563566"/>
    <n v="842340"/>
  </r>
  <r>
    <x v="0"/>
    <s v="Serbia"/>
    <x v="10"/>
    <x v="1"/>
    <x v="3"/>
    <s v="3/25/2012"/>
    <d v="2012-03-25T00:00:00"/>
    <n v="25"/>
    <s v="Mar"/>
    <x v="5"/>
    <s v="Mar-2012"/>
    <n v="350550401"/>
    <d v="2012-04-22T00:00:00"/>
    <n v="22"/>
    <s v="Apr"/>
    <n v="2012"/>
    <s v="Apr-2012"/>
    <s v="4/22/2012"/>
    <n v="28"/>
    <n v="4508"/>
    <n v="437.2"/>
    <n v="263.33"/>
    <n v="437.20000000000005"/>
    <n v="1970897.6"/>
    <n v="1187091.6399999999"/>
    <n v="0.39768984446477579"/>
    <n v="783805.96"/>
  </r>
  <r>
    <x v="0"/>
    <s v="San Marino"/>
    <x v="11"/>
    <x v="1"/>
    <x v="0"/>
    <s v="5/27/2010"/>
    <d v="2010-05-27T00:00:00"/>
    <n v="27"/>
    <s v="May"/>
    <x v="3"/>
    <s v="May-2010"/>
    <n v="293178594"/>
    <d v="2010-06-01T00:00:00"/>
    <n v="1"/>
    <s v="Jun"/>
    <n v="2010"/>
    <s v="Jun-2010"/>
    <s v="6/1/2010"/>
    <n v="5"/>
    <n v="6916"/>
    <n v="81.73"/>
    <n v="56.67"/>
    <n v="81.73"/>
    <n v="565244.68000000005"/>
    <n v="391929.72"/>
    <n v="0.30661935641747212"/>
    <n v="173314.96"/>
  </r>
  <r>
    <x v="0"/>
    <s v="Georgia"/>
    <x v="8"/>
    <x v="1"/>
    <x v="3"/>
    <s v="7/14/2013"/>
    <d v="2013-07-14T00:00:00"/>
    <n v="14"/>
    <s v="Jul"/>
    <x v="1"/>
    <s v="Jul-2013"/>
    <n v="168960559"/>
    <d v="2013-08-19T00:00:00"/>
    <n v="19"/>
    <s v="Aug"/>
    <n v="2013"/>
    <s v="Aug-2013"/>
    <s v="8/19/2013"/>
    <n v="36"/>
    <n v="8039"/>
    <n v="255.28"/>
    <n v="159.41999999999999"/>
    <n v="255.28"/>
    <n v="2052195.92"/>
    <n v="1281577.3799999999"/>
    <n v="0.37550924475086184"/>
    <n v="770618.54"/>
  </r>
  <r>
    <x v="0"/>
    <s v="Albania"/>
    <x v="0"/>
    <x v="0"/>
    <x v="1"/>
    <s v="12/11/2014"/>
    <d v="2014-12-11T00:00:00"/>
    <n v="11"/>
    <s v="Dec"/>
    <x v="2"/>
    <s v="Dec-2014"/>
    <n v="270358788"/>
    <d v="2015-01-24T00:00:00"/>
    <n v="24"/>
    <s v="Jan"/>
    <n v="2015"/>
    <s v="Jan-2015"/>
    <s v="1/24/2015"/>
    <n v="44"/>
    <n v="4028"/>
    <n v="47.45"/>
    <n v="31.79"/>
    <n v="47.45"/>
    <n v="191128.6"/>
    <n v="128050.12"/>
    <n v="0.33003161222339306"/>
    <n v="63078.48"/>
  </r>
  <r>
    <x v="0"/>
    <s v="Italy"/>
    <x v="11"/>
    <x v="0"/>
    <x v="1"/>
    <s v="6/9/2016"/>
    <d v="2016-06-09T00:00:00"/>
    <n v="9"/>
    <s v="Jun"/>
    <x v="4"/>
    <s v="Jun-2016"/>
    <n v="589842927"/>
    <d v="2016-07-28T00:00:00"/>
    <n v="28"/>
    <s v="Jul"/>
    <n v="2016"/>
    <s v="Jul-2016"/>
    <s v="7/28/2016"/>
    <n v="49"/>
    <n v="6485"/>
    <n v="81.73"/>
    <n v="56.67"/>
    <n v="81.73"/>
    <n v="530019.05000000005"/>
    <n v="367504.95"/>
    <n v="0.30661935641747212"/>
    <n v="162514.1"/>
  </r>
  <r>
    <x v="0"/>
    <s v="Poland"/>
    <x v="2"/>
    <x v="0"/>
    <x v="0"/>
    <s v="2/10/2014"/>
    <d v="2014-02-10T00:00:00"/>
    <n v="10"/>
    <s v="Feb"/>
    <x v="2"/>
    <s v="Feb-2014"/>
    <n v="655328738"/>
    <d v="2014-03-22T00:00:00"/>
    <n v="22"/>
    <s v="Mar"/>
    <n v="2014"/>
    <s v="Mar-2014"/>
    <s v="3/22/2014"/>
    <n v="40"/>
    <n v="5191"/>
    <n v="205.7"/>
    <n v="117.11"/>
    <n v="205.7"/>
    <n v="1067788.7"/>
    <n v="607918.01"/>
    <n v="0.43067574137092857"/>
    <n v="459870.69"/>
  </r>
  <r>
    <x v="0"/>
    <s v="Albania"/>
    <x v="5"/>
    <x v="1"/>
    <x v="1"/>
    <s v="8/7/2014"/>
    <d v="2014-08-07T00:00:00"/>
    <n v="7"/>
    <s v="Aug"/>
    <x v="2"/>
    <s v="Aug-2014"/>
    <n v="406564366"/>
    <d v="2014-08-25T00:00:00"/>
    <n v="25"/>
    <s v="Aug"/>
    <n v="2014"/>
    <s v="Aug-2014"/>
    <s v="8/25/2014"/>
    <n v="18"/>
    <n v="286"/>
    <n v="154.06"/>
    <n v="90.93"/>
    <n v="154.06"/>
    <n v="44061.16"/>
    <n v="26005.98"/>
    <n v="0.40977541217707386"/>
    <n v="18055.18"/>
  </r>
  <r>
    <x v="0"/>
    <s v="Spain"/>
    <x v="1"/>
    <x v="1"/>
    <x v="3"/>
    <s v="8/16/2012"/>
    <d v="2012-08-16T00:00:00"/>
    <n v="16"/>
    <s v="Aug"/>
    <x v="5"/>
    <s v="Aug-2012"/>
    <n v="374848639"/>
    <d v="2012-09-06T00:00:00"/>
    <n v="6"/>
    <s v="Sep"/>
    <n v="2012"/>
    <s v="Sep-2012"/>
    <s v="9/6/2012"/>
    <n v="21"/>
    <n v="4897"/>
    <n v="109.28"/>
    <n v="35.840000000000003"/>
    <n v="109.28"/>
    <n v="535144.16"/>
    <n v="175508.48000000001"/>
    <n v="0.67203513909224011"/>
    <n v="359635.68"/>
  </r>
  <r>
    <x v="0"/>
    <s v="Slovakia"/>
    <x v="4"/>
    <x v="0"/>
    <x v="2"/>
    <s v="8/14/2012"/>
    <d v="2012-08-14T00:00:00"/>
    <n v="14"/>
    <s v="Aug"/>
    <x v="5"/>
    <s v="Aug-2012"/>
    <n v="393858420"/>
    <d v="2012-08-29T00:00:00"/>
    <n v="29"/>
    <s v="Aug"/>
    <n v="2012"/>
    <s v="Aug-2012"/>
    <s v="8/29/2012"/>
    <n v="15"/>
    <n v="314"/>
    <n v="9.33"/>
    <n v="6.92"/>
    <n v="9.33"/>
    <n v="2929.62"/>
    <n v="2172.88"/>
    <n v="0.25830653804930331"/>
    <n v="756.74"/>
  </r>
  <r>
    <x v="0"/>
    <s v="Malta"/>
    <x v="0"/>
    <x v="1"/>
    <x v="0"/>
    <s v="10/21/2013"/>
    <d v="2013-10-21T00:00:00"/>
    <n v="21"/>
    <s v="Oct"/>
    <x v="1"/>
    <s v="Oct-2013"/>
    <n v="435463559"/>
    <d v="2013-10-27T00:00:00"/>
    <n v="27"/>
    <s v="Oct"/>
    <n v="2013"/>
    <s v="Oct-2013"/>
    <s v="10/27/2013"/>
    <n v="6"/>
    <n v="2199"/>
    <n v="47.45"/>
    <n v="31.79"/>
    <n v="47.45"/>
    <n v="104342.55"/>
    <n v="69906.210000000006"/>
    <n v="0.330031612223393"/>
    <n v="34436.339999999997"/>
  </r>
  <r>
    <x v="0"/>
    <s v="Sweden"/>
    <x v="5"/>
    <x v="0"/>
    <x v="0"/>
    <s v="12/7/2016"/>
    <d v="2016-12-07T00:00:00"/>
    <n v="7"/>
    <s v="Dec"/>
    <x v="4"/>
    <s v="Dec-2016"/>
    <n v="284403264"/>
    <d v="2016-12-27T00:00:00"/>
    <n v="27"/>
    <s v="Dec"/>
    <n v="2016"/>
    <s v="Dec-2016"/>
    <s v="12/27/2016"/>
    <n v="20"/>
    <n v="101"/>
    <n v="154.06"/>
    <n v="90.93"/>
    <n v="154.06"/>
    <n v="15560.06"/>
    <n v="9183.93"/>
    <n v="0.40977541217707386"/>
    <n v="6376.13"/>
  </r>
  <r>
    <x v="0"/>
    <s v="Romania"/>
    <x v="11"/>
    <x v="1"/>
    <x v="2"/>
    <s v="4/21/2010"/>
    <d v="2010-04-21T00:00:00"/>
    <n v="21"/>
    <s v="Apr"/>
    <x v="3"/>
    <s v="Apr-2010"/>
    <n v="917904984"/>
    <d v="2010-04-24T00:00:00"/>
    <n v="24"/>
    <s v="Apr"/>
    <n v="2010"/>
    <s v="Apr-2010"/>
    <s v="4/24/2010"/>
    <n v="3"/>
    <n v="7338"/>
    <n v="81.73"/>
    <n v="56.67"/>
    <n v="81.73"/>
    <n v="599734.74"/>
    <n v="415844.46"/>
    <n v="0.30661935641747218"/>
    <n v="183890.28"/>
  </r>
  <r>
    <x v="0"/>
    <s v="Switzerland"/>
    <x v="5"/>
    <x v="1"/>
    <x v="0"/>
    <s v="10/4/2012"/>
    <d v="2012-10-04T00:00:00"/>
    <n v="4"/>
    <s v="Oct"/>
    <x v="5"/>
    <s v="Oct-2012"/>
    <n v="670274865"/>
    <d v="2012-11-13T00:00:00"/>
    <n v="13"/>
    <s v="Nov"/>
    <n v="2012"/>
    <s v="Nov-2012"/>
    <s v="11/13/2012"/>
    <n v="40"/>
    <n v="8082"/>
    <n v="154.06"/>
    <n v="90.93"/>
    <n v="154.06"/>
    <n v="1245112.92"/>
    <n v="734896.26"/>
    <n v="0.40977541217707386"/>
    <n v="510216.66"/>
  </r>
  <r>
    <x v="0"/>
    <s v="Luxembourg"/>
    <x v="10"/>
    <x v="0"/>
    <x v="1"/>
    <s v="1/30/2015"/>
    <d v="2015-01-30T00:00:00"/>
    <n v="30"/>
    <s v="Jan"/>
    <x v="6"/>
    <s v="Jan-2015"/>
    <n v="380684268"/>
    <d v="2015-02-23T00:00:00"/>
    <n v="23"/>
    <s v="Feb"/>
    <n v="2015"/>
    <s v="Feb-2015"/>
    <s v="2/23/2015"/>
    <n v="24"/>
    <n v="1789"/>
    <n v="437.2"/>
    <n v="263.33"/>
    <n v="437.20000000000005"/>
    <n v="782150.8"/>
    <n v="471097.37"/>
    <n v="0.39768984446477579"/>
    <n v="311053.43"/>
  </r>
  <r>
    <x v="0"/>
    <s v="Romania"/>
    <x v="11"/>
    <x v="0"/>
    <x v="3"/>
    <s v="9/30/2014"/>
    <d v="2014-09-30T00:00:00"/>
    <n v="30"/>
    <s v="Sep"/>
    <x v="2"/>
    <s v="Sep-2014"/>
    <n v="264526593"/>
    <d v="2014-10-07T00:00:00"/>
    <n v="7"/>
    <s v="Oct"/>
    <n v="2014"/>
    <s v="Oct-2014"/>
    <s v="10/7/2014"/>
    <n v="7"/>
    <n v="8152"/>
    <n v="81.73"/>
    <n v="56.67"/>
    <n v="81.72999999999999"/>
    <n v="666262.96"/>
    <n v="461973.84"/>
    <n v="0.30661935641747218"/>
    <n v="204289.12"/>
  </r>
  <r>
    <x v="0"/>
    <s v="Ukraine"/>
    <x v="11"/>
    <x v="0"/>
    <x v="0"/>
    <s v="4/17/2017"/>
    <d v="2017-04-17T00:00:00"/>
    <n v="17"/>
    <s v="Apr"/>
    <x v="7"/>
    <s v="Apr-2017"/>
    <n v="485929429"/>
    <d v="2017-05-19T00:00:00"/>
    <n v="19"/>
    <s v="May"/>
    <n v="2017"/>
    <s v="May-2017"/>
    <s v="5/19/2017"/>
    <n v="32"/>
    <n v="6171"/>
    <n v="81.73"/>
    <n v="56.67"/>
    <n v="81.73"/>
    <n v="504355.83"/>
    <n v="349710.57"/>
    <n v="0.30661935641747218"/>
    <n v="154645.26"/>
  </r>
  <r>
    <x v="0"/>
    <s v="Serbia"/>
    <x v="3"/>
    <x v="0"/>
    <x v="0"/>
    <s v="8/24/2014"/>
    <d v="2014-08-24T00:00:00"/>
    <n v="24"/>
    <s v="Aug"/>
    <x v="2"/>
    <s v="Aug-2014"/>
    <n v="209736573"/>
    <d v="2014-09-24T00:00:00"/>
    <n v="24"/>
    <s v="Sep"/>
    <n v="2014"/>
    <s v="Sep-2014"/>
    <s v="9/24/2014"/>
    <n v="31"/>
    <n v="4568"/>
    <n v="651.21"/>
    <n v="524.96"/>
    <n v="651.20999999999992"/>
    <n v="2974727.28"/>
    <n v="2398017.2799999998"/>
    <n v="0.19386987300563568"/>
    <n v="576710"/>
  </r>
  <r>
    <x v="0"/>
    <s v="Belgium"/>
    <x v="3"/>
    <x v="0"/>
    <x v="1"/>
    <s v="1/5/2016"/>
    <d v="2016-01-05T00:00:00"/>
    <n v="5"/>
    <s v="Jan"/>
    <x v="4"/>
    <s v="Jan-2016"/>
    <n v="233440434"/>
    <d v="2016-02-17T00:00:00"/>
    <n v="17"/>
    <s v="Feb"/>
    <n v="2016"/>
    <s v="Feb-2016"/>
    <s v="2/17/2016"/>
    <n v="43"/>
    <n v="9067"/>
    <n v="651.21"/>
    <n v="524.96"/>
    <n v="651.21"/>
    <n v="5904521.0700000003"/>
    <n v="4759812.32"/>
    <n v="0.19386987300563566"/>
    <n v="1144708.75"/>
  </r>
  <r>
    <x v="0"/>
    <s v="Austria"/>
    <x v="5"/>
    <x v="0"/>
    <x v="2"/>
    <s v="5/5/2011"/>
    <d v="2011-05-05T00:00:00"/>
    <n v="5"/>
    <s v="May"/>
    <x v="0"/>
    <s v="May-2011"/>
    <n v="384483993"/>
    <d v="2011-06-19T00:00:00"/>
    <n v="19"/>
    <s v="Jun"/>
    <n v="2011"/>
    <s v="Jun-2011"/>
    <s v="6/19/2011"/>
    <n v="45"/>
    <n v="6212"/>
    <n v="154.06"/>
    <n v="90.93"/>
    <n v="154.06"/>
    <n v="957020.72"/>
    <n v="564857.16"/>
    <n v="0.40977541217707386"/>
    <n v="392163.56"/>
  </r>
  <r>
    <x v="0"/>
    <s v="Belarus"/>
    <x v="0"/>
    <x v="1"/>
    <x v="3"/>
    <s v="8/15/2010"/>
    <d v="2010-08-15T00:00:00"/>
    <n v="15"/>
    <s v="Aug"/>
    <x v="3"/>
    <s v="Aug-2010"/>
    <n v="311921012"/>
    <d v="2010-08-26T00:00:00"/>
    <n v="26"/>
    <s v="Aug"/>
    <n v="2010"/>
    <s v="Aug-2010"/>
    <s v="8/26/2010"/>
    <n v="11"/>
    <n v="3214"/>
    <n v="47.45"/>
    <n v="31.79"/>
    <n v="47.449999999999996"/>
    <n v="152504.29999999999"/>
    <n v="102173.06"/>
    <n v="0.33003161222339306"/>
    <n v="50331.24"/>
  </r>
  <r>
    <x v="0"/>
    <s v="Switzerland"/>
    <x v="8"/>
    <x v="1"/>
    <x v="2"/>
    <s v="9/9/2010"/>
    <d v="2010-09-09T00:00:00"/>
    <n v="9"/>
    <s v="Sep"/>
    <x v="3"/>
    <s v="Sep-2010"/>
    <n v="128003442"/>
    <d v="2010-10-23T00:00:00"/>
    <n v="23"/>
    <s v="Oct"/>
    <n v="2010"/>
    <s v="Oct-2010"/>
    <s v="10/23/2010"/>
    <n v="44"/>
    <n v="7918"/>
    <n v="255.28"/>
    <n v="159.41999999999999"/>
    <n v="255.28"/>
    <n v="2021307.04"/>
    <n v="1262287.56"/>
    <n v="0.37550924475086178"/>
    <n v="759019.48"/>
  </r>
  <r>
    <x v="0"/>
    <s v="Italy"/>
    <x v="0"/>
    <x v="0"/>
    <x v="0"/>
    <s v="7/27/2013"/>
    <d v="2013-07-27T00:00:00"/>
    <n v="27"/>
    <s v="Jul"/>
    <x v="1"/>
    <s v="Jul-2013"/>
    <n v="981154048"/>
    <d v="2013-08-09T00:00:00"/>
    <n v="9"/>
    <s v="Aug"/>
    <n v="2013"/>
    <s v="Aug-2013"/>
    <s v="8/9/2013"/>
    <n v="13"/>
    <n v="4141"/>
    <n v="47.45"/>
    <n v="31.79"/>
    <n v="47.45"/>
    <n v="196490.45"/>
    <n v="131642.39000000001"/>
    <n v="0.330031612223393"/>
    <n v="64848.06"/>
  </r>
  <r>
    <x v="0"/>
    <s v="Germany"/>
    <x v="11"/>
    <x v="1"/>
    <x v="2"/>
    <s v="12/3/2012"/>
    <d v="2012-12-03T00:00:00"/>
    <n v="3"/>
    <s v="Dec"/>
    <x v="5"/>
    <s v="Dec-2012"/>
    <n v="287917602"/>
    <d v="2013-01-05T00:00:00"/>
    <n v="5"/>
    <s v="Jan"/>
    <n v="2013"/>
    <s v="Jan-2013"/>
    <s v="1/5/2013"/>
    <n v="33"/>
    <n v="71"/>
    <n v="81.73"/>
    <n v="56.67"/>
    <n v="81.73"/>
    <n v="5802.83"/>
    <n v="4023.57"/>
    <n v="0.30661935641747218"/>
    <n v="1779.26"/>
  </r>
  <r>
    <x v="0"/>
    <s v="Cyprus"/>
    <x v="7"/>
    <x v="0"/>
    <x v="2"/>
    <s v="12/4/2014"/>
    <d v="2014-12-04T00:00:00"/>
    <n v="4"/>
    <s v="Dec"/>
    <x v="2"/>
    <s v="Dec-2014"/>
    <n v="548343789"/>
    <d v="2014-12-06T00:00:00"/>
    <n v="6"/>
    <s v="Dec"/>
    <n v="2014"/>
    <s v="Dec-2014"/>
    <s v="12/6/2014"/>
    <n v="2"/>
    <n v="5967"/>
    <n v="152.58000000000001"/>
    <n v="97.44"/>
    <n v="152.57999999999998"/>
    <n v="910444.86"/>
    <n v="581424.48"/>
    <n v="0.36138419189933152"/>
    <n v="329020.38"/>
  </r>
  <r>
    <x v="0"/>
    <s v="Cyprus"/>
    <x v="6"/>
    <x v="1"/>
    <x v="2"/>
    <s v="3/2/2016"/>
    <d v="2016-03-02T00:00:00"/>
    <n v="2"/>
    <s v="Mar"/>
    <x v="4"/>
    <s v="Mar-2016"/>
    <n v="498089492"/>
    <d v="2016-03-22T00:00:00"/>
    <n v="22"/>
    <s v="Mar"/>
    <n v="2016"/>
    <s v="Mar-2016"/>
    <s v="3/22/2016"/>
    <n v="20"/>
    <n v="4604"/>
    <n v="421.89"/>
    <n v="364.69"/>
    <n v="421.89"/>
    <n v="1942381.56"/>
    <n v="1679032.76"/>
    <n v="0.13558036455000116"/>
    <n v="263348.8"/>
  </r>
  <r>
    <x v="0"/>
    <s v="Moldova "/>
    <x v="7"/>
    <x v="0"/>
    <x v="0"/>
    <s v="3/1/2015"/>
    <d v="2015-03-01T00:00:00"/>
    <n v="1"/>
    <s v="Mar"/>
    <x v="6"/>
    <s v="Mar-2015"/>
    <n v="251907765"/>
    <d v="2015-04-07T00:00:00"/>
    <n v="7"/>
    <s v="Apr"/>
    <n v="2015"/>
    <s v="Apr-2015"/>
    <s v="4/7/2015"/>
    <n v="37"/>
    <n v="3961"/>
    <n v="152.58000000000001"/>
    <n v="97.44"/>
    <n v="152.58000000000001"/>
    <n v="604369.38"/>
    <n v="385959.84"/>
    <n v="0.36138419189933152"/>
    <n v="218409.54"/>
  </r>
  <r>
    <x v="0"/>
    <s v="Malta"/>
    <x v="7"/>
    <x v="1"/>
    <x v="2"/>
    <s v="5/26/2015"/>
    <d v="2015-05-26T00:00:00"/>
    <n v="26"/>
    <s v="May"/>
    <x v="6"/>
    <s v="May-2015"/>
    <n v="339999663"/>
    <d v="2015-06-13T00:00:00"/>
    <n v="13"/>
    <s v="Jun"/>
    <n v="2015"/>
    <s v="Jun-2015"/>
    <s v="6/13/2015"/>
    <n v="18"/>
    <n v="2311"/>
    <n v="152.58000000000001"/>
    <n v="97.44"/>
    <n v="152.58000000000001"/>
    <n v="352612.38"/>
    <n v="225183.84"/>
    <n v="0.36138419189933146"/>
    <n v="127428.54"/>
  </r>
  <r>
    <x v="0"/>
    <s v="Russia"/>
    <x v="2"/>
    <x v="0"/>
    <x v="1"/>
    <s v="6/29/2012"/>
    <d v="2012-06-29T00:00:00"/>
    <n v="29"/>
    <s v="Jun"/>
    <x v="5"/>
    <s v="Jun-2012"/>
    <n v="958366000"/>
    <d v="2012-08-03T00:00:00"/>
    <n v="3"/>
    <s v="Aug"/>
    <n v="2012"/>
    <s v="Aug-2012"/>
    <s v="8/3/2012"/>
    <n v="35"/>
    <n v="651"/>
    <n v="205.7"/>
    <n v="117.11"/>
    <n v="205.70000000000002"/>
    <n v="133910.70000000001"/>
    <n v="76238.61"/>
    <n v="0.43067574137092846"/>
    <n v="57672.09"/>
  </r>
  <r>
    <x v="0"/>
    <s v="Norway"/>
    <x v="2"/>
    <x v="1"/>
    <x v="1"/>
    <s v="11/4/2015"/>
    <d v="2015-11-04T00:00:00"/>
    <n v="4"/>
    <s v="Nov"/>
    <x v="6"/>
    <s v="Nov-2015"/>
    <n v="481114327"/>
    <d v="2015-11-24T00:00:00"/>
    <n v="24"/>
    <s v="Nov"/>
    <n v="2015"/>
    <s v="Nov-2015"/>
    <s v="11/24/2015"/>
    <n v="20"/>
    <n v="1276"/>
    <n v="205.7"/>
    <n v="117.11"/>
    <n v="205.70000000000002"/>
    <n v="262473.2"/>
    <n v="149432.35999999999"/>
    <n v="0.43067574137092851"/>
    <n v="113040.84"/>
  </r>
  <r>
    <x v="0"/>
    <s v="Liechtenstein"/>
    <x v="2"/>
    <x v="0"/>
    <x v="2"/>
    <s v="10/16/2014"/>
    <d v="2014-10-16T00:00:00"/>
    <n v="16"/>
    <s v="Oct"/>
    <x v="2"/>
    <s v="Oct-2014"/>
    <n v="194785726"/>
    <d v="2014-11-13T00:00:00"/>
    <n v="13"/>
    <s v="Nov"/>
    <n v="2014"/>
    <s v="Nov-2014"/>
    <s v="11/13/2014"/>
    <n v="28"/>
    <n v="280"/>
    <n v="205.7"/>
    <n v="117.11"/>
    <n v="205.7"/>
    <n v="57596"/>
    <n v="32790.800000000003"/>
    <n v="0.43067574137092857"/>
    <n v="24805.200000000001"/>
  </r>
  <r>
    <x v="0"/>
    <s v="Andorra"/>
    <x v="0"/>
    <x v="1"/>
    <x v="0"/>
    <s v="4/24/2016"/>
    <d v="2016-04-24T00:00:00"/>
    <n v="24"/>
    <s v="Apr"/>
    <x v="4"/>
    <s v="Apr-2016"/>
    <n v="443544518"/>
    <d v="2016-04-28T00:00:00"/>
    <n v="28"/>
    <s v="Apr"/>
    <n v="2016"/>
    <s v="Apr-2016"/>
    <s v="4/28/2016"/>
    <n v="4"/>
    <n v="3534"/>
    <n v="47.45"/>
    <n v="31.79"/>
    <n v="47.449999999999996"/>
    <n v="167688.29999999999"/>
    <n v="112345.86"/>
    <n v="0.33003161222339306"/>
    <n v="55342.44"/>
  </r>
  <r>
    <x v="0"/>
    <s v="San Marino"/>
    <x v="1"/>
    <x v="1"/>
    <x v="3"/>
    <s v="7/30/2013"/>
    <d v="2013-07-30T00:00:00"/>
    <n v="30"/>
    <s v="Jul"/>
    <x v="1"/>
    <s v="Jul-2013"/>
    <n v="467138516"/>
    <d v="2013-08-08T00:00:00"/>
    <n v="8"/>
    <s v="Aug"/>
    <n v="2013"/>
    <s v="Aug-2013"/>
    <s v="8/8/2013"/>
    <n v="9"/>
    <n v="5523"/>
    <n v="109.28"/>
    <n v="35.840000000000003"/>
    <n v="109.27999999999999"/>
    <n v="603553.43999999994"/>
    <n v="197944.32000000001"/>
    <n v="0.67203513909224022"/>
    <n v="405609.12"/>
  </r>
  <r>
    <x v="0"/>
    <s v="Bosnia and Herzegovina"/>
    <x v="5"/>
    <x v="1"/>
    <x v="3"/>
    <s v="11/27/2016"/>
    <d v="2016-11-27T00:00:00"/>
    <n v="27"/>
    <s v="Nov"/>
    <x v="4"/>
    <s v="Nov-2016"/>
    <n v="184708344"/>
    <d v="2016-12-02T00:00:00"/>
    <n v="2"/>
    <s v="Dec"/>
    <n v="2016"/>
    <s v="Dec-2016"/>
    <s v="12/2/2016"/>
    <n v="5"/>
    <n v="8159"/>
    <n v="154.06"/>
    <n v="90.93"/>
    <n v="154.06"/>
    <n v="1256975.54"/>
    <n v="741897.87"/>
    <n v="0.40977541217707386"/>
    <n v="515077.67"/>
  </r>
  <r>
    <x v="0"/>
    <s v="Bosnia and Herzegovina"/>
    <x v="3"/>
    <x v="0"/>
    <x v="3"/>
    <s v="10/19/2015"/>
    <d v="2015-10-19T00:00:00"/>
    <n v="19"/>
    <s v="Oct"/>
    <x v="6"/>
    <s v="Oct-2015"/>
    <n v="640394628"/>
    <d v="2015-11-07T00:00:00"/>
    <n v="7"/>
    <s v="Nov"/>
    <n v="2015"/>
    <s v="Nov-2015"/>
    <s v="11/7/2015"/>
    <n v="19"/>
    <n v="5856"/>
    <n v="651.21"/>
    <n v="524.96"/>
    <n v="651.20999999999992"/>
    <n v="3813485.76"/>
    <n v="3074165.76"/>
    <n v="0.19386987300563568"/>
    <n v="739320"/>
  </r>
  <r>
    <x v="0"/>
    <s v="Andorra"/>
    <x v="5"/>
    <x v="0"/>
    <x v="2"/>
    <s v="10/15/2016"/>
    <d v="2016-10-15T00:00:00"/>
    <n v="15"/>
    <s v="Oct"/>
    <x v="4"/>
    <s v="Oct-2016"/>
    <n v="403337991"/>
    <d v="2016-11-24T00:00:00"/>
    <n v="24"/>
    <s v="Nov"/>
    <n v="2016"/>
    <s v="Nov-2016"/>
    <s v="11/24/2016"/>
    <n v="40"/>
    <n v="5529"/>
    <n v="154.06"/>
    <n v="90.93"/>
    <n v="154.06"/>
    <n v="851797.74"/>
    <n v="502751.97"/>
    <n v="0.40977541217707392"/>
    <n v="349045.77"/>
  </r>
  <r>
    <x v="0"/>
    <s v="Andorra"/>
    <x v="5"/>
    <x v="1"/>
    <x v="0"/>
    <s v="3/3/2013"/>
    <d v="2013-03-03T00:00:00"/>
    <n v="3"/>
    <s v="Mar"/>
    <x v="1"/>
    <s v="Mar-2013"/>
    <n v="967679059"/>
    <d v="2013-03-19T00:00:00"/>
    <n v="19"/>
    <s v="Mar"/>
    <n v="2013"/>
    <s v="Mar-2013"/>
    <s v="3/19/2013"/>
    <n v="16"/>
    <n v="6592"/>
    <n v="154.06"/>
    <n v="90.93"/>
    <n v="154.06"/>
    <n v="1015563.52"/>
    <n v="599410.56000000006"/>
    <n v="0.40977541217707386"/>
    <n v="416152.96"/>
  </r>
  <r>
    <x v="0"/>
    <s v="Macedonia"/>
    <x v="7"/>
    <x v="1"/>
    <x v="2"/>
    <s v="7/11/2017"/>
    <d v="2017-07-11T00:00:00"/>
    <n v="11"/>
    <s v="Jul"/>
    <x v="7"/>
    <s v="Jul-2017"/>
    <n v="125339686"/>
    <d v="2017-07-24T00:00:00"/>
    <n v="24"/>
    <s v="Jul"/>
    <n v="2017"/>
    <s v="Jul-2017"/>
    <s v="7/24/2017"/>
    <n v="13"/>
    <n v="9653"/>
    <n v="152.58000000000001"/>
    <n v="97.44"/>
    <n v="152.58000000000001"/>
    <n v="1472854.74"/>
    <n v="940588.32"/>
    <n v="0.36138419189933152"/>
    <n v="532266.42000000004"/>
  </r>
  <r>
    <x v="0"/>
    <s v="Croatia"/>
    <x v="11"/>
    <x v="0"/>
    <x v="1"/>
    <s v="3/29/2013"/>
    <d v="2013-03-29T00:00:00"/>
    <n v="29"/>
    <s v="Mar"/>
    <x v="1"/>
    <s v="Mar-2013"/>
    <n v="396832883"/>
    <d v="2013-03-31T00:00:00"/>
    <n v="31"/>
    <s v="Mar"/>
    <n v="2013"/>
    <s v="Mar-2013"/>
    <s v="3/31/2013"/>
    <n v="2"/>
    <n v="523"/>
    <n v="81.73"/>
    <n v="56.67"/>
    <n v="81.73"/>
    <n v="42744.79"/>
    <n v="29638.41"/>
    <n v="0.30661935641747212"/>
    <n v="13106.38"/>
  </r>
  <r>
    <x v="0"/>
    <s v="Switzerland"/>
    <x v="10"/>
    <x v="0"/>
    <x v="1"/>
    <s v="3/18/2014"/>
    <d v="2014-03-18T00:00:00"/>
    <n v="18"/>
    <s v="Mar"/>
    <x v="2"/>
    <s v="Mar-2014"/>
    <n v="209445178"/>
    <d v="2014-04-20T00:00:00"/>
    <n v="20"/>
    <s v="Apr"/>
    <n v="2014"/>
    <s v="Apr-2014"/>
    <s v="4/20/2014"/>
    <n v="33"/>
    <n v="8337"/>
    <n v="437.2"/>
    <n v="263.33"/>
    <n v="437.2"/>
    <n v="3644936.4"/>
    <n v="2195382.21"/>
    <n v="0.39768984446477584"/>
    <n v="1449554.19"/>
  </r>
  <r>
    <x v="0"/>
    <s v="Switzerland"/>
    <x v="1"/>
    <x v="0"/>
    <x v="1"/>
    <s v="5/21/2011"/>
    <d v="2011-05-21T00:00:00"/>
    <n v="21"/>
    <s v="May"/>
    <x v="0"/>
    <s v="May-2011"/>
    <n v="933963048"/>
    <d v="2011-06-24T00:00:00"/>
    <n v="24"/>
    <s v="Jun"/>
    <n v="2011"/>
    <s v="Jun-2011"/>
    <s v="6/24/2011"/>
    <n v="34"/>
    <n v="9275"/>
    <n v="109.28"/>
    <n v="35.840000000000003"/>
    <n v="109.28"/>
    <n v="1013572"/>
    <n v="332416"/>
    <n v="0.67203513909224011"/>
    <n v="681156"/>
  </r>
  <r>
    <x v="0"/>
    <s v="Greece"/>
    <x v="2"/>
    <x v="1"/>
    <x v="3"/>
    <s v="5/5/2015"/>
    <d v="2015-05-05T00:00:00"/>
    <n v="5"/>
    <s v="May"/>
    <x v="6"/>
    <s v="May-2015"/>
    <n v="587598884"/>
    <d v="2015-06-13T00:00:00"/>
    <n v="13"/>
    <s v="Jun"/>
    <n v="2015"/>
    <s v="Jun-2015"/>
    <s v="6/13/2015"/>
    <n v="39"/>
    <n v="2422"/>
    <n v="205.7"/>
    <n v="117.11"/>
    <n v="205.70000000000002"/>
    <n v="498205.4"/>
    <n v="283640.42"/>
    <n v="0.43067574137092851"/>
    <n v="214564.98"/>
  </r>
  <r>
    <x v="0"/>
    <s v="Ireland"/>
    <x v="11"/>
    <x v="1"/>
    <x v="0"/>
    <s v="10/3/2014"/>
    <d v="2014-10-03T00:00:00"/>
    <n v="3"/>
    <s v="Oct"/>
    <x v="2"/>
    <s v="Oct-2014"/>
    <n v="941524302"/>
    <d v="2014-10-09T00:00:00"/>
    <n v="9"/>
    <s v="Oct"/>
    <n v="2014"/>
    <s v="Oct-2014"/>
    <s v="10/9/2014"/>
    <n v="6"/>
    <n v="6819"/>
    <n v="81.73"/>
    <n v="56.67"/>
    <n v="81.73"/>
    <n v="557316.87"/>
    <n v="386432.73"/>
    <n v="0.30661935641747218"/>
    <n v="170884.14"/>
  </r>
  <r>
    <x v="0"/>
    <s v="Denmark"/>
    <x v="10"/>
    <x v="0"/>
    <x v="1"/>
    <s v="7/22/2012"/>
    <d v="2012-07-22T00:00:00"/>
    <n v="22"/>
    <s v="Jul"/>
    <x v="5"/>
    <s v="Jul-2012"/>
    <n v="805974042"/>
    <d v="2012-07-28T00:00:00"/>
    <n v="28"/>
    <s v="Jul"/>
    <n v="2012"/>
    <s v="Jul-2012"/>
    <s v="7/28/2012"/>
    <n v="6"/>
    <n v="4484"/>
    <n v="437.2"/>
    <n v="263.33"/>
    <n v="437.2"/>
    <n v="1960404.8"/>
    <n v="1180771.72"/>
    <n v="0.39768984446477579"/>
    <n v="779633.08"/>
  </r>
  <r>
    <x v="0"/>
    <s v="Estonia"/>
    <x v="0"/>
    <x v="0"/>
    <x v="2"/>
    <s v="2/19/2016"/>
    <d v="2016-02-19T00:00:00"/>
    <n v="19"/>
    <s v="Feb"/>
    <x v="4"/>
    <s v="Feb-2016"/>
    <n v="217859160"/>
    <d v="2016-03-05T00:00:00"/>
    <n v="5"/>
    <s v="Mar"/>
    <n v="2016"/>
    <s v="Mar-2016"/>
    <s v="3/5/2016"/>
    <n v="15"/>
    <n v="8222"/>
    <n v="47.45"/>
    <n v="31.79"/>
    <n v="47.45"/>
    <n v="390133.9"/>
    <n v="261377.38"/>
    <n v="0.33003161222339306"/>
    <n v="128756.52"/>
  </r>
  <r>
    <x v="0"/>
    <s v="Andorra"/>
    <x v="5"/>
    <x v="0"/>
    <x v="2"/>
    <s v="12/15/2013"/>
    <d v="2013-12-15T00:00:00"/>
    <n v="15"/>
    <s v="Dec"/>
    <x v="1"/>
    <s v="Dec-2013"/>
    <n v="727426946"/>
    <d v="2014-02-03T00:00:00"/>
    <n v="3"/>
    <s v="Feb"/>
    <n v="2014"/>
    <s v="Feb-2014"/>
    <s v="2/3/2014"/>
    <n v="50"/>
    <n v="653"/>
    <n v="154.06"/>
    <n v="90.93"/>
    <n v="154.06"/>
    <n v="100601.18"/>
    <n v="59377.29"/>
    <n v="0.40977541217707392"/>
    <n v="41223.89"/>
  </r>
  <r>
    <x v="0"/>
    <s v="Belgium"/>
    <x v="4"/>
    <x v="0"/>
    <x v="1"/>
    <s v="5/4/2011"/>
    <d v="2011-05-04T00:00:00"/>
    <n v="4"/>
    <s v="May"/>
    <x v="0"/>
    <s v="May-2011"/>
    <n v="187103450"/>
    <d v="2011-05-14T00:00:00"/>
    <n v="14"/>
    <s v="May"/>
    <n v="2011"/>
    <s v="May-2011"/>
    <s v="5/14/2011"/>
    <n v="10"/>
    <n v="6924"/>
    <n v="9.33"/>
    <n v="6.92"/>
    <n v="9.33"/>
    <n v="64600.92"/>
    <n v="47914.080000000002"/>
    <n v="0.25830653804930331"/>
    <n v="16686.84"/>
  </r>
  <r>
    <x v="0"/>
    <s v="Romania"/>
    <x v="2"/>
    <x v="1"/>
    <x v="3"/>
    <s v="3/14/2016"/>
    <d v="2016-03-14T00:00:00"/>
    <n v="14"/>
    <s v="Mar"/>
    <x v="4"/>
    <s v="Mar-2016"/>
    <n v="572634732"/>
    <d v="2016-04-01T00:00:00"/>
    <n v="1"/>
    <s v="Apr"/>
    <n v="2016"/>
    <s v="Apr-2016"/>
    <s v="4/1/2016"/>
    <n v="18"/>
    <n v="4197"/>
    <n v="205.7"/>
    <n v="117.11"/>
    <n v="205.70000000000002"/>
    <n v="863322.9"/>
    <n v="491510.67"/>
    <n v="0.43067574137092851"/>
    <n v="371812.23"/>
  </r>
  <r>
    <x v="0"/>
    <s v="Serbia"/>
    <x v="5"/>
    <x v="1"/>
    <x v="0"/>
    <s v="8/31/2014"/>
    <d v="2014-08-31T00:00:00"/>
    <n v="31"/>
    <s v="Aug"/>
    <x v="2"/>
    <s v="Aug-2014"/>
    <n v="285343968"/>
    <d v="2014-09-05T00:00:00"/>
    <n v="5"/>
    <s v="Sep"/>
    <n v="2014"/>
    <s v="Sep-2014"/>
    <s v="9/5/2014"/>
    <n v="5"/>
    <n v="8476"/>
    <n v="154.06"/>
    <n v="90.93"/>
    <n v="154.06"/>
    <n v="1305812.56"/>
    <n v="770722.68"/>
    <n v="0.40977541217707386"/>
    <n v="535089.88"/>
  </r>
  <r>
    <x v="0"/>
    <s v="Slovenia"/>
    <x v="5"/>
    <x v="0"/>
    <x v="1"/>
    <s v="4/21/2013"/>
    <d v="2013-04-21T00:00:00"/>
    <n v="21"/>
    <s v="Apr"/>
    <x v="1"/>
    <s v="Apr-2013"/>
    <n v="886763894"/>
    <d v="2013-05-27T00:00:00"/>
    <n v="27"/>
    <s v="May"/>
    <n v="2013"/>
    <s v="May-2013"/>
    <s v="5/27/2013"/>
    <n v="36"/>
    <n v="1997"/>
    <n v="154.06"/>
    <n v="90.93"/>
    <n v="154.06"/>
    <n v="307657.82"/>
    <n v="181587.21"/>
    <n v="0.40977541217707386"/>
    <n v="126070.61"/>
  </r>
  <r>
    <x v="0"/>
    <s v="Moldova "/>
    <x v="0"/>
    <x v="0"/>
    <x v="0"/>
    <s v="11/4/2013"/>
    <d v="2013-11-04T00:00:00"/>
    <n v="4"/>
    <s v="Nov"/>
    <x v="1"/>
    <s v="Nov-2013"/>
    <n v="436606395"/>
    <d v="2013-12-03T00:00:00"/>
    <n v="3"/>
    <s v="Dec"/>
    <n v="2013"/>
    <s v="Dec-2013"/>
    <s v="12/3/2013"/>
    <n v="29"/>
    <n v="389"/>
    <n v="47.45"/>
    <n v="31.79"/>
    <n v="47.449999999999996"/>
    <n v="18458.05"/>
    <n v="12366.31"/>
    <n v="0.33003161222339306"/>
    <n v="6091.74"/>
  </r>
  <r>
    <x v="0"/>
    <s v="Kosovo"/>
    <x v="10"/>
    <x v="1"/>
    <x v="2"/>
    <s v="9/26/2010"/>
    <d v="2010-09-26T00:00:00"/>
    <n v="26"/>
    <s v="Sep"/>
    <x v="3"/>
    <s v="Sep-2010"/>
    <n v="845738112"/>
    <d v="2010-10-23T00:00:00"/>
    <n v="23"/>
    <s v="Oct"/>
    <n v="2010"/>
    <s v="Oct-2010"/>
    <s v="10/23/2010"/>
    <n v="27"/>
    <n v="1557"/>
    <n v="437.2"/>
    <n v="263.33"/>
    <n v="437.2"/>
    <n v="680720.4"/>
    <n v="410004.81"/>
    <n v="0.39768984446477584"/>
    <n v="270715.59000000003"/>
  </r>
  <r>
    <x v="0"/>
    <s v="Belarus"/>
    <x v="4"/>
    <x v="1"/>
    <x v="0"/>
    <s v="6/24/2014"/>
    <d v="2014-06-24T00:00:00"/>
    <n v="24"/>
    <s v="Jun"/>
    <x v="2"/>
    <s v="Jun-2014"/>
    <n v="669353473"/>
    <d v="2014-07-07T00:00:00"/>
    <n v="7"/>
    <s v="Jul"/>
    <n v="2014"/>
    <s v="Jul-2014"/>
    <s v="7/7/2014"/>
    <n v="13"/>
    <n v="5422"/>
    <n v="9.33"/>
    <n v="6.92"/>
    <n v="9.33"/>
    <n v="50587.26"/>
    <n v="37520.239999999998"/>
    <n v="0.25830653804930331"/>
    <n v="13067.02"/>
  </r>
  <r>
    <x v="0"/>
    <s v="Belgium"/>
    <x v="10"/>
    <x v="1"/>
    <x v="1"/>
    <s v="9/29/2015"/>
    <d v="2015-09-29T00:00:00"/>
    <n v="29"/>
    <s v="Sep"/>
    <x v="6"/>
    <s v="Sep-2015"/>
    <n v="147826898"/>
    <d v="2015-11-05T00:00:00"/>
    <n v="5"/>
    <s v="Nov"/>
    <n v="2015"/>
    <s v="Nov-2015"/>
    <s v="11/5/2015"/>
    <n v="37"/>
    <n v="4119"/>
    <n v="437.2"/>
    <n v="263.33"/>
    <n v="437.2"/>
    <n v="1800826.8"/>
    <n v="1084656.27"/>
    <n v="0.39768984446477584"/>
    <n v="716170.53"/>
  </r>
  <r>
    <x v="0"/>
    <s v="Spain"/>
    <x v="10"/>
    <x v="1"/>
    <x v="0"/>
    <s v="3/2/2011"/>
    <d v="2011-03-02T00:00:00"/>
    <n v="2"/>
    <s v="Mar"/>
    <x v="0"/>
    <s v="Mar-2011"/>
    <n v="832057130"/>
    <d v="2011-04-02T00:00:00"/>
    <n v="2"/>
    <s v="Apr"/>
    <n v="2011"/>
    <s v="Apr-2011"/>
    <s v="4/2/2011"/>
    <n v="31"/>
    <n v="3050"/>
    <n v="437.2"/>
    <n v="263.33"/>
    <n v="437.2"/>
    <n v="1333460"/>
    <n v="803156.5"/>
    <n v="0.39768984446477584"/>
    <n v="530303.5"/>
  </r>
  <r>
    <x v="0"/>
    <s v="Lithuania"/>
    <x v="3"/>
    <x v="1"/>
    <x v="3"/>
    <s v="8/23/2011"/>
    <d v="2011-08-23T00:00:00"/>
    <n v="23"/>
    <s v="Aug"/>
    <x v="0"/>
    <s v="Aug-2011"/>
    <n v="212106788"/>
    <d v="2011-09-26T00:00:00"/>
    <n v="26"/>
    <s v="Sep"/>
    <n v="2011"/>
    <s v="Sep-2011"/>
    <s v="9/26/2011"/>
    <n v="34"/>
    <n v="5967"/>
    <n v="651.21"/>
    <n v="524.96"/>
    <n v="651.20999999999992"/>
    <n v="3885770.07"/>
    <n v="3132436.32"/>
    <n v="0.19386987300563568"/>
    <n v="753333.75"/>
  </r>
  <r>
    <x v="0"/>
    <s v="Russia"/>
    <x v="11"/>
    <x v="1"/>
    <x v="1"/>
    <s v="9/14/2014"/>
    <d v="2014-09-14T00:00:00"/>
    <n v="14"/>
    <s v="Sep"/>
    <x v="2"/>
    <s v="Sep-2014"/>
    <n v="371814954"/>
    <d v="2014-10-08T00:00:00"/>
    <n v="8"/>
    <s v="Oct"/>
    <n v="2014"/>
    <s v="Oct-2014"/>
    <s v="10/8/2014"/>
    <n v="24"/>
    <n v="7162"/>
    <n v="81.73"/>
    <n v="56.67"/>
    <n v="81.73"/>
    <n v="585350.26"/>
    <n v="405870.54"/>
    <n v="0.30661935641747218"/>
    <n v="179479.72"/>
  </r>
  <r>
    <x v="0"/>
    <s v="Ireland"/>
    <x v="4"/>
    <x v="1"/>
    <x v="2"/>
    <s v="9/19/2016"/>
    <d v="2016-09-19T00:00:00"/>
    <n v="19"/>
    <s v="Sep"/>
    <x v="4"/>
    <s v="Sep-2016"/>
    <n v="548015487"/>
    <d v="2016-10-09T00:00:00"/>
    <n v="9"/>
    <s v="Oct"/>
    <n v="2016"/>
    <s v="Oct-2016"/>
    <s v="10/9/2016"/>
    <n v="20"/>
    <n v="8815"/>
    <n v="9.33"/>
    <n v="6.92"/>
    <n v="9.33"/>
    <n v="82243.95"/>
    <n v="60999.8"/>
    <n v="0.25830653804930337"/>
    <n v="21244.15"/>
  </r>
  <r>
    <x v="0"/>
    <s v="Spain"/>
    <x v="5"/>
    <x v="0"/>
    <x v="1"/>
    <s v="4/14/2011"/>
    <d v="2011-04-14T00:00:00"/>
    <n v="14"/>
    <s v="Apr"/>
    <x v="0"/>
    <s v="Apr-2011"/>
    <n v="305569112"/>
    <d v="2011-06-03T00:00:00"/>
    <n v="3"/>
    <s v="Jun"/>
    <n v="2011"/>
    <s v="Jun-2011"/>
    <s v="6/3/2011"/>
    <n v="50"/>
    <n v="3545"/>
    <n v="154.06"/>
    <n v="90.93"/>
    <n v="154.05999999999997"/>
    <n v="546142.69999999995"/>
    <n v="322346.84999999998"/>
    <n v="0.40977541217707392"/>
    <n v="223795.85"/>
  </r>
  <r>
    <x v="0"/>
    <s v="Slovakia"/>
    <x v="7"/>
    <x v="0"/>
    <x v="0"/>
    <s v="11/16/2016"/>
    <d v="2016-11-16T00:00:00"/>
    <n v="16"/>
    <s v="Nov"/>
    <x v="4"/>
    <s v="Nov-2016"/>
    <n v="536095750"/>
    <d v="2016-12-26T00:00:00"/>
    <n v="26"/>
    <s v="Dec"/>
    <n v="2016"/>
    <s v="Dec-2016"/>
    <s v="12/26/2016"/>
    <n v="40"/>
    <n v="1500"/>
    <n v="152.58000000000001"/>
    <n v="97.44"/>
    <n v="152.58000000000001"/>
    <n v="228870"/>
    <n v="146160"/>
    <n v="0.36138419189933152"/>
    <n v="82710"/>
  </r>
  <r>
    <x v="0"/>
    <s v="Armenia"/>
    <x v="9"/>
    <x v="0"/>
    <x v="2"/>
    <s v="9/9/2015"/>
    <d v="2015-09-09T00:00:00"/>
    <n v="9"/>
    <s v="Sep"/>
    <x v="6"/>
    <s v="Sep-2015"/>
    <n v="621577537"/>
    <d v="2015-09-16T00:00:00"/>
    <n v="16"/>
    <s v="Sep"/>
    <n v="2015"/>
    <s v="Sep-2015"/>
    <s v="9/16/2015"/>
    <n v="7"/>
    <n v="7461"/>
    <n v="668.27"/>
    <n v="502.54"/>
    <n v="668.27"/>
    <n v="4985962.47"/>
    <n v="3749450.94"/>
    <n v="0.24799856345489102"/>
    <n v="1236511.53"/>
  </r>
  <r>
    <x v="0"/>
    <s v="Bulgaria"/>
    <x v="10"/>
    <x v="0"/>
    <x v="3"/>
    <s v="5/6/2017"/>
    <d v="2017-05-06T00:00:00"/>
    <n v="6"/>
    <s v="May"/>
    <x v="7"/>
    <s v="May-2017"/>
    <n v="826968657"/>
    <d v="2017-06-15T00:00:00"/>
    <n v="15"/>
    <s v="Jun"/>
    <n v="2017"/>
    <s v="Jun-2017"/>
    <s v="6/15/2017"/>
    <n v="40"/>
    <n v="7258"/>
    <n v="437.2"/>
    <n v="263.33"/>
    <n v="437.2"/>
    <n v="3173197.6"/>
    <n v="1911249.14"/>
    <n v="0.39768984446477584"/>
    <n v="1261948.46"/>
  </r>
  <r>
    <x v="0"/>
    <s v="Montenegro"/>
    <x v="9"/>
    <x v="0"/>
    <x v="2"/>
    <s v="11/25/2010"/>
    <d v="2010-11-25T00:00:00"/>
    <n v="25"/>
    <s v="Nov"/>
    <x v="3"/>
    <s v="Nov-2010"/>
    <n v="546544349"/>
    <d v="2010-12-12T00:00:00"/>
    <n v="12"/>
    <s v="Dec"/>
    <n v="2010"/>
    <s v="Dec-2010"/>
    <s v="12/12/2010"/>
    <n v="17"/>
    <n v="3473"/>
    <n v="668.27"/>
    <n v="502.54"/>
    <n v="668.27"/>
    <n v="2320901.71"/>
    <n v="1745321.42"/>
    <n v="0.24799856345489102"/>
    <n v="575580.29"/>
  </r>
  <r>
    <x v="0"/>
    <s v="Luxembourg"/>
    <x v="9"/>
    <x v="0"/>
    <x v="0"/>
    <s v="9/5/2016"/>
    <d v="2016-09-05T00:00:00"/>
    <n v="5"/>
    <s v="Sep"/>
    <x v="4"/>
    <s v="Sep-2016"/>
    <n v="463591134"/>
    <d v="2016-10-01T00:00:00"/>
    <n v="1"/>
    <s v="Oct"/>
    <n v="2016"/>
    <s v="Oct-2016"/>
    <s v="10/1/2016"/>
    <n v="26"/>
    <n v="5773"/>
    <n v="668.27"/>
    <n v="502.54"/>
    <n v="668.27"/>
    <n v="3857922.71"/>
    <n v="2901163.42"/>
    <n v="0.24799856345489099"/>
    <n v="956759.29"/>
  </r>
  <r>
    <x v="0"/>
    <s v="Macedonia"/>
    <x v="3"/>
    <x v="0"/>
    <x v="0"/>
    <s v="12/17/2015"/>
    <d v="2015-12-17T00:00:00"/>
    <n v="17"/>
    <s v="Dec"/>
    <x v="6"/>
    <s v="Dec-2015"/>
    <n v="696839892"/>
    <d v="2016-01-02T00:00:00"/>
    <n v="2"/>
    <s v="Jan"/>
    <n v="2016"/>
    <s v="Jan-2016"/>
    <s v="1/2/2016"/>
    <n v="16"/>
    <n v="9264"/>
    <n v="651.21"/>
    <n v="524.96"/>
    <n v="651.21"/>
    <n v="6032809.4400000004"/>
    <n v="4863229.4400000004"/>
    <n v="0.19386987300563566"/>
    <n v="1169580"/>
  </r>
  <r>
    <x v="0"/>
    <s v="United Kingdom"/>
    <x v="11"/>
    <x v="0"/>
    <x v="1"/>
    <s v="9/22/2011"/>
    <d v="2011-09-22T00:00:00"/>
    <n v="22"/>
    <s v="Sep"/>
    <x v="0"/>
    <s v="Sep-2011"/>
    <n v="509380948"/>
    <d v="2011-09-27T00:00:00"/>
    <n v="27"/>
    <s v="Sep"/>
    <n v="2011"/>
    <s v="Sep-2011"/>
    <s v="9/27/2011"/>
    <n v="5"/>
    <n v="5997"/>
    <n v="81.73"/>
    <n v="56.67"/>
    <n v="81.73"/>
    <n v="490134.81"/>
    <n v="339849.99"/>
    <n v="0.30661935641747218"/>
    <n v="150284.82"/>
  </r>
  <r>
    <x v="0"/>
    <s v="Russia"/>
    <x v="1"/>
    <x v="0"/>
    <x v="1"/>
    <s v="7/28/2011"/>
    <d v="2011-07-28T00:00:00"/>
    <n v="28"/>
    <s v="Jul"/>
    <x v="0"/>
    <s v="Jul-2011"/>
    <n v="221628844"/>
    <d v="2011-09-01T00:00:00"/>
    <n v="1"/>
    <s v="Sep"/>
    <n v="2011"/>
    <s v="Sep-2011"/>
    <s v="9/1/2011"/>
    <n v="35"/>
    <n v="3755"/>
    <n v="109.28"/>
    <n v="35.840000000000003"/>
    <n v="109.28"/>
    <n v="410346.4"/>
    <n v="134579.20000000001"/>
    <n v="0.67203513909224011"/>
    <n v="275767.2"/>
  </r>
  <r>
    <x v="0"/>
    <s v="Estonia"/>
    <x v="0"/>
    <x v="1"/>
    <x v="3"/>
    <s v="2/29/2016"/>
    <d v="2016-02-29T00:00:00"/>
    <n v="29"/>
    <s v="Feb"/>
    <x v="4"/>
    <s v="Feb-2016"/>
    <n v="650208079"/>
    <d v="2016-03-19T00:00:00"/>
    <n v="19"/>
    <s v="Mar"/>
    <n v="2016"/>
    <s v="Mar-2016"/>
    <s v="3/19/2016"/>
    <n v="19"/>
    <n v="9875"/>
    <n v="47.45"/>
    <n v="31.79"/>
    <n v="47.45"/>
    <n v="468568.75"/>
    <n v="313926.25"/>
    <n v="0.33003161222339306"/>
    <n v="154642.5"/>
  </r>
  <r>
    <x v="0"/>
    <s v="Moldova "/>
    <x v="6"/>
    <x v="0"/>
    <x v="2"/>
    <s v="6/14/2010"/>
    <d v="2010-06-14T00:00:00"/>
    <n v="14"/>
    <s v="Jun"/>
    <x v="3"/>
    <s v="Jun-2010"/>
    <n v="229105556"/>
    <d v="2010-08-03T00:00:00"/>
    <n v="3"/>
    <s v="Aug"/>
    <n v="2010"/>
    <s v="Aug-2010"/>
    <s v="8/3/2010"/>
    <n v="50"/>
    <n v="6280"/>
    <n v="421.89"/>
    <n v="364.69"/>
    <n v="421.89000000000004"/>
    <n v="2649469.2000000002"/>
    <n v="2290253.2000000002"/>
    <n v="0.13558036455000116"/>
    <n v="359216"/>
  </r>
  <r>
    <x v="0"/>
    <s v="Ukraine"/>
    <x v="3"/>
    <x v="0"/>
    <x v="1"/>
    <s v="3/11/2016"/>
    <d v="2016-03-11T00:00:00"/>
    <n v="11"/>
    <s v="Mar"/>
    <x v="4"/>
    <s v="Mar-2016"/>
    <n v="660481584"/>
    <d v="2016-04-20T00:00:00"/>
    <n v="20"/>
    <s v="Apr"/>
    <n v="2016"/>
    <s v="Apr-2016"/>
    <s v="4/20/2016"/>
    <n v="40"/>
    <n v="33"/>
    <n v="651.21"/>
    <n v="524.96"/>
    <n v="651.21"/>
    <n v="21489.93"/>
    <n v="17323.68"/>
    <n v="0.19386987300563566"/>
    <n v="4166.25"/>
  </r>
  <r>
    <x v="0"/>
    <s v="Kosovo"/>
    <x v="3"/>
    <x v="0"/>
    <x v="3"/>
    <s v="8/3/2014"/>
    <d v="2014-08-03T00:00:00"/>
    <n v="3"/>
    <s v="Aug"/>
    <x v="2"/>
    <s v="Aug-2014"/>
    <n v="168487203"/>
    <d v="2014-09-21T00:00:00"/>
    <n v="21"/>
    <s v="Sep"/>
    <n v="2014"/>
    <s v="Sep-2014"/>
    <s v="9/21/2014"/>
    <n v="49"/>
    <n v="7962"/>
    <n v="651.21"/>
    <n v="524.96"/>
    <n v="651.20999999999992"/>
    <n v="5184934.0199999996"/>
    <n v="4179731.52"/>
    <n v="0.19386987300563568"/>
    <n v="1005202.5"/>
  </r>
  <r>
    <x v="0"/>
    <s v="Russia"/>
    <x v="6"/>
    <x v="1"/>
    <x v="1"/>
    <s v="12/20/2010"/>
    <d v="2010-12-20T00:00:00"/>
    <n v="20"/>
    <s v="Dec"/>
    <x v="3"/>
    <s v="Dec-2010"/>
    <n v="609952628"/>
    <d v="2011-01-31T00:00:00"/>
    <n v="31"/>
    <s v="Jan"/>
    <n v="2011"/>
    <s v="Jan-2011"/>
    <s v="1/31/2011"/>
    <n v="42"/>
    <n v="7392"/>
    <n v="421.89"/>
    <n v="364.69"/>
    <n v="421.89"/>
    <n v="3118610.88"/>
    <n v="2695788.48"/>
    <n v="0.13558036455000119"/>
    <n v="422822.40000000002"/>
  </r>
  <r>
    <x v="0"/>
    <s v="Slovakia"/>
    <x v="8"/>
    <x v="0"/>
    <x v="3"/>
    <s v="5/30/2012"/>
    <d v="2012-05-30T00:00:00"/>
    <n v="30"/>
    <s v="May"/>
    <x v="5"/>
    <s v="May-2012"/>
    <n v="891808593"/>
    <d v="2012-06-11T00:00:00"/>
    <n v="11"/>
    <s v="Jun"/>
    <n v="2012"/>
    <s v="Jun-2012"/>
    <s v="6/11/2012"/>
    <n v="12"/>
    <n v="4835"/>
    <n v="255.28"/>
    <n v="159.41999999999999"/>
    <n v="255.28"/>
    <n v="1234278.8"/>
    <n v="770795.7"/>
    <n v="0.37550924475086178"/>
    <n v="463483.1"/>
  </r>
  <r>
    <x v="0"/>
    <s v="San Marino"/>
    <x v="4"/>
    <x v="1"/>
    <x v="2"/>
    <s v="7/10/2017"/>
    <d v="2017-07-10T00:00:00"/>
    <n v="10"/>
    <s v="Jul"/>
    <x v="7"/>
    <s v="Jul-2017"/>
    <n v="765734040"/>
    <d v="2017-08-04T00:00:00"/>
    <n v="4"/>
    <s v="Aug"/>
    <n v="2017"/>
    <s v="Aug-2017"/>
    <s v="8/4/2017"/>
    <n v="25"/>
    <n v="6574"/>
    <n v="9.33"/>
    <n v="6.92"/>
    <n v="9.33"/>
    <n v="61335.42"/>
    <n v="45492.08"/>
    <n v="0.25830653804930331"/>
    <n v="15843.34"/>
  </r>
  <r>
    <x v="0"/>
    <s v="San Marino"/>
    <x v="2"/>
    <x v="0"/>
    <x v="2"/>
    <s v="5/18/2012"/>
    <d v="2012-05-18T00:00:00"/>
    <n v="18"/>
    <s v="May"/>
    <x v="5"/>
    <s v="May-2012"/>
    <n v="125349128"/>
    <d v="2012-06-06T00:00:00"/>
    <n v="6"/>
    <s v="Jun"/>
    <n v="2012"/>
    <s v="Jun-2012"/>
    <s v="6/6/2012"/>
    <n v="19"/>
    <n v="2447"/>
    <n v="205.7"/>
    <n v="117.11"/>
    <n v="205.70000000000002"/>
    <n v="503347.9"/>
    <n v="286568.17"/>
    <n v="0.43067574137092851"/>
    <n v="216779.73"/>
  </r>
  <r>
    <x v="0"/>
    <s v="Netherlands"/>
    <x v="5"/>
    <x v="0"/>
    <x v="3"/>
    <s v="3/12/2017"/>
    <d v="2017-03-12T00:00:00"/>
    <n v="12"/>
    <s v="Mar"/>
    <x v="7"/>
    <s v="Mar-2017"/>
    <n v="688698422"/>
    <d v="2017-04-01T00:00:00"/>
    <n v="1"/>
    <s v="Apr"/>
    <n v="2017"/>
    <s v="Apr-2017"/>
    <s v="4/1/2017"/>
    <n v="20"/>
    <n v="22"/>
    <n v="154.06"/>
    <n v="90.93"/>
    <n v="154.06"/>
    <n v="3389.32"/>
    <n v="2000.46"/>
    <n v="0.40977541217707381"/>
    <n v="1388.86"/>
  </r>
  <r>
    <x v="0"/>
    <s v="France"/>
    <x v="9"/>
    <x v="1"/>
    <x v="2"/>
    <s v="6/16/2011"/>
    <d v="2011-06-16T00:00:00"/>
    <n v="16"/>
    <s v="Jun"/>
    <x v="0"/>
    <s v="Jun-2011"/>
    <n v="367328155"/>
    <d v="2011-07-30T00:00:00"/>
    <n v="30"/>
    <s v="Jul"/>
    <n v="2011"/>
    <s v="Jul-2011"/>
    <s v="7/30/2011"/>
    <n v="44"/>
    <n v="9419"/>
    <n v="668.27"/>
    <n v="502.54"/>
    <n v="668.27"/>
    <n v="6294435.1299999999"/>
    <n v="4733424.26"/>
    <n v="0.24799856345489102"/>
    <n v="1561010.87"/>
  </r>
  <r>
    <x v="0"/>
    <s v="Belgium"/>
    <x v="2"/>
    <x v="0"/>
    <x v="2"/>
    <s v="11/14/2012"/>
    <d v="2012-11-14T00:00:00"/>
    <n v="14"/>
    <s v="Nov"/>
    <x v="5"/>
    <s v="Nov-2012"/>
    <n v="495450627"/>
    <d v="2012-12-26T00:00:00"/>
    <n v="26"/>
    <s v="Dec"/>
    <n v="2012"/>
    <s v="Dec-2012"/>
    <s v="12/26/2012"/>
    <n v="42"/>
    <n v="3705"/>
    <n v="205.7"/>
    <n v="117.11"/>
    <n v="205.7"/>
    <n v="762118.5"/>
    <n v="433892.55"/>
    <n v="0.43067574137092857"/>
    <n v="328225.95"/>
  </r>
  <r>
    <x v="0"/>
    <s v="Belarus"/>
    <x v="11"/>
    <x v="1"/>
    <x v="1"/>
    <s v="7/24/2013"/>
    <d v="2013-07-24T00:00:00"/>
    <n v="24"/>
    <s v="Jul"/>
    <x v="1"/>
    <s v="Jul-2013"/>
    <n v="638856971"/>
    <d v="2013-08-21T00:00:00"/>
    <n v="21"/>
    <s v="Aug"/>
    <n v="2013"/>
    <s v="Aug-2013"/>
    <s v="8/21/2013"/>
    <n v="28"/>
    <n v="829"/>
    <n v="81.73"/>
    <n v="56.67"/>
    <n v="81.73"/>
    <n v="67754.17"/>
    <n v="46979.43"/>
    <n v="0.30661935641747218"/>
    <n v="20774.740000000002"/>
  </r>
  <r>
    <x v="0"/>
    <s v="Slovakia"/>
    <x v="5"/>
    <x v="0"/>
    <x v="1"/>
    <s v="6/1/2016"/>
    <d v="2016-06-01T00:00:00"/>
    <n v="1"/>
    <s v="Jun"/>
    <x v="4"/>
    <s v="Jun-2016"/>
    <n v="936664998"/>
    <d v="2016-07-05T00:00:00"/>
    <n v="5"/>
    <s v="Jul"/>
    <n v="2016"/>
    <s v="Jul-2016"/>
    <s v="7/5/2016"/>
    <n v="34"/>
    <n v="8843"/>
    <n v="154.06"/>
    <n v="90.93"/>
    <n v="154.06"/>
    <n v="1362352.58"/>
    <n v="804093.99"/>
    <n v="0.40977541217707381"/>
    <n v="558258.59"/>
  </r>
  <r>
    <x v="0"/>
    <s v="Belgium"/>
    <x v="10"/>
    <x v="0"/>
    <x v="0"/>
    <s v="5/21/2011"/>
    <d v="2011-05-21T00:00:00"/>
    <n v="21"/>
    <s v="May"/>
    <x v="0"/>
    <s v="May-2011"/>
    <n v="695059764"/>
    <d v="2011-06-29T00:00:00"/>
    <n v="29"/>
    <s v="Jun"/>
    <n v="2011"/>
    <s v="Jun-2011"/>
    <s v="6/29/2011"/>
    <n v="39"/>
    <n v="2485"/>
    <n v="437.2"/>
    <n v="263.33"/>
    <n v="437.2"/>
    <n v="1086442"/>
    <n v="654375.05000000005"/>
    <n v="0.39768984446477584"/>
    <n v="432066.95"/>
  </r>
  <r>
    <x v="0"/>
    <s v="Belarus"/>
    <x v="0"/>
    <x v="1"/>
    <x v="3"/>
    <s v="3/8/2010"/>
    <d v="2010-03-08T00:00:00"/>
    <n v="8"/>
    <s v="Mar"/>
    <x v="3"/>
    <s v="Mar-2010"/>
    <n v="681713092"/>
    <d v="2010-03-22T00:00:00"/>
    <n v="22"/>
    <s v="Mar"/>
    <n v="2010"/>
    <s v="Mar-2010"/>
    <s v="3/22/2010"/>
    <n v="14"/>
    <n v="2908"/>
    <n v="47.45"/>
    <n v="31.79"/>
    <n v="47.45"/>
    <n v="137984.6"/>
    <n v="92445.32"/>
    <n v="0.330031612223393"/>
    <n v="45539.28"/>
  </r>
  <r>
    <x v="0"/>
    <s v="Denmark"/>
    <x v="0"/>
    <x v="0"/>
    <x v="3"/>
    <s v="9/26/2010"/>
    <d v="2010-09-26T00:00:00"/>
    <n v="26"/>
    <s v="Sep"/>
    <x v="3"/>
    <s v="Sep-2010"/>
    <n v="511155498"/>
    <d v="2010-11-04T00:00:00"/>
    <n v="4"/>
    <s v="Nov"/>
    <n v="2010"/>
    <s v="Nov-2010"/>
    <s v="11/4/2010"/>
    <n v="39"/>
    <n v="1126"/>
    <n v="47.45"/>
    <n v="31.79"/>
    <n v="47.449999999999996"/>
    <n v="53428.7"/>
    <n v="35795.54"/>
    <n v="0.33003161222339306"/>
    <n v="17633.16"/>
  </r>
  <r>
    <x v="0"/>
    <s v="France"/>
    <x v="11"/>
    <x v="1"/>
    <x v="3"/>
    <s v="10/16/2010"/>
    <d v="2010-10-16T00:00:00"/>
    <n v="16"/>
    <s v="Oct"/>
    <x v="3"/>
    <s v="Oct-2010"/>
    <n v="762655293"/>
    <d v="2010-11-11T00:00:00"/>
    <n v="11"/>
    <s v="Nov"/>
    <n v="2010"/>
    <s v="Nov-2010"/>
    <s v="11/11/2010"/>
    <n v="26"/>
    <n v="5504"/>
    <n v="81.73"/>
    <n v="56.67"/>
    <n v="81.73"/>
    <n v="449841.91999999998"/>
    <n v="311911.67999999999"/>
    <n v="0.30661935641747218"/>
    <n v="137930.23999999999"/>
  </r>
  <r>
    <x v="0"/>
    <s v="Romania"/>
    <x v="11"/>
    <x v="0"/>
    <x v="2"/>
    <s v="1/14/2015"/>
    <d v="2015-01-14T00:00:00"/>
    <n v="14"/>
    <s v="Jan"/>
    <x v="6"/>
    <s v="Jan-2015"/>
    <n v="119935786"/>
    <d v="2015-01-27T00:00:00"/>
    <n v="27"/>
    <s v="Jan"/>
    <n v="2015"/>
    <s v="Jan-2015"/>
    <s v="1/27/2015"/>
    <n v="13"/>
    <n v="519"/>
    <n v="81.73"/>
    <n v="56.67"/>
    <n v="81.73"/>
    <n v="42417.87"/>
    <n v="29411.73"/>
    <n v="0.30661935641747212"/>
    <n v="13006.14"/>
  </r>
  <r>
    <x v="0"/>
    <s v="Czech Republic"/>
    <x v="7"/>
    <x v="1"/>
    <x v="1"/>
    <s v="8/31/2010"/>
    <d v="2010-08-31T00:00:00"/>
    <n v="31"/>
    <s v="Aug"/>
    <x v="3"/>
    <s v="Aug-2010"/>
    <n v="755605590"/>
    <d v="2010-09-11T00:00:00"/>
    <n v="11"/>
    <s v="Sep"/>
    <n v="2010"/>
    <s v="Sep-2010"/>
    <s v="9/11/2010"/>
    <n v="11"/>
    <n v="9340"/>
    <n v="152.58000000000001"/>
    <n v="97.44"/>
    <n v="152.57999999999998"/>
    <n v="1425097.2"/>
    <n v="910089.6"/>
    <n v="0.36138419189933152"/>
    <n v="515007.6"/>
  </r>
  <r>
    <x v="0"/>
    <s v="Moldova "/>
    <x v="6"/>
    <x v="1"/>
    <x v="1"/>
    <s v="6/13/2010"/>
    <d v="2010-06-13T00:00:00"/>
    <n v="13"/>
    <s v="Jun"/>
    <x v="3"/>
    <s v="Jun-2010"/>
    <n v="907047402"/>
    <d v="2010-08-01T00:00:00"/>
    <n v="1"/>
    <s v="Aug"/>
    <n v="2010"/>
    <s v="Aug-2010"/>
    <s v="8/1/2010"/>
    <n v="49"/>
    <n v="4338"/>
    <n v="421.89"/>
    <n v="364.69"/>
    <n v="421.89000000000004"/>
    <n v="1830158.82"/>
    <n v="1582025.22"/>
    <n v="0.13558036455000119"/>
    <n v="248133.6"/>
  </r>
  <r>
    <x v="0"/>
    <s v="Norway"/>
    <x v="4"/>
    <x v="0"/>
    <x v="2"/>
    <s v="8/12/2013"/>
    <d v="2013-08-12T00:00:00"/>
    <n v="12"/>
    <s v="Aug"/>
    <x v="1"/>
    <s v="Aug-2013"/>
    <n v="638937652"/>
    <d v="2013-09-06T00:00:00"/>
    <n v="6"/>
    <s v="Sep"/>
    <n v="2013"/>
    <s v="Sep-2013"/>
    <s v="9/6/2013"/>
    <n v="25"/>
    <n v="4705"/>
    <n v="9.33"/>
    <n v="6.92"/>
    <n v="9.33"/>
    <n v="43897.65"/>
    <n v="32558.6"/>
    <n v="0.25830653804930331"/>
    <n v="11339.05"/>
  </r>
  <r>
    <x v="0"/>
    <s v="France"/>
    <x v="2"/>
    <x v="0"/>
    <x v="3"/>
    <s v="2/26/2016"/>
    <d v="2016-02-26T00:00:00"/>
    <n v="26"/>
    <s v="Feb"/>
    <x v="4"/>
    <s v="Feb-2016"/>
    <n v="449206340"/>
    <d v="2016-04-03T00:00:00"/>
    <n v="3"/>
    <s v="Apr"/>
    <n v="2016"/>
    <s v="Apr-2016"/>
    <s v="4/3/2016"/>
    <n v="37"/>
    <n v="8993"/>
    <n v="205.7"/>
    <n v="117.11"/>
    <n v="205.70000000000002"/>
    <n v="1849860.1"/>
    <n v="1053170.23"/>
    <n v="0.43067574137092851"/>
    <n v="796689.87"/>
  </r>
  <r>
    <x v="0"/>
    <s v="Romania"/>
    <x v="0"/>
    <x v="1"/>
    <x v="2"/>
    <s v="7/10/2010"/>
    <d v="2010-07-10T00:00:00"/>
    <n v="10"/>
    <s v="Jul"/>
    <x v="3"/>
    <s v="Jul-2010"/>
    <n v="864071118"/>
    <d v="2010-07-18T00:00:00"/>
    <n v="18"/>
    <s v="Jul"/>
    <n v="2010"/>
    <s v="Jul-2010"/>
    <s v="7/18/2010"/>
    <n v="8"/>
    <n v="6700"/>
    <n v="47.45"/>
    <n v="31.79"/>
    <n v="47.45"/>
    <n v="317915"/>
    <n v="212993"/>
    <n v="0.33003161222339306"/>
    <n v="104922"/>
  </r>
  <r>
    <x v="0"/>
    <s v="Russia"/>
    <x v="3"/>
    <x v="1"/>
    <x v="0"/>
    <s v="12/16/2010"/>
    <d v="2010-12-16T00:00:00"/>
    <n v="16"/>
    <s v="Dec"/>
    <x v="3"/>
    <s v="Dec-2010"/>
    <n v="253211104"/>
    <d v="2010-12-27T00:00:00"/>
    <n v="27"/>
    <s v="Dec"/>
    <n v="2010"/>
    <s v="Dec-2010"/>
    <s v="12/27/2010"/>
    <n v="11"/>
    <n v="9648"/>
    <n v="651.21"/>
    <n v="524.96"/>
    <n v="651.21"/>
    <n v="6282874.0800000001"/>
    <n v="5064814.08"/>
    <n v="0.19386987300563566"/>
    <n v="1218060"/>
  </r>
  <r>
    <x v="0"/>
    <s v="Belgium"/>
    <x v="4"/>
    <x v="1"/>
    <x v="1"/>
    <s v="11/10/2013"/>
    <d v="2013-11-10T00:00:00"/>
    <n v="10"/>
    <s v="Nov"/>
    <x v="1"/>
    <s v="Nov-2013"/>
    <n v="609939754"/>
    <d v="2013-11-30T00:00:00"/>
    <n v="30"/>
    <s v="Nov"/>
    <n v="2013"/>
    <s v="Nov-2013"/>
    <s v="11/30/2013"/>
    <n v="20"/>
    <n v="3582"/>
    <n v="9.33"/>
    <n v="6.92"/>
    <n v="9.33"/>
    <n v="33420.06"/>
    <n v="24787.439999999999"/>
    <n v="0.25830653804930337"/>
    <n v="8632.6200000000008"/>
  </r>
  <r>
    <x v="0"/>
    <s v="Lithuania"/>
    <x v="2"/>
    <x v="0"/>
    <x v="1"/>
    <s v="2/6/2014"/>
    <d v="2014-02-06T00:00:00"/>
    <n v="6"/>
    <s v="Feb"/>
    <x v="2"/>
    <s v="Feb-2014"/>
    <n v="907691991"/>
    <d v="2014-03-09T00:00:00"/>
    <n v="9"/>
    <s v="Mar"/>
    <n v="2014"/>
    <s v="Mar-2014"/>
    <s v="3/9/2014"/>
    <n v="31"/>
    <n v="5086"/>
    <n v="205.7"/>
    <n v="117.11"/>
    <n v="205.7"/>
    <n v="1046190.2"/>
    <n v="595621.46"/>
    <n v="0.43067574137092857"/>
    <n v="450568.74"/>
  </r>
  <r>
    <x v="0"/>
    <s v="Georgia"/>
    <x v="4"/>
    <x v="0"/>
    <x v="0"/>
    <s v="1/28/2017"/>
    <d v="2017-01-28T00:00:00"/>
    <n v="28"/>
    <s v="Jan"/>
    <x v="7"/>
    <s v="Jan-2017"/>
    <n v="460693061"/>
    <d v="2017-02-25T00:00:00"/>
    <n v="25"/>
    <s v="Feb"/>
    <n v="2017"/>
    <s v="Feb-2017"/>
    <s v="2/25/2017"/>
    <n v="28"/>
    <n v="8169"/>
    <n v="9.33"/>
    <n v="6.92"/>
    <n v="9.33"/>
    <n v="76216.77"/>
    <n v="56529.48"/>
    <n v="0.25830653804930331"/>
    <n v="19687.29"/>
  </r>
  <r>
    <x v="0"/>
    <s v="Switzerland"/>
    <x v="3"/>
    <x v="0"/>
    <x v="3"/>
    <s v="4/5/2013"/>
    <d v="2013-04-05T00:00:00"/>
    <n v="5"/>
    <s v="Apr"/>
    <x v="1"/>
    <s v="Apr-2013"/>
    <n v="424541604"/>
    <d v="2013-05-17T00:00:00"/>
    <n v="17"/>
    <s v="May"/>
    <n v="2013"/>
    <s v="May-2013"/>
    <s v="5/17/2013"/>
    <n v="42"/>
    <n v="150"/>
    <n v="651.21"/>
    <n v="524.96"/>
    <n v="651.21"/>
    <n v="97681.5"/>
    <n v="78744"/>
    <n v="0.19386987300563566"/>
    <n v="18937.5"/>
  </r>
  <r>
    <x v="0"/>
    <s v="Czech Republic"/>
    <x v="9"/>
    <x v="1"/>
    <x v="2"/>
    <s v="8/25/2014"/>
    <d v="2014-08-25T00:00:00"/>
    <n v="25"/>
    <s v="Aug"/>
    <x v="2"/>
    <s v="Aug-2014"/>
    <n v="571161448"/>
    <d v="2014-09-30T00:00:00"/>
    <n v="30"/>
    <s v="Sep"/>
    <n v="2014"/>
    <s v="Sep-2014"/>
    <s v="9/30/2014"/>
    <n v="36"/>
    <n v="8220"/>
    <n v="668.27"/>
    <n v="502.54"/>
    <n v="668.2700000000001"/>
    <n v="5493179.4000000004"/>
    <n v="4130878.8"/>
    <n v="0.24799856345489099"/>
    <n v="1362300.6"/>
  </r>
  <r>
    <x v="0"/>
    <s v="Netherlands"/>
    <x v="0"/>
    <x v="1"/>
    <x v="3"/>
    <s v="2/4/2011"/>
    <d v="2011-02-04T00:00:00"/>
    <n v="4"/>
    <s v="Feb"/>
    <x v="0"/>
    <s v="Feb-2011"/>
    <n v="985039174"/>
    <d v="2011-03-10T00:00:00"/>
    <n v="10"/>
    <s v="Mar"/>
    <n v="2011"/>
    <s v="Mar-2011"/>
    <s v="3/10/2011"/>
    <n v="34"/>
    <n v="3836"/>
    <n v="47.45"/>
    <n v="31.79"/>
    <n v="47.45"/>
    <n v="182018.2"/>
    <n v="121946.44"/>
    <n v="0.33003161222339306"/>
    <n v="60071.76"/>
  </r>
  <r>
    <x v="0"/>
    <s v="Romania"/>
    <x v="1"/>
    <x v="1"/>
    <x v="3"/>
    <s v="11/16/2015"/>
    <d v="2015-11-16T00:00:00"/>
    <n v="16"/>
    <s v="Nov"/>
    <x v="6"/>
    <s v="Nov-2015"/>
    <n v="522323358"/>
    <d v="2015-11-20T00:00:00"/>
    <n v="20"/>
    <s v="Nov"/>
    <n v="2015"/>
    <s v="Nov-2015"/>
    <s v="11/20/2015"/>
    <n v="4"/>
    <n v="5944"/>
    <n v="109.28"/>
    <n v="35.840000000000003"/>
    <n v="109.27999999999999"/>
    <n v="649560.31999999995"/>
    <n v="213032.95999999999"/>
    <n v="0.67203513909224011"/>
    <n v="436527.35999999999"/>
  </r>
  <r>
    <x v="0"/>
    <s v="Latvia"/>
    <x v="5"/>
    <x v="0"/>
    <x v="1"/>
    <s v="10/5/2016"/>
    <d v="2016-10-05T00:00:00"/>
    <n v="5"/>
    <s v="Oct"/>
    <x v="4"/>
    <s v="Oct-2016"/>
    <n v="486461150"/>
    <d v="2016-11-13T00:00:00"/>
    <n v="13"/>
    <s v="Nov"/>
    <n v="2016"/>
    <s v="Nov-2016"/>
    <s v="11/13/2016"/>
    <n v="39"/>
    <n v="3519"/>
    <n v="154.06"/>
    <n v="90.93"/>
    <n v="154.06"/>
    <n v="542137.14"/>
    <n v="319982.67"/>
    <n v="0.40977541217707386"/>
    <n v="222154.47"/>
  </r>
  <r>
    <x v="0"/>
    <s v="Slovenia"/>
    <x v="10"/>
    <x v="1"/>
    <x v="1"/>
    <s v="1/24/2017"/>
    <d v="2017-01-24T00:00:00"/>
    <n v="24"/>
    <s v="Jan"/>
    <x v="7"/>
    <s v="Jan-2017"/>
    <n v="949912965"/>
    <d v="2017-03-06T00:00:00"/>
    <n v="6"/>
    <s v="Mar"/>
    <n v="2017"/>
    <s v="Mar-2017"/>
    <s v="3/6/2017"/>
    <n v="41"/>
    <n v="9210"/>
    <n v="437.2"/>
    <n v="263.33"/>
    <n v="437.2"/>
    <n v="4026612"/>
    <n v="2425269.2999999998"/>
    <n v="0.39768984446477584"/>
    <n v="1601342.7"/>
  </r>
  <r>
    <x v="0"/>
    <s v="France"/>
    <x v="4"/>
    <x v="1"/>
    <x v="2"/>
    <s v="4/20/2013"/>
    <d v="2013-04-20T00:00:00"/>
    <n v="20"/>
    <s v="Apr"/>
    <x v="1"/>
    <s v="Apr-2013"/>
    <n v="103499639"/>
    <d v="2013-06-06T00:00:00"/>
    <n v="6"/>
    <s v="Jun"/>
    <n v="2013"/>
    <s v="Jun-2013"/>
    <s v="6/6/2013"/>
    <n v="47"/>
    <n v="6698"/>
    <n v="9.33"/>
    <n v="6.92"/>
    <n v="9.33"/>
    <n v="62492.34"/>
    <n v="46350.16"/>
    <n v="0.25830653804930337"/>
    <n v="16142.18"/>
  </r>
  <r>
    <x v="0"/>
    <s v="Slovakia"/>
    <x v="11"/>
    <x v="0"/>
    <x v="0"/>
    <s v="12/23/2016"/>
    <d v="2016-12-23T00:00:00"/>
    <n v="23"/>
    <s v="Dec"/>
    <x v="4"/>
    <s v="Dec-2016"/>
    <n v="877687728"/>
    <d v="2017-02-07T00:00:00"/>
    <n v="7"/>
    <s v="Feb"/>
    <n v="2017"/>
    <s v="Feb-2017"/>
    <s v="2/7/2017"/>
    <n v="46"/>
    <n v="6158"/>
    <n v="81.73"/>
    <n v="56.67"/>
    <n v="81.73"/>
    <n v="503293.34"/>
    <n v="348973.86"/>
    <n v="0.30661935641747218"/>
    <n v="154319.48000000001"/>
  </r>
  <r>
    <x v="0"/>
    <s v="Greece"/>
    <x v="8"/>
    <x v="0"/>
    <x v="3"/>
    <s v="1/15/2015"/>
    <d v="2015-01-15T00:00:00"/>
    <n v="15"/>
    <s v="Jan"/>
    <x v="6"/>
    <s v="Jan-2015"/>
    <n v="288073384"/>
    <d v="2015-02-16T00:00:00"/>
    <n v="16"/>
    <s v="Feb"/>
    <n v="2015"/>
    <s v="Feb-2015"/>
    <s v="2/16/2015"/>
    <n v="32"/>
    <n v="6171"/>
    <n v="255.28"/>
    <n v="159.41999999999999"/>
    <n v="255.27999999999997"/>
    <n v="1575332.88"/>
    <n v="983780.82"/>
    <n v="0.37550924475086184"/>
    <n v="591552.06000000006"/>
  </r>
  <r>
    <x v="0"/>
    <s v="Latvia"/>
    <x v="9"/>
    <x v="1"/>
    <x v="3"/>
    <s v="8/3/2016"/>
    <d v="2016-08-03T00:00:00"/>
    <n v="3"/>
    <s v="Aug"/>
    <x v="4"/>
    <s v="Aug-2016"/>
    <n v="607756221"/>
    <d v="2016-08-11T00:00:00"/>
    <n v="11"/>
    <s v="Aug"/>
    <n v="2016"/>
    <s v="Aug-2016"/>
    <s v="8/11/2016"/>
    <n v="8"/>
    <n v="7426"/>
    <n v="668.27"/>
    <n v="502.54"/>
    <n v="668.27"/>
    <n v="4962573.0199999996"/>
    <n v="3731862.04"/>
    <n v="0.24799856345489102"/>
    <n v="1230710.98"/>
  </r>
  <r>
    <x v="0"/>
    <s v="Liechtenstein"/>
    <x v="9"/>
    <x v="1"/>
    <x v="3"/>
    <s v="2/13/2017"/>
    <d v="2017-02-13T00:00:00"/>
    <n v="13"/>
    <s v="Feb"/>
    <x v="7"/>
    <s v="Feb-2017"/>
    <n v="291179597"/>
    <d v="2017-02-20T00:00:00"/>
    <n v="20"/>
    <s v="Feb"/>
    <n v="2017"/>
    <s v="Feb-2017"/>
    <s v="2/20/2017"/>
    <n v="7"/>
    <n v="5368"/>
    <n v="668.27"/>
    <n v="502.54"/>
    <n v="668.27"/>
    <n v="3587273.36"/>
    <n v="2697634.72"/>
    <n v="0.24799856345489099"/>
    <n v="889638.64"/>
  </r>
  <r>
    <x v="0"/>
    <s v="San Marino"/>
    <x v="4"/>
    <x v="1"/>
    <x v="2"/>
    <s v="10/25/2010"/>
    <d v="2010-10-25T00:00:00"/>
    <n v="25"/>
    <s v="Oct"/>
    <x v="3"/>
    <s v="Oct-2010"/>
    <n v="875220096"/>
    <d v="2010-11-06T00:00:00"/>
    <n v="6"/>
    <s v="Nov"/>
    <n v="2010"/>
    <s v="Nov-2010"/>
    <s v="11/6/2010"/>
    <n v="12"/>
    <n v="5930"/>
    <n v="9.33"/>
    <n v="6.92"/>
    <n v="9.33"/>
    <n v="55326.9"/>
    <n v="41035.599999999999"/>
    <n v="0.25830653804930331"/>
    <n v="14291.3"/>
  </r>
  <r>
    <x v="0"/>
    <s v="Greece"/>
    <x v="9"/>
    <x v="0"/>
    <x v="0"/>
    <s v="3/11/2016"/>
    <d v="2016-03-11T00:00:00"/>
    <n v="11"/>
    <s v="Mar"/>
    <x v="4"/>
    <s v="Mar-2016"/>
    <n v="799848306"/>
    <d v="2016-04-23T00:00:00"/>
    <n v="23"/>
    <s v="Apr"/>
    <n v="2016"/>
    <s v="Apr-2016"/>
    <s v="4/23/2016"/>
    <n v="43"/>
    <n v="1743"/>
    <n v="668.27"/>
    <n v="502.54"/>
    <n v="668.2700000000001"/>
    <n v="1164794.6100000001"/>
    <n v="875927.22"/>
    <n v="0.24799856345489099"/>
    <n v="288867.39"/>
  </r>
  <r>
    <x v="0"/>
    <s v="Czech Republic"/>
    <x v="6"/>
    <x v="0"/>
    <x v="1"/>
    <s v="12/5/2011"/>
    <d v="2011-12-05T00:00:00"/>
    <n v="5"/>
    <s v="Dec"/>
    <x v="0"/>
    <s v="Dec-2011"/>
    <n v="693583905"/>
    <d v="2012-01-06T00:00:00"/>
    <n v="6"/>
    <s v="Jan"/>
    <n v="2012"/>
    <s v="Jan-2012"/>
    <s v="1/6/2012"/>
    <n v="32"/>
    <n v="5745"/>
    <n v="421.89"/>
    <n v="364.69"/>
    <n v="421.89"/>
    <n v="2423758.0499999998"/>
    <n v="2095144.05"/>
    <n v="0.13558036455000119"/>
    <n v="328614"/>
  </r>
  <r>
    <x v="0"/>
    <s v="Sweden"/>
    <x v="6"/>
    <x v="1"/>
    <x v="0"/>
    <s v="1/18/2015"/>
    <d v="2015-01-18T00:00:00"/>
    <n v="18"/>
    <s v="Jan"/>
    <x v="6"/>
    <s v="Jan-2015"/>
    <n v="437083184"/>
    <d v="2015-02-19T00:00:00"/>
    <n v="19"/>
    <s v="Feb"/>
    <n v="2015"/>
    <s v="Feb-2015"/>
    <s v="2/19/2015"/>
    <n v="32"/>
    <n v="1482"/>
    <n v="421.89"/>
    <n v="364.69"/>
    <n v="421.89"/>
    <n v="625240.98"/>
    <n v="540470.57999999996"/>
    <n v="0.13558036455000119"/>
    <n v="84770.4"/>
  </r>
  <r>
    <x v="0"/>
    <s v="Macedonia"/>
    <x v="5"/>
    <x v="0"/>
    <x v="0"/>
    <s v="7/10/2017"/>
    <d v="2017-07-10T00:00:00"/>
    <n v="10"/>
    <s v="Jul"/>
    <x v="7"/>
    <s v="Jul-2017"/>
    <n v="759594142"/>
    <d v="2017-07-12T00:00:00"/>
    <n v="12"/>
    <s v="Jul"/>
    <n v="2017"/>
    <s v="Jul-2017"/>
    <s v="7/12/2017"/>
    <n v="2"/>
    <n v="9641"/>
    <n v="154.06"/>
    <n v="90.93"/>
    <n v="154.06"/>
    <n v="1485292.46"/>
    <n v="876656.13"/>
    <n v="0.40977541217707386"/>
    <n v="608636.32999999996"/>
  </r>
  <r>
    <x v="0"/>
    <s v="Denmark"/>
    <x v="9"/>
    <x v="1"/>
    <x v="2"/>
    <s v="5/16/2010"/>
    <d v="2010-05-16T00:00:00"/>
    <n v="16"/>
    <s v="May"/>
    <x v="3"/>
    <s v="May-2010"/>
    <n v="702815854"/>
    <d v="2010-06-06T00:00:00"/>
    <n v="6"/>
    <s v="Jun"/>
    <n v="2010"/>
    <s v="Jun-2010"/>
    <s v="6/6/2010"/>
    <n v="21"/>
    <n v="7684"/>
    <n v="668.27"/>
    <n v="502.54"/>
    <n v="668.27"/>
    <n v="5134986.68"/>
    <n v="3861517.36"/>
    <n v="0.24799856345489102"/>
    <n v="1273469.32"/>
  </r>
  <r>
    <x v="0"/>
    <s v="Sweden"/>
    <x v="7"/>
    <x v="1"/>
    <x v="0"/>
    <s v="6/1/2013"/>
    <d v="2013-06-01T00:00:00"/>
    <n v="1"/>
    <s v="Jun"/>
    <x v="1"/>
    <s v="Jun-2013"/>
    <n v="971899354"/>
    <d v="2013-06-01T00:00:00"/>
    <n v="1"/>
    <s v="Jun"/>
    <n v="2013"/>
    <s v="Jun-2013"/>
    <s v="6/1/2013"/>
    <n v="0"/>
    <n v="5471"/>
    <n v="152.58000000000001"/>
    <n v="97.44"/>
    <n v="152.58000000000001"/>
    <n v="834765.18"/>
    <n v="533094.24"/>
    <n v="0.36138419189933146"/>
    <n v="301670.94"/>
  </r>
  <r>
    <x v="0"/>
    <s v="Czech Republic"/>
    <x v="3"/>
    <x v="1"/>
    <x v="1"/>
    <s v="2/16/2010"/>
    <d v="2010-02-16T00:00:00"/>
    <n v="16"/>
    <s v="Feb"/>
    <x v="3"/>
    <s v="Feb-2010"/>
    <n v="521681344"/>
    <d v="2010-04-03T00:00:00"/>
    <n v="3"/>
    <s v="Apr"/>
    <n v="2010"/>
    <s v="Apr-2010"/>
    <s v="4/3/2010"/>
    <n v="46"/>
    <n v="5957"/>
    <n v="651.21"/>
    <n v="524.96"/>
    <n v="651.21"/>
    <n v="3879257.97"/>
    <n v="3127186.72"/>
    <n v="0.19386987300563566"/>
    <n v="752071.25"/>
  </r>
  <r>
    <x v="0"/>
    <s v="Iceland"/>
    <x v="3"/>
    <x v="0"/>
    <x v="2"/>
    <s v="1/18/2012"/>
    <d v="2012-01-18T00:00:00"/>
    <n v="18"/>
    <s v="Jan"/>
    <x v="5"/>
    <s v="Jan-2012"/>
    <n v="239554154"/>
    <d v="2012-02-13T00:00:00"/>
    <n v="13"/>
    <s v="Feb"/>
    <n v="2012"/>
    <s v="Feb-2012"/>
    <s v="2/13/2012"/>
    <n v="26"/>
    <n v="8253"/>
    <n v="651.21"/>
    <n v="524.96"/>
    <n v="651.21"/>
    <n v="5374436.1299999999"/>
    <n v="4332494.88"/>
    <n v="0.19386987300563566"/>
    <n v="1041941.25"/>
  </r>
  <r>
    <x v="0"/>
    <s v="Lithuania"/>
    <x v="3"/>
    <x v="1"/>
    <x v="1"/>
    <s v="4/17/2011"/>
    <d v="2011-04-17T00:00:00"/>
    <n v="17"/>
    <s v="Apr"/>
    <x v="0"/>
    <s v="Apr-2011"/>
    <n v="982566821"/>
    <d v="2011-06-05T00:00:00"/>
    <n v="5"/>
    <s v="Jun"/>
    <n v="2011"/>
    <s v="Jun-2011"/>
    <s v="6/5/2011"/>
    <n v="49"/>
    <n v="2212"/>
    <n v="651.21"/>
    <n v="524.96"/>
    <n v="651.21"/>
    <n v="1440476.52"/>
    <n v="1161211.52"/>
    <n v="0.19386987300563566"/>
    <n v="279265"/>
  </r>
  <r>
    <x v="0"/>
    <s v="United Kingdom"/>
    <x v="10"/>
    <x v="1"/>
    <x v="0"/>
    <s v="5/5/2017"/>
    <d v="2017-05-05T00:00:00"/>
    <n v="5"/>
    <s v="May"/>
    <x v="7"/>
    <s v="May-2017"/>
    <n v="887501180"/>
    <d v="2017-06-20T00:00:00"/>
    <n v="20"/>
    <s v="Jun"/>
    <n v="2017"/>
    <s v="Jun-2017"/>
    <s v="6/20/2017"/>
    <n v="46"/>
    <n v="176"/>
    <n v="437.2"/>
    <n v="263.33"/>
    <n v="437.2"/>
    <n v="76947.199999999997"/>
    <n v="46346.080000000002"/>
    <n v="0.39768984446477584"/>
    <n v="30601.119999999999"/>
  </r>
  <r>
    <x v="0"/>
    <s v="Macedonia"/>
    <x v="4"/>
    <x v="1"/>
    <x v="3"/>
    <s v="10/25/2010"/>
    <d v="2010-10-25T00:00:00"/>
    <n v="25"/>
    <s v="Oct"/>
    <x v="3"/>
    <s v="Oct-2010"/>
    <n v="278513133"/>
    <d v="2010-11-05T00:00:00"/>
    <n v="5"/>
    <s v="Nov"/>
    <n v="2010"/>
    <s v="Nov-2010"/>
    <s v="11/5/2010"/>
    <n v="11"/>
    <n v="7080"/>
    <n v="9.33"/>
    <n v="6.92"/>
    <n v="9.3299999999999983"/>
    <n v="66056.399999999994"/>
    <n v="48993.599999999999"/>
    <n v="0.25830653804930331"/>
    <n v="17062.8"/>
  </r>
  <r>
    <x v="0"/>
    <s v="Albania"/>
    <x v="8"/>
    <x v="0"/>
    <x v="2"/>
    <s v="5/18/2012"/>
    <d v="2012-05-18T00:00:00"/>
    <n v="18"/>
    <s v="May"/>
    <x v="5"/>
    <s v="May-2012"/>
    <n v="152191388"/>
    <d v="2012-06-22T00:00:00"/>
    <n v="22"/>
    <s v="Jun"/>
    <n v="2012"/>
    <s v="Jun-2012"/>
    <s v="6/22/2012"/>
    <n v="35"/>
    <n v="5669"/>
    <n v="255.28"/>
    <n v="159.41999999999999"/>
    <n v="255.28"/>
    <n v="1447182.32"/>
    <n v="903751.98"/>
    <n v="0.37550924475086178"/>
    <n v="543430.34"/>
  </r>
  <r>
    <x v="0"/>
    <s v="Croatia"/>
    <x v="11"/>
    <x v="0"/>
    <x v="0"/>
    <s v="5/5/2014"/>
    <d v="2014-05-05T00:00:00"/>
    <n v="5"/>
    <s v="May"/>
    <x v="2"/>
    <s v="May-2014"/>
    <n v="309655511"/>
    <d v="2014-05-21T00:00:00"/>
    <n v="21"/>
    <s v="May"/>
    <n v="2014"/>
    <s v="May-2014"/>
    <s v="5/21/2014"/>
    <n v="16"/>
    <n v="2802"/>
    <n v="81.73"/>
    <n v="56.67"/>
    <n v="81.73"/>
    <n v="229007.46"/>
    <n v="158789.34"/>
    <n v="0.30661935641747218"/>
    <n v="70218.12"/>
  </r>
  <r>
    <x v="0"/>
    <s v="Luxembourg"/>
    <x v="6"/>
    <x v="0"/>
    <x v="1"/>
    <s v="12/18/2010"/>
    <d v="2010-12-18T00:00:00"/>
    <n v="18"/>
    <s v="Dec"/>
    <x v="3"/>
    <s v="Dec-2010"/>
    <n v="469129359"/>
    <d v="2011-01-26T00:00:00"/>
    <n v="26"/>
    <s v="Jan"/>
    <n v="2011"/>
    <s v="Jan-2011"/>
    <s v="1/26/2011"/>
    <n v="39"/>
    <n v="4657"/>
    <n v="421.89"/>
    <n v="364.69"/>
    <n v="421.89"/>
    <n v="1964741.73"/>
    <n v="1698361.33"/>
    <n v="0.13558036455000119"/>
    <n v="266380.40000000002"/>
  </r>
  <r>
    <x v="0"/>
    <s v="Armenia"/>
    <x v="7"/>
    <x v="1"/>
    <x v="2"/>
    <s v="6/16/2017"/>
    <d v="2017-06-16T00:00:00"/>
    <n v="16"/>
    <s v="Jun"/>
    <x v="7"/>
    <s v="Jun-2017"/>
    <n v="951698243"/>
    <d v="2017-07-03T00:00:00"/>
    <n v="3"/>
    <s v="Jul"/>
    <n v="2017"/>
    <s v="Jul-2017"/>
    <s v="7/3/2017"/>
    <n v="17"/>
    <n v="7514"/>
    <n v="152.58000000000001"/>
    <n v="97.44"/>
    <n v="152.58000000000001"/>
    <n v="1146486.1200000001"/>
    <n v="732164.16"/>
    <n v="0.36138419189933146"/>
    <n v="414321.96"/>
  </r>
  <r>
    <x v="0"/>
    <s v="Malta"/>
    <x v="7"/>
    <x v="1"/>
    <x v="2"/>
    <s v="1/27/2012"/>
    <d v="2012-01-27T00:00:00"/>
    <n v="27"/>
    <s v="Jan"/>
    <x v="5"/>
    <s v="Jan-2012"/>
    <n v="981808078"/>
    <d v="2012-01-28T00:00:00"/>
    <n v="28"/>
    <s v="Jan"/>
    <n v="2012"/>
    <s v="Jan-2012"/>
    <s v="1/28/2012"/>
    <n v="1"/>
    <n v="7683"/>
    <n v="152.58000000000001"/>
    <n v="97.44"/>
    <n v="152.57999999999998"/>
    <n v="1172272.1399999999"/>
    <n v="748631.52"/>
    <n v="0.36138419189933152"/>
    <n v="423640.62"/>
  </r>
  <r>
    <x v="0"/>
    <s v="Cyprus"/>
    <x v="2"/>
    <x v="1"/>
    <x v="1"/>
    <s v="3/27/2013"/>
    <d v="2013-03-27T00:00:00"/>
    <n v="27"/>
    <s v="Mar"/>
    <x v="1"/>
    <s v="Mar-2013"/>
    <n v="833706796"/>
    <d v="2013-04-03T00:00:00"/>
    <n v="3"/>
    <s v="Apr"/>
    <n v="2013"/>
    <s v="Apr-2013"/>
    <s v="4/3/2013"/>
    <n v="7"/>
    <n v="1223"/>
    <n v="205.7"/>
    <n v="117.11"/>
    <n v="205.70000000000002"/>
    <n v="251571.1"/>
    <n v="143225.53"/>
    <n v="0.43067574137092857"/>
    <n v="108345.57"/>
  </r>
  <r>
    <x v="0"/>
    <s v="Croatia"/>
    <x v="3"/>
    <x v="1"/>
    <x v="3"/>
    <s v="6/9/2010"/>
    <d v="2010-06-09T00:00:00"/>
    <n v="9"/>
    <s v="Jun"/>
    <x v="3"/>
    <s v="Jun-2010"/>
    <n v="650078475"/>
    <d v="2010-06-18T00:00:00"/>
    <n v="18"/>
    <s v="Jun"/>
    <n v="2010"/>
    <s v="Jun-2010"/>
    <s v="6/18/2010"/>
    <n v="9"/>
    <n v="1522"/>
    <n v="651.21"/>
    <n v="524.96"/>
    <n v="651.21"/>
    <n v="991141.62"/>
    <n v="798989.12"/>
    <n v="0.19386987300563566"/>
    <n v="192152.5"/>
  </r>
  <r>
    <x v="0"/>
    <s v="Sweden"/>
    <x v="7"/>
    <x v="0"/>
    <x v="3"/>
    <s v="10/27/2012"/>
    <d v="2012-10-27T00:00:00"/>
    <n v="27"/>
    <s v="Oct"/>
    <x v="5"/>
    <s v="Oct-2012"/>
    <n v="507531726"/>
    <d v="2012-11-11T00:00:00"/>
    <n v="11"/>
    <s v="Nov"/>
    <n v="2012"/>
    <s v="Nov-2012"/>
    <s v="11/11/2012"/>
    <n v="15"/>
    <n v="8771"/>
    <n v="152.58000000000001"/>
    <n v="97.44"/>
    <n v="152.57999999999998"/>
    <n v="1338279.18"/>
    <n v="854646.24"/>
    <n v="0.36138419189933152"/>
    <n v="483632.94"/>
  </r>
  <r>
    <x v="0"/>
    <s v="Netherlands"/>
    <x v="11"/>
    <x v="1"/>
    <x v="0"/>
    <s v="3/10/2012"/>
    <d v="2012-03-10T00:00:00"/>
    <n v="10"/>
    <s v="Mar"/>
    <x v="5"/>
    <s v="Mar-2012"/>
    <n v="544741475"/>
    <d v="2012-03-25T00:00:00"/>
    <n v="25"/>
    <s v="Mar"/>
    <n v="2012"/>
    <s v="Mar-2012"/>
    <s v="3/25/2012"/>
    <n v="15"/>
    <n v="9963"/>
    <n v="81.73"/>
    <n v="56.67"/>
    <n v="81.73"/>
    <n v="814275.99"/>
    <n v="564603.21"/>
    <n v="0.30661935641747218"/>
    <n v="249672.78"/>
  </r>
  <r>
    <x v="0"/>
    <s v="Italy"/>
    <x v="8"/>
    <x v="1"/>
    <x v="3"/>
    <s v="1/15/2011"/>
    <d v="2011-01-15T00:00:00"/>
    <n v="15"/>
    <s v="Jan"/>
    <x v="0"/>
    <s v="Jan-2011"/>
    <n v="926826655"/>
    <d v="2011-02-16T00:00:00"/>
    <n v="16"/>
    <s v="Feb"/>
    <n v="2011"/>
    <s v="Feb-2011"/>
    <s v="2/16/2011"/>
    <n v="32"/>
    <n v="7458"/>
    <n v="255.28"/>
    <n v="159.41999999999999"/>
    <n v="255.28"/>
    <n v="1903878.24"/>
    <n v="1188954.3600000001"/>
    <n v="0.37550924475086178"/>
    <n v="714923.88"/>
  </r>
  <r>
    <x v="0"/>
    <s v="Czech Republic"/>
    <x v="9"/>
    <x v="1"/>
    <x v="2"/>
    <s v="2/21/2011"/>
    <d v="2011-02-21T00:00:00"/>
    <n v="21"/>
    <s v="Feb"/>
    <x v="0"/>
    <s v="Feb-2011"/>
    <n v="759086453"/>
    <d v="2011-02-27T00:00:00"/>
    <n v="27"/>
    <s v="Feb"/>
    <n v="2011"/>
    <s v="Feb-2011"/>
    <s v="2/27/2011"/>
    <n v="6"/>
    <n v="9405"/>
    <n v="668.27"/>
    <n v="502.54"/>
    <n v="668.27"/>
    <n v="6285079.3499999996"/>
    <n v="4726388.7"/>
    <n v="0.24799856345489099"/>
    <n v="1558690.65"/>
  </r>
  <r>
    <x v="0"/>
    <s v="Germany"/>
    <x v="8"/>
    <x v="0"/>
    <x v="0"/>
    <s v="11/1/2014"/>
    <d v="2014-11-01T00:00:00"/>
    <n v="1"/>
    <s v="Nov"/>
    <x v="2"/>
    <s v="Nov-2014"/>
    <n v="523899209"/>
    <d v="2014-11-16T00:00:00"/>
    <n v="16"/>
    <s v="Nov"/>
    <n v="2014"/>
    <s v="Nov-2014"/>
    <s v="11/16/2014"/>
    <n v="15"/>
    <n v="2273"/>
    <n v="255.28"/>
    <n v="159.41999999999999"/>
    <n v="255.27999999999997"/>
    <n v="580251.43999999994"/>
    <n v="362361.66"/>
    <n v="0.37550924475086184"/>
    <n v="217889.78"/>
  </r>
  <r>
    <x v="0"/>
    <s v="Albania"/>
    <x v="1"/>
    <x v="1"/>
    <x v="1"/>
    <s v="4/7/2011"/>
    <d v="2011-04-07T00:00:00"/>
    <n v="7"/>
    <s v="Apr"/>
    <x v="0"/>
    <s v="Apr-2011"/>
    <n v="647943866"/>
    <d v="2011-04-18T00:00:00"/>
    <n v="18"/>
    <s v="Apr"/>
    <n v="2011"/>
    <s v="Apr-2011"/>
    <s v="4/18/2011"/>
    <n v="11"/>
    <n v="9843"/>
    <n v="109.28"/>
    <n v="35.840000000000003"/>
    <n v="109.28"/>
    <n v="1075643.04"/>
    <n v="352773.12"/>
    <n v="0.67203513909224011"/>
    <n v="722869.92"/>
  </r>
  <r>
    <x v="0"/>
    <s v="Romania"/>
    <x v="2"/>
    <x v="0"/>
    <x v="0"/>
    <s v="9/29/2012"/>
    <d v="2012-09-29T00:00:00"/>
    <n v="29"/>
    <s v="Sep"/>
    <x v="5"/>
    <s v="Sep-2012"/>
    <n v="812632358"/>
    <d v="2012-10-17T00:00:00"/>
    <n v="17"/>
    <s v="Oct"/>
    <n v="2012"/>
    <s v="Oct-2012"/>
    <s v="10/17/2012"/>
    <n v="18"/>
    <n v="4828"/>
    <n v="205.7"/>
    <n v="117.11"/>
    <n v="205.7"/>
    <n v="993119.6"/>
    <n v="565407.07999999996"/>
    <n v="0.43067574137092857"/>
    <n v="427712.52"/>
  </r>
  <r>
    <x v="0"/>
    <s v="Belarus"/>
    <x v="10"/>
    <x v="1"/>
    <x v="2"/>
    <s v="10/17/2014"/>
    <d v="2014-10-17T00:00:00"/>
    <n v="17"/>
    <s v="Oct"/>
    <x v="2"/>
    <s v="Oct-2014"/>
    <n v="231861150"/>
    <d v="2014-11-01T00:00:00"/>
    <n v="1"/>
    <s v="Nov"/>
    <n v="2014"/>
    <s v="Nov-2014"/>
    <s v="11/1/2014"/>
    <n v="15"/>
    <n v="1722"/>
    <n v="437.2"/>
    <n v="263.33"/>
    <n v="437.2"/>
    <n v="752858.4"/>
    <n v="453454.26"/>
    <n v="0.39768984446477584"/>
    <n v="299404.14"/>
  </r>
  <r>
    <x v="0"/>
    <s v="Andorra"/>
    <x v="7"/>
    <x v="1"/>
    <x v="1"/>
    <s v="5/3/2010"/>
    <d v="2010-05-03T00:00:00"/>
    <n v="3"/>
    <s v="May"/>
    <x v="3"/>
    <s v="May-2010"/>
    <n v="348080623"/>
    <d v="2010-05-19T00:00:00"/>
    <n v="19"/>
    <s v="May"/>
    <n v="2010"/>
    <s v="May-2010"/>
    <s v="5/19/2010"/>
    <n v="16"/>
    <n v="3646"/>
    <n v="152.58000000000001"/>
    <n v="97.44"/>
    <n v="152.58000000000001"/>
    <n v="556306.68000000005"/>
    <n v="355266.24"/>
    <n v="0.36138419189933146"/>
    <n v="201040.44"/>
  </r>
  <r>
    <x v="0"/>
    <s v="Germany"/>
    <x v="3"/>
    <x v="1"/>
    <x v="2"/>
    <s v="9/11/2013"/>
    <d v="2013-09-11T00:00:00"/>
    <n v="11"/>
    <s v="Sep"/>
    <x v="1"/>
    <s v="Sep-2013"/>
    <n v="368865811"/>
    <d v="2013-10-16T00:00:00"/>
    <n v="16"/>
    <s v="Oct"/>
    <n v="2013"/>
    <s v="Oct-2013"/>
    <s v="10/16/2013"/>
    <n v="35"/>
    <n v="4445"/>
    <n v="651.21"/>
    <n v="524.96"/>
    <n v="651.21"/>
    <n v="2894628.45"/>
    <n v="2333447.2000000002"/>
    <n v="0.19386987300563566"/>
    <n v="561181.25"/>
  </r>
  <r>
    <x v="0"/>
    <s v="Denmark"/>
    <x v="11"/>
    <x v="1"/>
    <x v="2"/>
    <s v="2/4/2016"/>
    <d v="2016-02-04T00:00:00"/>
    <n v="4"/>
    <s v="Feb"/>
    <x v="4"/>
    <s v="Feb-2016"/>
    <n v="478840672"/>
    <d v="2016-02-09T00:00:00"/>
    <n v="9"/>
    <s v="Feb"/>
    <n v="2016"/>
    <s v="Feb-2016"/>
    <s v="2/9/2016"/>
    <n v="5"/>
    <n v="8451"/>
    <n v="81.73"/>
    <n v="56.67"/>
    <n v="81.73"/>
    <n v="690700.23"/>
    <n v="478918.17"/>
    <n v="0.30661935641747218"/>
    <n v="211782.06"/>
  </r>
  <r>
    <x v="0"/>
    <s v="Sweden"/>
    <x v="2"/>
    <x v="1"/>
    <x v="2"/>
    <s v="7/19/2010"/>
    <d v="2010-07-19T00:00:00"/>
    <n v="19"/>
    <s v="Jul"/>
    <x v="3"/>
    <s v="Jul-2010"/>
    <n v="772643411"/>
    <d v="2010-08-25T00:00:00"/>
    <n v="25"/>
    <s v="Aug"/>
    <n v="2010"/>
    <s v="Aug-2010"/>
    <s v="8/25/2010"/>
    <n v="37"/>
    <n v="1210"/>
    <n v="205.7"/>
    <n v="117.11"/>
    <n v="205.7"/>
    <n v="248897"/>
    <n v="141703.1"/>
    <n v="0.43067574137092851"/>
    <n v="107193.9"/>
  </r>
  <r>
    <x v="0"/>
    <s v="Poland"/>
    <x v="0"/>
    <x v="1"/>
    <x v="1"/>
    <s v="8/22/2013"/>
    <d v="2013-08-22T00:00:00"/>
    <n v="22"/>
    <s v="Aug"/>
    <x v="1"/>
    <s v="Aug-2013"/>
    <n v="742843854"/>
    <d v="2013-09-04T00:00:00"/>
    <n v="4"/>
    <s v="Sep"/>
    <n v="2013"/>
    <s v="Sep-2013"/>
    <s v="9/4/2013"/>
    <n v="13"/>
    <n v="2859"/>
    <n v="47.45"/>
    <n v="31.79"/>
    <n v="47.449999999999996"/>
    <n v="135659.54999999999"/>
    <n v="90887.61"/>
    <n v="0.33003161222339311"/>
    <n v="44771.94"/>
  </r>
  <r>
    <x v="0"/>
    <s v="Serbia"/>
    <x v="0"/>
    <x v="0"/>
    <x v="0"/>
    <s v="12/23/2012"/>
    <d v="2012-12-23T00:00:00"/>
    <n v="23"/>
    <s v="Dec"/>
    <x v="5"/>
    <s v="Dec-2012"/>
    <n v="308582627"/>
    <d v="2013-02-09T00:00:00"/>
    <n v="9"/>
    <s v="Feb"/>
    <n v="2013"/>
    <s v="Feb-2013"/>
    <s v="2/9/2013"/>
    <n v="48"/>
    <n v="5312"/>
    <n v="47.45"/>
    <n v="31.79"/>
    <n v="47.449999999999996"/>
    <n v="252054.39999999999"/>
    <n v="168868.48000000001"/>
    <n v="0.33003161222339306"/>
    <n v="83185.919999999998"/>
  </r>
  <r>
    <x v="0"/>
    <s v="Latvia"/>
    <x v="11"/>
    <x v="1"/>
    <x v="2"/>
    <s v="3/29/2011"/>
    <d v="2011-03-29T00:00:00"/>
    <n v="29"/>
    <s v="Mar"/>
    <x v="0"/>
    <s v="Mar-2011"/>
    <n v="140499961"/>
    <d v="2011-04-30T00:00:00"/>
    <n v="30"/>
    <s v="Apr"/>
    <n v="2011"/>
    <s v="Apr-2011"/>
    <s v="4/30/2011"/>
    <n v="32"/>
    <n v="5915"/>
    <n v="81.73"/>
    <n v="56.67"/>
    <n v="81.73"/>
    <n v="483432.95"/>
    <n v="335203.05"/>
    <n v="0.30661935641747212"/>
    <n v="148229.9"/>
  </r>
  <r>
    <x v="0"/>
    <s v="Liechtenstein"/>
    <x v="2"/>
    <x v="1"/>
    <x v="1"/>
    <s v="12/13/2010"/>
    <d v="2010-12-13T00:00:00"/>
    <n v="13"/>
    <s v="Dec"/>
    <x v="3"/>
    <s v="Dec-2010"/>
    <n v="856648051"/>
    <d v="2010-12-23T00:00:00"/>
    <n v="23"/>
    <s v="Dec"/>
    <n v="2010"/>
    <s v="Dec-2010"/>
    <s v="12/23/2010"/>
    <n v="10"/>
    <n v="50"/>
    <n v="205.7"/>
    <n v="117.11"/>
    <n v="205.7"/>
    <n v="10285"/>
    <n v="5855.5"/>
    <n v="0.43067574137092851"/>
    <n v="4429.5"/>
  </r>
  <r>
    <x v="0"/>
    <s v="Slovakia"/>
    <x v="10"/>
    <x v="0"/>
    <x v="3"/>
    <s v="6/13/2012"/>
    <d v="2012-06-13T00:00:00"/>
    <n v="13"/>
    <s v="Jun"/>
    <x v="5"/>
    <s v="Jun-2012"/>
    <n v="780899035"/>
    <d v="2012-07-30T00:00:00"/>
    <n v="30"/>
    <s v="Jul"/>
    <n v="2012"/>
    <s v="Jul-2012"/>
    <s v="7/30/2012"/>
    <n v="47"/>
    <n v="4233"/>
    <n v="437.2"/>
    <n v="263.33"/>
    <n v="437.20000000000005"/>
    <n v="1850667.6"/>
    <n v="1114675.8899999999"/>
    <n v="0.39768984446477579"/>
    <n v="735991.71"/>
  </r>
  <r>
    <x v="0"/>
    <s v="Monaco"/>
    <x v="6"/>
    <x v="0"/>
    <x v="2"/>
    <s v="7/15/2013"/>
    <d v="2013-07-15T00:00:00"/>
    <n v="15"/>
    <s v="Jul"/>
    <x v="1"/>
    <s v="Jul-2013"/>
    <n v="177147090"/>
    <d v="2013-08-17T00:00:00"/>
    <n v="17"/>
    <s v="Aug"/>
    <n v="2013"/>
    <s v="Aug-2013"/>
    <s v="8/17/2013"/>
    <n v="33"/>
    <n v="615"/>
    <n v="421.89"/>
    <n v="364.69"/>
    <n v="421.89"/>
    <n v="259462.35"/>
    <n v="224284.35"/>
    <n v="0.13558036455000119"/>
    <n v="35178"/>
  </r>
  <r>
    <x v="0"/>
    <s v="Portugal"/>
    <x v="3"/>
    <x v="0"/>
    <x v="0"/>
    <s v="2/17/2012"/>
    <d v="2012-02-17T00:00:00"/>
    <n v="17"/>
    <s v="Feb"/>
    <x v="5"/>
    <s v="Feb-2012"/>
    <n v="775849616"/>
    <d v="2012-03-05T00:00:00"/>
    <n v="5"/>
    <s v="Mar"/>
    <n v="2012"/>
    <s v="Mar-2012"/>
    <s v="3/5/2012"/>
    <n v="17"/>
    <n v="9997"/>
    <n v="651.21"/>
    <n v="524.96"/>
    <n v="651.21"/>
    <n v="6510146.3700000001"/>
    <n v="5248025.12"/>
    <n v="0.19386987300563566"/>
    <n v="1262121.25"/>
  </r>
  <r>
    <x v="0"/>
    <s v="Macedonia"/>
    <x v="6"/>
    <x v="1"/>
    <x v="0"/>
    <s v="12/14/2013"/>
    <d v="2013-12-14T00:00:00"/>
    <n v="14"/>
    <s v="Dec"/>
    <x v="1"/>
    <s v="Dec-2013"/>
    <n v="979200112"/>
    <d v="2013-12-30T00:00:00"/>
    <n v="30"/>
    <s v="Dec"/>
    <n v="2013"/>
    <s v="Dec-2013"/>
    <s v="12/30/2013"/>
    <n v="16"/>
    <n v="5928"/>
    <n v="421.89"/>
    <n v="364.69"/>
    <n v="421.89"/>
    <n v="2500963.92"/>
    <n v="2161882.3199999998"/>
    <n v="0.13558036455000119"/>
    <n v="339081.6"/>
  </r>
  <r>
    <x v="0"/>
    <s v="Vatican City"/>
    <x v="7"/>
    <x v="0"/>
    <x v="1"/>
    <s v="10/18/2014"/>
    <d v="2014-10-18T00:00:00"/>
    <n v="18"/>
    <s v="Oct"/>
    <x v="2"/>
    <s v="Oct-2014"/>
    <n v="429123675"/>
    <d v="2014-11-11T00:00:00"/>
    <n v="11"/>
    <s v="Nov"/>
    <n v="2014"/>
    <s v="Nov-2014"/>
    <s v="11/11/2014"/>
    <n v="24"/>
    <n v="6086"/>
    <n v="152.58000000000001"/>
    <n v="97.44"/>
    <n v="152.58000000000001"/>
    <n v="928601.88"/>
    <n v="593019.84"/>
    <n v="0.36138419189933146"/>
    <n v="335582.04"/>
  </r>
  <r>
    <x v="0"/>
    <s v="San Marino"/>
    <x v="5"/>
    <x v="0"/>
    <x v="2"/>
    <s v="2/19/2012"/>
    <d v="2012-02-19T00:00:00"/>
    <n v="19"/>
    <s v="Feb"/>
    <x v="5"/>
    <s v="Feb-2012"/>
    <n v="515771901"/>
    <d v="2012-03-19T00:00:00"/>
    <n v="19"/>
    <s v="Mar"/>
    <n v="2012"/>
    <s v="Mar-2012"/>
    <s v="3/19/2012"/>
    <n v="29"/>
    <n v="7222"/>
    <n v="154.06"/>
    <n v="90.93"/>
    <n v="154.06"/>
    <n v="1112621.32"/>
    <n v="656696.46"/>
    <n v="0.40977541217707381"/>
    <n v="455924.86"/>
  </r>
  <r>
    <x v="0"/>
    <s v="Ukraine"/>
    <x v="2"/>
    <x v="1"/>
    <x v="0"/>
    <s v="8/7/2012"/>
    <d v="2012-08-07T00:00:00"/>
    <n v="7"/>
    <s v="Aug"/>
    <x v="5"/>
    <s v="Aug-2012"/>
    <n v="626109397"/>
    <d v="2012-09-15T00:00:00"/>
    <n v="15"/>
    <s v="Sep"/>
    <n v="2012"/>
    <s v="Sep-2012"/>
    <s v="9/15/2012"/>
    <n v="39"/>
    <n v="8539"/>
    <n v="205.7"/>
    <n v="117.11"/>
    <n v="205.70000000000002"/>
    <n v="1756472.3"/>
    <n v="1000002.29"/>
    <n v="0.43067574137092851"/>
    <n v="756470.01"/>
  </r>
  <r>
    <x v="0"/>
    <s v="Czech Republic"/>
    <x v="9"/>
    <x v="0"/>
    <x v="3"/>
    <s v="12/5/2012"/>
    <d v="2012-12-05T00:00:00"/>
    <n v="5"/>
    <s v="Dec"/>
    <x v="5"/>
    <s v="Dec-2012"/>
    <n v="574247491"/>
    <d v="2012-12-17T00:00:00"/>
    <n v="17"/>
    <s v="Dec"/>
    <n v="2012"/>
    <s v="Dec-2012"/>
    <s v="12/17/2012"/>
    <n v="12"/>
    <n v="1448"/>
    <n v="668.27"/>
    <n v="502.54"/>
    <n v="668.27"/>
    <n v="967654.96"/>
    <n v="727677.92"/>
    <n v="0.24799856345489102"/>
    <n v="239977.04"/>
  </r>
  <r>
    <x v="0"/>
    <s v="Russia"/>
    <x v="7"/>
    <x v="1"/>
    <x v="1"/>
    <s v="1/5/2013"/>
    <d v="2013-01-05T00:00:00"/>
    <n v="5"/>
    <s v="Jan"/>
    <x v="1"/>
    <s v="Jan-2013"/>
    <n v="941933286"/>
    <d v="2013-02-08T00:00:00"/>
    <n v="8"/>
    <s v="Feb"/>
    <n v="2013"/>
    <s v="Feb-2013"/>
    <s v="2/8/2013"/>
    <n v="34"/>
    <n v="7846"/>
    <n v="152.58000000000001"/>
    <n v="97.44"/>
    <n v="152.57999999999998"/>
    <n v="1197142.68"/>
    <n v="764514.24"/>
    <n v="0.36138419189933152"/>
    <n v="432628.44"/>
  </r>
  <r>
    <x v="0"/>
    <s v="France"/>
    <x v="2"/>
    <x v="0"/>
    <x v="2"/>
    <s v="8/28/2010"/>
    <d v="2010-08-28T00:00:00"/>
    <n v="28"/>
    <s v="Aug"/>
    <x v="3"/>
    <s v="Aug-2010"/>
    <n v="797718417"/>
    <d v="2010-10-15T00:00:00"/>
    <n v="15"/>
    <s v="Oct"/>
    <n v="2010"/>
    <s v="Oct-2010"/>
    <s v="10/15/2010"/>
    <n v="48"/>
    <n v="1462"/>
    <n v="205.7"/>
    <n v="117.11"/>
    <n v="205.70000000000002"/>
    <n v="300733.40000000002"/>
    <n v="171214.82"/>
    <n v="0.43067574137092851"/>
    <n v="129518.58"/>
  </r>
  <r>
    <x v="0"/>
    <s v="Estonia"/>
    <x v="2"/>
    <x v="1"/>
    <x v="0"/>
    <s v="10/14/2013"/>
    <d v="2013-10-14T00:00:00"/>
    <n v="14"/>
    <s v="Oct"/>
    <x v="1"/>
    <s v="Oct-2013"/>
    <n v="220607459"/>
    <d v="2013-10-17T00:00:00"/>
    <n v="17"/>
    <s v="Oct"/>
    <n v="2013"/>
    <s v="Oct-2013"/>
    <s v="10/17/2013"/>
    <n v="3"/>
    <n v="1504"/>
    <n v="205.7"/>
    <n v="117.11"/>
    <n v="205.7"/>
    <n v="309372.79999999999"/>
    <n v="176133.44"/>
    <n v="0.43067574137092851"/>
    <n v="133239.35999999999"/>
  </r>
  <r>
    <x v="0"/>
    <s v="Ireland"/>
    <x v="8"/>
    <x v="0"/>
    <x v="2"/>
    <s v="7/19/2010"/>
    <d v="2010-07-19T00:00:00"/>
    <n v="19"/>
    <s v="Jul"/>
    <x v="3"/>
    <s v="Jul-2010"/>
    <n v="629301440"/>
    <d v="2010-07-29T00:00:00"/>
    <n v="29"/>
    <s v="Jul"/>
    <n v="2010"/>
    <s v="Jul-2010"/>
    <s v="7/29/2010"/>
    <n v="10"/>
    <n v="3135"/>
    <n v="255.28"/>
    <n v="159.41999999999999"/>
    <n v="255.28"/>
    <n v="800302.8"/>
    <n v="499781.7"/>
    <n v="0.37550924475086173"/>
    <n v="300521.09999999998"/>
  </r>
  <r>
    <x v="0"/>
    <s v="Macedonia"/>
    <x v="1"/>
    <x v="0"/>
    <x v="3"/>
    <s v="8/1/2016"/>
    <d v="2016-08-01T00:00:00"/>
    <n v="1"/>
    <s v="Aug"/>
    <x v="4"/>
    <s v="Aug-2016"/>
    <n v="431432092"/>
    <d v="2016-09-13T00:00:00"/>
    <n v="13"/>
    <s v="Sep"/>
    <n v="2016"/>
    <s v="Sep-2016"/>
    <s v="9/13/2016"/>
    <n v="43"/>
    <n v="9198"/>
    <n v="109.28"/>
    <n v="35.840000000000003"/>
    <n v="109.27999999999999"/>
    <n v="1005157.44"/>
    <n v="329656.32000000001"/>
    <n v="0.67203513909224011"/>
    <n v="675501.12"/>
  </r>
  <r>
    <x v="0"/>
    <s v="Andorra"/>
    <x v="8"/>
    <x v="1"/>
    <x v="3"/>
    <s v="9/27/2010"/>
    <d v="2010-09-27T00:00:00"/>
    <n v="27"/>
    <s v="Sep"/>
    <x v="3"/>
    <s v="Sep-2010"/>
    <n v="442318427"/>
    <d v="2010-10-08T00:00:00"/>
    <n v="8"/>
    <s v="Oct"/>
    <n v="2010"/>
    <s v="Oct-2010"/>
    <s v="10/8/2010"/>
    <n v="11"/>
    <n v="707"/>
    <n v="255.28"/>
    <n v="159.41999999999999"/>
    <n v="255.28"/>
    <n v="180482.96"/>
    <n v="112709.94"/>
    <n v="0.37550924475086184"/>
    <n v="67773.02"/>
  </r>
  <r>
    <x v="0"/>
    <s v="Austria"/>
    <x v="10"/>
    <x v="0"/>
    <x v="2"/>
    <s v="7/24/2010"/>
    <d v="2010-07-24T00:00:00"/>
    <n v="24"/>
    <s v="Jul"/>
    <x v="3"/>
    <s v="Jul-2010"/>
    <n v="540982520"/>
    <d v="2010-09-01T00:00:00"/>
    <n v="1"/>
    <s v="Sep"/>
    <n v="2010"/>
    <s v="Sep-2010"/>
    <s v="9/1/2010"/>
    <n v="39"/>
    <n v="7604"/>
    <n v="437.2"/>
    <n v="263.33"/>
    <n v="437.2"/>
    <n v="3324468.8"/>
    <n v="2002361.32"/>
    <n v="0.39768984446477584"/>
    <n v="1322107.48"/>
  </r>
  <r>
    <x v="0"/>
    <s v="Iceland"/>
    <x v="1"/>
    <x v="0"/>
    <x v="0"/>
    <s v="11/11/2010"/>
    <d v="2010-11-11T00:00:00"/>
    <n v="11"/>
    <s v="Nov"/>
    <x v="3"/>
    <s v="Nov-2010"/>
    <n v="563939225"/>
    <d v="2010-12-19T00:00:00"/>
    <n v="19"/>
    <s v="Dec"/>
    <n v="2010"/>
    <s v="Dec-2010"/>
    <s v="12/19/2010"/>
    <n v="38"/>
    <n v="1004"/>
    <n v="109.28"/>
    <n v="35.840000000000003"/>
    <n v="109.28"/>
    <n v="109717.12"/>
    <n v="35983.360000000001"/>
    <n v="0.67203513909224011"/>
    <n v="73733.759999999995"/>
  </r>
  <r>
    <x v="0"/>
    <s v="Austria"/>
    <x v="2"/>
    <x v="1"/>
    <x v="3"/>
    <s v="12/24/2015"/>
    <d v="2015-12-24T00:00:00"/>
    <n v="24"/>
    <s v="Dec"/>
    <x v="6"/>
    <s v="Dec-2015"/>
    <n v="323293578"/>
    <d v="2016-02-02T00:00:00"/>
    <n v="2"/>
    <s v="Feb"/>
    <n v="2016"/>
    <s v="Feb-2016"/>
    <s v="2/2/2016"/>
    <n v="40"/>
    <n v="8609"/>
    <n v="205.7"/>
    <n v="117.11"/>
    <n v="205.70000000000002"/>
    <n v="1770871.3"/>
    <n v="1008199.99"/>
    <n v="0.43067574137092857"/>
    <n v="762671.31"/>
  </r>
  <r>
    <x v="0"/>
    <s v="Estonia"/>
    <x v="7"/>
    <x v="1"/>
    <x v="2"/>
    <s v="7/22/2015"/>
    <d v="2015-07-22T00:00:00"/>
    <n v="22"/>
    <s v="Jul"/>
    <x v="6"/>
    <s v="Jul-2015"/>
    <n v="507040774"/>
    <d v="2015-07-25T00:00:00"/>
    <n v="25"/>
    <s v="Jul"/>
    <n v="2015"/>
    <s v="Jul-2015"/>
    <s v="7/25/2015"/>
    <n v="3"/>
    <n v="3488"/>
    <n v="152.58000000000001"/>
    <n v="97.44"/>
    <n v="152.58000000000001"/>
    <n v="532199.04"/>
    <n v="339870.71999999997"/>
    <n v="0.36138419189933146"/>
    <n v="192328.32000000001"/>
  </r>
  <r>
    <x v="0"/>
    <s v="Greece"/>
    <x v="3"/>
    <x v="0"/>
    <x v="1"/>
    <s v="4/2/2013"/>
    <d v="2013-04-02T00:00:00"/>
    <n v="2"/>
    <s v="Apr"/>
    <x v="1"/>
    <s v="Apr-2013"/>
    <n v="516599738"/>
    <d v="2013-05-09T00:00:00"/>
    <n v="9"/>
    <s v="May"/>
    <n v="2013"/>
    <s v="May-2013"/>
    <s v="5/9/2013"/>
    <n v="37"/>
    <n v="2197"/>
    <n v="651.21"/>
    <n v="524.96"/>
    <n v="651.21"/>
    <n v="1430708.37"/>
    <n v="1153337.1200000001"/>
    <n v="0.19386987300563566"/>
    <n v="277371.25"/>
  </r>
  <r>
    <x v="0"/>
    <s v="Belarus"/>
    <x v="1"/>
    <x v="1"/>
    <x v="3"/>
    <s v="7/22/2016"/>
    <d v="2016-07-22T00:00:00"/>
    <n v="22"/>
    <s v="Jul"/>
    <x v="4"/>
    <s v="Jul-2016"/>
    <n v="383611094"/>
    <d v="2016-08-26T00:00:00"/>
    <n v="26"/>
    <s v="Aug"/>
    <n v="2016"/>
    <s v="Aug-2016"/>
    <s v="8/26/2016"/>
    <n v="35"/>
    <n v="7902"/>
    <n v="109.28"/>
    <n v="35.840000000000003"/>
    <n v="109.28"/>
    <n v="863530.56"/>
    <n v="283207.67999999999"/>
    <n v="0.67203513909224011"/>
    <n v="580322.88"/>
  </r>
  <r>
    <x v="0"/>
    <s v="San Marino"/>
    <x v="8"/>
    <x v="0"/>
    <x v="1"/>
    <s v="6/3/2016"/>
    <d v="2016-06-03T00:00:00"/>
    <n v="3"/>
    <s v="Jun"/>
    <x v="4"/>
    <s v="Jun-2016"/>
    <n v="412416303"/>
    <d v="2016-06-11T00:00:00"/>
    <n v="11"/>
    <s v="Jun"/>
    <n v="2016"/>
    <s v="Jun-2016"/>
    <s v="6/11/2016"/>
    <n v="8"/>
    <n v="2004"/>
    <n v="255.28"/>
    <n v="159.41999999999999"/>
    <n v="255.28"/>
    <n v="511581.12"/>
    <n v="319477.68"/>
    <n v="0.37550924475086178"/>
    <n v="192103.44"/>
  </r>
  <r>
    <x v="0"/>
    <s v="Croatia"/>
    <x v="10"/>
    <x v="0"/>
    <x v="1"/>
    <s v="2/15/2012"/>
    <d v="2012-02-15T00:00:00"/>
    <n v="15"/>
    <s v="Feb"/>
    <x v="5"/>
    <s v="Feb-2012"/>
    <n v="364715468"/>
    <d v="2012-02-19T00:00:00"/>
    <n v="19"/>
    <s v="Feb"/>
    <n v="2012"/>
    <s v="Feb-2012"/>
    <s v="2/19/2012"/>
    <n v="4"/>
    <n v="6267"/>
    <n v="437.2"/>
    <n v="263.33"/>
    <n v="437.2"/>
    <n v="2739932.4"/>
    <n v="1650289.11"/>
    <n v="0.3976898444647759"/>
    <n v="1089643.29"/>
  </r>
  <r>
    <x v="0"/>
    <s v="Netherlands"/>
    <x v="11"/>
    <x v="0"/>
    <x v="3"/>
    <s v="5/8/2010"/>
    <d v="2010-05-08T00:00:00"/>
    <n v="8"/>
    <s v="May"/>
    <x v="3"/>
    <s v="May-2010"/>
    <n v="392752492"/>
    <d v="2010-06-03T00:00:00"/>
    <n v="3"/>
    <s v="Jun"/>
    <n v="2010"/>
    <s v="Jun-2010"/>
    <s v="6/3/2010"/>
    <n v="26"/>
    <n v="3045"/>
    <n v="81.73"/>
    <n v="56.67"/>
    <n v="81.73"/>
    <n v="248867.85"/>
    <n v="172560.15"/>
    <n v="0.30661935641747212"/>
    <n v="76307.7"/>
  </r>
  <r>
    <x v="0"/>
    <s v="Hungary"/>
    <x v="4"/>
    <x v="0"/>
    <x v="3"/>
    <s v="1/4/2014"/>
    <d v="2014-01-04T00:00:00"/>
    <n v="4"/>
    <s v="Jan"/>
    <x v="2"/>
    <s v="Jan-2014"/>
    <n v="633992946"/>
    <d v="2014-01-06T00:00:00"/>
    <n v="6"/>
    <s v="Jan"/>
    <n v="2014"/>
    <s v="Jan-2014"/>
    <s v="1/6/2014"/>
    <n v="2"/>
    <n v="1456"/>
    <n v="9.33"/>
    <n v="6.92"/>
    <n v="9.33"/>
    <n v="13584.48"/>
    <n v="10075.52"/>
    <n v="0.25830653804930331"/>
    <n v="3508.96"/>
  </r>
  <r>
    <x v="0"/>
    <s v="San Marino"/>
    <x v="1"/>
    <x v="1"/>
    <x v="0"/>
    <s v="10/30/2011"/>
    <d v="2011-10-30T00:00:00"/>
    <n v="30"/>
    <s v="Oct"/>
    <x v="0"/>
    <s v="Oct-2011"/>
    <n v="937875640"/>
    <d v="2011-11-30T00:00:00"/>
    <n v="30"/>
    <s v="Nov"/>
    <n v="2011"/>
    <s v="Nov-2011"/>
    <s v="11/30/2011"/>
    <n v="31"/>
    <n v="7098"/>
    <n v="109.28"/>
    <n v="35.840000000000003"/>
    <n v="109.27999999999999"/>
    <n v="775669.44"/>
    <n v="254392.32000000001"/>
    <n v="0.67203513909224011"/>
    <n v="521277.12"/>
  </r>
  <r>
    <x v="0"/>
    <s v="Belarus"/>
    <x v="5"/>
    <x v="1"/>
    <x v="0"/>
    <s v="8/12/2016"/>
    <d v="2016-08-12T00:00:00"/>
    <n v="12"/>
    <s v="Aug"/>
    <x v="4"/>
    <s v="Aug-2016"/>
    <n v="614054477"/>
    <d v="2016-08-16T00:00:00"/>
    <n v="16"/>
    <s v="Aug"/>
    <n v="2016"/>
    <s v="Aug-2016"/>
    <s v="8/16/2016"/>
    <n v="4"/>
    <n v="1220"/>
    <n v="154.06"/>
    <n v="90.93"/>
    <n v="154.06"/>
    <n v="187953.2"/>
    <n v="110934.6"/>
    <n v="0.40977541217707386"/>
    <n v="77018.600000000006"/>
  </r>
  <r>
    <x v="0"/>
    <s v="Sweden"/>
    <x v="8"/>
    <x v="0"/>
    <x v="3"/>
    <s v="3/29/2011"/>
    <d v="2011-03-29T00:00:00"/>
    <n v="29"/>
    <s v="Mar"/>
    <x v="0"/>
    <s v="Mar-2011"/>
    <n v="369170081"/>
    <d v="2011-04-03T00:00:00"/>
    <n v="3"/>
    <s v="Apr"/>
    <n v="2011"/>
    <s v="Apr-2011"/>
    <s v="4/3/2011"/>
    <n v="5"/>
    <n v="4486"/>
    <n v="255.28"/>
    <n v="159.41999999999999"/>
    <n v="255.28000000000003"/>
    <n v="1145186.08"/>
    <n v="715158.12"/>
    <n v="0.37550924475086178"/>
    <n v="430027.96"/>
  </r>
  <r>
    <x v="0"/>
    <s v="Albania"/>
    <x v="1"/>
    <x v="0"/>
    <x v="0"/>
    <s v="1/16/2016"/>
    <d v="2016-01-16T00:00:00"/>
    <n v="16"/>
    <s v="Jan"/>
    <x v="4"/>
    <s v="Jan-2016"/>
    <n v="357930982"/>
    <d v="2016-03-05T00:00:00"/>
    <n v="5"/>
    <s v="Mar"/>
    <n v="2016"/>
    <s v="Mar-2016"/>
    <s v="3/5/2016"/>
    <n v="49"/>
    <n v="8586"/>
    <n v="109.28"/>
    <n v="35.840000000000003"/>
    <n v="109.28"/>
    <n v="938278.08"/>
    <n v="307722.23999999999"/>
    <n v="0.67203513909224011"/>
    <n v="630555.84"/>
  </r>
  <r>
    <x v="0"/>
    <s v="Russia"/>
    <x v="3"/>
    <x v="0"/>
    <x v="1"/>
    <s v="3/15/2013"/>
    <d v="2013-03-15T00:00:00"/>
    <n v="15"/>
    <s v="Mar"/>
    <x v="1"/>
    <s v="Mar-2013"/>
    <n v="586812674"/>
    <d v="2013-03-31T00:00:00"/>
    <n v="31"/>
    <s v="Mar"/>
    <n v="2013"/>
    <s v="Mar-2013"/>
    <s v="3/31/2013"/>
    <n v="16"/>
    <n v="9766"/>
    <n v="651.21"/>
    <n v="524.96"/>
    <n v="651.21"/>
    <n v="6359716.8600000003"/>
    <n v="5126759.3600000003"/>
    <n v="0.19386987300563566"/>
    <n v="1232957.5"/>
  </r>
  <r>
    <x v="0"/>
    <s v="Sweden"/>
    <x v="4"/>
    <x v="1"/>
    <x v="2"/>
    <s v="4/11/2016"/>
    <d v="2016-04-11T00:00:00"/>
    <n v="11"/>
    <s v="Apr"/>
    <x v="4"/>
    <s v="Apr-2016"/>
    <n v="311221492"/>
    <d v="2016-05-07T00:00:00"/>
    <n v="7"/>
    <s v="May"/>
    <n v="2016"/>
    <s v="May-2016"/>
    <s v="5/7/2016"/>
    <n v="26"/>
    <n v="6210"/>
    <n v="9.33"/>
    <n v="6.92"/>
    <n v="9.33"/>
    <n v="57939.3"/>
    <n v="42973.2"/>
    <n v="0.25830653804930331"/>
    <n v="14966.1"/>
  </r>
  <r>
    <x v="0"/>
    <s v="Sweden"/>
    <x v="7"/>
    <x v="1"/>
    <x v="1"/>
    <s v="5/28/2012"/>
    <d v="2012-05-28T00:00:00"/>
    <n v="28"/>
    <s v="May"/>
    <x v="5"/>
    <s v="May-2012"/>
    <n v="274989354"/>
    <d v="2012-07-10T00:00:00"/>
    <n v="10"/>
    <s v="Jul"/>
    <n v="2012"/>
    <s v="Jul-2012"/>
    <s v="7/10/2012"/>
    <n v="43"/>
    <n v="4316"/>
    <n v="152.58000000000001"/>
    <n v="97.44"/>
    <n v="152.58000000000001"/>
    <n v="658535.28"/>
    <n v="420551.04"/>
    <n v="0.36138419189933146"/>
    <n v="237984.24"/>
  </r>
  <r>
    <x v="0"/>
    <s v="Cyprus"/>
    <x v="3"/>
    <x v="0"/>
    <x v="2"/>
    <s v="5/8/2013"/>
    <d v="2013-05-08T00:00:00"/>
    <n v="8"/>
    <s v="May"/>
    <x v="1"/>
    <s v="May-2013"/>
    <n v="897785842"/>
    <d v="2013-05-12T00:00:00"/>
    <n v="12"/>
    <s v="May"/>
    <n v="2013"/>
    <s v="May-2013"/>
    <s v="5/12/2013"/>
    <n v="4"/>
    <n v="3636"/>
    <n v="651.21"/>
    <n v="524.96"/>
    <n v="651.21"/>
    <n v="2367799.56"/>
    <n v="1908754.56"/>
    <n v="0.19386987300563566"/>
    <n v="459045"/>
  </r>
  <r>
    <x v="0"/>
    <s v="Romania"/>
    <x v="6"/>
    <x v="1"/>
    <x v="3"/>
    <s v="5/22/2017"/>
    <d v="2017-05-22T00:00:00"/>
    <n v="22"/>
    <s v="May"/>
    <x v="7"/>
    <s v="May-2017"/>
    <n v="929812705"/>
    <d v="2017-05-25T00:00:00"/>
    <n v="25"/>
    <s v="May"/>
    <n v="2017"/>
    <s v="May-2017"/>
    <s v="5/25/2017"/>
    <n v="3"/>
    <n v="1097"/>
    <n v="421.89"/>
    <n v="364.69"/>
    <n v="421.89000000000004"/>
    <n v="462813.33"/>
    <n v="400064.93"/>
    <n v="0.13558036455000119"/>
    <n v="62748.4"/>
  </r>
  <r>
    <x v="0"/>
    <s v="Ukraine"/>
    <x v="10"/>
    <x v="1"/>
    <x v="3"/>
    <s v="1/29/2012"/>
    <d v="2012-01-29T00:00:00"/>
    <n v="29"/>
    <s v="Jan"/>
    <x v="5"/>
    <s v="Jan-2012"/>
    <n v="202047002"/>
    <d v="2012-03-06T00:00:00"/>
    <n v="6"/>
    <s v="Mar"/>
    <n v="2012"/>
    <s v="Mar-2012"/>
    <s v="3/6/2012"/>
    <n v="37"/>
    <n v="9053"/>
    <n v="437.2"/>
    <n v="263.33"/>
    <n v="437.2"/>
    <n v="3957971.6"/>
    <n v="2383926.4900000002"/>
    <n v="0.39768984446477584"/>
    <n v="1574045.11"/>
  </r>
  <r>
    <x v="0"/>
    <s v="Kosovo"/>
    <x v="4"/>
    <x v="1"/>
    <x v="2"/>
    <s v="8/27/2011"/>
    <d v="2011-08-27T00:00:00"/>
    <n v="27"/>
    <s v="Aug"/>
    <x v="0"/>
    <s v="Aug-2011"/>
    <n v="919922006"/>
    <d v="2011-09-18T00:00:00"/>
    <n v="18"/>
    <s v="Sep"/>
    <n v="2011"/>
    <s v="Sep-2011"/>
    <s v="9/18/2011"/>
    <n v="22"/>
    <n v="4219"/>
    <n v="9.33"/>
    <n v="6.92"/>
    <n v="9.33"/>
    <n v="39363.269999999997"/>
    <n v="29195.48"/>
    <n v="0.25830653804930337"/>
    <n v="10167.790000000001"/>
  </r>
  <r>
    <x v="0"/>
    <s v="Moldova "/>
    <x v="0"/>
    <x v="0"/>
    <x v="3"/>
    <s v="6/17/2013"/>
    <d v="2013-06-17T00:00:00"/>
    <n v="17"/>
    <s v="Jun"/>
    <x v="1"/>
    <s v="Jun-2013"/>
    <n v="243226420"/>
    <d v="2013-07-03T00:00:00"/>
    <n v="3"/>
    <s v="Jul"/>
    <n v="2013"/>
    <s v="Jul-2013"/>
    <s v="7/3/2013"/>
    <n v="16"/>
    <n v="4958"/>
    <n v="47.45"/>
    <n v="31.79"/>
    <n v="47.45"/>
    <n v="235257.1"/>
    <n v="157614.82"/>
    <n v="0.33003161222339306"/>
    <n v="77642.28"/>
  </r>
  <r>
    <x v="0"/>
    <s v="United Kingdom"/>
    <x v="1"/>
    <x v="1"/>
    <x v="1"/>
    <s v="11/13/2016"/>
    <d v="2016-11-13T00:00:00"/>
    <n v="13"/>
    <s v="Nov"/>
    <x v="4"/>
    <s v="Nov-2016"/>
    <n v="249765861"/>
    <d v="2016-11-24T00:00:00"/>
    <n v="24"/>
    <s v="Nov"/>
    <n v="2016"/>
    <s v="Nov-2016"/>
    <s v="11/24/2016"/>
    <n v="11"/>
    <n v="123"/>
    <n v="109.28"/>
    <n v="35.840000000000003"/>
    <n v="109.28"/>
    <n v="13441.44"/>
    <n v="4408.32"/>
    <n v="0.67203513909224011"/>
    <n v="9033.1200000000008"/>
  </r>
  <r>
    <x v="0"/>
    <s v="Romania"/>
    <x v="0"/>
    <x v="1"/>
    <x v="3"/>
    <s v="5/31/2016"/>
    <d v="2016-05-31T00:00:00"/>
    <n v="31"/>
    <s v="May"/>
    <x v="4"/>
    <s v="May-2016"/>
    <n v="253055322"/>
    <d v="2016-06-12T00:00:00"/>
    <n v="12"/>
    <s v="Jun"/>
    <n v="2016"/>
    <s v="Jun-2016"/>
    <s v="6/12/2016"/>
    <n v="12"/>
    <n v="3548"/>
    <n v="47.45"/>
    <n v="31.79"/>
    <n v="47.45"/>
    <n v="168352.6"/>
    <n v="112790.92"/>
    <n v="0.33003161222339306"/>
    <n v="55561.68"/>
  </r>
  <r>
    <x v="0"/>
    <s v="Montenegro"/>
    <x v="0"/>
    <x v="0"/>
    <x v="0"/>
    <s v="8/6/2016"/>
    <d v="2016-08-06T00:00:00"/>
    <n v="6"/>
    <s v="Aug"/>
    <x v="4"/>
    <s v="Aug-2016"/>
    <n v="243340575"/>
    <d v="2016-09-04T00:00:00"/>
    <n v="4"/>
    <s v="Sep"/>
    <n v="2016"/>
    <s v="Sep-2016"/>
    <s v="9/4/2016"/>
    <n v="29"/>
    <n v="8739"/>
    <n v="47.45"/>
    <n v="31.79"/>
    <n v="47.449999999999996"/>
    <n v="414665.55"/>
    <n v="277812.81"/>
    <n v="0.33003161222339306"/>
    <n v="136852.74"/>
  </r>
  <r>
    <x v="0"/>
    <s v="Czech Republic"/>
    <x v="9"/>
    <x v="0"/>
    <x v="3"/>
    <s v="11/6/2014"/>
    <d v="2014-11-06T00:00:00"/>
    <n v="6"/>
    <s v="Nov"/>
    <x v="2"/>
    <s v="Nov-2014"/>
    <n v="988599860"/>
    <d v="2014-12-11T00:00:00"/>
    <n v="11"/>
    <s v="Dec"/>
    <n v="2014"/>
    <s v="Dec-2014"/>
    <s v="12/11/2014"/>
    <n v="35"/>
    <n v="7522"/>
    <n v="668.27"/>
    <n v="502.54"/>
    <n v="668.2700000000001"/>
    <n v="5026726.9400000004"/>
    <n v="3780105.88"/>
    <n v="0.24799856345489099"/>
    <n v="1246621.06"/>
  </r>
  <r>
    <x v="0"/>
    <s v="Cyprus"/>
    <x v="7"/>
    <x v="1"/>
    <x v="1"/>
    <s v="4/18/2011"/>
    <d v="2011-04-18T00:00:00"/>
    <n v="18"/>
    <s v="Apr"/>
    <x v="0"/>
    <s v="Apr-2011"/>
    <n v="581193768"/>
    <d v="2011-04-24T00:00:00"/>
    <n v="24"/>
    <s v="Apr"/>
    <n v="2011"/>
    <s v="Apr-2011"/>
    <s v="4/24/2011"/>
    <n v="6"/>
    <n v="7006"/>
    <n v="152.58000000000001"/>
    <n v="97.44"/>
    <n v="152.57999999999998"/>
    <n v="1068975.48"/>
    <n v="682664.64"/>
    <n v="0.36138419189933152"/>
    <n v="386310.84"/>
  </r>
  <r>
    <x v="0"/>
    <s v="Serbia"/>
    <x v="2"/>
    <x v="0"/>
    <x v="0"/>
    <s v="8/11/2016"/>
    <d v="2016-08-11T00:00:00"/>
    <n v="11"/>
    <s v="Aug"/>
    <x v="4"/>
    <s v="Aug-2016"/>
    <n v="100983083"/>
    <d v="2016-08-11T00:00:00"/>
    <n v="11"/>
    <s v="Aug"/>
    <n v="2016"/>
    <s v="Aug-2016"/>
    <s v="8/11/2016"/>
    <n v="0"/>
    <n v="1993"/>
    <n v="205.7"/>
    <n v="117.11"/>
    <n v="205.7"/>
    <n v="409960.1"/>
    <n v="233400.23"/>
    <n v="0.43067574137092857"/>
    <n v="176559.87"/>
  </r>
  <r>
    <x v="0"/>
    <s v="Latvia"/>
    <x v="11"/>
    <x v="0"/>
    <x v="2"/>
    <s v="9/13/2012"/>
    <d v="2012-09-13T00:00:00"/>
    <n v="13"/>
    <s v="Sep"/>
    <x v="5"/>
    <s v="Sep-2012"/>
    <n v="936411798"/>
    <d v="2012-09-17T00:00:00"/>
    <n v="17"/>
    <s v="Sep"/>
    <n v="2012"/>
    <s v="Sep-2012"/>
    <s v="9/17/2012"/>
    <n v="4"/>
    <n v="3915"/>
    <n v="81.73"/>
    <n v="56.67"/>
    <n v="81.73"/>
    <n v="319972.95"/>
    <n v="221863.05"/>
    <n v="0.30661935641747212"/>
    <n v="98109.9"/>
  </r>
  <r>
    <x v="0"/>
    <s v="Bosnia and Herzegovina"/>
    <x v="9"/>
    <x v="0"/>
    <x v="1"/>
    <s v="6/22/2015"/>
    <d v="2015-06-22T00:00:00"/>
    <n v="22"/>
    <s v="Jun"/>
    <x v="6"/>
    <s v="Jun-2015"/>
    <n v="261640536"/>
    <d v="2015-08-01T00:00:00"/>
    <n v="1"/>
    <s v="Aug"/>
    <n v="2015"/>
    <s v="Aug-2015"/>
    <s v="8/1/2015"/>
    <n v="40"/>
    <n v="4104"/>
    <n v="668.27"/>
    <n v="502.54"/>
    <n v="668.27"/>
    <n v="2742580.08"/>
    <n v="2062424.16"/>
    <n v="0.24799856345489099"/>
    <n v="680155.92"/>
  </r>
  <r>
    <x v="0"/>
    <s v="Finland"/>
    <x v="8"/>
    <x v="0"/>
    <x v="2"/>
    <s v="4/21/2017"/>
    <d v="2017-04-21T00:00:00"/>
    <n v="21"/>
    <s v="Apr"/>
    <x v="7"/>
    <s v="Apr-2017"/>
    <n v="564173543"/>
    <d v="2017-04-26T00:00:00"/>
    <n v="26"/>
    <s v="Apr"/>
    <n v="2017"/>
    <s v="Apr-2017"/>
    <s v="4/26/2017"/>
    <n v="5"/>
    <n v="343"/>
    <n v="255.28"/>
    <n v="159.41999999999999"/>
    <n v="255.27999999999997"/>
    <n v="87561.04"/>
    <n v="54681.06"/>
    <n v="0.37550924475086184"/>
    <n v="32879.980000000003"/>
  </r>
  <r>
    <x v="0"/>
    <s v="Ukraine"/>
    <x v="2"/>
    <x v="0"/>
    <x v="0"/>
    <s v="10/10/2011"/>
    <d v="2011-10-10T00:00:00"/>
    <n v="10"/>
    <s v="Oct"/>
    <x v="0"/>
    <s v="Oct-2011"/>
    <n v="580463349"/>
    <d v="2011-11-08T00:00:00"/>
    <n v="8"/>
    <s v="Nov"/>
    <n v="2011"/>
    <s v="Nov-2011"/>
    <s v="11/8/2011"/>
    <n v="29"/>
    <n v="859"/>
    <n v="205.7"/>
    <n v="117.11"/>
    <n v="205.7"/>
    <n v="176696.3"/>
    <n v="100597.49"/>
    <n v="0.43067574137092857"/>
    <n v="76098.81"/>
  </r>
  <r>
    <x v="0"/>
    <s v="France"/>
    <x v="3"/>
    <x v="0"/>
    <x v="1"/>
    <s v="11/4/2013"/>
    <d v="2013-11-04T00:00:00"/>
    <n v="4"/>
    <s v="Nov"/>
    <x v="1"/>
    <s v="Nov-2013"/>
    <n v="428419864"/>
    <d v="2013-12-05T00:00:00"/>
    <n v="5"/>
    <s v="Dec"/>
    <n v="2013"/>
    <s v="Dec-2013"/>
    <s v="12/5/2013"/>
    <n v="31"/>
    <n v="7813"/>
    <n v="651.21"/>
    <n v="524.96"/>
    <n v="651.21"/>
    <n v="5087903.7300000004"/>
    <n v="4101512.48"/>
    <n v="0.19386987300563566"/>
    <n v="986391.25"/>
  </r>
  <r>
    <x v="0"/>
    <s v="Portugal"/>
    <x v="8"/>
    <x v="0"/>
    <x v="0"/>
    <s v="1/11/2010"/>
    <d v="2010-01-11T00:00:00"/>
    <n v="11"/>
    <s v="Jan"/>
    <x v="3"/>
    <s v="Jan-2010"/>
    <n v="479171121"/>
    <d v="2010-01-27T00:00:00"/>
    <n v="27"/>
    <s v="Jan"/>
    <n v="2010"/>
    <s v="Jan-2010"/>
    <s v="1/27/2010"/>
    <n v="16"/>
    <n v="6238"/>
    <n v="255.28"/>
    <n v="159.41999999999999"/>
    <n v="255.27999999999997"/>
    <n v="1592436.64"/>
    <n v="994461.96"/>
    <n v="0.37550924475086184"/>
    <n v="597974.68000000005"/>
  </r>
  <r>
    <x v="0"/>
    <s v="Lithuania"/>
    <x v="11"/>
    <x v="1"/>
    <x v="3"/>
    <s v="5/13/2015"/>
    <d v="2015-05-13T00:00:00"/>
    <n v="13"/>
    <s v="May"/>
    <x v="6"/>
    <s v="May-2015"/>
    <n v="120419871"/>
    <d v="2015-06-26T00:00:00"/>
    <n v="26"/>
    <s v="Jun"/>
    <n v="2015"/>
    <s v="Jun-2015"/>
    <s v="6/26/2015"/>
    <n v="44"/>
    <n v="3771"/>
    <n v="81.73"/>
    <n v="56.67"/>
    <n v="81.73"/>
    <n v="308203.83"/>
    <n v="213702.57"/>
    <n v="0.30661935641747212"/>
    <n v="94501.26"/>
  </r>
  <r>
    <x v="0"/>
    <s v="Italy"/>
    <x v="1"/>
    <x v="0"/>
    <x v="1"/>
    <s v="9/11/2012"/>
    <d v="2012-09-11T00:00:00"/>
    <n v="11"/>
    <s v="Sep"/>
    <x v="5"/>
    <s v="Sep-2012"/>
    <n v="602301251"/>
    <d v="2012-09-27T00:00:00"/>
    <n v="27"/>
    <s v="Sep"/>
    <n v="2012"/>
    <s v="Sep-2012"/>
    <s v="9/27/2012"/>
    <n v="16"/>
    <n v="3180"/>
    <n v="109.28"/>
    <n v="35.840000000000003"/>
    <n v="109.28"/>
    <n v="347510.4"/>
    <n v="113971.2"/>
    <n v="0.67203513909224011"/>
    <n v="233539.20000000001"/>
  </r>
  <r>
    <x v="0"/>
    <s v="Denmark"/>
    <x v="8"/>
    <x v="1"/>
    <x v="1"/>
    <s v="12/9/2012"/>
    <d v="2012-12-09T00:00:00"/>
    <n v="9"/>
    <s v="Dec"/>
    <x v="5"/>
    <s v="Dec-2012"/>
    <n v="471484124"/>
    <d v="2013-01-24T00:00:00"/>
    <n v="24"/>
    <s v="Jan"/>
    <n v="2013"/>
    <s v="Jan-2013"/>
    <s v="1/24/2013"/>
    <n v="46"/>
    <n v="1485"/>
    <n v="255.28"/>
    <n v="159.41999999999999"/>
    <n v="255.28"/>
    <n v="379090.8"/>
    <n v="236738.7"/>
    <n v="0.37550924475086184"/>
    <n v="142352.1"/>
  </r>
  <r>
    <x v="0"/>
    <s v="Hungary"/>
    <x v="7"/>
    <x v="0"/>
    <x v="1"/>
    <s v="2/1/2017"/>
    <d v="2017-02-01T00:00:00"/>
    <n v="1"/>
    <s v="Feb"/>
    <x v="7"/>
    <s v="Feb-2017"/>
    <n v="291611325"/>
    <d v="2017-02-10T00:00:00"/>
    <n v="10"/>
    <s v="Feb"/>
    <n v="2017"/>
    <s v="Feb-2017"/>
    <s v="2/10/2017"/>
    <n v="9"/>
    <n v="3126"/>
    <n v="152.58000000000001"/>
    <n v="97.44"/>
    <n v="152.58000000000001"/>
    <n v="476965.08"/>
    <n v="304597.44"/>
    <n v="0.36138419189933152"/>
    <n v="172367.64"/>
  </r>
  <r>
    <x v="0"/>
    <s v="Slovenia"/>
    <x v="5"/>
    <x v="0"/>
    <x v="1"/>
    <s v="2/10/2013"/>
    <d v="2013-02-10T00:00:00"/>
    <n v="10"/>
    <s v="Feb"/>
    <x v="1"/>
    <s v="Feb-2013"/>
    <n v="691383635"/>
    <d v="2013-03-19T00:00:00"/>
    <n v="19"/>
    <s v="Mar"/>
    <n v="2013"/>
    <s v="Mar-2013"/>
    <s v="3/19/2013"/>
    <n v="37"/>
    <n v="4637"/>
    <n v="154.06"/>
    <n v="90.93"/>
    <n v="154.06"/>
    <n v="714376.22"/>
    <n v="421642.41"/>
    <n v="0.40977541217707386"/>
    <n v="292733.81"/>
  </r>
  <r>
    <x v="0"/>
    <s v="Kosovo"/>
    <x v="7"/>
    <x v="1"/>
    <x v="3"/>
    <s v="2/5/2013"/>
    <d v="2013-02-05T00:00:00"/>
    <n v="5"/>
    <s v="Feb"/>
    <x v="1"/>
    <s v="Feb-2013"/>
    <n v="783913838"/>
    <d v="2013-03-09T00:00:00"/>
    <n v="9"/>
    <s v="Mar"/>
    <n v="2013"/>
    <s v="Mar-2013"/>
    <s v="3/9/2013"/>
    <n v="32"/>
    <n v="6380"/>
    <n v="152.58000000000001"/>
    <n v="97.44"/>
    <n v="152.58000000000001"/>
    <n v="973460.4"/>
    <n v="621667.19999999995"/>
    <n v="0.36138419189933152"/>
    <n v="351793.2"/>
  </r>
  <r>
    <x v="0"/>
    <s v="Macedonia"/>
    <x v="1"/>
    <x v="1"/>
    <x v="0"/>
    <s v="3/14/2013"/>
    <d v="2013-03-14T00:00:00"/>
    <n v="14"/>
    <s v="Mar"/>
    <x v="1"/>
    <s v="Mar-2013"/>
    <n v="799109733"/>
    <d v="2013-04-29T00:00:00"/>
    <n v="29"/>
    <s v="Apr"/>
    <n v="2013"/>
    <s v="Apr-2013"/>
    <s v="4/29/2013"/>
    <n v="46"/>
    <n v="3183"/>
    <n v="109.28"/>
    <n v="35.840000000000003"/>
    <n v="109.28"/>
    <n v="347838.24"/>
    <n v="114078.72"/>
    <n v="0.67203513909224011"/>
    <n v="233759.52"/>
  </r>
  <r>
    <x v="0"/>
    <s v="Denmark"/>
    <x v="0"/>
    <x v="1"/>
    <x v="2"/>
    <s v="11/21/2016"/>
    <d v="2016-11-21T00:00:00"/>
    <n v="21"/>
    <s v="Nov"/>
    <x v="4"/>
    <s v="Nov-2016"/>
    <n v="223199975"/>
    <d v="2017-01-04T00:00:00"/>
    <n v="4"/>
    <s v="Jan"/>
    <n v="2017"/>
    <s v="Jan-2017"/>
    <s v="1/4/2017"/>
    <n v="44"/>
    <n v="8687"/>
    <n v="47.45"/>
    <n v="31.79"/>
    <n v="47.45"/>
    <n v="412198.15"/>
    <n v="276159.73"/>
    <n v="0.33003161222339306"/>
    <n v="136038.42000000001"/>
  </r>
  <r>
    <x v="0"/>
    <s v="Georgia"/>
    <x v="2"/>
    <x v="0"/>
    <x v="3"/>
    <s v="11/30/2016"/>
    <d v="2016-11-30T00:00:00"/>
    <n v="30"/>
    <s v="Nov"/>
    <x v="4"/>
    <s v="Nov-2016"/>
    <n v="391849982"/>
    <d v="2016-12-11T00:00:00"/>
    <n v="11"/>
    <s v="Dec"/>
    <n v="2016"/>
    <s v="Dec-2016"/>
    <s v="12/11/2016"/>
    <n v="11"/>
    <n v="5972"/>
    <n v="205.7"/>
    <n v="117.11"/>
    <n v="205.7"/>
    <n v="1228440.3999999999"/>
    <n v="699380.92"/>
    <n v="0.43067574137092857"/>
    <n v="529059.48"/>
  </r>
  <r>
    <x v="0"/>
    <s v="Croatia"/>
    <x v="1"/>
    <x v="1"/>
    <x v="3"/>
    <s v="1/13/2014"/>
    <d v="2014-01-13T00:00:00"/>
    <n v="13"/>
    <s v="Jan"/>
    <x v="2"/>
    <s v="Jan-2014"/>
    <n v="906508815"/>
    <d v="2014-01-23T00:00:00"/>
    <n v="23"/>
    <s v="Jan"/>
    <n v="2014"/>
    <s v="Jan-2014"/>
    <s v="1/23/2014"/>
    <n v="10"/>
    <n v="4958"/>
    <n v="109.28"/>
    <n v="35.840000000000003"/>
    <n v="109.28"/>
    <n v="541810.24"/>
    <n v="177694.72"/>
    <n v="0.67203513909224011"/>
    <n v="364115.52"/>
  </r>
  <r>
    <x v="0"/>
    <s v="Greece"/>
    <x v="2"/>
    <x v="0"/>
    <x v="1"/>
    <s v="10/10/2013"/>
    <d v="2013-10-10T00:00:00"/>
    <n v="10"/>
    <s v="Oct"/>
    <x v="1"/>
    <s v="Oct-2013"/>
    <n v="524844634"/>
    <d v="2013-10-13T00:00:00"/>
    <n v="13"/>
    <s v="Oct"/>
    <n v="2013"/>
    <s v="Oct-2013"/>
    <s v="10/13/2013"/>
    <n v="3"/>
    <n v="2045"/>
    <n v="205.7"/>
    <n v="117.11"/>
    <n v="205.7"/>
    <n v="420656.5"/>
    <n v="239489.95"/>
    <n v="0.43067574137092851"/>
    <n v="181166.55"/>
  </r>
  <r>
    <x v="0"/>
    <s v="Iceland"/>
    <x v="4"/>
    <x v="1"/>
    <x v="3"/>
    <s v="10/21/2014"/>
    <d v="2014-10-21T00:00:00"/>
    <n v="21"/>
    <s v="Oct"/>
    <x v="2"/>
    <s v="Oct-2014"/>
    <n v="640476596"/>
    <d v="2014-10-24T00:00:00"/>
    <n v="24"/>
    <s v="Oct"/>
    <n v="2014"/>
    <s v="Oct-2014"/>
    <s v="10/24/2014"/>
    <n v="3"/>
    <n v="112"/>
    <n v="9.33"/>
    <n v="6.92"/>
    <n v="9.33"/>
    <n v="1044.96"/>
    <n v="775.04"/>
    <n v="0.25830653804930331"/>
    <n v="269.92"/>
  </r>
  <r>
    <x v="0"/>
    <s v="Ukraine"/>
    <x v="6"/>
    <x v="1"/>
    <x v="1"/>
    <s v="8/20/2012"/>
    <d v="2012-08-20T00:00:00"/>
    <n v="20"/>
    <s v="Aug"/>
    <x v="5"/>
    <s v="Aug-2012"/>
    <n v="733636796"/>
    <d v="2012-09-15T00:00:00"/>
    <n v="15"/>
    <s v="Sep"/>
    <n v="2012"/>
    <s v="Sep-2012"/>
    <s v="9/15/2012"/>
    <n v="26"/>
    <n v="8286"/>
    <n v="421.89"/>
    <n v="364.69"/>
    <n v="421.89"/>
    <n v="3495780.54"/>
    <n v="3021821.34"/>
    <n v="0.13558036455000119"/>
    <n v="473959.2"/>
  </r>
  <r>
    <x v="0"/>
    <s v="Bosnia and Herzegovina"/>
    <x v="7"/>
    <x v="1"/>
    <x v="2"/>
    <s v="12/24/2012"/>
    <d v="2012-12-24T00:00:00"/>
    <n v="24"/>
    <s v="Dec"/>
    <x v="5"/>
    <s v="Dec-2012"/>
    <n v="183778369"/>
    <d v="2013-01-07T00:00:00"/>
    <n v="7"/>
    <s v="Jan"/>
    <n v="2013"/>
    <s v="Jan-2013"/>
    <s v="1/7/2013"/>
    <n v="14"/>
    <n v="2958"/>
    <n v="152.58000000000001"/>
    <n v="97.44"/>
    <n v="152.58000000000001"/>
    <n v="451331.64"/>
    <n v="288227.52"/>
    <n v="0.36138419189933146"/>
    <n v="163104.12"/>
  </r>
  <r>
    <x v="0"/>
    <s v="Luxembourg"/>
    <x v="7"/>
    <x v="0"/>
    <x v="1"/>
    <s v="4/22/2017"/>
    <d v="2017-04-22T00:00:00"/>
    <n v="22"/>
    <s v="Apr"/>
    <x v="7"/>
    <s v="Apr-2017"/>
    <n v="594991052"/>
    <d v="2017-06-06T00:00:00"/>
    <n v="6"/>
    <s v="Jun"/>
    <n v="2017"/>
    <s v="Jun-2017"/>
    <s v="6/6/2017"/>
    <n v="45"/>
    <n v="9929"/>
    <n v="152.58000000000001"/>
    <n v="97.44"/>
    <n v="152.58000000000001"/>
    <n v="1514966.82"/>
    <n v="967481.76"/>
    <n v="0.36138419189933152"/>
    <n v="547485.06000000006"/>
  </r>
  <r>
    <x v="0"/>
    <s v="Albania"/>
    <x v="3"/>
    <x v="1"/>
    <x v="3"/>
    <s v="7/13/2015"/>
    <d v="2015-07-13T00:00:00"/>
    <n v="13"/>
    <s v="Jul"/>
    <x v="6"/>
    <s v="Jul-2015"/>
    <n v="246922719"/>
    <d v="2015-07-29T00:00:00"/>
    <n v="29"/>
    <s v="Jul"/>
    <n v="2015"/>
    <s v="Jul-2015"/>
    <s v="7/29/2015"/>
    <n v="16"/>
    <n v="8775"/>
    <n v="651.21"/>
    <n v="524.96"/>
    <n v="651.21"/>
    <n v="5714367.75"/>
    <n v="4606524"/>
    <n v="0.19386987300563566"/>
    <n v="1107843.75"/>
  </r>
  <r>
    <x v="0"/>
    <s v="Slovakia"/>
    <x v="7"/>
    <x v="0"/>
    <x v="2"/>
    <s v="10/10/2013"/>
    <d v="2013-10-10T00:00:00"/>
    <n v="10"/>
    <s v="Oct"/>
    <x v="1"/>
    <s v="Oct-2013"/>
    <n v="315066277"/>
    <d v="2013-11-28T00:00:00"/>
    <n v="28"/>
    <s v="Nov"/>
    <n v="2013"/>
    <s v="Nov-2013"/>
    <s v="11/28/2013"/>
    <n v="49"/>
    <n v="3968"/>
    <n v="152.58000000000001"/>
    <n v="97.44"/>
    <n v="152.57999999999998"/>
    <n v="605437.43999999994"/>
    <n v="386641.91999999998"/>
    <n v="0.36138419189933152"/>
    <n v="218795.51999999999"/>
  </r>
  <r>
    <x v="0"/>
    <s v="Sweden"/>
    <x v="9"/>
    <x v="0"/>
    <x v="0"/>
    <s v="10/9/2010"/>
    <d v="2010-10-09T00:00:00"/>
    <n v="9"/>
    <s v="Oct"/>
    <x v="3"/>
    <s v="Oct-2010"/>
    <n v="766118133"/>
    <d v="2010-10-10T00:00:00"/>
    <n v="10"/>
    <s v="Oct"/>
    <n v="2010"/>
    <s v="Oct-2010"/>
    <s v="10/10/2010"/>
    <n v="1"/>
    <n v="235"/>
    <n v="668.27"/>
    <n v="502.54"/>
    <n v="668.2700000000001"/>
    <n v="157043.45000000001"/>
    <n v="118096.9"/>
    <n v="0.24799856345489099"/>
    <n v="38946.550000000003"/>
  </r>
  <r>
    <x v="0"/>
    <s v="Russia"/>
    <x v="1"/>
    <x v="0"/>
    <x v="2"/>
    <s v="7/9/2010"/>
    <d v="2010-07-09T00:00:00"/>
    <n v="9"/>
    <s v="Jul"/>
    <x v="3"/>
    <s v="Jul-2010"/>
    <n v="138820683"/>
    <d v="2010-07-09T00:00:00"/>
    <n v="9"/>
    <s v="Jul"/>
    <n v="2010"/>
    <s v="Jul-2010"/>
    <s v="7/9/2010"/>
    <n v="0"/>
    <n v="8980"/>
    <n v="109.28"/>
    <n v="35.840000000000003"/>
    <n v="109.28"/>
    <n v="981334.4"/>
    <n v="321843.20000000001"/>
    <n v="0.67203513909224011"/>
    <n v="659491.19999999995"/>
  </r>
  <r>
    <x v="0"/>
    <s v="Luxembourg"/>
    <x v="2"/>
    <x v="1"/>
    <x v="1"/>
    <s v="12/18/2012"/>
    <d v="2012-12-18T00:00:00"/>
    <n v="18"/>
    <s v="Dec"/>
    <x v="5"/>
    <s v="Dec-2012"/>
    <n v="733648812"/>
    <d v="2012-12-24T00:00:00"/>
    <n v="24"/>
    <s v="Dec"/>
    <n v="2012"/>
    <s v="Dec-2012"/>
    <s v="12/24/2012"/>
    <n v="6"/>
    <n v="1842"/>
    <n v="205.7"/>
    <n v="117.11"/>
    <n v="205.70000000000002"/>
    <n v="378899.4"/>
    <n v="215716.62"/>
    <n v="0.43067574137092851"/>
    <n v="163182.78"/>
  </r>
  <r>
    <x v="0"/>
    <s v="Kosovo"/>
    <x v="3"/>
    <x v="1"/>
    <x v="0"/>
    <s v="2/16/2015"/>
    <d v="2015-02-16T00:00:00"/>
    <n v="16"/>
    <s v="Feb"/>
    <x v="6"/>
    <s v="Feb-2015"/>
    <n v="580782210"/>
    <d v="2015-02-20T00:00:00"/>
    <n v="20"/>
    <s v="Feb"/>
    <n v="2015"/>
    <s v="Feb-2015"/>
    <s v="2/20/2015"/>
    <n v="4"/>
    <n v="5217"/>
    <n v="651.21"/>
    <n v="524.96"/>
    <n v="651.20999999999992"/>
    <n v="3397362.57"/>
    <n v="2738716.32"/>
    <n v="0.19386987300563568"/>
    <n v="658646.25"/>
  </r>
  <r>
    <x v="0"/>
    <s v="Hungary"/>
    <x v="8"/>
    <x v="0"/>
    <x v="0"/>
    <s v="1/1/2010"/>
    <d v="2010-01-01T00:00:00"/>
    <n v="1"/>
    <s v="Jan"/>
    <x v="3"/>
    <s v="Jan-2010"/>
    <n v="279703605"/>
    <d v="2010-01-10T00:00:00"/>
    <n v="10"/>
    <s v="Jan"/>
    <n v="2010"/>
    <s v="Jan-2010"/>
    <s v="1/10/2010"/>
    <n v="9"/>
    <n v="9367"/>
    <n v="255.28"/>
    <n v="159.41999999999999"/>
    <n v="255.27999999999997"/>
    <n v="2391207.7599999998"/>
    <n v="1493287.14"/>
    <n v="0.37550924475086184"/>
    <n v="897920.62"/>
  </r>
  <r>
    <x v="0"/>
    <s v="Poland"/>
    <x v="8"/>
    <x v="0"/>
    <x v="3"/>
    <s v="2/20/2016"/>
    <d v="2016-02-20T00:00:00"/>
    <n v="20"/>
    <s v="Feb"/>
    <x v="4"/>
    <s v="Feb-2016"/>
    <n v="645956456"/>
    <d v="2016-04-08T00:00:00"/>
    <n v="8"/>
    <s v="Apr"/>
    <n v="2016"/>
    <s v="Apr-2016"/>
    <s v="4/8/2016"/>
    <n v="48"/>
    <n v="1725"/>
    <n v="255.28"/>
    <n v="159.41999999999999"/>
    <n v="255.28"/>
    <n v="440358"/>
    <n v="274999.5"/>
    <n v="0.37550924475086178"/>
    <n v="165358.5"/>
  </r>
  <r>
    <x v="0"/>
    <s v="Montenegro"/>
    <x v="1"/>
    <x v="0"/>
    <x v="1"/>
    <s v="11/19/2011"/>
    <d v="2011-11-19T00:00:00"/>
    <n v="19"/>
    <s v="Nov"/>
    <x v="0"/>
    <s v="Nov-2011"/>
    <n v="526350104"/>
    <d v="2011-12-04T00:00:00"/>
    <n v="4"/>
    <s v="Dec"/>
    <n v="2011"/>
    <s v="Dec-2011"/>
    <s v="12/4/2011"/>
    <n v="15"/>
    <n v="7547"/>
    <n v="109.28"/>
    <n v="35.840000000000003"/>
    <n v="109.28"/>
    <n v="824736.16"/>
    <n v="270484.47999999998"/>
    <n v="0.67203513909224011"/>
    <n v="554251.68000000005"/>
  </r>
  <r>
    <x v="0"/>
    <s v="Andorra"/>
    <x v="6"/>
    <x v="1"/>
    <x v="2"/>
    <s v="2/26/2015"/>
    <d v="2015-02-26T00:00:00"/>
    <n v="26"/>
    <s v="Feb"/>
    <x v="6"/>
    <s v="Feb-2015"/>
    <n v="212903726"/>
    <d v="2015-02-26T00:00:00"/>
    <n v="26"/>
    <s v="Feb"/>
    <n v="2015"/>
    <s v="Feb-2015"/>
    <s v="2/26/2015"/>
    <n v="0"/>
    <n v="1798"/>
    <n v="421.89"/>
    <n v="364.69"/>
    <n v="421.89"/>
    <n v="758558.22"/>
    <n v="655712.62"/>
    <n v="0.13558036455000119"/>
    <n v="102845.6"/>
  </r>
  <r>
    <x v="0"/>
    <s v="Finland"/>
    <x v="5"/>
    <x v="1"/>
    <x v="0"/>
    <s v="6/21/2017"/>
    <d v="2017-06-21T00:00:00"/>
    <n v="21"/>
    <s v="Jun"/>
    <x v="7"/>
    <s v="Jun-2017"/>
    <n v="680325210"/>
    <d v="2017-07-23T00:00:00"/>
    <n v="23"/>
    <s v="Jul"/>
    <n v="2017"/>
    <s v="Jul-2017"/>
    <s v="7/23/2017"/>
    <n v="32"/>
    <n v="2203"/>
    <n v="154.06"/>
    <n v="90.93"/>
    <n v="154.06"/>
    <n v="339394.18"/>
    <n v="200318.79"/>
    <n v="0.40977541217707392"/>
    <n v="139075.39000000001"/>
  </r>
  <r>
    <x v="0"/>
    <s v="Slovenia"/>
    <x v="0"/>
    <x v="1"/>
    <x v="1"/>
    <s v="2/3/2011"/>
    <d v="2011-02-03T00:00:00"/>
    <n v="3"/>
    <s v="Feb"/>
    <x v="0"/>
    <s v="Feb-2011"/>
    <n v="263882005"/>
    <d v="2011-02-27T00:00:00"/>
    <n v="27"/>
    <s v="Feb"/>
    <n v="2011"/>
    <s v="Feb-2011"/>
    <s v="2/27/2011"/>
    <n v="24"/>
    <n v="7404"/>
    <n v="47.45"/>
    <n v="31.79"/>
    <n v="47.449999999999996"/>
    <n v="351319.8"/>
    <n v="235373.16"/>
    <n v="0.33003161222339306"/>
    <n v="115946.64"/>
  </r>
  <r>
    <x v="0"/>
    <s v="Slovenia"/>
    <x v="4"/>
    <x v="0"/>
    <x v="2"/>
    <s v="5/28/2016"/>
    <d v="2016-05-28T00:00:00"/>
    <n v="28"/>
    <s v="May"/>
    <x v="4"/>
    <s v="May-2016"/>
    <n v="295168149"/>
    <d v="2016-07-16T00:00:00"/>
    <n v="16"/>
    <s v="Jul"/>
    <n v="2016"/>
    <s v="Jul-2016"/>
    <s v="7/16/2016"/>
    <n v="49"/>
    <n v="5669"/>
    <n v="9.33"/>
    <n v="6.92"/>
    <n v="9.33"/>
    <n v="52891.77"/>
    <n v="39229.480000000003"/>
    <n v="0.25830653804930337"/>
    <n v="13662.29"/>
  </r>
  <r>
    <x v="0"/>
    <s v="Greece"/>
    <x v="6"/>
    <x v="0"/>
    <x v="0"/>
    <s v="9/12/2016"/>
    <d v="2016-09-12T00:00:00"/>
    <n v="12"/>
    <s v="Sep"/>
    <x v="4"/>
    <s v="Sep-2016"/>
    <n v="645111024"/>
    <d v="2016-09-26T00:00:00"/>
    <n v="26"/>
    <s v="Sep"/>
    <n v="2016"/>
    <s v="Sep-2016"/>
    <s v="9/26/2016"/>
    <n v="14"/>
    <n v="1543"/>
    <n v="421.89"/>
    <n v="364.69"/>
    <n v="421.89"/>
    <n v="650976.27"/>
    <n v="562716.67000000004"/>
    <n v="0.13558036455000119"/>
    <n v="88259.6"/>
  </r>
  <r>
    <x v="0"/>
    <s v="Switzerland"/>
    <x v="8"/>
    <x v="0"/>
    <x v="1"/>
    <s v="8/11/2014"/>
    <d v="2014-08-11T00:00:00"/>
    <n v="11"/>
    <s v="Aug"/>
    <x v="2"/>
    <s v="Aug-2014"/>
    <n v="850562655"/>
    <d v="2014-09-25T00:00:00"/>
    <n v="25"/>
    <s v="Sep"/>
    <n v="2014"/>
    <s v="Sep-2014"/>
    <s v="9/25/2014"/>
    <n v="45"/>
    <n v="9246"/>
    <n v="255.28"/>
    <n v="159.41999999999999"/>
    <n v="255.28"/>
    <n v="2360318.88"/>
    <n v="1473997.32"/>
    <n v="0.37550924475086184"/>
    <n v="886321.56"/>
  </r>
  <r>
    <x v="0"/>
    <s v="Ireland"/>
    <x v="11"/>
    <x v="0"/>
    <x v="2"/>
    <s v="1/5/2014"/>
    <d v="2014-01-05T00:00:00"/>
    <n v="5"/>
    <s v="Jan"/>
    <x v="2"/>
    <s v="Jan-2014"/>
    <n v="702357947"/>
    <d v="2014-02-04T00:00:00"/>
    <n v="4"/>
    <s v="Feb"/>
    <n v="2014"/>
    <s v="Feb-2014"/>
    <s v="2/4/2014"/>
    <n v="30"/>
    <n v="2179"/>
    <n v="81.73"/>
    <n v="56.67"/>
    <n v="81.73"/>
    <n v="178089.67"/>
    <n v="123483.93"/>
    <n v="0.30661935641747212"/>
    <n v="54605.74"/>
  </r>
  <r>
    <x v="0"/>
    <s v="Montenegro"/>
    <x v="1"/>
    <x v="1"/>
    <x v="2"/>
    <s v="5/13/2017"/>
    <d v="2017-05-13T00:00:00"/>
    <n v="13"/>
    <s v="May"/>
    <x v="7"/>
    <s v="May-2017"/>
    <n v="102230632"/>
    <d v="2017-06-13T00:00:00"/>
    <n v="13"/>
    <s v="Jun"/>
    <n v="2017"/>
    <s v="Jun-2017"/>
    <s v="6/13/2017"/>
    <n v="31"/>
    <n v="1171"/>
    <n v="109.28"/>
    <n v="35.840000000000003"/>
    <n v="109.28"/>
    <n v="127966.88"/>
    <n v="41968.639999999999"/>
    <n v="0.67203513909224011"/>
    <n v="85998.24"/>
  </r>
  <r>
    <x v="0"/>
    <s v="Armenia"/>
    <x v="1"/>
    <x v="1"/>
    <x v="2"/>
    <s v="1/3/2010"/>
    <d v="2010-01-03T00:00:00"/>
    <n v="3"/>
    <s v="Jan"/>
    <x v="3"/>
    <s v="Jan-2010"/>
    <n v="231450879"/>
    <d v="2010-02-22T00:00:00"/>
    <n v="22"/>
    <s v="Feb"/>
    <n v="2010"/>
    <s v="Feb-2010"/>
    <s v="2/22/2010"/>
    <n v="50"/>
    <n v="313"/>
    <n v="109.28"/>
    <n v="35.840000000000003"/>
    <n v="109.28"/>
    <n v="34204.639999999999"/>
    <n v="11217.92"/>
    <n v="0.67203513909224011"/>
    <n v="22986.720000000001"/>
  </r>
  <r>
    <x v="0"/>
    <s v="Poland"/>
    <x v="1"/>
    <x v="1"/>
    <x v="1"/>
    <s v="10/1/2010"/>
    <d v="2010-10-01T00:00:00"/>
    <n v="1"/>
    <s v="Oct"/>
    <x v="3"/>
    <s v="Oct-2010"/>
    <n v="880176818"/>
    <d v="2010-10-15T00:00:00"/>
    <n v="15"/>
    <s v="Oct"/>
    <n v="2010"/>
    <s v="Oct-2010"/>
    <s v="10/15/2010"/>
    <n v="14"/>
    <n v="2735"/>
    <n v="109.28"/>
    <n v="35.840000000000003"/>
    <n v="109.28"/>
    <n v="298880.8"/>
    <n v="98022.399999999994"/>
    <n v="0.67203513909224011"/>
    <n v="200858.4"/>
  </r>
  <r>
    <x v="0"/>
    <s v="Italy"/>
    <x v="1"/>
    <x v="1"/>
    <x v="3"/>
    <s v="6/10/2011"/>
    <d v="2011-06-10T00:00:00"/>
    <n v="10"/>
    <s v="Jun"/>
    <x v="0"/>
    <s v="Jun-2011"/>
    <n v="755318915"/>
    <d v="2011-06-25T00:00:00"/>
    <n v="25"/>
    <s v="Jun"/>
    <n v="2011"/>
    <s v="Jun-2011"/>
    <s v="6/25/2011"/>
    <n v="15"/>
    <n v="4507"/>
    <n v="109.28"/>
    <n v="35.840000000000003"/>
    <n v="109.28"/>
    <n v="492524.96"/>
    <n v="161530.88"/>
    <n v="0.67203513909224011"/>
    <n v="330994.08"/>
  </r>
  <r>
    <x v="0"/>
    <s v="Andorra"/>
    <x v="0"/>
    <x v="1"/>
    <x v="3"/>
    <s v="11/25/2012"/>
    <d v="2012-11-25T00:00:00"/>
    <n v="25"/>
    <s v="Nov"/>
    <x v="5"/>
    <s v="Nov-2012"/>
    <n v="378873240"/>
    <d v="2012-11-28T00:00:00"/>
    <n v="28"/>
    <s v="Nov"/>
    <n v="2012"/>
    <s v="Nov-2012"/>
    <s v="11/28/2012"/>
    <n v="3"/>
    <n v="5866"/>
    <n v="47.45"/>
    <n v="31.79"/>
    <n v="47.45"/>
    <n v="278341.7"/>
    <n v="186480.14"/>
    <n v="0.330031612223393"/>
    <n v="91861.56"/>
  </r>
  <r>
    <x v="0"/>
    <s v="Cyprus"/>
    <x v="4"/>
    <x v="1"/>
    <x v="2"/>
    <s v="11/27/2011"/>
    <d v="2011-11-27T00:00:00"/>
    <n v="27"/>
    <s v="Nov"/>
    <x v="0"/>
    <s v="Nov-2011"/>
    <n v="264856183"/>
    <d v="2011-12-23T00:00:00"/>
    <n v="23"/>
    <s v="Dec"/>
    <n v="2011"/>
    <s v="Dec-2011"/>
    <s v="12/23/2011"/>
    <n v="26"/>
    <n v="5685"/>
    <n v="9.33"/>
    <n v="6.92"/>
    <n v="9.33"/>
    <n v="53041.05"/>
    <n v="39340.199999999997"/>
    <n v="0.25830653804930331"/>
    <n v="13700.85"/>
  </r>
  <r>
    <x v="0"/>
    <s v="Czech Republic"/>
    <x v="2"/>
    <x v="1"/>
    <x v="0"/>
    <s v="8/2/2014"/>
    <d v="2014-08-02T00:00:00"/>
    <n v="2"/>
    <s v="Aug"/>
    <x v="2"/>
    <s v="Aug-2014"/>
    <n v="118659913"/>
    <d v="2014-08-17T00:00:00"/>
    <n v="17"/>
    <s v="Aug"/>
    <n v="2014"/>
    <s v="Aug-2014"/>
    <s v="8/17/2014"/>
    <n v="15"/>
    <n v="2960"/>
    <n v="205.7"/>
    <n v="117.11"/>
    <n v="205.7"/>
    <n v="608872"/>
    <n v="346645.6"/>
    <n v="0.43067574137092857"/>
    <n v="262226.40000000002"/>
  </r>
  <r>
    <x v="0"/>
    <s v="San Marino"/>
    <x v="8"/>
    <x v="1"/>
    <x v="2"/>
    <s v="10/18/2012"/>
    <d v="2012-10-18T00:00:00"/>
    <n v="18"/>
    <s v="Oct"/>
    <x v="5"/>
    <s v="Oct-2012"/>
    <n v="667324435"/>
    <d v="2012-10-31T00:00:00"/>
    <n v="31"/>
    <s v="Oct"/>
    <n v="2012"/>
    <s v="Oct-2012"/>
    <s v="10/31/2012"/>
    <n v="13"/>
    <n v="4985"/>
    <n v="255.28"/>
    <n v="159.41999999999999"/>
    <n v="255.28"/>
    <n v="1272570.8"/>
    <n v="794708.7"/>
    <n v="0.37550924475086178"/>
    <n v="477862.1"/>
  </r>
  <r>
    <x v="0"/>
    <s v="Poland"/>
    <x v="8"/>
    <x v="1"/>
    <x v="0"/>
    <s v="9/26/2011"/>
    <d v="2011-09-26T00:00:00"/>
    <n v="26"/>
    <s v="Sep"/>
    <x v="0"/>
    <s v="Sep-2011"/>
    <n v="685233008"/>
    <d v="2011-10-17T00:00:00"/>
    <n v="17"/>
    <s v="Oct"/>
    <n v="2011"/>
    <s v="Oct-2011"/>
    <s v="10/17/2011"/>
    <n v="21"/>
    <n v="4529"/>
    <n v="255.28"/>
    <n v="159.41999999999999"/>
    <n v="255.28000000000003"/>
    <n v="1156163.1200000001"/>
    <n v="722013.18"/>
    <n v="0.37550924475086178"/>
    <n v="434149.94"/>
  </r>
  <r>
    <x v="0"/>
    <s v="Monaco"/>
    <x v="0"/>
    <x v="1"/>
    <x v="3"/>
    <s v="3/14/2013"/>
    <d v="2013-03-14T00:00:00"/>
    <n v="14"/>
    <s v="Mar"/>
    <x v="1"/>
    <s v="Mar-2013"/>
    <n v="757468974"/>
    <d v="2013-03-23T00:00:00"/>
    <n v="23"/>
    <s v="Mar"/>
    <n v="2013"/>
    <s v="Mar-2013"/>
    <s v="3/23/2013"/>
    <n v="9"/>
    <n v="757"/>
    <n v="47.45"/>
    <n v="31.79"/>
    <n v="47.45"/>
    <n v="35919.65"/>
    <n v="24065.03"/>
    <n v="0.33003161222339306"/>
    <n v="11854.62"/>
  </r>
  <r>
    <x v="0"/>
    <s v="Belgium"/>
    <x v="6"/>
    <x v="1"/>
    <x v="3"/>
    <s v="9/23/2015"/>
    <d v="2015-09-23T00:00:00"/>
    <n v="23"/>
    <s v="Sep"/>
    <x v="6"/>
    <s v="Sep-2015"/>
    <n v="512714612"/>
    <d v="2015-10-09T00:00:00"/>
    <n v="9"/>
    <s v="Oct"/>
    <n v="2015"/>
    <s v="Oct-2015"/>
    <s v="10/9/2015"/>
    <n v="16"/>
    <n v="2502"/>
    <n v="421.89"/>
    <n v="364.69"/>
    <n v="421.89"/>
    <n v="1055568.78"/>
    <n v="912454.38"/>
    <n v="0.13558036455000116"/>
    <n v="143114.4"/>
  </r>
  <r>
    <x v="0"/>
    <s v="Georgia"/>
    <x v="6"/>
    <x v="0"/>
    <x v="1"/>
    <s v="2/11/2010"/>
    <d v="2010-02-11T00:00:00"/>
    <n v="11"/>
    <s v="Feb"/>
    <x v="3"/>
    <s v="Feb-2010"/>
    <n v="516485583"/>
    <d v="2010-03-06T00:00:00"/>
    <n v="6"/>
    <s v="Mar"/>
    <n v="2010"/>
    <s v="Mar-2010"/>
    <s v="3/6/2010"/>
    <n v="23"/>
    <n v="8416"/>
    <n v="421.89"/>
    <n v="364.69"/>
    <n v="421.89000000000004"/>
    <n v="3550626.24"/>
    <n v="3069231.04"/>
    <n v="0.13558036455000119"/>
    <n v="481395.20000000001"/>
  </r>
  <r>
    <x v="0"/>
    <s v="Kosovo"/>
    <x v="5"/>
    <x v="1"/>
    <x v="3"/>
    <s v="11/7/2014"/>
    <d v="2014-11-07T00:00:00"/>
    <n v="7"/>
    <s v="Nov"/>
    <x v="2"/>
    <s v="Nov-2014"/>
    <n v="491547477"/>
    <d v="2014-11-07T00:00:00"/>
    <n v="7"/>
    <s v="Nov"/>
    <n v="2014"/>
    <s v="Nov-2014"/>
    <s v="11/7/2014"/>
    <n v="0"/>
    <n v="8676"/>
    <n v="154.06"/>
    <n v="90.93"/>
    <n v="154.06"/>
    <n v="1336624.56"/>
    <n v="788908.68"/>
    <n v="0.40977541217707386"/>
    <n v="547715.88"/>
  </r>
  <r>
    <x v="0"/>
    <s v="Bulgaria"/>
    <x v="4"/>
    <x v="0"/>
    <x v="0"/>
    <s v="10/8/2013"/>
    <d v="2013-10-08T00:00:00"/>
    <n v="8"/>
    <s v="Oct"/>
    <x v="1"/>
    <s v="Oct-2013"/>
    <n v="911891257"/>
    <d v="2013-11-01T00:00:00"/>
    <n v="1"/>
    <s v="Nov"/>
    <n v="2013"/>
    <s v="Nov-2013"/>
    <s v="11/1/2013"/>
    <n v="24"/>
    <n v="7742"/>
    <n v="9.33"/>
    <n v="6.92"/>
    <n v="9.33"/>
    <n v="72232.86"/>
    <n v="53574.64"/>
    <n v="0.25830653804930331"/>
    <n v="18658.22"/>
  </r>
  <r>
    <x v="0"/>
    <s v="Russia"/>
    <x v="7"/>
    <x v="0"/>
    <x v="2"/>
    <s v="11/29/2015"/>
    <d v="2015-11-29T00:00:00"/>
    <n v="29"/>
    <s v="Nov"/>
    <x v="6"/>
    <s v="Nov-2015"/>
    <n v="214033257"/>
    <d v="2015-12-03T00:00:00"/>
    <n v="3"/>
    <s v="Dec"/>
    <n v="2015"/>
    <s v="Dec-2015"/>
    <s v="12/3/2015"/>
    <n v="4"/>
    <n v="6052"/>
    <n v="152.58000000000001"/>
    <n v="97.44"/>
    <n v="152.58000000000001"/>
    <n v="923414.16"/>
    <n v="589706.88"/>
    <n v="0.36138419189933152"/>
    <n v="333707.28000000003"/>
  </r>
  <r>
    <x v="0"/>
    <s v="Ukraine"/>
    <x v="2"/>
    <x v="1"/>
    <x v="3"/>
    <s v="12/14/2015"/>
    <d v="2015-12-14T00:00:00"/>
    <n v="14"/>
    <s v="Dec"/>
    <x v="6"/>
    <s v="Dec-2015"/>
    <n v="504024684"/>
    <d v="2016-01-14T00:00:00"/>
    <n v="14"/>
    <s v="Jan"/>
    <n v="2016"/>
    <s v="Jan-2016"/>
    <s v="1/14/2016"/>
    <n v="31"/>
    <n v="959"/>
    <n v="205.7"/>
    <n v="117.11"/>
    <n v="205.7"/>
    <n v="197266.3"/>
    <n v="112308.49"/>
    <n v="0.43067574137092857"/>
    <n v="84957.81"/>
  </r>
  <r>
    <x v="0"/>
    <s v="Lithuania"/>
    <x v="5"/>
    <x v="1"/>
    <x v="2"/>
    <s v="7/17/2016"/>
    <d v="2016-07-17T00:00:00"/>
    <n v="17"/>
    <s v="Jul"/>
    <x v="4"/>
    <s v="Jul-2016"/>
    <n v="386601865"/>
    <d v="2016-07-26T00:00:00"/>
    <n v="26"/>
    <s v="Jul"/>
    <n v="2016"/>
    <s v="Jul-2016"/>
    <s v="7/26/2016"/>
    <n v="9"/>
    <n v="2938"/>
    <n v="154.06"/>
    <n v="90.93"/>
    <n v="154.06"/>
    <n v="452628.28"/>
    <n v="267152.34000000003"/>
    <n v="0.40977541217707386"/>
    <n v="185475.94"/>
  </r>
  <r>
    <x v="0"/>
    <s v="Sweden"/>
    <x v="10"/>
    <x v="0"/>
    <x v="0"/>
    <s v="1/16/2010"/>
    <d v="2010-01-16T00:00:00"/>
    <n v="16"/>
    <s v="Jan"/>
    <x v="3"/>
    <s v="Jan-2010"/>
    <n v="336813628"/>
    <d v="2010-02-23T00:00:00"/>
    <n v="23"/>
    <s v="Feb"/>
    <n v="2010"/>
    <s v="Feb-2010"/>
    <s v="2/23/2010"/>
    <n v="38"/>
    <n v="9492"/>
    <n v="437.2"/>
    <n v="263.33"/>
    <n v="437.2"/>
    <n v="4149902.4"/>
    <n v="2499528.36"/>
    <n v="0.39768984446477584"/>
    <n v="1650374.04"/>
  </r>
  <r>
    <x v="0"/>
    <s v="Belgium"/>
    <x v="4"/>
    <x v="1"/>
    <x v="0"/>
    <s v="7/24/2015"/>
    <d v="2015-07-24T00:00:00"/>
    <n v="24"/>
    <s v="Jul"/>
    <x v="6"/>
    <s v="Jul-2015"/>
    <n v="309188163"/>
    <d v="2015-08-12T00:00:00"/>
    <n v="12"/>
    <s v="Aug"/>
    <n v="2015"/>
    <s v="Aug-2015"/>
    <s v="8/12/2015"/>
    <n v="19"/>
    <n v="4503"/>
    <n v="9.33"/>
    <n v="6.92"/>
    <n v="9.33"/>
    <n v="42012.99"/>
    <n v="31160.76"/>
    <n v="0.25830653804930331"/>
    <n v="10852.23"/>
  </r>
  <r>
    <x v="0"/>
    <s v="Kosovo"/>
    <x v="3"/>
    <x v="0"/>
    <x v="1"/>
    <s v="8/1/2012"/>
    <d v="2012-08-01T00:00:00"/>
    <n v="1"/>
    <s v="Aug"/>
    <x v="5"/>
    <s v="Aug-2012"/>
    <n v="760280358"/>
    <d v="2012-08-21T00:00:00"/>
    <n v="21"/>
    <s v="Aug"/>
    <n v="2012"/>
    <s v="Aug-2012"/>
    <s v="8/21/2012"/>
    <n v="20"/>
    <n v="2708"/>
    <n v="651.21"/>
    <n v="524.96"/>
    <n v="651.20999999999992"/>
    <n v="1763476.68"/>
    <n v="1421591.68"/>
    <n v="0.19386987300563566"/>
    <n v="341885"/>
  </r>
  <r>
    <x v="0"/>
    <s v="Slovakia"/>
    <x v="0"/>
    <x v="0"/>
    <x v="1"/>
    <s v="9/15/2015"/>
    <d v="2015-09-15T00:00:00"/>
    <n v="15"/>
    <s v="Sep"/>
    <x v="6"/>
    <s v="Sep-2015"/>
    <n v="495593106"/>
    <d v="2015-10-08T00:00:00"/>
    <n v="8"/>
    <s v="Oct"/>
    <n v="2015"/>
    <s v="Oct-2015"/>
    <s v="10/8/2015"/>
    <n v="23"/>
    <n v="5868"/>
    <n v="47.45"/>
    <n v="31.79"/>
    <n v="47.449999999999996"/>
    <n v="278436.59999999998"/>
    <n v="186543.72"/>
    <n v="0.33003161222339311"/>
    <n v="91892.88"/>
  </r>
  <r>
    <x v="0"/>
    <s v="Cyprus"/>
    <x v="1"/>
    <x v="0"/>
    <x v="2"/>
    <s v="1/9/2013"/>
    <d v="2013-01-09T00:00:00"/>
    <n v="9"/>
    <s v="Jan"/>
    <x v="1"/>
    <s v="Jan-2013"/>
    <n v="209598815"/>
    <d v="2013-01-11T00:00:00"/>
    <n v="11"/>
    <s v="Jan"/>
    <n v="2013"/>
    <s v="Jan-2013"/>
    <s v="1/11/2013"/>
    <n v="2"/>
    <n v="3802"/>
    <n v="109.28"/>
    <n v="35.840000000000003"/>
    <n v="109.28"/>
    <n v="415482.56"/>
    <n v="136263.67999999999"/>
    <n v="0.67203513909224011"/>
    <n v="279218.88"/>
  </r>
  <r>
    <x v="0"/>
    <s v="Georgia"/>
    <x v="6"/>
    <x v="1"/>
    <x v="3"/>
    <s v="8/23/2012"/>
    <d v="2012-08-23T00:00:00"/>
    <n v="23"/>
    <s v="Aug"/>
    <x v="5"/>
    <s v="Aug-2012"/>
    <n v="483438193"/>
    <d v="2012-09-26T00:00:00"/>
    <n v="26"/>
    <s v="Sep"/>
    <n v="2012"/>
    <s v="Sep-2012"/>
    <s v="9/26/2012"/>
    <n v="34"/>
    <n v="8959"/>
    <n v="421.89"/>
    <n v="364.69"/>
    <n v="421.89"/>
    <n v="3779712.51"/>
    <n v="3267257.71"/>
    <n v="0.13558036455000119"/>
    <n v="512454.8"/>
  </r>
  <r>
    <x v="0"/>
    <s v="Switzerland"/>
    <x v="5"/>
    <x v="1"/>
    <x v="2"/>
    <s v="10/15/2016"/>
    <d v="2016-10-15T00:00:00"/>
    <n v="15"/>
    <s v="Oct"/>
    <x v="4"/>
    <s v="Oct-2016"/>
    <n v="819037473"/>
    <d v="2016-10-15T00:00:00"/>
    <n v="15"/>
    <s v="Oct"/>
    <n v="2016"/>
    <s v="Oct-2016"/>
    <s v="10/15/2016"/>
    <n v="0"/>
    <n v="244"/>
    <n v="154.06"/>
    <n v="90.93"/>
    <n v="154.06"/>
    <n v="37590.639999999999"/>
    <n v="22186.92"/>
    <n v="0.40977541217707386"/>
    <n v="15403.72"/>
  </r>
  <r>
    <x v="0"/>
    <s v="Liechtenstein"/>
    <x v="4"/>
    <x v="0"/>
    <x v="3"/>
    <s v="4/26/2011"/>
    <d v="2011-04-26T00:00:00"/>
    <n v="26"/>
    <s v="Apr"/>
    <x v="0"/>
    <s v="Apr-2011"/>
    <n v="974420630"/>
    <d v="2011-06-15T00:00:00"/>
    <n v="15"/>
    <s v="Jun"/>
    <n v="2011"/>
    <s v="Jun-2011"/>
    <s v="6/15/2011"/>
    <n v="50"/>
    <n v="1573"/>
    <n v="9.33"/>
    <n v="6.92"/>
    <n v="9.33"/>
    <n v="14676.09"/>
    <n v="10885.16"/>
    <n v="0.25830653804930331"/>
    <n v="3790.93"/>
  </r>
  <r>
    <x v="0"/>
    <s v="Russia"/>
    <x v="0"/>
    <x v="0"/>
    <x v="2"/>
    <s v="8/7/2012"/>
    <d v="2012-08-07T00:00:00"/>
    <n v="7"/>
    <s v="Aug"/>
    <x v="5"/>
    <s v="Aug-2012"/>
    <n v="534641349"/>
    <d v="2012-08-27T00:00:00"/>
    <n v="27"/>
    <s v="Aug"/>
    <n v="2012"/>
    <s v="Aug-2012"/>
    <s v="8/27/2012"/>
    <n v="20"/>
    <n v="1111"/>
    <n v="47.45"/>
    <n v="31.79"/>
    <n v="47.449999999999996"/>
    <n v="52716.95"/>
    <n v="35318.69"/>
    <n v="0.33003161222339306"/>
    <n v="17398.259999999998"/>
  </r>
  <r>
    <x v="0"/>
    <s v="Belgium"/>
    <x v="7"/>
    <x v="1"/>
    <x v="2"/>
    <s v="8/5/2013"/>
    <d v="2013-08-05T00:00:00"/>
    <n v="5"/>
    <s v="Aug"/>
    <x v="1"/>
    <s v="Aug-2013"/>
    <n v="921133935"/>
    <d v="2013-08-11T00:00:00"/>
    <n v="11"/>
    <s v="Aug"/>
    <n v="2013"/>
    <s v="Aug-2013"/>
    <s v="8/11/2013"/>
    <n v="6"/>
    <n v="2856"/>
    <n v="152.58000000000001"/>
    <n v="97.44"/>
    <n v="152.57999999999998"/>
    <n v="435768.48"/>
    <n v="278288.64000000001"/>
    <n v="0.36138419189933152"/>
    <n v="157479.84"/>
  </r>
  <r>
    <x v="0"/>
    <s v="San Marino"/>
    <x v="6"/>
    <x v="0"/>
    <x v="2"/>
    <s v="3/23/2012"/>
    <d v="2012-03-23T00:00:00"/>
    <n v="23"/>
    <s v="Mar"/>
    <x v="5"/>
    <s v="Mar-2012"/>
    <n v="456934964"/>
    <d v="2012-05-05T00:00:00"/>
    <n v="5"/>
    <s v="May"/>
    <n v="2012"/>
    <s v="May-2012"/>
    <s v="5/5/2012"/>
    <n v="43"/>
    <n v="6065"/>
    <n v="421.89"/>
    <n v="364.69"/>
    <n v="421.89000000000004"/>
    <n v="2558762.85"/>
    <n v="2211844.85"/>
    <n v="0.13558036455000119"/>
    <n v="346918"/>
  </r>
  <r>
    <x v="0"/>
    <s v="Bulgaria"/>
    <x v="4"/>
    <x v="1"/>
    <x v="2"/>
    <s v="8/31/2010"/>
    <d v="2010-08-31T00:00:00"/>
    <n v="31"/>
    <s v="Aug"/>
    <x v="3"/>
    <s v="Aug-2010"/>
    <n v="468803632"/>
    <d v="2010-10-02T00:00:00"/>
    <n v="2"/>
    <s v="Oct"/>
    <n v="2010"/>
    <s v="Oct-2010"/>
    <s v="10/2/2010"/>
    <n v="32"/>
    <n v="8267"/>
    <n v="9.33"/>
    <n v="6.92"/>
    <n v="9.33"/>
    <n v="77131.11"/>
    <n v="57207.64"/>
    <n v="0.25830653804930331"/>
    <n v="19923.47"/>
  </r>
  <r>
    <x v="0"/>
    <s v="Finland"/>
    <x v="8"/>
    <x v="1"/>
    <x v="1"/>
    <s v="10/13/2010"/>
    <d v="2010-10-13T00:00:00"/>
    <n v="13"/>
    <s v="Oct"/>
    <x v="3"/>
    <s v="Oct-2010"/>
    <n v="646981704"/>
    <d v="2010-11-23T00:00:00"/>
    <n v="23"/>
    <s v="Nov"/>
    <n v="2010"/>
    <s v="Nov-2010"/>
    <s v="11/23/2010"/>
    <n v="41"/>
    <n v="5118"/>
    <n v="255.28"/>
    <n v="159.41999999999999"/>
    <n v="255.28"/>
    <n v="1306523.04"/>
    <n v="815911.56"/>
    <n v="0.37550924475086178"/>
    <n v="490611.48"/>
  </r>
  <r>
    <x v="0"/>
    <s v="Finland"/>
    <x v="5"/>
    <x v="1"/>
    <x v="2"/>
    <s v="8/22/2015"/>
    <d v="2015-08-22T00:00:00"/>
    <n v="22"/>
    <s v="Aug"/>
    <x v="6"/>
    <s v="Aug-2015"/>
    <n v="972452533"/>
    <d v="2015-10-04T00:00:00"/>
    <n v="4"/>
    <s v="Oct"/>
    <n v="2015"/>
    <s v="Oct-2015"/>
    <s v="10/4/2015"/>
    <n v="43"/>
    <n v="9169"/>
    <n v="154.06"/>
    <n v="90.93"/>
    <n v="154.06"/>
    <n v="1412576.14"/>
    <n v="833737.17"/>
    <n v="0.40977541217707386"/>
    <n v="578838.97"/>
  </r>
  <r>
    <x v="0"/>
    <s v="Austria"/>
    <x v="11"/>
    <x v="0"/>
    <x v="1"/>
    <s v="5/10/2010"/>
    <d v="2010-05-10T00:00:00"/>
    <n v="10"/>
    <s v="May"/>
    <x v="3"/>
    <s v="May-2010"/>
    <n v="535740411"/>
    <d v="2010-06-07T00:00:00"/>
    <n v="7"/>
    <s v="Jun"/>
    <n v="2010"/>
    <s v="Jun-2010"/>
    <s v="6/7/2010"/>
    <n v="28"/>
    <n v="6348"/>
    <n v="81.73"/>
    <n v="56.67"/>
    <n v="81.72999999999999"/>
    <n v="518822.04"/>
    <n v="359741.16"/>
    <n v="0.30661935641747218"/>
    <n v="159080.88"/>
  </r>
  <r>
    <x v="0"/>
    <s v="Ireland"/>
    <x v="11"/>
    <x v="0"/>
    <x v="3"/>
    <s v="2/26/2017"/>
    <d v="2017-02-26T00:00:00"/>
    <n v="26"/>
    <s v="Feb"/>
    <x v="7"/>
    <s v="Feb-2017"/>
    <n v="309285581"/>
    <d v="2017-04-17T00:00:00"/>
    <n v="17"/>
    <s v="Apr"/>
    <n v="2017"/>
    <s v="Apr-2017"/>
    <s v="4/17/2017"/>
    <n v="50"/>
    <n v="3331"/>
    <n v="81.73"/>
    <n v="56.67"/>
    <n v="81.73"/>
    <n v="272242.63"/>
    <n v="188767.77"/>
    <n v="0.30661935641747218"/>
    <n v="83474.86"/>
  </r>
  <r>
    <x v="0"/>
    <s v="Andorra"/>
    <x v="8"/>
    <x v="0"/>
    <x v="0"/>
    <s v="3/7/2013"/>
    <d v="2013-03-07T00:00:00"/>
    <n v="7"/>
    <s v="Mar"/>
    <x v="1"/>
    <s v="Mar-2013"/>
    <n v="380733191"/>
    <d v="2013-04-13T00:00:00"/>
    <n v="13"/>
    <s v="Apr"/>
    <n v="2013"/>
    <s v="Apr-2013"/>
    <s v="4/13/2013"/>
    <n v="37"/>
    <n v="6267"/>
    <n v="255.28"/>
    <n v="159.41999999999999"/>
    <n v="255.28"/>
    <n v="1599839.76"/>
    <n v="999085.14"/>
    <n v="0.37550924475086178"/>
    <n v="600754.62"/>
  </r>
  <r>
    <x v="0"/>
    <s v="Kosovo"/>
    <x v="4"/>
    <x v="1"/>
    <x v="2"/>
    <s v="6/11/2012"/>
    <d v="2012-06-11T00:00:00"/>
    <n v="11"/>
    <s v="Jun"/>
    <x v="5"/>
    <s v="Jun-2012"/>
    <n v="989102828"/>
    <d v="2012-07-08T00:00:00"/>
    <n v="8"/>
    <s v="Jul"/>
    <n v="2012"/>
    <s v="Jul-2012"/>
    <s v="7/8/2012"/>
    <n v="27"/>
    <n v="6362"/>
    <n v="9.33"/>
    <n v="6.92"/>
    <n v="9.33"/>
    <n v="59357.46"/>
    <n v="44025.04"/>
    <n v="0.25830653804930331"/>
    <n v="15332.42"/>
  </r>
  <r>
    <x v="0"/>
    <s v="Latvia"/>
    <x v="0"/>
    <x v="1"/>
    <x v="1"/>
    <s v="5/2/2012"/>
    <d v="2012-05-02T00:00:00"/>
    <n v="2"/>
    <s v="May"/>
    <x v="5"/>
    <s v="May-2012"/>
    <n v="862326610"/>
    <d v="2012-05-28T00:00:00"/>
    <n v="28"/>
    <s v="May"/>
    <n v="2012"/>
    <s v="May-2012"/>
    <s v="5/28/2012"/>
    <n v="26"/>
    <n v="461"/>
    <n v="47.45"/>
    <n v="31.79"/>
    <n v="47.45"/>
    <n v="21874.45"/>
    <n v="14655.19"/>
    <n v="0.33003161222339306"/>
    <n v="7219.26"/>
  </r>
  <r>
    <x v="0"/>
    <s v="Sweden"/>
    <x v="6"/>
    <x v="1"/>
    <x v="3"/>
    <s v="1/4/2013"/>
    <d v="2013-01-04T00:00:00"/>
    <n v="4"/>
    <s v="Jan"/>
    <x v="1"/>
    <s v="Jan-2013"/>
    <n v="152411115"/>
    <d v="2013-02-21T00:00:00"/>
    <n v="21"/>
    <s v="Feb"/>
    <n v="2013"/>
    <s v="Feb-2013"/>
    <s v="2/21/2013"/>
    <n v="48"/>
    <n v="691"/>
    <n v="421.89"/>
    <n v="364.69"/>
    <n v="421.89"/>
    <n v="291525.99"/>
    <n v="252000.79"/>
    <n v="0.13558036455000119"/>
    <n v="39525.199999999997"/>
  </r>
  <r>
    <x v="0"/>
    <s v="Ukraine"/>
    <x v="3"/>
    <x v="0"/>
    <x v="0"/>
    <s v="9/16/2016"/>
    <d v="2016-09-16T00:00:00"/>
    <n v="16"/>
    <s v="Sep"/>
    <x v="4"/>
    <s v="Sep-2016"/>
    <n v="862485826"/>
    <d v="2016-10-27T00:00:00"/>
    <n v="27"/>
    <s v="Oct"/>
    <n v="2016"/>
    <s v="Oct-2016"/>
    <s v="10/27/2016"/>
    <n v="41"/>
    <n v="7577"/>
    <n v="651.21"/>
    <n v="524.96"/>
    <n v="651.21"/>
    <n v="4934218.17"/>
    <n v="3977621.92"/>
    <n v="0.19386987300563566"/>
    <n v="956596.25"/>
  </r>
  <r>
    <x v="0"/>
    <s v="Vatican City"/>
    <x v="4"/>
    <x v="0"/>
    <x v="1"/>
    <s v="7/25/2016"/>
    <d v="2016-07-25T00:00:00"/>
    <n v="25"/>
    <s v="Jul"/>
    <x v="4"/>
    <s v="Jul-2016"/>
    <n v="299739491"/>
    <d v="2016-09-01T00:00:00"/>
    <n v="1"/>
    <s v="Sep"/>
    <n v="2016"/>
    <s v="Sep-2016"/>
    <s v="9/1/2016"/>
    <n v="38"/>
    <n v="8431"/>
    <n v="9.33"/>
    <n v="6.92"/>
    <n v="9.33"/>
    <n v="78661.23"/>
    <n v="58342.52"/>
    <n v="0.25830653804930331"/>
    <n v="20318.71"/>
  </r>
  <r>
    <x v="0"/>
    <s v="France"/>
    <x v="6"/>
    <x v="0"/>
    <x v="2"/>
    <s v="7/17/2011"/>
    <d v="2011-07-17T00:00:00"/>
    <n v="17"/>
    <s v="Jul"/>
    <x v="0"/>
    <s v="Jul-2011"/>
    <n v="633312737"/>
    <d v="2011-08-11T00:00:00"/>
    <n v="11"/>
    <s v="Aug"/>
    <n v="2011"/>
    <s v="Aug-2011"/>
    <s v="8/11/2011"/>
    <n v="25"/>
    <n v="167"/>
    <n v="421.89"/>
    <n v="364.69"/>
    <n v="421.89000000000004"/>
    <n v="70455.63"/>
    <n v="60903.23"/>
    <n v="0.13558036455000116"/>
    <n v="9552.4"/>
  </r>
  <r>
    <x v="0"/>
    <s v="Norway"/>
    <x v="3"/>
    <x v="0"/>
    <x v="0"/>
    <s v="12/14/2012"/>
    <d v="2012-12-14T00:00:00"/>
    <n v="14"/>
    <s v="Dec"/>
    <x v="5"/>
    <s v="Dec-2012"/>
    <n v="884192836"/>
    <d v="2013-01-15T00:00:00"/>
    <n v="15"/>
    <s v="Jan"/>
    <n v="2013"/>
    <s v="Jan-2013"/>
    <s v="1/15/2013"/>
    <n v="32"/>
    <n v="1164"/>
    <n v="651.21"/>
    <n v="524.96"/>
    <n v="651.20999999999992"/>
    <n v="758008.44"/>
    <n v="611053.43999999994"/>
    <n v="0.19386987300563568"/>
    <n v="146955"/>
  </r>
  <r>
    <x v="0"/>
    <s v="Iceland"/>
    <x v="6"/>
    <x v="1"/>
    <x v="1"/>
    <s v="7/9/2015"/>
    <d v="2015-07-09T00:00:00"/>
    <n v="9"/>
    <s v="Jul"/>
    <x v="6"/>
    <s v="Jul-2015"/>
    <n v="578356206"/>
    <d v="2015-07-15T00:00:00"/>
    <n v="15"/>
    <s v="Jul"/>
    <n v="2015"/>
    <s v="Jul-2015"/>
    <s v="7/15/2015"/>
    <n v="6"/>
    <n v="7309"/>
    <n v="421.89"/>
    <n v="364.69"/>
    <n v="421.89"/>
    <n v="3083594.01"/>
    <n v="2665519.21"/>
    <n v="0.13558036455000119"/>
    <n v="418074.8"/>
  </r>
  <r>
    <x v="0"/>
    <s v="Luxembourg"/>
    <x v="11"/>
    <x v="1"/>
    <x v="2"/>
    <s v="5/17/2011"/>
    <d v="2011-05-17T00:00:00"/>
    <n v="17"/>
    <s v="May"/>
    <x v="0"/>
    <s v="May-2011"/>
    <n v="194858253"/>
    <d v="2011-05-22T00:00:00"/>
    <n v="22"/>
    <s v="May"/>
    <n v="2011"/>
    <s v="May-2011"/>
    <s v="5/22/2011"/>
    <n v="5"/>
    <n v="1742"/>
    <n v="81.73"/>
    <n v="56.67"/>
    <n v="81.73"/>
    <n v="142373.66"/>
    <n v="98719.14"/>
    <n v="0.30661935641747212"/>
    <n v="43654.52"/>
  </r>
  <r>
    <x v="0"/>
    <s v="Macedonia"/>
    <x v="2"/>
    <x v="0"/>
    <x v="2"/>
    <s v="11/28/2010"/>
    <d v="2010-11-28T00:00:00"/>
    <n v="28"/>
    <s v="Nov"/>
    <x v="3"/>
    <s v="Nov-2010"/>
    <n v="988614022"/>
    <d v="2011-01-11T00:00:00"/>
    <n v="11"/>
    <s v="Jan"/>
    <n v="2011"/>
    <s v="Jan-2011"/>
    <s v="1/11/2011"/>
    <n v="44"/>
    <n v="1713"/>
    <n v="205.7"/>
    <n v="117.11"/>
    <n v="205.7"/>
    <n v="352364.1"/>
    <n v="200609.43"/>
    <n v="0.43067574137092862"/>
    <n v="151754.67000000001"/>
  </r>
  <r>
    <x v="0"/>
    <s v="Russia"/>
    <x v="2"/>
    <x v="1"/>
    <x v="2"/>
    <s v="1/10/2014"/>
    <d v="2014-01-10T00:00:00"/>
    <n v="10"/>
    <s v="Jan"/>
    <x v="2"/>
    <s v="Jan-2014"/>
    <n v="279338395"/>
    <d v="2014-02-24T00:00:00"/>
    <n v="24"/>
    <s v="Feb"/>
    <n v="2014"/>
    <s v="Feb-2014"/>
    <s v="2/24/2014"/>
    <n v="45"/>
    <n v="1293"/>
    <n v="205.7"/>
    <n v="117.11"/>
    <n v="205.7"/>
    <n v="265970.09999999998"/>
    <n v="151423.23000000001"/>
    <n v="0.43067574137092857"/>
    <n v="114546.87"/>
  </r>
  <r>
    <x v="0"/>
    <s v="Estonia"/>
    <x v="8"/>
    <x v="0"/>
    <x v="1"/>
    <s v="1/2/2014"/>
    <d v="2014-01-02T00:00:00"/>
    <n v="2"/>
    <s v="Jan"/>
    <x v="2"/>
    <s v="Jan-2014"/>
    <n v="123086202"/>
    <d v="2014-02-20T00:00:00"/>
    <n v="20"/>
    <s v="Feb"/>
    <n v="2014"/>
    <s v="Feb-2014"/>
    <s v="2/20/2014"/>
    <n v="49"/>
    <n v="2797"/>
    <n v="255.28"/>
    <n v="159.41999999999999"/>
    <n v="255.28"/>
    <n v="714018.16"/>
    <n v="445897.74"/>
    <n v="0.37550924475086178"/>
    <n v="268120.42"/>
  </r>
  <r>
    <x v="0"/>
    <s v="Luxembourg"/>
    <x v="6"/>
    <x v="1"/>
    <x v="1"/>
    <s v="12/19/2015"/>
    <d v="2015-12-19T00:00:00"/>
    <n v="19"/>
    <s v="Dec"/>
    <x v="6"/>
    <s v="Dec-2015"/>
    <n v="216278588"/>
    <d v="2015-12-19T00:00:00"/>
    <n v="19"/>
    <s v="Dec"/>
    <n v="2015"/>
    <s v="Dec-2015"/>
    <s v="12/19/2015"/>
    <n v="0"/>
    <n v="495"/>
    <n v="421.89"/>
    <n v="364.69"/>
    <n v="421.89"/>
    <n v="208835.55"/>
    <n v="180521.55"/>
    <n v="0.13558036455000119"/>
    <n v="28314"/>
  </r>
  <r>
    <x v="0"/>
    <s v="Romania"/>
    <x v="8"/>
    <x v="0"/>
    <x v="3"/>
    <s v="6/23/2015"/>
    <d v="2015-06-23T00:00:00"/>
    <n v="23"/>
    <s v="Jun"/>
    <x v="6"/>
    <s v="Jun-2015"/>
    <n v="693831098"/>
    <d v="2015-07-14T00:00:00"/>
    <n v="14"/>
    <s v="Jul"/>
    <n v="2015"/>
    <s v="Jul-2015"/>
    <s v="7/14/2015"/>
    <n v="21"/>
    <n v="8895"/>
    <n v="255.28"/>
    <n v="159.41999999999999"/>
    <n v="255.28"/>
    <n v="2270715.6"/>
    <n v="1418040.9"/>
    <n v="0.37550924475086178"/>
    <n v="852674.7"/>
  </r>
  <r>
    <x v="0"/>
    <s v="Macedonia"/>
    <x v="2"/>
    <x v="1"/>
    <x v="0"/>
    <s v="9/1/2010"/>
    <d v="2010-09-01T00:00:00"/>
    <n v="1"/>
    <s v="Sep"/>
    <x v="3"/>
    <s v="Sep-2010"/>
    <n v="963219296"/>
    <d v="2010-09-18T00:00:00"/>
    <n v="18"/>
    <s v="Sep"/>
    <n v="2010"/>
    <s v="Sep-2010"/>
    <s v="9/18/2010"/>
    <n v="17"/>
    <n v="6850"/>
    <n v="205.7"/>
    <n v="117.11"/>
    <n v="205.7"/>
    <n v="1409045"/>
    <n v="802203.5"/>
    <n v="0.43067574137092851"/>
    <n v="606841.5"/>
  </r>
  <r>
    <x v="0"/>
    <s v="Austria"/>
    <x v="5"/>
    <x v="0"/>
    <x v="1"/>
    <s v="11/12/2016"/>
    <d v="2016-11-12T00:00:00"/>
    <n v="12"/>
    <s v="Nov"/>
    <x v="4"/>
    <s v="Nov-2016"/>
    <n v="468320834"/>
    <d v="2016-12-21T00:00:00"/>
    <n v="21"/>
    <s v="Dec"/>
    <n v="2016"/>
    <s v="Dec-2016"/>
    <s v="12/21/2016"/>
    <n v="39"/>
    <n v="5397"/>
    <n v="154.06"/>
    <n v="90.93"/>
    <n v="154.06"/>
    <n v="831461.82"/>
    <n v="490749.21"/>
    <n v="0.40977541217707386"/>
    <n v="340712.61"/>
  </r>
  <r>
    <x v="0"/>
    <s v="Iceland"/>
    <x v="2"/>
    <x v="1"/>
    <x v="1"/>
    <s v="6/15/2010"/>
    <d v="2010-06-15T00:00:00"/>
    <n v="15"/>
    <s v="Jun"/>
    <x v="3"/>
    <s v="Jun-2010"/>
    <n v="203955876"/>
    <d v="2010-07-18T00:00:00"/>
    <n v="18"/>
    <s v="Jul"/>
    <n v="2010"/>
    <s v="Jul-2010"/>
    <s v="7/18/2010"/>
    <n v="33"/>
    <n v="3931"/>
    <n v="205.7"/>
    <n v="117.11"/>
    <n v="205.7"/>
    <n v="808606.7"/>
    <n v="460359.41"/>
    <n v="0.43067574137092851"/>
    <n v="348247.29"/>
  </r>
  <r>
    <x v="0"/>
    <s v="Moldova "/>
    <x v="7"/>
    <x v="0"/>
    <x v="3"/>
    <s v="1/11/2016"/>
    <d v="2016-01-11T00:00:00"/>
    <n v="11"/>
    <s v="Jan"/>
    <x v="4"/>
    <s v="Jan-2016"/>
    <n v="583451974"/>
    <d v="2016-02-05T00:00:00"/>
    <n v="5"/>
    <s v="Feb"/>
    <n v="2016"/>
    <s v="Feb-2016"/>
    <s v="2/5/2016"/>
    <n v="25"/>
    <n v="5260"/>
    <n v="152.58000000000001"/>
    <n v="97.44"/>
    <n v="152.58000000000001"/>
    <n v="802570.8"/>
    <n v="512534.4"/>
    <n v="0.36138419189933152"/>
    <n v="290036.40000000002"/>
  </r>
  <r>
    <x v="0"/>
    <s v="Luxembourg"/>
    <x v="1"/>
    <x v="1"/>
    <x v="1"/>
    <s v="1/30/2013"/>
    <d v="2013-01-30T00:00:00"/>
    <n v="30"/>
    <s v="Jan"/>
    <x v="1"/>
    <s v="Jan-2013"/>
    <n v="250848186"/>
    <d v="2013-03-07T00:00:00"/>
    <n v="7"/>
    <s v="Mar"/>
    <n v="2013"/>
    <s v="Mar-2013"/>
    <s v="3/7/2013"/>
    <n v="36"/>
    <n v="407"/>
    <n v="109.28"/>
    <n v="35.840000000000003"/>
    <n v="109.28"/>
    <n v="44476.959999999999"/>
    <n v="14586.88"/>
    <n v="0.67203513909224022"/>
    <n v="29890.080000000002"/>
  </r>
  <r>
    <x v="0"/>
    <s v="Albania"/>
    <x v="6"/>
    <x v="1"/>
    <x v="0"/>
    <s v="11/12/2010"/>
    <d v="2010-11-12T00:00:00"/>
    <n v="12"/>
    <s v="Nov"/>
    <x v="3"/>
    <s v="Nov-2010"/>
    <n v="863138997"/>
    <d v="2010-12-21T00:00:00"/>
    <n v="21"/>
    <s v="Dec"/>
    <n v="2010"/>
    <s v="Dec-2010"/>
    <s v="12/21/2010"/>
    <n v="39"/>
    <n v="865"/>
    <n v="421.89"/>
    <n v="364.69"/>
    <n v="421.89"/>
    <n v="364934.85"/>
    <n v="315456.84999999998"/>
    <n v="0.13558036455000119"/>
    <n v="49478"/>
  </r>
  <r>
    <x v="0"/>
    <s v="Serbia"/>
    <x v="9"/>
    <x v="1"/>
    <x v="1"/>
    <s v="9/23/2013"/>
    <d v="2013-09-23T00:00:00"/>
    <n v="23"/>
    <s v="Sep"/>
    <x v="1"/>
    <s v="Sep-2013"/>
    <n v="266614854"/>
    <d v="2013-10-10T00:00:00"/>
    <n v="10"/>
    <s v="Oct"/>
    <n v="2013"/>
    <s v="Oct-2013"/>
    <s v="10/10/2013"/>
    <n v="17"/>
    <n v="6115"/>
    <n v="668.27"/>
    <n v="502.54"/>
    <n v="668.27"/>
    <n v="4086471.05"/>
    <n v="3073032.1"/>
    <n v="0.24799856345489099"/>
    <n v="1013438.95"/>
  </r>
  <r>
    <x v="0"/>
    <s v="Andorra"/>
    <x v="9"/>
    <x v="0"/>
    <x v="2"/>
    <s v="8/14/2016"/>
    <d v="2016-08-14T00:00:00"/>
    <n v="14"/>
    <s v="Aug"/>
    <x v="4"/>
    <s v="Aug-2016"/>
    <n v="834065997"/>
    <d v="2016-09-14T00:00:00"/>
    <n v="14"/>
    <s v="Sep"/>
    <n v="2016"/>
    <s v="Sep-2016"/>
    <s v="9/14/2016"/>
    <n v="31"/>
    <n v="7518"/>
    <n v="668.27"/>
    <n v="502.54"/>
    <n v="668.2700000000001"/>
    <n v="5024053.8600000003"/>
    <n v="3778095.72"/>
    <n v="0.24799856345489096"/>
    <n v="1245958.1399999999"/>
  </r>
  <r>
    <x v="0"/>
    <s v="Lithuania"/>
    <x v="4"/>
    <x v="0"/>
    <x v="1"/>
    <s v="4/14/2010"/>
    <d v="2010-04-14T00:00:00"/>
    <n v="14"/>
    <s v="Apr"/>
    <x v="3"/>
    <s v="Apr-2010"/>
    <n v="879845082"/>
    <d v="2010-05-01T00:00:00"/>
    <n v="1"/>
    <s v="May"/>
    <n v="2010"/>
    <s v="May-2010"/>
    <s v="5/1/2010"/>
    <n v="17"/>
    <n v="4567"/>
    <n v="9.33"/>
    <n v="6.92"/>
    <n v="9.33"/>
    <n v="42610.11"/>
    <n v="31603.64"/>
    <n v="0.25830653804930331"/>
    <n v="11006.47"/>
  </r>
  <r>
    <x v="0"/>
    <s v="Slovakia"/>
    <x v="10"/>
    <x v="0"/>
    <x v="1"/>
    <s v="11/27/2011"/>
    <d v="2011-11-27T00:00:00"/>
    <n v="27"/>
    <s v="Nov"/>
    <x v="0"/>
    <s v="Nov-2011"/>
    <n v="146545875"/>
    <d v="2012-01-07T00:00:00"/>
    <n v="7"/>
    <s v="Jan"/>
    <n v="2012"/>
    <s v="Jan-2012"/>
    <s v="1/7/2012"/>
    <n v="41"/>
    <n v="5036"/>
    <n v="437.2"/>
    <n v="263.33"/>
    <n v="437.20000000000005"/>
    <n v="2201739.2000000002"/>
    <n v="1326129.8799999999"/>
    <n v="0.39768984446477579"/>
    <n v="875609.32"/>
  </r>
  <r>
    <x v="0"/>
    <s v="Romania"/>
    <x v="8"/>
    <x v="0"/>
    <x v="0"/>
    <s v="8/30/2014"/>
    <d v="2014-08-30T00:00:00"/>
    <n v="30"/>
    <s v="Aug"/>
    <x v="2"/>
    <s v="Aug-2014"/>
    <n v="414359509"/>
    <d v="2014-09-11T00:00:00"/>
    <n v="11"/>
    <s v="Sep"/>
    <n v="2014"/>
    <s v="Sep-2014"/>
    <s v="9/11/2014"/>
    <n v="12"/>
    <n v="7042"/>
    <n v="255.28"/>
    <n v="159.41999999999999"/>
    <n v="255.28"/>
    <n v="1797681.76"/>
    <n v="1122635.6399999999"/>
    <n v="0.37550924475086178"/>
    <n v="675046.12"/>
  </r>
  <r>
    <x v="0"/>
    <s v="Malta"/>
    <x v="8"/>
    <x v="0"/>
    <x v="2"/>
    <s v="8/21/2011"/>
    <d v="2011-08-21T00:00:00"/>
    <n v="21"/>
    <s v="Aug"/>
    <x v="0"/>
    <s v="Aug-2011"/>
    <n v="276850593"/>
    <d v="2011-09-03T00:00:00"/>
    <n v="3"/>
    <s v="Sep"/>
    <n v="2011"/>
    <s v="Sep-2011"/>
    <s v="9/3/2011"/>
    <n v="13"/>
    <n v="5097"/>
    <n v="255.28"/>
    <n v="159.41999999999999"/>
    <n v="255.27999999999997"/>
    <n v="1301162.1599999999"/>
    <n v="812563.74"/>
    <n v="0.37550924475086184"/>
    <n v="488598.42"/>
  </r>
  <r>
    <x v="0"/>
    <s v="Andorra"/>
    <x v="2"/>
    <x v="1"/>
    <x v="2"/>
    <s v="4/5/2011"/>
    <d v="2011-04-05T00:00:00"/>
    <n v="5"/>
    <s v="Apr"/>
    <x v="0"/>
    <s v="Apr-2011"/>
    <n v="556947886"/>
    <d v="2011-05-17T00:00:00"/>
    <n v="17"/>
    <s v="May"/>
    <n v="2011"/>
    <s v="May-2011"/>
    <s v="5/17/2011"/>
    <n v="42"/>
    <n v="2111"/>
    <n v="205.7"/>
    <n v="117.11"/>
    <n v="205.70000000000002"/>
    <n v="434232.7"/>
    <n v="247219.21"/>
    <n v="0.43067574137092851"/>
    <n v="187013.49"/>
  </r>
  <r>
    <x v="0"/>
    <s v="United Kingdom"/>
    <x v="9"/>
    <x v="1"/>
    <x v="0"/>
    <s v="3/23/2012"/>
    <d v="2012-03-23T00:00:00"/>
    <n v="23"/>
    <s v="Mar"/>
    <x v="5"/>
    <s v="Mar-2012"/>
    <n v="548403012"/>
    <d v="2012-04-04T00:00:00"/>
    <n v="4"/>
    <s v="Apr"/>
    <n v="2012"/>
    <s v="Apr-2012"/>
    <s v="4/4/2012"/>
    <n v="12"/>
    <n v="3493"/>
    <n v="668.27"/>
    <n v="502.54"/>
    <n v="668.27"/>
    <n v="2334267.11"/>
    <n v="1755372.22"/>
    <n v="0.24799856345489102"/>
    <n v="578894.89"/>
  </r>
  <r>
    <x v="0"/>
    <s v="United Kingdom"/>
    <x v="5"/>
    <x v="1"/>
    <x v="2"/>
    <s v="9/7/2010"/>
    <d v="2010-09-07T00:00:00"/>
    <n v="7"/>
    <s v="Sep"/>
    <x v="3"/>
    <s v="Sep-2010"/>
    <n v="652252137"/>
    <d v="2010-09-26T00:00:00"/>
    <n v="26"/>
    <s v="Sep"/>
    <n v="2010"/>
    <s v="Sep-2010"/>
    <s v="9/26/2010"/>
    <n v="19"/>
    <n v="4757"/>
    <n v="154.06"/>
    <n v="90.93"/>
    <n v="154.06"/>
    <n v="732863.42"/>
    <n v="432554.01"/>
    <n v="0.40977541217707381"/>
    <n v="300309.40999999997"/>
  </r>
  <r>
    <x v="0"/>
    <s v="Malta"/>
    <x v="10"/>
    <x v="1"/>
    <x v="1"/>
    <s v="3/29/2014"/>
    <d v="2014-03-29T00:00:00"/>
    <n v="29"/>
    <s v="Mar"/>
    <x v="2"/>
    <s v="Mar-2014"/>
    <n v="284108436"/>
    <d v="2014-04-03T00:00:00"/>
    <n v="3"/>
    <s v="Apr"/>
    <n v="2014"/>
    <s v="Apr-2014"/>
    <s v="4/3/2014"/>
    <n v="5"/>
    <n v="2854"/>
    <n v="437.2"/>
    <n v="263.33"/>
    <n v="437.2"/>
    <n v="1247768.8"/>
    <n v="751543.82"/>
    <n v="0.39768984446477584"/>
    <n v="496224.98"/>
  </r>
  <r>
    <x v="0"/>
    <s v="Norway"/>
    <x v="5"/>
    <x v="0"/>
    <x v="3"/>
    <s v="7/5/2012"/>
    <d v="2012-07-05T00:00:00"/>
    <n v="5"/>
    <s v="Jul"/>
    <x v="5"/>
    <s v="Jul-2012"/>
    <n v="416682088"/>
    <d v="2012-08-14T00:00:00"/>
    <n v="14"/>
    <s v="Aug"/>
    <n v="2012"/>
    <s v="Aug-2012"/>
    <s v="8/14/2012"/>
    <n v="40"/>
    <n v="4344"/>
    <n v="154.06"/>
    <n v="90.93"/>
    <n v="154.06"/>
    <n v="669236.64"/>
    <n v="394999.92"/>
    <n v="0.40977541217707381"/>
    <n v="274236.71999999997"/>
  </r>
  <r>
    <x v="0"/>
    <s v="Cyprus"/>
    <x v="5"/>
    <x v="0"/>
    <x v="1"/>
    <s v="12/8/2010"/>
    <d v="2010-12-08T00:00:00"/>
    <n v="8"/>
    <s v="Dec"/>
    <x v="3"/>
    <s v="Dec-2010"/>
    <n v="579094779"/>
    <d v="2010-12-11T00:00:00"/>
    <n v="11"/>
    <s v="Dec"/>
    <n v="2010"/>
    <s v="Dec-2010"/>
    <s v="12/11/2010"/>
    <n v="3"/>
    <n v="5869"/>
    <n v="154.06"/>
    <n v="90.93"/>
    <n v="154.06"/>
    <n v="904178.14"/>
    <n v="533668.17000000004"/>
    <n v="0.40977541217707381"/>
    <n v="370509.97"/>
  </r>
  <r>
    <x v="0"/>
    <s v="Czech Republic"/>
    <x v="4"/>
    <x v="1"/>
    <x v="1"/>
    <s v="11/1/2012"/>
    <d v="2012-11-01T00:00:00"/>
    <n v="1"/>
    <s v="Nov"/>
    <x v="5"/>
    <s v="Nov-2012"/>
    <n v="192589318"/>
    <d v="2012-12-16T00:00:00"/>
    <n v="16"/>
    <s v="Dec"/>
    <n v="2012"/>
    <s v="Dec-2012"/>
    <s v="12/16/2012"/>
    <n v="45"/>
    <n v="314"/>
    <n v="9.33"/>
    <n v="6.92"/>
    <n v="9.33"/>
    <n v="2929.62"/>
    <n v="2172.88"/>
    <n v="0.25830653804930331"/>
    <n v="756.74"/>
  </r>
  <r>
    <x v="0"/>
    <s v="Belarus"/>
    <x v="9"/>
    <x v="0"/>
    <x v="1"/>
    <s v="2/12/2015"/>
    <d v="2015-02-12T00:00:00"/>
    <n v="12"/>
    <s v="Feb"/>
    <x v="6"/>
    <s v="Feb-2015"/>
    <n v="785364806"/>
    <d v="2015-03-21T00:00:00"/>
    <n v="21"/>
    <s v="Mar"/>
    <n v="2015"/>
    <s v="Mar-2015"/>
    <s v="3/21/2015"/>
    <n v="37"/>
    <n v="5754"/>
    <n v="668.27"/>
    <n v="502.54"/>
    <n v="668.27"/>
    <n v="3845225.58"/>
    <n v="2891615.16"/>
    <n v="0.24799856345489099"/>
    <n v="953610.42"/>
  </r>
  <r>
    <x v="0"/>
    <s v="Russia"/>
    <x v="8"/>
    <x v="0"/>
    <x v="1"/>
    <s v="12/24/2011"/>
    <d v="2011-12-24T00:00:00"/>
    <n v="24"/>
    <s v="Dec"/>
    <x v="0"/>
    <s v="Dec-2011"/>
    <n v="450550019"/>
    <d v="2012-01-02T00:00:00"/>
    <n v="2"/>
    <s v="Jan"/>
    <n v="2012"/>
    <s v="Jan-2012"/>
    <s v="1/2/2012"/>
    <n v="9"/>
    <n v="6618"/>
    <n v="255.28"/>
    <n v="159.41999999999999"/>
    <n v="255.28"/>
    <n v="1689443.04"/>
    <n v="1055041.56"/>
    <n v="0.37550924475086178"/>
    <n v="634401.48"/>
  </r>
  <r>
    <x v="0"/>
    <s v="Bulgaria"/>
    <x v="5"/>
    <x v="0"/>
    <x v="0"/>
    <s v="1/26/2010"/>
    <d v="2010-01-26T00:00:00"/>
    <n v="26"/>
    <s v="Jan"/>
    <x v="3"/>
    <s v="Jan-2010"/>
    <n v="817061221"/>
    <d v="2010-02-21T00:00:00"/>
    <n v="21"/>
    <s v="Feb"/>
    <n v="2010"/>
    <s v="Feb-2010"/>
    <s v="2/21/2010"/>
    <n v="26"/>
    <n v="5427"/>
    <n v="154.06"/>
    <n v="90.93"/>
    <n v="154.06"/>
    <n v="836083.62"/>
    <n v="493477.11"/>
    <n v="0.40977541217707386"/>
    <n v="342606.51"/>
  </r>
  <r>
    <x v="0"/>
    <s v="Slovakia"/>
    <x v="3"/>
    <x v="1"/>
    <x v="3"/>
    <s v="2/20/2012"/>
    <d v="2012-02-20T00:00:00"/>
    <n v="20"/>
    <s v="Feb"/>
    <x v="5"/>
    <s v="Feb-2012"/>
    <n v="168319404"/>
    <d v="2012-03-10T00:00:00"/>
    <n v="10"/>
    <s v="Mar"/>
    <n v="2012"/>
    <s v="Mar-2012"/>
    <s v="3/10/2012"/>
    <n v="19"/>
    <n v="8307"/>
    <n v="651.21"/>
    <n v="524.96"/>
    <n v="651.20999999999992"/>
    <n v="5409601.4699999997"/>
    <n v="4360842.72"/>
    <n v="0.19386987300563568"/>
    <n v="1048758.75"/>
  </r>
  <r>
    <x v="0"/>
    <s v="Croatia"/>
    <x v="1"/>
    <x v="1"/>
    <x v="0"/>
    <s v="6/9/2016"/>
    <d v="2016-06-09T00:00:00"/>
    <n v="9"/>
    <s v="Jun"/>
    <x v="4"/>
    <s v="Jun-2016"/>
    <n v="781083571"/>
    <d v="2016-06-18T00:00:00"/>
    <n v="18"/>
    <s v="Jun"/>
    <n v="2016"/>
    <s v="Jun-2016"/>
    <s v="6/18/2016"/>
    <n v="9"/>
    <n v="8841"/>
    <n v="109.28"/>
    <n v="35.840000000000003"/>
    <n v="109.28"/>
    <n v="966144.48"/>
    <n v="316861.44"/>
    <n v="0.67203513909224022"/>
    <n v="649283.04"/>
  </r>
  <r>
    <x v="0"/>
    <s v="Ukraine"/>
    <x v="2"/>
    <x v="0"/>
    <x v="1"/>
    <s v="3/21/2011"/>
    <d v="2011-03-21T00:00:00"/>
    <n v="21"/>
    <s v="Mar"/>
    <x v="0"/>
    <s v="Mar-2011"/>
    <n v="401993882"/>
    <d v="2011-04-11T00:00:00"/>
    <n v="11"/>
    <s v="Apr"/>
    <n v="2011"/>
    <s v="Apr-2011"/>
    <s v="4/11/2011"/>
    <n v="21"/>
    <n v="7778"/>
    <n v="205.7"/>
    <n v="117.11"/>
    <n v="205.70000000000002"/>
    <n v="1599934.6"/>
    <n v="910881.58"/>
    <n v="0.43067574137092851"/>
    <n v="689053.02"/>
  </r>
  <r>
    <x v="0"/>
    <s v="France"/>
    <x v="3"/>
    <x v="1"/>
    <x v="2"/>
    <s v="1/19/2012"/>
    <d v="2012-01-19T00:00:00"/>
    <n v="19"/>
    <s v="Jan"/>
    <x v="5"/>
    <s v="Jan-2012"/>
    <n v="391200673"/>
    <d v="2012-02-13T00:00:00"/>
    <n v="13"/>
    <s v="Feb"/>
    <n v="2012"/>
    <s v="Feb-2012"/>
    <s v="2/13/2012"/>
    <n v="25"/>
    <n v="3827"/>
    <n v="651.21"/>
    <n v="524.96"/>
    <n v="651.21"/>
    <n v="2492180.67"/>
    <n v="2009021.92"/>
    <n v="0.19386987300563566"/>
    <n v="483158.75"/>
  </r>
  <r>
    <x v="0"/>
    <s v="San Marino"/>
    <x v="5"/>
    <x v="0"/>
    <x v="1"/>
    <s v="9/30/2013"/>
    <d v="2013-09-30T00:00:00"/>
    <n v="30"/>
    <s v="Sep"/>
    <x v="1"/>
    <s v="Sep-2013"/>
    <n v="408540618"/>
    <d v="2013-11-13T00:00:00"/>
    <n v="13"/>
    <s v="Nov"/>
    <n v="2013"/>
    <s v="Nov-2013"/>
    <s v="11/13/2013"/>
    <n v="44"/>
    <n v="5102"/>
    <n v="154.06"/>
    <n v="90.93"/>
    <n v="154.06"/>
    <n v="786014.12"/>
    <n v="463924.86"/>
    <n v="0.40977541217707386"/>
    <n v="322089.26"/>
  </r>
  <r>
    <x v="0"/>
    <s v="San Marino"/>
    <x v="11"/>
    <x v="1"/>
    <x v="2"/>
    <s v="7/17/2016"/>
    <d v="2016-07-17T00:00:00"/>
    <n v="17"/>
    <s v="Jul"/>
    <x v="4"/>
    <s v="Jul-2016"/>
    <n v="239048612"/>
    <d v="2016-07-26T00:00:00"/>
    <n v="26"/>
    <s v="Jul"/>
    <n v="2016"/>
    <s v="Jul-2016"/>
    <s v="7/26/2016"/>
    <n v="9"/>
    <n v="8651"/>
    <n v="81.73"/>
    <n v="56.67"/>
    <n v="81.73"/>
    <n v="707046.23"/>
    <n v="490252.17"/>
    <n v="0.30661935641747218"/>
    <n v="216794.06"/>
  </r>
  <r>
    <x v="0"/>
    <s v="Vatican City"/>
    <x v="10"/>
    <x v="0"/>
    <x v="0"/>
    <s v="5/24/2012"/>
    <d v="2012-05-24T00:00:00"/>
    <n v="24"/>
    <s v="May"/>
    <x v="5"/>
    <s v="May-2012"/>
    <n v="292424571"/>
    <d v="2012-06-05T00:00:00"/>
    <n v="5"/>
    <s v="Jun"/>
    <n v="2012"/>
    <s v="Jun-2012"/>
    <s v="6/5/2012"/>
    <n v="12"/>
    <n v="3784"/>
    <n v="437.2"/>
    <n v="263.33"/>
    <n v="437.2"/>
    <n v="1654364.8"/>
    <n v="996440.72"/>
    <n v="0.39768984446477579"/>
    <n v="657924.07999999996"/>
  </r>
  <r>
    <x v="0"/>
    <s v="Bosnia and Herzegovina"/>
    <x v="0"/>
    <x v="1"/>
    <x v="1"/>
    <s v="8/28/2015"/>
    <d v="2015-08-28T00:00:00"/>
    <n v="28"/>
    <s v="Aug"/>
    <x v="6"/>
    <s v="Aug-2015"/>
    <n v="231341445"/>
    <d v="2015-10-07T00:00:00"/>
    <n v="7"/>
    <s v="Oct"/>
    <n v="2015"/>
    <s v="Oct-2015"/>
    <s v="10/7/2015"/>
    <n v="40"/>
    <n v="7929"/>
    <n v="47.45"/>
    <n v="31.79"/>
    <n v="47.449999999999996"/>
    <n v="376231.05"/>
    <n v="252062.91"/>
    <n v="0.33003161222339306"/>
    <n v="124168.14"/>
  </r>
  <r>
    <x v="0"/>
    <s v="Portugal"/>
    <x v="3"/>
    <x v="1"/>
    <x v="1"/>
    <s v="2/9/2013"/>
    <d v="2013-02-09T00:00:00"/>
    <n v="9"/>
    <s v="Feb"/>
    <x v="1"/>
    <s v="Feb-2013"/>
    <n v="533597218"/>
    <d v="2013-02-24T00:00:00"/>
    <n v="24"/>
    <s v="Feb"/>
    <n v="2013"/>
    <s v="Feb-2013"/>
    <s v="2/24/2013"/>
    <n v="15"/>
    <n v="2130"/>
    <n v="651.21"/>
    <n v="524.96"/>
    <n v="651.21"/>
    <n v="1387077.3"/>
    <n v="1118164.8"/>
    <n v="0.19386987300563566"/>
    <n v="268912.5"/>
  </r>
  <r>
    <x v="0"/>
    <s v="Romania"/>
    <x v="6"/>
    <x v="0"/>
    <x v="0"/>
    <s v="1/16/2016"/>
    <d v="2016-01-16T00:00:00"/>
    <n v="16"/>
    <s v="Jan"/>
    <x v="4"/>
    <s v="Jan-2016"/>
    <n v="682162415"/>
    <d v="2016-02-26T00:00:00"/>
    <n v="26"/>
    <s v="Feb"/>
    <n v="2016"/>
    <s v="Feb-2016"/>
    <s v="2/26/2016"/>
    <n v="41"/>
    <n v="5873"/>
    <n v="421.89"/>
    <n v="364.69"/>
    <n v="421.89000000000004"/>
    <n v="2477759.9700000002"/>
    <n v="2141824.37"/>
    <n v="0.13558036455000116"/>
    <n v="335935.6"/>
  </r>
  <r>
    <x v="0"/>
    <s v="Iceland"/>
    <x v="5"/>
    <x v="0"/>
    <x v="0"/>
    <s v="2/13/2015"/>
    <d v="2015-02-13T00:00:00"/>
    <n v="13"/>
    <s v="Feb"/>
    <x v="6"/>
    <s v="Feb-2015"/>
    <n v="706176555"/>
    <d v="2015-02-26T00:00:00"/>
    <n v="26"/>
    <s v="Feb"/>
    <n v="2015"/>
    <s v="Feb-2015"/>
    <s v="2/26/2015"/>
    <n v="13"/>
    <n v="2190"/>
    <n v="154.06"/>
    <n v="90.93"/>
    <n v="154.06"/>
    <n v="337391.4"/>
    <n v="199136.7"/>
    <n v="0.40977541217707386"/>
    <n v="138254.70000000001"/>
  </r>
  <r>
    <x v="0"/>
    <s v="Luxembourg"/>
    <x v="3"/>
    <x v="0"/>
    <x v="3"/>
    <s v="9/17/2011"/>
    <d v="2011-09-17T00:00:00"/>
    <n v="17"/>
    <s v="Sep"/>
    <x v="0"/>
    <s v="Sep-2011"/>
    <n v="339786803"/>
    <d v="2011-10-25T00:00:00"/>
    <n v="25"/>
    <s v="Oct"/>
    <n v="2011"/>
    <s v="Oct-2011"/>
    <s v="10/25/2011"/>
    <n v="38"/>
    <n v="9321"/>
    <n v="651.21"/>
    <n v="524.96"/>
    <n v="651.21"/>
    <n v="6069928.4100000001"/>
    <n v="4893152.16"/>
    <n v="0.19386987300563566"/>
    <n v="1176776.25"/>
  </r>
  <r>
    <x v="0"/>
    <s v="Malta"/>
    <x v="11"/>
    <x v="0"/>
    <x v="0"/>
    <s v="4/13/2017"/>
    <d v="2017-04-13T00:00:00"/>
    <n v="13"/>
    <s v="Apr"/>
    <x v="7"/>
    <s v="Apr-2017"/>
    <n v="274694526"/>
    <d v="2017-05-11T00:00:00"/>
    <n v="11"/>
    <s v="May"/>
    <n v="2017"/>
    <s v="May-2017"/>
    <s v="5/11/2017"/>
    <n v="28"/>
    <n v="7069"/>
    <n v="81.73"/>
    <n v="56.67"/>
    <n v="81.73"/>
    <n v="577749.37"/>
    <n v="400600.23"/>
    <n v="0.30661935641747218"/>
    <n v="177149.14"/>
  </r>
  <r>
    <x v="0"/>
    <s v="France"/>
    <x v="1"/>
    <x v="1"/>
    <x v="1"/>
    <s v="4/15/2014"/>
    <d v="2014-04-15T00:00:00"/>
    <n v="15"/>
    <s v="Apr"/>
    <x v="2"/>
    <s v="Apr-2014"/>
    <n v="633806264"/>
    <d v="2014-04-26T00:00:00"/>
    <n v="26"/>
    <s v="Apr"/>
    <n v="2014"/>
    <s v="Apr-2014"/>
    <s v="4/26/2014"/>
    <n v="11"/>
    <n v="6213"/>
    <n v="109.28"/>
    <n v="35.840000000000003"/>
    <n v="109.28"/>
    <n v="678956.64"/>
    <n v="222673.92000000001"/>
    <n v="0.67203513909224011"/>
    <n v="456282.72"/>
  </r>
  <r>
    <x v="0"/>
    <s v="Spain"/>
    <x v="11"/>
    <x v="1"/>
    <x v="0"/>
    <s v="12/8/2013"/>
    <d v="2013-12-08T00:00:00"/>
    <n v="8"/>
    <s v="Dec"/>
    <x v="1"/>
    <s v="Dec-2013"/>
    <n v="955466639"/>
    <d v="2014-01-27T00:00:00"/>
    <n v="27"/>
    <s v="Jan"/>
    <n v="2014"/>
    <s v="Jan-2014"/>
    <s v="1/27/2014"/>
    <n v="50"/>
    <n v="2666"/>
    <n v="81.73"/>
    <n v="56.67"/>
    <n v="81.73"/>
    <n v="217892.18"/>
    <n v="151082.22"/>
    <n v="0.30661935641747218"/>
    <n v="66809.960000000006"/>
  </r>
  <r>
    <x v="0"/>
    <s v="Norway"/>
    <x v="3"/>
    <x v="1"/>
    <x v="2"/>
    <s v="1/30/2012"/>
    <d v="2012-01-30T00:00:00"/>
    <n v="30"/>
    <s v="Jan"/>
    <x v="5"/>
    <s v="Jan-2012"/>
    <n v="330590474"/>
    <d v="2012-03-14T00:00:00"/>
    <n v="14"/>
    <s v="Mar"/>
    <n v="2012"/>
    <s v="Mar-2012"/>
    <s v="3/14/2012"/>
    <n v="44"/>
    <n v="7923"/>
    <n v="651.21"/>
    <n v="524.96"/>
    <n v="651.21"/>
    <n v="5159536.83"/>
    <n v="4159258.08"/>
    <n v="0.19386987300563566"/>
    <n v="1000278.75"/>
  </r>
  <r>
    <x v="0"/>
    <s v="Malta"/>
    <x v="10"/>
    <x v="0"/>
    <x v="0"/>
    <s v="11/26/2015"/>
    <d v="2015-11-26T00:00:00"/>
    <n v="26"/>
    <s v="Nov"/>
    <x v="6"/>
    <s v="Nov-2015"/>
    <n v="819516837"/>
    <d v="2015-12-25T00:00:00"/>
    <n v="25"/>
    <s v="Dec"/>
    <n v="2015"/>
    <s v="Dec-2015"/>
    <s v="12/25/2015"/>
    <n v="29"/>
    <n v="2098"/>
    <n v="437.2"/>
    <n v="263.33"/>
    <n v="437.2"/>
    <n v="917245.6"/>
    <n v="552466.34"/>
    <n v="0.39768984446477584"/>
    <n v="364779.26"/>
  </r>
  <r>
    <x v="0"/>
    <s v="Kosovo"/>
    <x v="7"/>
    <x v="0"/>
    <x v="0"/>
    <s v="7/13/2011"/>
    <d v="2011-07-13T00:00:00"/>
    <n v="13"/>
    <s v="Jul"/>
    <x v="0"/>
    <s v="Jul-2011"/>
    <n v="499101436"/>
    <d v="2011-08-28T00:00:00"/>
    <n v="28"/>
    <s v="Aug"/>
    <n v="2011"/>
    <s v="Aug-2011"/>
    <s v="8/28/2011"/>
    <n v="46"/>
    <n v="4061"/>
    <n v="152.58000000000001"/>
    <n v="97.44"/>
    <n v="152.58000000000001"/>
    <n v="619627.38"/>
    <n v="395703.84"/>
    <n v="0.36138419189933152"/>
    <n v="223923.54"/>
  </r>
  <r>
    <x v="0"/>
    <s v="Andorra"/>
    <x v="1"/>
    <x v="1"/>
    <x v="0"/>
    <s v="6/20/2017"/>
    <d v="2017-06-20T00:00:00"/>
    <n v="20"/>
    <s v="Jun"/>
    <x v="7"/>
    <s v="Jun-2017"/>
    <n v="190002810"/>
    <d v="2017-08-05T00:00:00"/>
    <n v="5"/>
    <s v="Aug"/>
    <n v="2017"/>
    <s v="Aug-2017"/>
    <s v="8/5/2017"/>
    <n v="46"/>
    <n v="4909"/>
    <n v="109.28"/>
    <n v="35.840000000000003"/>
    <n v="109.28"/>
    <n v="536455.52"/>
    <n v="175938.56"/>
    <n v="0.67203513909224011"/>
    <n v="360516.96"/>
  </r>
  <r>
    <x v="0"/>
    <s v="Macedonia"/>
    <x v="0"/>
    <x v="0"/>
    <x v="1"/>
    <s v="12/17/2015"/>
    <d v="2015-12-17T00:00:00"/>
    <n v="17"/>
    <s v="Dec"/>
    <x v="6"/>
    <s v="Dec-2015"/>
    <n v="653152501"/>
    <d v="2015-12-22T00:00:00"/>
    <n v="22"/>
    <s v="Dec"/>
    <n v="2015"/>
    <s v="Dec-2015"/>
    <s v="12/22/2015"/>
    <n v="5"/>
    <n v="1194"/>
    <n v="47.45"/>
    <n v="31.79"/>
    <n v="47.45"/>
    <n v="56655.3"/>
    <n v="37957.26"/>
    <n v="0.33003161222339306"/>
    <n v="18698.04"/>
  </r>
  <r>
    <x v="0"/>
    <s v="Austria"/>
    <x v="5"/>
    <x v="0"/>
    <x v="0"/>
    <s v="5/9/2014"/>
    <d v="2014-05-09T00:00:00"/>
    <n v="9"/>
    <s v="May"/>
    <x v="2"/>
    <s v="May-2014"/>
    <n v="489600837"/>
    <d v="2014-06-09T00:00:00"/>
    <n v="9"/>
    <s v="Jun"/>
    <n v="2014"/>
    <s v="Jun-2014"/>
    <s v="6/9/2014"/>
    <n v="31"/>
    <n v="2622"/>
    <n v="154.06"/>
    <n v="90.93"/>
    <n v="154.06"/>
    <n v="403945.32"/>
    <n v="238418.46"/>
    <n v="0.40977541217707381"/>
    <n v="165526.85999999999"/>
  </r>
  <r>
    <x v="0"/>
    <s v="Montenegro"/>
    <x v="8"/>
    <x v="1"/>
    <x v="1"/>
    <s v="1/5/2016"/>
    <d v="2016-01-05T00:00:00"/>
    <n v="5"/>
    <s v="Jan"/>
    <x v="4"/>
    <s v="Jan-2016"/>
    <n v="750959146"/>
    <d v="2016-01-25T00:00:00"/>
    <n v="25"/>
    <s v="Jan"/>
    <n v="2016"/>
    <s v="Jan-2016"/>
    <s v="1/25/2016"/>
    <n v="20"/>
    <n v="4354"/>
    <n v="255.28"/>
    <n v="159.41999999999999"/>
    <n v="255.28000000000003"/>
    <n v="1111489.1200000001"/>
    <n v="694114.68"/>
    <n v="0.37550924475086178"/>
    <n v="417374.44"/>
  </r>
  <r>
    <x v="0"/>
    <s v="Bosnia and Herzegovina"/>
    <x v="11"/>
    <x v="0"/>
    <x v="2"/>
    <s v="1/12/2010"/>
    <d v="2010-01-12T00:00:00"/>
    <n v="12"/>
    <s v="Jan"/>
    <x v="3"/>
    <s v="Jan-2010"/>
    <n v="356413495"/>
    <d v="2010-01-18T00:00:00"/>
    <n v="18"/>
    <s v="Jan"/>
    <n v="2010"/>
    <s v="Jan-2010"/>
    <s v="1/18/2010"/>
    <n v="6"/>
    <n v="9528"/>
    <n v="81.73"/>
    <n v="56.67"/>
    <n v="81.72999999999999"/>
    <n v="778723.44"/>
    <n v="539951.76"/>
    <n v="0.30661935641747218"/>
    <n v="238771.68"/>
  </r>
  <r>
    <x v="0"/>
    <s v="Bosnia and Herzegovina"/>
    <x v="3"/>
    <x v="0"/>
    <x v="2"/>
    <s v="11/30/2015"/>
    <d v="2015-11-30T00:00:00"/>
    <n v="30"/>
    <s v="Nov"/>
    <x v="6"/>
    <s v="Nov-2015"/>
    <n v="288656175"/>
    <d v="2015-12-30T00:00:00"/>
    <n v="30"/>
    <s v="Dec"/>
    <n v="2015"/>
    <s v="Dec-2015"/>
    <s v="12/30/2015"/>
    <n v="30"/>
    <n v="8632"/>
    <n v="651.21"/>
    <n v="524.96"/>
    <n v="651.20999999999992"/>
    <n v="5621244.7199999997"/>
    <n v="4531454.72"/>
    <n v="0.19386987300563568"/>
    <n v="1089790"/>
  </r>
  <r>
    <x v="0"/>
    <s v="Russia"/>
    <x v="10"/>
    <x v="0"/>
    <x v="0"/>
    <s v="7/28/2015"/>
    <d v="2015-07-28T00:00:00"/>
    <n v="28"/>
    <s v="Jul"/>
    <x v="6"/>
    <s v="Jul-2015"/>
    <n v="659671771"/>
    <d v="2015-07-29T00:00:00"/>
    <n v="29"/>
    <s v="Jul"/>
    <n v="2015"/>
    <s v="Jul-2015"/>
    <s v="7/29/2015"/>
    <n v="1"/>
    <n v="391"/>
    <n v="437.2"/>
    <n v="263.33"/>
    <n v="437.20000000000005"/>
    <n v="170945.2"/>
    <n v="102962.03"/>
    <n v="0.39768984446477579"/>
    <n v="67983.17"/>
  </r>
  <r>
    <x v="0"/>
    <s v="Netherlands"/>
    <x v="1"/>
    <x v="0"/>
    <x v="3"/>
    <s v="7/26/2016"/>
    <d v="2016-07-26T00:00:00"/>
    <n v="26"/>
    <s v="Jul"/>
    <x v="4"/>
    <s v="Jul-2016"/>
    <n v="513611114"/>
    <d v="2016-09-05T00:00:00"/>
    <n v="5"/>
    <s v="Sep"/>
    <n v="2016"/>
    <s v="Sep-2016"/>
    <s v="9/5/2016"/>
    <n v="41"/>
    <n v="7797"/>
    <n v="109.28"/>
    <n v="35.840000000000003"/>
    <n v="109.28"/>
    <n v="852056.16"/>
    <n v="279444.47999999998"/>
    <n v="0.67203513909224011"/>
    <n v="572611.68000000005"/>
  </r>
  <r>
    <x v="0"/>
    <s v="Russia"/>
    <x v="0"/>
    <x v="0"/>
    <x v="1"/>
    <s v="4/21/2014"/>
    <d v="2014-04-21T00:00:00"/>
    <n v="21"/>
    <s v="Apr"/>
    <x v="2"/>
    <s v="Apr-2014"/>
    <n v="543322694"/>
    <d v="2014-06-01T00:00:00"/>
    <n v="1"/>
    <s v="Jun"/>
    <n v="2014"/>
    <s v="Jun-2014"/>
    <s v="6/1/2014"/>
    <n v="41"/>
    <n v="114"/>
    <n v="47.45"/>
    <n v="31.79"/>
    <n v="47.45"/>
    <n v="5409.3"/>
    <n v="3624.06"/>
    <n v="0.33003161222339306"/>
    <n v="1785.24"/>
  </r>
  <r>
    <x v="0"/>
    <s v="Monaco"/>
    <x v="5"/>
    <x v="0"/>
    <x v="0"/>
    <s v="11/6/2012"/>
    <d v="2012-11-06T00:00:00"/>
    <n v="6"/>
    <s v="Nov"/>
    <x v="5"/>
    <s v="Nov-2012"/>
    <n v="671616399"/>
    <d v="2012-12-10T00:00:00"/>
    <n v="10"/>
    <s v="Dec"/>
    <n v="2012"/>
    <s v="Dec-2012"/>
    <s v="12/10/2012"/>
    <n v="34"/>
    <n v="5072"/>
    <n v="154.06"/>
    <n v="90.93"/>
    <n v="154.06"/>
    <n v="781392.32"/>
    <n v="461196.96"/>
    <n v="0.40977541217707386"/>
    <n v="320195.36"/>
  </r>
  <r>
    <x v="0"/>
    <s v="Macedonia"/>
    <x v="0"/>
    <x v="0"/>
    <x v="2"/>
    <s v="4/30/2015"/>
    <d v="2015-04-30T00:00:00"/>
    <n v="30"/>
    <s v="Apr"/>
    <x v="6"/>
    <s v="Apr-2015"/>
    <n v="212319648"/>
    <d v="2015-05-15T00:00:00"/>
    <n v="15"/>
    <s v="May"/>
    <n v="2015"/>
    <s v="May-2015"/>
    <s v="5/15/2015"/>
    <n v="15"/>
    <n v="8957"/>
    <n v="47.45"/>
    <n v="31.79"/>
    <n v="47.45"/>
    <n v="425009.65"/>
    <n v="284743.03000000003"/>
    <n v="0.330031612223393"/>
    <n v="140266.62"/>
  </r>
  <r>
    <x v="0"/>
    <s v="Monaco"/>
    <x v="9"/>
    <x v="1"/>
    <x v="2"/>
    <s v="4/30/2014"/>
    <d v="2014-04-30T00:00:00"/>
    <n v="30"/>
    <s v="Apr"/>
    <x v="2"/>
    <s v="Apr-2014"/>
    <n v="971578347"/>
    <d v="2014-06-16T00:00:00"/>
    <n v="16"/>
    <s v="Jun"/>
    <n v="2014"/>
    <s v="Jun-2014"/>
    <s v="6/16/2014"/>
    <n v="47"/>
    <n v="478"/>
    <n v="668.27"/>
    <n v="502.54"/>
    <n v="668.27"/>
    <n v="319433.06"/>
    <n v="240214.12"/>
    <n v="0.24799856345489099"/>
    <n v="79218.94"/>
  </r>
  <r>
    <x v="0"/>
    <s v="Italy"/>
    <x v="4"/>
    <x v="0"/>
    <x v="2"/>
    <s v="11/17/2016"/>
    <d v="2016-11-17T00:00:00"/>
    <n v="17"/>
    <s v="Nov"/>
    <x v="4"/>
    <s v="Nov-2016"/>
    <n v="704233348"/>
    <d v="2016-11-26T00:00:00"/>
    <n v="26"/>
    <s v="Nov"/>
    <n v="2016"/>
    <s v="Nov-2016"/>
    <s v="11/26/2016"/>
    <n v="9"/>
    <n v="7152"/>
    <n v="9.33"/>
    <n v="6.92"/>
    <n v="9.33"/>
    <n v="66728.160000000003"/>
    <n v="49491.839999999997"/>
    <n v="0.25830653804930331"/>
    <n v="17236.32"/>
  </r>
  <r>
    <x v="0"/>
    <s v="Bulgaria"/>
    <x v="7"/>
    <x v="1"/>
    <x v="0"/>
    <s v="5/31/2010"/>
    <d v="2010-05-31T00:00:00"/>
    <n v="31"/>
    <s v="May"/>
    <x v="3"/>
    <s v="May-2010"/>
    <n v="768230426"/>
    <d v="2010-06-22T00:00:00"/>
    <n v="22"/>
    <s v="Jun"/>
    <n v="2010"/>
    <s v="Jun-2010"/>
    <s v="6/22/2010"/>
    <n v="22"/>
    <n v="5310"/>
    <n v="152.58000000000001"/>
    <n v="97.44"/>
    <n v="152.58000000000001"/>
    <n v="810199.8"/>
    <n v="517406.4"/>
    <n v="0.36138419189933152"/>
    <n v="292793.40000000002"/>
  </r>
  <r>
    <x v="0"/>
    <s v="Luxembourg"/>
    <x v="4"/>
    <x v="0"/>
    <x v="1"/>
    <s v="12/31/2016"/>
    <d v="2016-12-31T00:00:00"/>
    <n v="31"/>
    <s v="Dec"/>
    <x v="4"/>
    <s v="Dec-2016"/>
    <n v="707661855"/>
    <d v="2017-01-26T00:00:00"/>
    <n v="26"/>
    <s v="Jan"/>
    <n v="2017"/>
    <s v="Jan-2017"/>
    <s v="1/26/2017"/>
    <n v="26"/>
    <n v="1723"/>
    <n v="9.33"/>
    <n v="6.92"/>
    <n v="9.33"/>
    <n v="16075.59"/>
    <n v="11923.16"/>
    <n v="0.25830653804930331"/>
    <n v="4152.43"/>
  </r>
  <r>
    <x v="0"/>
    <s v="Hungary"/>
    <x v="4"/>
    <x v="0"/>
    <x v="1"/>
    <s v="9/8/2011"/>
    <d v="2011-09-08T00:00:00"/>
    <n v="8"/>
    <s v="Sep"/>
    <x v="0"/>
    <s v="Sep-2011"/>
    <n v="628595054"/>
    <d v="2011-10-21T00:00:00"/>
    <n v="21"/>
    <s v="Oct"/>
    <n v="2011"/>
    <s v="Oct-2011"/>
    <s v="10/21/2011"/>
    <n v="43"/>
    <n v="4100"/>
    <n v="9.33"/>
    <n v="6.92"/>
    <n v="9.33"/>
    <n v="38253"/>
    <n v="28372"/>
    <n v="0.25830653804930331"/>
    <n v="9881"/>
  </r>
  <r>
    <x v="0"/>
    <s v="Greece"/>
    <x v="0"/>
    <x v="0"/>
    <x v="3"/>
    <s v="2/20/2010"/>
    <d v="2010-02-20T00:00:00"/>
    <n v="20"/>
    <s v="Feb"/>
    <x v="3"/>
    <s v="Feb-2010"/>
    <n v="795141351"/>
    <d v="2010-02-24T00:00:00"/>
    <n v="24"/>
    <s v="Feb"/>
    <n v="2010"/>
    <s v="Feb-2010"/>
    <s v="2/24/2010"/>
    <n v="4"/>
    <n v="8850"/>
    <n v="47.45"/>
    <n v="31.79"/>
    <n v="47.45"/>
    <n v="419932.5"/>
    <n v="281341.5"/>
    <n v="0.33003161222339306"/>
    <n v="138591"/>
  </r>
  <r>
    <x v="0"/>
    <s v="Belgium"/>
    <x v="6"/>
    <x v="0"/>
    <x v="1"/>
    <s v="3/22/2015"/>
    <d v="2015-03-22T00:00:00"/>
    <n v="22"/>
    <s v="Mar"/>
    <x v="6"/>
    <s v="Mar-2015"/>
    <n v="164259612"/>
    <d v="2015-04-29T00:00:00"/>
    <n v="29"/>
    <s v="Apr"/>
    <n v="2015"/>
    <s v="Apr-2015"/>
    <s v="4/29/2015"/>
    <n v="38"/>
    <n v="6924"/>
    <n v="421.89"/>
    <n v="364.69"/>
    <n v="421.89"/>
    <n v="2921166.36"/>
    <n v="2525113.56"/>
    <n v="0.13558036455000119"/>
    <n v="396052.8"/>
  </r>
  <r>
    <x v="0"/>
    <s v="Norway"/>
    <x v="7"/>
    <x v="1"/>
    <x v="3"/>
    <s v="11/15/2016"/>
    <d v="2016-11-15T00:00:00"/>
    <n v="15"/>
    <s v="Nov"/>
    <x v="4"/>
    <s v="Nov-2016"/>
    <n v="750439441"/>
    <d v="2016-12-29T00:00:00"/>
    <n v="29"/>
    <s v="Dec"/>
    <n v="2016"/>
    <s v="Dec-2016"/>
    <s v="12/29/2016"/>
    <n v="44"/>
    <n v="562"/>
    <n v="152.58000000000001"/>
    <n v="97.44"/>
    <n v="152.58000000000001"/>
    <n v="85749.96"/>
    <n v="54761.279999999999"/>
    <n v="0.36138419189933146"/>
    <n v="30988.68"/>
  </r>
  <r>
    <x v="0"/>
    <s v="Armenia"/>
    <x v="4"/>
    <x v="0"/>
    <x v="0"/>
    <s v="11/29/2014"/>
    <d v="2014-11-29T00:00:00"/>
    <n v="29"/>
    <s v="Nov"/>
    <x v="2"/>
    <s v="Nov-2014"/>
    <n v="362258565"/>
    <d v="2014-12-14T00:00:00"/>
    <n v="14"/>
    <s v="Dec"/>
    <n v="2014"/>
    <s v="Dec-2014"/>
    <s v="12/14/2014"/>
    <n v="15"/>
    <n v="9214"/>
    <n v="9.33"/>
    <n v="6.92"/>
    <n v="9.33"/>
    <n v="85966.62"/>
    <n v="63760.88"/>
    <n v="0.25830653804930337"/>
    <n v="22205.74"/>
  </r>
  <r>
    <x v="0"/>
    <s v="Slovakia"/>
    <x v="2"/>
    <x v="1"/>
    <x v="3"/>
    <s v="1/14/2015"/>
    <d v="2015-01-14T00:00:00"/>
    <n v="14"/>
    <s v="Jan"/>
    <x v="6"/>
    <s v="Jan-2015"/>
    <n v="209357202"/>
    <d v="2015-01-22T00:00:00"/>
    <n v="22"/>
    <s v="Jan"/>
    <n v="2015"/>
    <s v="Jan-2015"/>
    <s v="1/22/2015"/>
    <n v="8"/>
    <n v="2303"/>
    <n v="205.7"/>
    <n v="117.11"/>
    <n v="205.7"/>
    <n v="473727.1"/>
    <n v="269704.33"/>
    <n v="0.43067574137092851"/>
    <n v="204022.77"/>
  </r>
  <r>
    <x v="0"/>
    <s v="Portugal"/>
    <x v="10"/>
    <x v="0"/>
    <x v="2"/>
    <s v="3/20/2014"/>
    <d v="2014-03-20T00:00:00"/>
    <n v="20"/>
    <s v="Mar"/>
    <x v="2"/>
    <s v="Mar-2014"/>
    <n v="450041043"/>
    <d v="2014-04-16T00:00:00"/>
    <n v="16"/>
    <s v="Apr"/>
    <n v="2014"/>
    <s v="Apr-2014"/>
    <s v="4/16/2014"/>
    <n v="27"/>
    <n v="6000"/>
    <n v="437.2"/>
    <n v="263.33"/>
    <n v="437.2"/>
    <n v="2623200"/>
    <n v="1579980"/>
    <n v="0.39768984446477584"/>
    <n v="1043220"/>
  </r>
  <r>
    <x v="0"/>
    <s v="Slovakia"/>
    <x v="3"/>
    <x v="1"/>
    <x v="3"/>
    <s v="3/15/2015"/>
    <d v="2015-03-15T00:00:00"/>
    <n v="15"/>
    <s v="Mar"/>
    <x v="6"/>
    <s v="Mar-2015"/>
    <n v="103450715"/>
    <d v="2015-04-18T00:00:00"/>
    <n v="18"/>
    <s v="Apr"/>
    <n v="2015"/>
    <s v="Apr-2015"/>
    <s v="4/18/2015"/>
    <n v="34"/>
    <n v="2220"/>
    <n v="651.21"/>
    <n v="524.96"/>
    <n v="651.20999999999992"/>
    <n v="1445686.2"/>
    <n v="1165411.2"/>
    <n v="0.19386987300563566"/>
    <n v="280275"/>
  </r>
  <r>
    <x v="0"/>
    <s v="Luxembourg"/>
    <x v="4"/>
    <x v="1"/>
    <x v="1"/>
    <s v="9/25/2016"/>
    <d v="2016-09-25T00:00:00"/>
    <n v="25"/>
    <s v="Sep"/>
    <x v="4"/>
    <s v="Sep-2016"/>
    <n v="384601581"/>
    <d v="2016-10-19T00:00:00"/>
    <n v="19"/>
    <s v="Oct"/>
    <n v="2016"/>
    <s v="Oct-2016"/>
    <s v="10/19/2016"/>
    <n v="24"/>
    <n v="1009"/>
    <n v="9.33"/>
    <n v="6.92"/>
    <n v="9.33"/>
    <n v="9413.9699999999993"/>
    <n v="6982.28"/>
    <n v="0.25830653804930337"/>
    <n v="2431.69"/>
  </r>
  <r>
    <x v="0"/>
    <s v="Denmark"/>
    <x v="5"/>
    <x v="1"/>
    <x v="2"/>
    <s v="8/25/2015"/>
    <d v="2015-08-25T00:00:00"/>
    <n v="25"/>
    <s v="Aug"/>
    <x v="6"/>
    <s v="Aug-2015"/>
    <n v="186079490"/>
    <d v="2015-08-29T00:00:00"/>
    <n v="29"/>
    <s v="Aug"/>
    <n v="2015"/>
    <s v="Aug-2015"/>
    <s v="8/29/2015"/>
    <n v="4"/>
    <n v="3911"/>
    <n v="154.06"/>
    <n v="90.93"/>
    <n v="154.06"/>
    <n v="602528.66"/>
    <n v="355627.23"/>
    <n v="0.40977541217707386"/>
    <n v="246901.43"/>
  </r>
  <r>
    <x v="0"/>
    <s v="Bulgaria"/>
    <x v="3"/>
    <x v="1"/>
    <x v="1"/>
    <s v="5/22/2012"/>
    <d v="2012-05-22T00:00:00"/>
    <n v="22"/>
    <s v="May"/>
    <x v="5"/>
    <s v="May-2012"/>
    <n v="513026177"/>
    <d v="2012-06-05T00:00:00"/>
    <n v="5"/>
    <s v="Jun"/>
    <n v="2012"/>
    <s v="Jun-2012"/>
    <s v="6/5/2012"/>
    <n v="14"/>
    <n v="4701"/>
    <n v="651.21"/>
    <n v="524.96"/>
    <n v="651.21"/>
    <n v="3061338.21"/>
    <n v="2467836.96"/>
    <n v="0.19386987300563566"/>
    <n v="593501.25"/>
  </r>
  <r>
    <x v="0"/>
    <s v="Malta"/>
    <x v="8"/>
    <x v="0"/>
    <x v="2"/>
    <s v="3/16/2010"/>
    <d v="2010-03-16T00:00:00"/>
    <n v="16"/>
    <s v="Mar"/>
    <x v="3"/>
    <s v="Mar-2010"/>
    <n v="222720611"/>
    <d v="2010-04-01T00:00:00"/>
    <n v="1"/>
    <s v="Apr"/>
    <n v="2010"/>
    <s v="Apr-2010"/>
    <s v="4/1/2010"/>
    <n v="16"/>
    <n v="6833"/>
    <n v="255.28"/>
    <n v="159.41999999999999"/>
    <n v="255.28"/>
    <n v="1744328.24"/>
    <n v="1089316.8600000001"/>
    <n v="0.37550924475086178"/>
    <n v="655011.38"/>
  </r>
  <r>
    <x v="0"/>
    <s v="Bosnia and Herzegovina"/>
    <x v="9"/>
    <x v="0"/>
    <x v="1"/>
    <s v="3/1/2012"/>
    <d v="2012-03-01T00:00:00"/>
    <n v="1"/>
    <s v="Mar"/>
    <x v="5"/>
    <s v="Mar-2012"/>
    <n v="891681563"/>
    <d v="2012-03-27T00:00:00"/>
    <n v="27"/>
    <s v="Mar"/>
    <n v="2012"/>
    <s v="Mar-2012"/>
    <s v="3/27/2012"/>
    <n v="26"/>
    <n v="7245"/>
    <n v="668.27"/>
    <n v="502.54"/>
    <n v="668.2700000000001"/>
    <n v="4841616.1500000004"/>
    <n v="3640902.3"/>
    <n v="0.24799856345489099"/>
    <n v="1200713.8500000001"/>
  </r>
  <r>
    <x v="0"/>
    <s v="Kosovo"/>
    <x v="0"/>
    <x v="0"/>
    <x v="1"/>
    <s v="6/8/2012"/>
    <d v="2012-06-08T00:00:00"/>
    <n v="8"/>
    <s v="Jun"/>
    <x v="5"/>
    <s v="Jun-2012"/>
    <n v="129169023"/>
    <d v="2012-07-18T00:00:00"/>
    <n v="18"/>
    <s v="Jul"/>
    <n v="2012"/>
    <s v="Jul-2012"/>
    <s v="7/18/2012"/>
    <n v="40"/>
    <n v="2839"/>
    <n v="47.45"/>
    <n v="31.79"/>
    <n v="47.449999999999996"/>
    <n v="134710.54999999999"/>
    <n v="90251.81"/>
    <n v="0.33003161222339306"/>
    <n v="44458.74"/>
  </r>
  <r>
    <x v="0"/>
    <s v="France"/>
    <x v="2"/>
    <x v="1"/>
    <x v="0"/>
    <s v="9/19/2012"/>
    <d v="2012-09-19T00:00:00"/>
    <n v="19"/>
    <s v="Sep"/>
    <x v="5"/>
    <s v="Sep-2012"/>
    <n v="764811360"/>
    <d v="2012-09-30T00:00:00"/>
    <n v="30"/>
    <s v="Sep"/>
    <n v="2012"/>
    <s v="Sep-2012"/>
    <s v="9/30/2012"/>
    <n v="11"/>
    <n v="3532"/>
    <n v="205.7"/>
    <n v="117.11"/>
    <n v="205.70000000000002"/>
    <n v="726532.4"/>
    <n v="413632.52"/>
    <n v="0.43067574137092851"/>
    <n v="312899.88"/>
  </r>
  <r>
    <x v="0"/>
    <s v="Liechtenstein"/>
    <x v="5"/>
    <x v="0"/>
    <x v="0"/>
    <s v="10/17/2013"/>
    <d v="2013-10-17T00:00:00"/>
    <n v="17"/>
    <s v="Oct"/>
    <x v="1"/>
    <s v="Oct-2013"/>
    <n v="801925837"/>
    <d v="2013-10-26T00:00:00"/>
    <n v="26"/>
    <s v="Oct"/>
    <n v="2013"/>
    <s v="Oct-2013"/>
    <s v="10/26/2013"/>
    <n v="9"/>
    <n v="6531"/>
    <n v="154.06"/>
    <n v="90.93"/>
    <n v="154.06"/>
    <n v="1006165.86"/>
    <n v="593863.82999999996"/>
    <n v="0.40977541217707392"/>
    <n v="412302.03"/>
  </r>
  <r>
    <x v="0"/>
    <s v="San Marino"/>
    <x v="3"/>
    <x v="0"/>
    <x v="0"/>
    <s v="11/5/2013"/>
    <d v="2013-11-05T00:00:00"/>
    <n v="5"/>
    <s v="Nov"/>
    <x v="1"/>
    <s v="Nov-2013"/>
    <n v="881194770"/>
    <d v="2013-12-05T00:00:00"/>
    <n v="5"/>
    <s v="Dec"/>
    <n v="2013"/>
    <s v="Dec-2013"/>
    <s v="12/5/2013"/>
    <n v="30"/>
    <n v="3969"/>
    <n v="651.21"/>
    <n v="524.96"/>
    <n v="651.21"/>
    <n v="2584652.4900000002"/>
    <n v="2083566.24"/>
    <n v="0.19386987300563566"/>
    <n v="501086.25"/>
  </r>
  <r>
    <x v="0"/>
    <s v="Austria"/>
    <x v="5"/>
    <x v="0"/>
    <x v="0"/>
    <s v="8/17/2011"/>
    <d v="2011-08-17T00:00:00"/>
    <n v="17"/>
    <s v="Aug"/>
    <x v="0"/>
    <s v="Aug-2011"/>
    <n v="917835032"/>
    <d v="2011-10-06T00:00:00"/>
    <n v="6"/>
    <s v="Oct"/>
    <n v="2011"/>
    <s v="Oct-2011"/>
    <s v="10/6/2011"/>
    <n v="50"/>
    <n v="6637"/>
    <n v="154.06"/>
    <n v="90.93"/>
    <n v="154.06"/>
    <n v="1022496.22"/>
    <n v="603502.41"/>
    <n v="0.40977541217707386"/>
    <n v="418993.81"/>
  </r>
  <r>
    <x v="0"/>
    <s v="Switzerland"/>
    <x v="4"/>
    <x v="1"/>
    <x v="3"/>
    <s v="6/8/2014"/>
    <d v="2014-06-08T00:00:00"/>
    <n v="8"/>
    <s v="Jun"/>
    <x v="2"/>
    <s v="Jun-2014"/>
    <n v="159232509"/>
    <d v="2014-07-14T00:00:00"/>
    <n v="14"/>
    <s v="Jul"/>
    <n v="2014"/>
    <s v="Jul-2014"/>
    <s v="7/14/2014"/>
    <n v="36"/>
    <n v="9293"/>
    <n v="9.33"/>
    <n v="6.92"/>
    <n v="9.33"/>
    <n v="86703.69"/>
    <n v="64307.56"/>
    <n v="0.25830653804930331"/>
    <n v="22396.13"/>
  </r>
  <r>
    <x v="0"/>
    <s v="Serbia"/>
    <x v="5"/>
    <x v="1"/>
    <x v="2"/>
    <s v="10/31/2013"/>
    <d v="2013-10-31T00:00:00"/>
    <n v="31"/>
    <s v="Oct"/>
    <x v="1"/>
    <s v="Oct-2013"/>
    <n v="917639768"/>
    <d v="2013-12-14T00:00:00"/>
    <n v="14"/>
    <s v="Dec"/>
    <n v="2013"/>
    <s v="Dec-2013"/>
    <s v="12/14/2013"/>
    <n v="44"/>
    <n v="8854"/>
    <n v="154.06"/>
    <n v="90.93"/>
    <n v="154.06"/>
    <n v="1364047.24"/>
    <n v="805094.22"/>
    <n v="0.40977541217707386"/>
    <n v="558953.02"/>
  </r>
  <r>
    <x v="0"/>
    <s v="Lithuania"/>
    <x v="4"/>
    <x v="1"/>
    <x v="1"/>
    <s v="3/9/2011"/>
    <d v="2011-03-09T00:00:00"/>
    <n v="9"/>
    <s v="Mar"/>
    <x v="0"/>
    <s v="Mar-2011"/>
    <n v="965796363"/>
    <d v="2011-03-19T00:00:00"/>
    <n v="19"/>
    <s v="Mar"/>
    <n v="2011"/>
    <s v="Mar-2011"/>
    <s v="3/19/2011"/>
    <n v="10"/>
    <n v="9461"/>
    <n v="9.33"/>
    <n v="6.92"/>
    <n v="9.33"/>
    <n v="88271.13"/>
    <n v="65470.12"/>
    <n v="0.25830653804930331"/>
    <n v="22801.01"/>
  </r>
  <r>
    <x v="0"/>
    <s v="Bosnia and Herzegovina"/>
    <x v="8"/>
    <x v="1"/>
    <x v="2"/>
    <s v="7/16/2016"/>
    <d v="2016-07-16T00:00:00"/>
    <n v="16"/>
    <s v="Jul"/>
    <x v="4"/>
    <s v="Jul-2016"/>
    <n v="551118266"/>
    <d v="2016-08-15T00:00:00"/>
    <n v="15"/>
    <s v="Aug"/>
    <n v="2016"/>
    <s v="Aug-2016"/>
    <s v="8/15/2016"/>
    <n v="30"/>
    <n v="6997"/>
    <n v="255.28"/>
    <n v="159.41999999999999"/>
    <n v="255.28"/>
    <n v="1786194.16"/>
    <n v="1115461.74"/>
    <n v="0.37550924475086184"/>
    <n v="670732.42000000004"/>
  </r>
  <r>
    <x v="0"/>
    <s v="Albania"/>
    <x v="3"/>
    <x v="1"/>
    <x v="1"/>
    <s v="8/10/2016"/>
    <d v="2016-08-10T00:00:00"/>
    <n v="10"/>
    <s v="Aug"/>
    <x v="4"/>
    <s v="Aug-2016"/>
    <n v="849454581"/>
    <d v="2016-09-06T00:00:00"/>
    <n v="6"/>
    <s v="Sep"/>
    <n v="2016"/>
    <s v="Sep-2016"/>
    <s v="9/6/2016"/>
    <n v="27"/>
    <n v="1342"/>
    <n v="651.21"/>
    <n v="524.96"/>
    <n v="651.20999999999992"/>
    <n v="873923.82"/>
    <n v="704496.32"/>
    <n v="0.19386987300563568"/>
    <n v="169427.5"/>
  </r>
  <r>
    <x v="0"/>
    <s v="Georgia"/>
    <x v="2"/>
    <x v="0"/>
    <x v="1"/>
    <s v="12/14/2010"/>
    <d v="2010-12-14T00:00:00"/>
    <n v="14"/>
    <s v="Dec"/>
    <x v="3"/>
    <s v="Dec-2010"/>
    <n v="962560546"/>
    <d v="2011-01-08T00:00:00"/>
    <n v="8"/>
    <s v="Jan"/>
    <n v="2011"/>
    <s v="Jan-2011"/>
    <s v="1/8/2011"/>
    <n v="25"/>
    <n v="1911"/>
    <n v="205.7"/>
    <n v="117.11"/>
    <n v="205.70000000000002"/>
    <n v="393092.7"/>
    <n v="223797.21"/>
    <n v="0.43067574137092851"/>
    <n v="169295.49"/>
  </r>
  <r>
    <x v="0"/>
    <s v="Liechtenstein"/>
    <x v="5"/>
    <x v="0"/>
    <x v="3"/>
    <s v="5/23/2011"/>
    <d v="2011-05-23T00:00:00"/>
    <n v="23"/>
    <s v="May"/>
    <x v="0"/>
    <s v="May-2011"/>
    <n v="927351081"/>
    <d v="2011-06-02T00:00:00"/>
    <n v="2"/>
    <s v="Jun"/>
    <n v="2011"/>
    <s v="Jun-2011"/>
    <s v="6/2/2011"/>
    <n v="10"/>
    <n v="2647"/>
    <n v="154.06"/>
    <n v="90.93"/>
    <n v="154.06"/>
    <n v="407796.82"/>
    <n v="240691.71"/>
    <n v="0.40977541217707381"/>
    <n v="167105.10999999999"/>
  </r>
  <r>
    <x v="0"/>
    <s v="Luxembourg"/>
    <x v="9"/>
    <x v="1"/>
    <x v="3"/>
    <s v="10/20/2010"/>
    <d v="2010-10-20T00:00:00"/>
    <n v="20"/>
    <s v="Oct"/>
    <x v="3"/>
    <s v="Oct-2010"/>
    <n v="840781390"/>
    <d v="2010-11-13T00:00:00"/>
    <n v="13"/>
    <s v="Nov"/>
    <n v="2010"/>
    <s v="Nov-2010"/>
    <s v="11/13/2010"/>
    <n v="24"/>
    <n v="4752"/>
    <n v="668.27"/>
    <n v="502.54"/>
    <n v="668.27"/>
    <n v="3175619.04"/>
    <n v="2388070.08"/>
    <n v="0.24799856345489096"/>
    <n v="787548.96"/>
  </r>
  <r>
    <x v="0"/>
    <s v="Spain"/>
    <x v="5"/>
    <x v="1"/>
    <x v="3"/>
    <s v="3/31/2017"/>
    <d v="2017-03-31T00:00:00"/>
    <n v="31"/>
    <s v="Mar"/>
    <x v="7"/>
    <s v="Mar-2017"/>
    <n v="722233331"/>
    <d v="2017-04-06T00:00:00"/>
    <n v="6"/>
    <s v="Apr"/>
    <n v="2017"/>
    <s v="Apr-2017"/>
    <s v="4/6/2017"/>
    <n v="6"/>
    <n v="3747"/>
    <n v="154.06"/>
    <n v="90.93"/>
    <n v="154.05999999999997"/>
    <n v="577262.81999999995"/>
    <n v="340714.71"/>
    <n v="0.40977541217707386"/>
    <n v="236548.11"/>
  </r>
  <r>
    <x v="0"/>
    <s v="Portugal"/>
    <x v="6"/>
    <x v="1"/>
    <x v="3"/>
    <s v="11/21/2011"/>
    <d v="2011-11-21T00:00:00"/>
    <n v="21"/>
    <s v="Nov"/>
    <x v="0"/>
    <s v="Nov-2011"/>
    <n v="663080108"/>
    <d v="2011-12-10T00:00:00"/>
    <n v="10"/>
    <s v="Dec"/>
    <n v="2011"/>
    <s v="Dec-2011"/>
    <s v="12/10/2011"/>
    <n v="19"/>
    <n v="8994"/>
    <n v="421.89"/>
    <n v="364.69"/>
    <n v="421.89000000000004"/>
    <n v="3794478.66"/>
    <n v="3280021.86"/>
    <n v="0.13558036455000116"/>
    <n v="514456.8"/>
  </r>
  <r>
    <x v="0"/>
    <s v="Poland"/>
    <x v="2"/>
    <x v="1"/>
    <x v="2"/>
    <s v="10/7/2011"/>
    <d v="2011-10-07T00:00:00"/>
    <n v="7"/>
    <s v="Oct"/>
    <x v="0"/>
    <s v="Oct-2011"/>
    <n v="439640080"/>
    <d v="2011-11-02T00:00:00"/>
    <n v="2"/>
    <s v="Nov"/>
    <n v="2011"/>
    <s v="Nov-2011"/>
    <s v="11/2/2011"/>
    <n v="26"/>
    <n v="8124"/>
    <n v="205.7"/>
    <n v="117.11"/>
    <n v="205.70000000000002"/>
    <n v="1671106.8"/>
    <n v="951401.64"/>
    <n v="0.43067574137092857"/>
    <n v="719705.16"/>
  </r>
  <r>
    <x v="0"/>
    <s v="Romania"/>
    <x v="9"/>
    <x v="0"/>
    <x v="3"/>
    <s v="6/19/2014"/>
    <d v="2014-06-19T00:00:00"/>
    <n v="19"/>
    <s v="Jun"/>
    <x v="2"/>
    <s v="Jun-2014"/>
    <n v="765858924"/>
    <d v="2014-07-21T00:00:00"/>
    <n v="21"/>
    <s v="Jul"/>
    <n v="2014"/>
    <s v="Jul-2014"/>
    <s v="7/21/2014"/>
    <n v="32"/>
    <n v="3530"/>
    <n v="668.27"/>
    <n v="502.54"/>
    <n v="668.27"/>
    <n v="2358993.1"/>
    <n v="1773966.2"/>
    <n v="0.24799856345489099"/>
    <n v="585026.9"/>
  </r>
  <r>
    <x v="0"/>
    <s v="Austria"/>
    <x v="2"/>
    <x v="1"/>
    <x v="1"/>
    <s v="5/13/2010"/>
    <d v="2010-05-13T00:00:00"/>
    <n v="13"/>
    <s v="May"/>
    <x v="3"/>
    <s v="May-2010"/>
    <n v="123544108"/>
    <d v="2010-06-22T00:00:00"/>
    <n v="22"/>
    <s v="Jun"/>
    <n v="2010"/>
    <s v="Jun-2010"/>
    <s v="6/22/2010"/>
    <n v="40"/>
    <n v="8302"/>
    <n v="205.7"/>
    <n v="117.11"/>
    <n v="205.7"/>
    <n v="1707721.4"/>
    <n v="972247.22"/>
    <n v="0.43067574137092857"/>
    <n v="735474.18"/>
  </r>
  <r>
    <x v="0"/>
    <s v="Latvia"/>
    <x v="7"/>
    <x v="0"/>
    <x v="1"/>
    <s v="4/7/2017"/>
    <d v="2017-04-07T00:00:00"/>
    <n v="7"/>
    <s v="Apr"/>
    <x v="7"/>
    <s v="Apr-2017"/>
    <n v="569170606"/>
    <d v="2017-04-13T00:00:00"/>
    <n v="13"/>
    <s v="Apr"/>
    <n v="2017"/>
    <s v="Apr-2017"/>
    <s v="4/13/2017"/>
    <n v="6"/>
    <n v="9085"/>
    <n v="152.58000000000001"/>
    <n v="97.44"/>
    <n v="152.58000000000001"/>
    <n v="1386189.3"/>
    <n v="885242.4"/>
    <n v="0.36138419189933152"/>
    <n v="500946.9"/>
  </r>
  <r>
    <x v="0"/>
    <s v="San Marino"/>
    <x v="11"/>
    <x v="1"/>
    <x v="2"/>
    <s v="1/6/2012"/>
    <d v="2012-01-06T00:00:00"/>
    <n v="6"/>
    <s v="Jan"/>
    <x v="5"/>
    <s v="Jan-2012"/>
    <n v="185947310"/>
    <d v="2012-01-27T00:00:00"/>
    <n v="27"/>
    <s v="Jan"/>
    <n v="2012"/>
    <s v="Jan-2012"/>
    <s v="1/27/2012"/>
    <n v="21"/>
    <n v="4796"/>
    <n v="81.73"/>
    <n v="56.67"/>
    <n v="81.73"/>
    <n v="391977.08"/>
    <n v="271789.32"/>
    <n v="0.30661935641747212"/>
    <n v="120187.76"/>
  </r>
  <r>
    <x v="0"/>
    <s v="Poland"/>
    <x v="5"/>
    <x v="1"/>
    <x v="3"/>
    <s v="7/19/2015"/>
    <d v="2015-07-19T00:00:00"/>
    <n v="19"/>
    <s v="Jul"/>
    <x v="6"/>
    <s v="Jul-2015"/>
    <n v="534709155"/>
    <d v="2015-09-02T00:00:00"/>
    <n v="2"/>
    <s v="Sep"/>
    <n v="2015"/>
    <s v="Sep-2015"/>
    <s v="9/2/2015"/>
    <n v="45"/>
    <n v="1176"/>
    <n v="154.06"/>
    <n v="90.93"/>
    <n v="154.06"/>
    <n v="181174.56"/>
    <n v="106933.68"/>
    <n v="0.40977541217707392"/>
    <n v="74240.88"/>
  </r>
  <r>
    <x v="0"/>
    <s v="Netherlands"/>
    <x v="3"/>
    <x v="1"/>
    <x v="0"/>
    <s v="8/9/2014"/>
    <d v="2014-08-09T00:00:00"/>
    <n v="9"/>
    <s v="Aug"/>
    <x v="2"/>
    <s v="Aug-2014"/>
    <n v="138182103"/>
    <d v="2014-08-16T00:00:00"/>
    <n v="16"/>
    <s v="Aug"/>
    <n v="2014"/>
    <s v="Aug-2014"/>
    <s v="8/16/2014"/>
    <n v="7"/>
    <n v="10"/>
    <n v="651.21"/>
    <n v="524.96"/>
    <n v="651.21"/>
    <n v="6512.1"/>
    <n v="5249.6"/>
    <n v="0.19386987300563566"/>
    <n v="1262.5"/>
  </r>
  <r>
    <x v="0"/>
    <s v="Bulgaria"/>
    <x v="6"/>
    <x v="0"/>
    <x v="3"/>
    <s v="9/10/2013"/>
    <d v="2013-09-10T00:00:00"/>
    <n v="10"/>
    <s v="Sep"/>
    <x v="1"/>
    <s v="Sep-2013"/>
    <n v="780590045"/>
    <d v="2013-10-03T00:00:00"/>
    <n v="3"/>
    <s v="Oct"/>
    <n v="2013"/>
    <s v="Oct-2013"/>
    <s v="10/3/2013"/>
    <n v="23"/>
    <n v="2796"/>
    <n v="421.89"/>
    <n v="364.69"/>
    <n v="421.89"/>
    <n v="1179604.44"/>
    <n v="1019673.24"/>
    <n v="0.13558036455000119"/>
    <n v="159931.20000000001"/>
  </r>
  <r>
    <x v="0"/>
    <s v="Greece"/>
    <x v="4"/>
    <x v="1"/>
    <x v="2"/>
    <s v="7/9/2017"/>
    <d v="2017-07-09T00:00:00"/>
    <n v="9"/>
    <s v="Jul"/>
    <x v="7"/>
    <s v="Jul-2017"/>
    <n v="643448483"/>
    <d v="2017-07-25T00:00:00"/>
    <n v="25"/>
    <s v="Jul"/>
    <n v="2017"/>
    <s v="Jul-2017"/>
    <s v="7/25/2017"/>
    <n v="16"/>
    <n v="9560"/>
    <n v="9.33"/>
    <n v="6.92"/>
    <n v="9.33"/>
    <n v="89194.8"/>
    <n v="66155.199999999997"/>
    <n v="0.25830653804930331"/>
    <n v="23039.599999999999"/>
  </r>
  <r>
    <x v="0"/>
    <s v="Ireland"/>
    <x v="3"/>
    <x v="1"/>
    <x v="0"/>
    <s v="1/6/2011"/>
    <d v="2011-01-06T00:00:00"/>
    <n v="6"/>
    <s v="Jan"/>
    <x v="0"/>
    <s v="Jan-2011"/>
    <n v="144978606"/>
    <d v="2011-02-19T00:00:00"/>
    <n v="19"/>
    <s v="Feb"/>
    <n v="2011"/>
    <s v="Feb-2011"/>
    <s v="2/19/2011"/>
    <n v="44"/>
    <n v="1246"/>
    <n v="651.21"/>
    <n v="524.96"/>
    <n v="651.21"/>
    <n v="811407.66"/>
    <n v="654100.16"/>
    <n v="0.19386987300563566"/>
    <n v="157307.5"/>
  </r>
  <r>
    <x v="0"/>
    <s v="Portugal"/>
    <x v="9"/>
    <x v="1"/>
    <x v="1"/>
    <s v="1/4/2014"/>
    <d v="2014-01-04T00:00:00"/>
    <n v="4"/>
    <s v="Jan"/>
    <x v="2"/>
    <s v="Jan-2014"/>
    <n v="444798934"/>
    <d v="2014-01-20T00:00:00"/>
    <n v="20"/>
    <s v="Jan"/>
    <n v="2014"/>
    <s v="Jan-2014"/>
    <s v="1/20/2014"/>
    <n v="16"/>
    <n v="4744"/>
    <n v="668.27"/>
    <n v="502.54"/>
    <n v="668.27"/>
    <n v="3170272.88"/>
    <n v="2384049.7599999998"/>
    <n v="0.24799856345489099"/>
    <n v="786223.12"/>
  </r>
  <r>
    <x v="0"/>
    <s v="Liechtenstein"/>
    <x v="6"/>
    <x v="1"/>
    <x v="0"/>
    <s v="5/31/2017"/>
    <d v="2017-05-31T00:00:00"/>
    <n v="31"/>
    <s v="May"/>
    <x v="7"/>
    <s v="May-2017"/>
    <n v="543396508"/>
    <d v="2017-06-05T00:00:00"/>
    <n v="5"/>
    <s v="Jun"/>
    <n v="2017"/>
    <s v="Jun-2017"/>
    <s v="6/5/2017"/>
    <n v="5"/>
    <n v="1957"/>
    <n v="421.89"/>
    <n v="364.69"/>
    <n v="421.89"/>
    <n v="825638.73"/>
    <n v="713698.33"/>
    <n v="0.13558036455000119"/>
    <n v="111940.4"/>
  </r>
  <r>
    <x v="0"/>
    <s v="Austria"/>
    <x v="6"/>
    <x v="1"/>
    <x v="3"/>
    <s v="11/6/2013"/>
    <d v="2013-11-06T00:00:00"/>
    <n v="6"/>
    <s v="Nov"/>
    <x v="1"/>
    <s v="Nov-2013"/>
    <n v="866396272"/>
    <d v="2013-11-16T00:00:00"/>
    <n v="16"/>
    <s v="Nov"/>
    <n v="2013"/>
    <s v="Nov-2013"/>
    <s v="11/16/2013"/>
    <n v="10"/>
    <n v="4765"/>
    <n v="421.89"/>
    <n v="364.69"/>
    <n v="421.89000000000004"/>
    <n v="2010305.85"/>
    <n v="1737747.85"/>
    <n v="0.13558036455000119"/>
    <n v="272558"/>
  </r>
  <r>
    <x v="0"/>
    <s v="Ireland"/>
    <x v="2"/>
    <x v="1"/>
    <x v="3"/>
    <s v="7/12/2016"/>
    <d v="2016-07-12T00:00:00"/>
    <n v="12"/>
    <s v="Jul"/>
    <x v="4"/>
    <s v="Jul-2016"/>
    <n v="946823489"/>
    <d v="2016-08-30T00:00:00"/>
    <n v="30"/>
    <s v="Aug"/>
    <n v="2016"/>
    <s v="Aug-2016"/>
    <s v="8/30/2016"/>
    <n v="49"/>
    <n v="4966"/>
    <n v="205.7"/>
    <n v="117.11"/>
    <n v="205.7"/>
    <n v="1021506.2"/>
    <n v="581568.26"/>
    <n v="0.43067574137092857"/>
    <n v="439937.94"/>
  </r>
  <r>
    <x v="0"/>
    <s v="San Marino"/>
    <x v="10"/>
    <x v="1"/>
    <x v="3"/>
    <s v="11/30/2012"/>
    <d v="2012-11-30T00:00:00"/>
    <n v="30"/>
    <s v="Nov"/>
    <x v="5"/>
    <s v="Nov-2012"/>
    <n v="228211200"/>
    <d v="2012-12-03T00:00:00"/>
    <n v="3"/>
    <s v="Dec"/>
    <n v="2012"/>
    <s v="Dec-2012"/>
    <s v="12/3/2012"/>
    <n v="3"/>
    <n v="1620"/>
    <n v="437.2"/>
    <n v="263.33"/>
    <n v="437.2"/>
    <n v="708264"/>
    <n v="426594.6"/>
    <n v="0.3976898444647759"/>
    <n v="281669.40000000002"/>
  </r>
  <r>
    <x v="0"/>
    <s v="Vatican City"/>
    <x v="2"/>
    <x v="1"/>
    <x v="1"/>
    <s v="6/9/2011"/>
    <d v="2011-06-09T00:00:00"/>
    <n v="9"/>
    <s v="Jun"/>
    <x v="0"/>
    <s v="Jun-2011"/>
    <n v="547587192"/>
    <d v="2011-07-14T00:00:00"/>
    <n v="14"/>
    <s v="Jul"/>
    <n v="2011"/>
    <s v="Jul-2011"/>
    <s v="7/14/2011"/>
    <n v="35"/>
    <n v="2073"/>
    <n v="205.7"/>
    <n v="117.11"/>
    <n v="205.7"/>
    <n v="426416.1"/>
    <n v="242769.03"/>
    <n v="0.43067574137092857"/>
    <n v="183647.07"/>
  </r>
  <r>
    <x v="0"/>
    <s v="Italy"/>
    <x v="1"/>
    <x v="1"/>
    <x v="3"/>
    <s v="1/10/2010"/>
    <d v="2010-01-10T00:00:00"/>
    <n v="10"/>
    <s v="Jan"/>
    <x v="3"/>
    <s v="Jan-2010"/>
    <n v="689421546"/>
    <d v="2010-01-31T00:00:00"/>
    <n v="31"/>
    <s v="Jan"/>
    <n v="2010"/>
    <s v="Jan-2010"/>
    <s v="1/31/2010"/>
    <n v="21"/>
    <n v="4011"/>
    <n v="109.28"/>
    <n v="35.840000000000003"/>
    <n v="109.28"/>
    <n v="438322.08"/>
    <n v="143754.23999999999"/>
    <n v="0.67203513909224011"/>
    <n v="294567.84000000003"/>
  </r>
  <r>
    <x v="0"/>
    <s v="Croatia"/>
    <x v="6"/>
    <x v="1"/>
    <x v="1"/>
    <s v="12/21/2010"/>
    <d v="2010-12-21T00:00:00"/>
    <n v="21"/>
    <s v="Dec"/>
    <x v="3"/>
    <s v="Dec-2010"/>
    <n v="530882394"/>
    <d v="2011-02-02T00:00:00"/>
    <n v="2"/>
    <s v="Feb"/>
    <n v="2011"/>
    <s v="Feb-2011"/>
    <s v="2/2/2011"/>
    <n v="43"/>
    <n v="8753"/>
    <n v="421.89"/>
    <n v="364.69"/>
    <n v="421.89"/>
    <n v="3692803.17"/>
    <n v="3192131.57"/>
    <n v="0.13558036455000119"/>
    <n v="500671.6"/>
  </r>
  <r>
    <x v="0"/>
    <s v="Slovakia"/>
    <x v="7"/>
    <x v="0"/>
    <x v="1"/>
    <s v="6/10/2011"/>
    <d v="2011-06-10T00:00:00"/>
    <n v="10"/>
    <s v="Jun"/>
    <x v="0"/>
    <s v="Jun-2011"/>
    <n v="765552079"/>
    <d v="2011-07-17T00:00:00"/>
    <n v="17"/>
    <s v="Jul"/>
    <n v="2011"/>
    <s v="Jul-2011"/>
    <s v="7/17/2011"/>
    <n v="37"/>
    <n v="2727"/>
    <n v="152.58000000000001"/>
    <n v="97.44"/>
    <n v="152.57999999999998"/>
    <n v="416085.66"/>
    <n v="265718.88"/>
    <n v="0.36138419189933152"/>
    <n v="150366.78"/>
  </r>
  <r>
    <x v="0"/>
    <s v="Sweden"/>
    <x v="8"/>
    <x v="0"/>
    <x v="1"/>
    <s v="5/26/2010"/>
    <d v="2010-05-26T00:00:00"/>
    <n v="26"/>
    <s v="May"/>
    <x v="3"/>
    <s v="May-2010"/>
    <n v="469974792"/>
    <d v="2010-06-17T00:00:00"/>
    <n v="17"/>
    <s v="Jun"/>
    <n v="2010"/>
    <s v="Jun-2010"/>
    <s v="6/17/2010"/>
    <n v="22"/>
    <n v="4840"/>
    <n v="255.28"/>
    <n v="159.41999999999999"/>
    <n v="255.28"/>
    <n v="1235555.2"/>
    <n v="771592.8"/>
    <n v="0.37550924475086184"/>
    <n v="463962.4"/>
  </r>
  <r>
    <x v="0"/>
    <s v="Slovenia"/>
    <x v="11"/>
    <x v="0"/>
    <x v="1"/>
    <s v="11/23/2014"/>
    <d v="2014-11-23T00:00:00"/>
    <n v="23"/>
    <s v="Nov"/>
    <x v="2"/>
    <s v="Nov-2014"/>
    <n v="700304019"/>
    <d v="2014-12-21T00:00:00"/>
    <n v="21"/>
    <s v="Dec"/>
    <n v="2014"/>
    <s v="Dec-2014"/>
    <s v="12/21/2014"/>
    <n v="28"/>
    <n v="4376"/>
    <n v="81.73"/>
    <n v="56.67"/>
    <n v="81.72999999999999"/>
    <n v="357650.48"/>
    <n v="247987.92"/>
    <n v="0.30661935641747218"/>
    <n v="109662.56"/>
  </r>
  <r>
    <x v="0"/>
    <s v="Norway"/>
    <x v="1"/>
    <x v="1"/>
    <x v="3"/>
    <s v="4/14/2014"/>
    <d v="2014-04-14T00:00:00"/>
    <n v="14"/>
    <s v="Apr"/>
    <x v="2"/>
    <s v="Apr-2014"/>
    <n v="509356057"/>
    <d v="2014-04-17T00:00:00"/>
    <n v="17"/>
    <s v="Apr"/>
    <n v="2014"/>
    <s v="Apr-2014"/>
    <s v="4/17/2014"/>
    <n v="3"/>
    <n v="8631"/>
    <n v="109.28"/>
    <n v="35.840000000000003"/>
    <n v="109.28"/>
    <n v="943195.68"/>
    <n v="309335.03999999998"/>
    <n v="0.67203513909224011"/>
    <n v="633860.64"/>
  </r>
  <r>
    <x v="0"/>
    <s v="Armenia"/>
    <x v="8"/>
    <x v="0"/>
    <x v="1"/>
    <s v="2/10/2010"/>
    <d v="2010-02-10T00:00:00"/>
    <n v="10"/>
    <s v="Feb"/>
    <x v="3"/>
    <s v="Feb-2010"/>
    <n v="838788402"/>
    <d v="2010-02-26T00:00:00"/>
    <n v="26"/>
    <s v="Feb"/>
    <n v="2010"/>
    <s v="Feb-2010"/>
    <s v="2/26/2010"/>
    <n v="16"/>
    <n v="4983"/>
    <n v="255.28"/>
    <n v="159.41999999999999"/>
    <n v="255.28"/>
    <n v="1272060.24"/>
    <n v="794389.86"/>
    <n v="0.37550924475086178"/>
    <n v="477670.38"/>
  </r>
  <r>
    <x v="0"/>
    <s v="Bulgaria"/>
    <x v="3"/>
    <x v="0"/>
    <x v="0"/>
    <s v="2/9/2014"/>
    <d v="2014-02-09T00:00:00"/>
    <n v="9"/>
    <s v="Feb"/>
    <x v="2"/>
    <s v="Feb-2014"/>
    <n v="200507199"/>
    <d v="2014-02-25T00:00:00"/>
    <n v="25"/>
    <s v="Feb"/>
    <n v="2014"/>
    <s v="Feb-2014"/>
    <s v="2/25/2014"/>
    <n v="16"/>
    <n v="3391"/>
    <n v="651.21"/>
    <n v="524.96"/>
    <n v="651.20999999999992"/>
    <n v="2208253.11"/>
    <n v="1780139.36"/>
    <n v="0.19386987300563568"/>
    <n v="428113.75"/>
  </r>
  <r>
    <x v="0"/>
    <s v="Andorra"/>
    <x v="6"/>
    <x v="1"/>
    <x v="1"/>
    <s v="10/3/2011"/>
    <d v="2011-10-03T00:00:00"/>
    <n v="3"/>
    <s v="Oct"/>
    <x v="0"/>
    <s v="Oct-2011"/>
    <n v="504973971"/>
    <d v="2011-11-02T00:00:00"/>
    <n v="2"/>
    <s v="Nov"/>
    <n v="2011"/>
    <s v="Nov-2011"/>
    <s v="11/2/2011"/>
    <n v="30"/>
    <n v="1875"/>
    <n v="421.89"/>
    <n v="364.69"/>
    <n v="421.89"/>
    <n v="791043.75"/>
    <n v="683793.75"/>
    <n v="0.13558036455000119"/>
    <n v="107250"/>
  </r>
  <r>
    <x v="0"/>
    <s v="Armenia"/>
    <x v="2"/>
    <x v="0"/>
    <x v="3"/>
    <s v="1/20/2010"/>
    <d v="2010-01-20T00:00:00"/>
    <n v="20"/>
    <s v="Jan"/>
    <x v="3"/>
    <s v="Jan-2010"/>
    <n v="477282845"/>
    <d v="2010-02-04T00:00:00"/>
    <n v="4"/>
    <s v="Feb"/>
    <n v="2010"/>
    <s v="Feb-2010"/>
    <s v="2/4/2010"/>
    <n v="15"/>
    <n v="7455"/>
    <n v="205.7"/>
    <n v="117.11"/>
    <n v="205.7"/>
    <n v="1533493.5"/>
    <n v="873055.05"/>
    <n v="0.43067574137092851"/>
    <n v="660438.44999999995"/>
  </r>
  <r>
    <x v="0"/>
    <s v="Slovakia"/>
    <x v="10"/>
    <x v="1"/>
    <x v="2"/>
    <s v="3/1/2010"/>
    <d v="2010-03-01T00:00:00"/>
    <n v="1"/>
    <s v="Mar"/>
    <x v="3"/>
    <s v="Mar-2010"/>
    <n v="161399304"/>
    <d v="2010-03-15T00:00:00"/>
    <n v="15"/>
    <s v="Mar"/>
    <n v="2010"/>
    <s v="Mar-2010"/>
    <s v="3/15/2010"/>
    <n v="14"/>
    <n v="496"/>
    <n v="437.2"/>
    <n v="263.33"/>
    <n v="437.20000000000005"/>
    <n v="216851.20000000001"/>
    <n v="130611.68"/>
    <n v="0.39768984446477584"/>
    <n v="86239.52"/>
  </r>
  <r>
    <x v="0"/>
    <s v="Hungary"/>
    <x v="3"/>
    <x v="1"/>
    <x v="3"/>
    <s v="8/20/2011"/>
    <d v="2011-08-20T00:00:00"/>
    <n v="20"/>
    <s v="Aug"/>
    <x v="0"/>
    <s v="Aug-2011"/>
    <n v="204392325"/>
    <d v="2011-09-26T00:00:00"/>
    <n v="26"/>
    <s v="Sep"/>
    <n v="2011"/>
    <s v="Sep-2011"/>
    <s v="9/26/2011"/>
    <n v="37"/>
    <n v="3086"/>
    <n v="651.21"/>
    <n v="524.96"/>
    <n v="651.21"/>
    <n v="2009634.06"/>
    <n v="1620026.56"/>
    <n v="0.19386987300563566"/>
    <n v="389607.5"/>
  </r>
  <r>
    <x v="0"/>
    <s v="Latvia"/>
    <x v="2"/>
    <x v="0"/>
    <x v="1"/>
    <s v="6/28/2010"/>
    <d v="2010-06-28T00:00:00"/>
    <n v="28"/>
    <s v="Jun"/>
    <x v="3"/>
    <s v="Jun-2010"/>
    <n v="400904691"/>
    <d v="2010-07-12T00:00:00"/>
    <n v="12"/>
    <s v="Jul"/>
    <n v="2010"/>
    <s v="Jul-2010"/>
    <s v="7/12/2010"/>
    <n v="14"/>
    <n v="5462"/>
    <n v="205.7"/>
    <n v="117.11"/>
    <n v="205.7"/>
    <n v="1123533.3999999999"/>
    <n v="639654.81999999995"/>
    <n v="0.43067574137092857"/>
    <n v="483878.58"/>
  </r>
  <r>
    <x v="0"/>
    <s v="Belgium"/>
    <x v="0"/>
    <x v="0"/>
    <x v="2"/>
    <s v="12/21/2016"/>
    <d v="2016-12-21T00:00:00"/>
    <n v="21"/>
    <s v="Dec"/>
    <x v="4"/>
    <s v="Dec-2016"/>
    <n v="244023358"/>
    <d v="2017-01-22T00:00:00"/>
    <n v="22"/>
    <s v="Jan"/>
    <n v="2017"/>
    <s v="Jan-2017"/>
    <s v="1/22/2017"/>
    <n v="32"/>
    <n v="789"/>
    <n v="47.45"/>
    <n v="31.79"/>
    <n v="47.45"/>
    <n v="37438.050000000003"/>
    <n v="25082.31"/>
    <n v="0.330031612223393"/>
    <n v="12355.74"/>
  </r>
  <r>
    <x v="0"/>
    <s v="Moldova "/>
    <x v="10"/>
    <x v="1"/>
    <x v="3"/>
    <s v="6/13/2013"/>
    <d v="2013-06-13T00:00:00"/>
    <n v="13"/>
    <s v="Jun"/>
    <x v="1"/>
    <s v="Jun-2013"/>
    <n v="830172288"/>
    <d v="2013-07-29T00:00:00"/>
    <n v="29"/>
    <s v="Jul"/>
    <n v="2013"/>
    <s v="Jul-2013"/>
    <s v="7/29/2013"/>
    <n v="46"/>
    <n v="5283"/>
    <n v="437.2"/>
    <n v="263.33"/>
    <n v="437.20000000000005"/>
    <n v="2309727.6"/>
    <n v="1391172.39"/>
    <n v="0.39768984446477579"/>
    <n v="918555.21"/>
  </r>
  <r>
    <x v="0"/>
    <s v="Moldova "/>
    <x v="6"/>
    <x v="0"/>
    <x v="2"/>
    <s v="5/13/2016"/>
    <d v="2016-05-13T00:00:00"/>
    <n v="13"/>
    <s v="May"/>
    <x v="4"/>
    <s v="May-2016"/>
    <n v="815755307"/>
    <d v="2016-06-09T00:00:00"/>
    <n v="9"/>
    <s v="Jun"/>
    <n v="2016"/>
    <s v="Jun-2016"/>
    <s v="6/9/2016"/>
    <n v="27"/>
    <n v="8978"/>
    <n v="421.89"/>
    <n v="364.69"/>
    <n v="421.89"/>
    <n v="3787728.42"/>
    <n v="3274186.82"/>
    <n v="0.13558036455000119"/>
    <n v="513541.6"/>
  </r>
  <r>
    <x v="0"/>
    <s v="Austria"/>
    <x v="1"/>
    <x v="1"/>
    <x v="1"/>
    <s v="12/23/2015"/>
    <d v="2015-12-23T00:00:00"/>
    <n v="23"/>
    <s v="Dec"/>
    <x v="6"/>
    <s v="Dec-2015"/>
    <n v="870173251"/>
    <d v="2015-12-30T00:00:00"/>
    <n v="30"/>
    <s v="Dec"/>
    <n v="2015"/>
    <s v="Dec-2015"/>
    <s v="12/30/2015"/>
    <n v="7"/>
    <n v="2457"/>
    <n v="109.28"/>
    <n v="35.840000000000003"/>
    <n v="109.28000000000002"/>
    <n v="268500.96000000002"/>
    <n v="88058.880000000005"/>
    <n v="0.67203513909224"/>
    <n v="180442.08"/>
  </r>
  <r>
    <x v="0"/>
    <s v="Greece"/>
    <x v="8"/>
    <x v="1"/>
    <x v="1"/>
    <s v="8/19/2013"/>
    <d v="2013-08-19T00:00:00"/>
    <n v="19"/>
    <s v="Aug"/>
    <x v="1"/>
    <s v="Aug-2013"/>
    <n v="444234168"/>
    <d v="2013-09-27T00:00:00"/>
    <n v="27"/>
    <s v="Sep"/>
    <n v="2013"/>
    <s v="Sep-2013"/>
    <s v="9/27/2013"/>
    <n v="39"/>
    <n v="7617"/>
    <n v="255.28"/>
    <n v="159.41999999999999"/>
    <n v="255.28"/>
    <n v="1944467.76"/>
    <n v="1214302.1399999999"/>
    <n v="0.37550924475086178"/>
    <n v="730165.62"/>
  </r>
  <r>
    <x v="0"/>
    <s v="Liechtenstein"/>
    <x v="1"/>
    <x v="0"/>
    <x v="3"/>
    <s v="8/4/2016"/>
    <d v="2016-08-04T00:00:00"/>
    <n v="4"/>
    <s v="Aug"/>
    <x v="4"/>
    <s v="Aug-2016"/>
    <n v="545059049"/>
    <d v="2016-08-08T00:00:00"/>
    <n v="8"/>
    <s v="Aug"/>
    <n v="2016"/>
    <s v="Aug-2016"/>
    <s v="8/8/2016"/>
    <n v="4"/>
    <n v="3940"/>
    <n v="109.28"/>
    <n v="35.840000000000003"/>
    <n v="109.28"/>
    <n v="430563.2"/>
    <n v="141209.60000000001"/>
    <n v="0.67203513909224"/>
    <n v="289353.59999999998"/>
  </r>
  <r>
    <x v="0"/>
    <s v="United Kingdom"/>
    <x v="8"/>
    <x v="0"/>
    <x v="1"/>
    <s v="10/7/2015"/>
    <d v="2015-10-07T00:00:00"/>
    <n v="7"/>
    <s v="Oct"/>
    <x v="6"/>
    <s v="Oct-2015"/>
    <n v="530702579"/>
    <d v="2015-11-09T00:00:00"/>
    <n v="9"/>
    <s v="Nov"/>
    <n v="2015"/>
    <s v="Nov-2015"/>
    <s v="11/9/2015"/>
    <n v="33"/>
    <n v="5541"/>
    <n v="255.28"/>
    <n v="159.41999999999999"/>
    <n v="255.28"/>
    <n v="1414506.48"/>
    <n v="883346.22"/>
    <n v="0.37550924475086184"/>
    <n v="531160.26"/>
  </r>
  <r>
    <x v="0"/>
    <s v="Iceland"/>
    <x v="11"/>
    <x v="0"/>
    <x v="2"/>
    <s v="11/7/2013"/>
    <d v="2013-11-07T00:00:00"/>
    <n v="7"/>
    <s v="Nov"/>
    <x v="1"/>
    <s v="Nov-2013"/>
    <n v="546140086"/>
    <d v="2013-12-19T00:00:00"/>
    <n v="19"/>
    <s v="Dec"/>
    <n v="2013"/>
    <s v="Dec-2013"/>
    <s v="12/19/2013"/>
    <n v="42"/>
    <n v="3843"/>
    <n v="81.73"/>
    <n v="56.67"/>
    <n v="81.73"/>
    <n v="314088.39"/>
    <n v="217782.81"/>
    <n v="0.30661935641747218"/>
    <n v="96305.58"/>
  </r>
  <r>
    <x v="0"/>
    <s v="Belarus"/>
    <x v="5"/>
    <x v="0"/>
    <x v="1"/>
    <s v="6/7/2017"/>
    <d v="2017-06-07T00:00:00"/>
    <n v="7"/>
    <s v="Jun"/>
    <x v="7"/>
    <s v="Jun-2017"/>
    <n v="215584218"/>
    <d v="2017-06-21T00:00:00"/>
    <n v="21"/>
    <s v="Jun"/>
    <n v="2017"/>
    <s v="Jun-2017"/>
    <s v="6/21/2017"/>
    <n v="14"/>
    <n v="5016"/>
    <n v="154.06"/>
    <n v="90.93"/>
    <n v="154.06"/>
    <n v="772764.96"/>
    <n v="456104.88"/>
    <n v="0.40977541217707392"/>
    <n v="316660.08"/>
  </r>
  <r>
    <x v="0"/>
    <s v="Sweden"/>
    <x v="2"/>
    <x v="1"/>
    <x v="2"/>
    <s v="5/29/2016"/>
    <d v="2016-05-29T00:00:00"/>
    <n v="29"/>
    <s v="May"/>
    <x v="4"/>
    <s v="May-2016"/>
    <n v="407220542"/>
    <d v="2016-07-04T00:00:00"/>
    <n v="4"/>
    <s v="Jul"/>
    <n v="2016"/>
    <s v="Jul-2016"/>
    <s v="7/4/2016"/>
    <n v="36"/>
    <n v="4463"/>
    <n v="205.7"/>
    <n v="117.11"/>
    <n v="205.7"/>
    <n v="918039.1"/>
    <n v="522661.93"/>
    <n v="0.43067574137092851"/>
    <n v="395377.17"/>
  </r>
  <r>
    <x v="0"/>
    <s v="Ireland"/>
    <x v="5"/>
    <x v="1"/>
    <x v="2"/>
    <s v="4/24/2016"/>
    <d v="2016-04-24T00:00:00"/>
    <n v="24"/>
    <s v="Apr"/>
    <x v="4"/>
    <s v="Apr-2016"/>
    <n v="956969964"/>
    <d v="2016-05-27T00:00:00"/>
    <n v="27"/>
    <s v="May"/>
    <n v="2016"/>
    <s v="May-2016"/>
    <s v="5/27/2016"/>
    <n v="33"/>
    <n v="7533"/>
    <n v="154.06"/>
    <n v="90.93"/>
    <n v="154.06"/>
    <n v="1160533.98"/>
    <n v="684975.69"/>
    <n v="0.40977541217707386"/>
    <n v="475558.29"/>
  </r>
  <r>
    <x v="0"/>
    <s v="Slovenia"/>
    <x v="4"/>
    <x v="1"/>
    <x v="2"/>
    <s v="12/11/2014"/>
    <d v="2014-12-11T00:00:00"/>
    <n v="11"/>
    <s v="Dec"/>
    <x v="2"/>
    <s v="Dec-2014"/>
    <n v="399256312"/>
    <d v="2015-01-05T00:00:00"/>
    <n v="5"/>
    <s v="Jan"/>
    <n v="2015"/>
    <s v="Jan-2015"/>
    <s v="1/5/2015"/>
    <n v="25"/>
    <n v="7670"/>
    <n v="9.33"/>
    <n v="6.92"/>
    <n v="9.33"/>
    <n v="71561.100000000006"/>
    <n v="53076.4"/>
    <n v="0.25830653804930331"/>
    <n v="18484.7"/>
  </r>
  <r>
    <x v="0"/>
    <s v="Croatia"/>
    <x v="7"/>
    <x v="0"/>
    <x v="1"/>
    <s v="3/3/2011"/>
    <d v="2011-03-03T00:00:00"/>
    <n v="3"/>
    <s v="Mar"/>
    <x v="0"/>
    <s v="Mar-2011"/>
    <n v="488815915"/>
    <d v="2011-04-17T00:00:00"/>
    <n v="17"/>
    <s v="Apr"/>
    <n v="2011"/>
    <s v="Apr-2011"/>
    <s v="4/17/2011"/>
    <n v="45"/>
    <n v="347"/>
    <n v="152.58000000000001"/>
    <n v="97.44"/>
    <n v="152.58000000000001"/>
    <n v="52945.26"/>
    <n v="33811.68"/>
    <n v="0.36138419189933152"/>
    <n v="19133.580000000002"/>
  </r>
  <r>
    <x v="0"/>
    <s v="Lithuania"/>
    <x v="1"/>
    <x v="0"/>
    <x v="0"/>
    <s v="4/29/2012"/>
    <d v="2012-04-29T00:00:00"/>
    <n v="29"/>
    <s v="Apr"/>
    <x v="5"/>
    <s v="Apr-2012"/>
    <n v="530262696"/>
    <d v="2012-05-11T00:00:00"/>
    <n v="11"/>
    <s v="May"/>
    <n v="2012"/>
    <s v="May-2012"/>
    <s v="5/11/2012"/>
    <n v="12"/>
    <n v="5370"/>
    <n v="109.28"/>
    <n v="35.840000000000003"/>
    <n v="109.28"/>
    <n v="586833.6"/>
    <n v="192460.79999999999"/>
    <n v="0.67203513909224011"/>
    <n v="394372.8"/>
  </r>
  <r>
    <x v="0"/>
    <s v="Switzerland"/>
    <x v="10"/>
    <x v="1"/>
    <x v="2"/>
    <s v="2/26/2016"/>
    <d v="2016-02-26T00:00:00"/>
    <n v="26"/>
    <s v="Feb"/>
    <x v="4"/>
    <s v="Feb-2016"/>
    <n v="243521249"/>
    <d v="2016-03-28T00:00:00"/>
    <n v="28"/>
    <s v="Mar"/>
    <n v="2016"/>
    <s v="Mar-2016"/>
    <s v="3/28/2016"/>
    <n v="31"/>
    <n v="2204"/>
    <n v="437.2"/>
    <n v="263.33"/>
    <n v="437.20000000000005"/>
    <n v="963588.8"/>
    <n v="580379.31999999995"/>
    <n v="0.39768984446477579"/>
    <n v="383209.48"/>
  </r>
  <r>
    <x v="0"/>
    <s v="Iceland"/>
    <x v="10"/>
    <x v="1"/>
    <x v="1"/>
    <s v="1/27/2011"/>
    <d v="2011-01-27T00:00:00"/>
    <n v="27"/>
    <s v="Jan"/>
    <x v="0"/>
    <s v="Jan-2011"/>
    <n v="878614270"/>
    <d v="2011-02-17T00:00:00"/>
    <n v="17"/>
    <s v="Feb"/>
    <n v="2011"/>
    <s v="Feb-2011"/>
    <s v="2/17/2011"/>
    <n v="21"/>
    <n v="342"/>
    <n v="437.2"/>
    <n v="263.33"/>
    <n v="437.2"/>
    <n v="149522.4"/>
    <n v="90058.86"/>
    <n v="0.39768984446477584"/>
    <n v="59463.54"/>
  </r>
  <r>
    <x v="0"/>
    <s v="Denmark"/>
    <x v="5"/>
    <x v="0"/>
    <x v="3"/>
    <s v="5/23/2014"/>
    <d v="2014-05-23T00:00:00"/>
    <n v="23"/>
    <s v="May"/>
    <x v="2"/>
    <s v="May-2014"/>
    <n v="954341828"/>
    <d v="2014-07-11T00:00:00"/>
    <n v="11"/>
    <s v="Jul"/>
    <n v="2014"/>
    <s v="Jul-2014"/>
    <s v="7/11/2014"/>
    <n v="49"/>
    <n v="9809"/>
    <n v="154.06"/>
    <n v="90.93"/>
    <n v="154.06"/>
    <n v="1511174.54"/>
    <n v="891932.37"/>
    <n v="0.40977541217707386"/>
    <n v="619242.17000000004"/>
  </r>
  <r>
    <x v="0"/>
    <s v="Moldova "/>
    <x v="0"/>
    <x v="1"/>
    <x v="3"/>
    <s v="9/12/2010"/>
    <d v="2010-09-12T00:00:00"/>
    <n v="12"/>
    <s v="Sep"/>
    <x v="3"/>
    <s v="Sep-2010"/>
    <n v="607620608"/>
    <d v="2010-09-20T00:00:00"/>
    <n v="20"/>
    <s v="Sep"/>
    <n v="2010"/>
    <s v="Sep-2010"/>
    <s v="9/20/2010"/>
    <n v="8"/>
    <n v="7296"/>
    <n v="47.45"/>
    <n v="31.79"/>
    <n v="47.45"/>
    <n v="346195.20000000001"/>
    <n v="231939.84"/>
    <n v="0.33003161222339306"/>
    <n v="114255.36"/>
  </r>
  <r>
    <x v="0"/>
    <s v="Cyprus"/>
    <x v="11"/>
    <x v="1"/>
    <x v="2"/>
    <s v="1/2/2014"/>
    <d v="2014-01-02T00:00:00"/>
    <n v="2"/>
    <s v="Jan"/>
    <x v="2"/>
    <s v="Jan-2014"/>
    <n v="561534678"/>
    <d v="2014-01-29T00:00:00"/>
    <n v="29"/>
    <s v="Jan"/>
    <n v="2014"/>
    <s v="Jan-2014"/>
    <s v="1/29/2014"/>
    <n v="27"/>
    <n v="9445"/>
    <n v="81.73"/>
    <n v="56.67"/>
    <n v="81.73"/>
    <n v="771939.85"/>
    <n v="535248.15"/>
    <n v="0.30661935641747218"/>
    <n v="236691.7"/>
  </r>
  <r>
    <x v="0"/>
    <s v="Hungary"/>
    <x v="5"/>
    <x v="0"/>
    <x v="2"/>
    <s v="1/6/2014"/>
    <d v="2014-01-06T00:00:00"/>
    <n v="6"/>
    <s v="Jan"/>
    <x v="2"/>
    <s v="Jan-2014"/>
    <n v="768676316"/>
    <d v="2014-02-08T00:00:00"/>
    <n v="8"/>
    <s v="Feb"/>
    <n v="2014"/>
    <s v="Feb-2014"/>
    <s v="2/8/2014"/>
    <n v="33"/>
    <n v="7259"/>
    <n v="154.06"/>
    <n v="90.93"/>
    <n v="154.06"/>
    <n v="1118321.54"/>
    <n v="660060.87"/>
    <n v="0.40977541217707386"/>
    <n v="458260.67"/>
  </r>
  <r>
    <x v="0"/>
    <s v="Norway"/>
    <x v="10"/>
    <x v="0"/>
    <x v="2"/>
    <s v="12/9/2011"/>
    <d v="2011-12-09T00:00:00"/>
    <n v="9"/>
    <s v="Dec"/>
    <x v="0"/>
    <s v="Dec-2011"/>
    <n v="337354791"/>
    <d v="2012-01-28T00:00:00"/>
    <n v="28"/>
    <s v="Jan"/>
    <n v="2012"/>
    <s v="Jan-2012"/>
    <s v="1/28/2012"/>
    <n v="50"/>
    <n v="9634"/>
    <n v="437.2"/>
    <n v="263.33"/>
    <n v="437.2"/>
    <n v="4211984.8"/>
    <n v="2536921.2200000002"/>
    <n v="0.3976898444647759"/>
    <n v="1675063.58"/>
  </r>
  <r>
    <x v="0"/>
    <s v="Norway"/>
    <x v="6"/>
    <x v="0"/>
    <x v="1"/>
    <s v="9/12/2012"/>
    <d v="2012-09-12T00:00:00"/>
    <n v="12"/>
    <s v="Sep"/>
    <x v="5"/>
    <s v="Sep-2012"/>
    <n v="917874085"/>
    <d v="2012-09-23T00:00:00"/>
    <n v="23"/>
    <s v="Sep"/>
    <n v="2012"/>
    <s v="Sep-2012"/>
    <s v="9/23/2012"/>
    <n v="11"/>
    <n v="8194"/>
    <n v="421.89"/>
    <n v="364.69"/>
    <n v="421.89000000000004"/>
    <n v="3456966.66"/>
    <n v="2988269.86"/>
    <n v="0.13558036455000116"/>
    <n v="468696.8"/>
  </r>
  <r>
    <x v="0"/>
    <s v="Poland"/>
    <x v="2"/>
    <x v="1"/>
    <x v="0"/>
    <s v="9/8/2013"/>
    <d v="2013-09-08T00:00:00"/>
    <n v="8"/>
    <s v="Sep"/>
    <x v="1"/>
    <s v="Sep-2013"/>
    <n v="176050603"/>
    <d v="2013-10-28T00:00:00"/>
    <n v="28"/>
    <s v="Oct"/>
    <n v="2013"/>
    <s v="Oct-2013"/>
    <s v="10/28/2013"/>
    <n v="50"/>
    <n v="6140"/>
    <n v="205.7"/>
    <n v="117.11"/>
    <n v="205.7"/>
    <n v="1262998"/>
    <n v="719055.4"/>
    <n v="0.43067574137092851"/>
    <n v="543942.6"/>
  </r>
  <r>
    <x v="0"/>
    <s v="Lithuania"/>
    <x v="6"/>
    <x v="0"/>
    <x v="0"/>
    <s v="2/20/2010"/>
    <d v="2010-02-20T00:00:00"/>
    <n v="20"/>
    <s v="Feb"/>
    <x v="3"/>
    <s v="Feb-2010"/>
    <n v="930296790"/>
    <d v="2010-03-26T00:00:00"/>
    <n v="26"/>
    <s v="Mar"/>
    <n v="2010"/>
    <s v="Mar-2010"/>
    <s v="3/26/2010"/>
    <n v="34"/>
    <n v="4348"/>
    <n v="421.89"/>
    <n v="364.69"/>
    <n v="421.89"/>
    <n v="1834377.72"/>
    <n v="1585672.12"/>
    <n v="0.13558036455000119"/>
    <n v="248705.6"/>
  </r>
  <r>
    <x v="0"/>
    <s v="Romania"/>
    <x v="2"/>
    <x v="1"/>
    <x v="2"/>
    <s v="9/14/2011"/>
    <d v="2011-09-14T00:00:00"/>
    <n v="14"/>
    <s v="Sep"/>
    <x v="0"/>
    <s v="Sep-2011"/>
    <n v="273940503"/>
    <d v="2011-10-19T00:00:00"/>
    <n v="19"/>
    <s v="Oct"/>
    <n v="2011"/>
    <s v="Oct-2011"/>
    <s v="10/19/2011"/>
    <n v="35"/>
    <n v="3937"/>
    <n v="205.7"/>
    <n v="117.11"/>
    <n v="205.70000000000002"/>
    <n v="809840.9"/>
    <n v="461062.07"/>
    <n v="0.43067574137092857"/>
    <n v="348778.83"/>
  </r>
  <r>
    <x v="0"/>
    <s v="Greece"/>
    <x v="4"/>
    <x v="0"/>
    <x v="0"/>
    <s v="5/28/2014"/>
    <d v="2014-05-28T00:00:00"/>
    <n v="28"/>
    <s v="May"/>
    <x v="2"/>
    <s v="May-2014"/>
    <n v="656244552"/>
    <d v="2014-06-19T00:00:00"/>
    <n v="19"/>
    <s v="Jun"/>
    <n v="2014"/>
    <s v="Jun-2014"/>
    <s v="6/19/2014"/>
    <n v="22"/>
    <n v="6201"/>
    <n v="9.33"/>
    <n v="6.92"/>
    <n v="9.33"/>
    <n v="57855.33"/>
    <n v="42910.92"/>
    <n v="0.25830653804930331"/>
    <n v="14944.41"/>
  </r>
  <r>
    <x v="0"/>
    <s v="Macedonia"/>
    <x v="9"/>
    <x v="1"/>
    <x v="0"/>
    <s v="7/28/2014"/>
    <d v="2014-07-28T00:00:00"/>
    <n v="28"/>
    <s v="Jul"/>
    <x v="2"/>
    <s v="Jul-2014"/>
    <n v="666483724"/>
    <d v="2014-08-31T00:00:00"/>
    <n v="31"/>
    <s v="Aug"/>
    <n v="2014"/>
    <s v="Aug-2014"/>
    <s v="8/31/2014"/>
    <n v="34"/>
    <n v="6199"/>
    <n v="668.27"/>
    <n v="502.54"/>
    <n v="668.27"/>
    <n v="4142605.73"/>
    <n v="3115245.46"/>
    <n v="0.24799856345489099"/>
    <n v="1027360.27"/>
  </r>
  <r>
    <x v="0"/>
    <s v="Malta"/>
    <x v="6"/>
    <x v="1"/>
    <x v="3"/>
    <s v="5/15/2016"/>
    <d v="2016-05-15T00:00:00"/>
    <n v="15"/>
    <s v="May"/>
    <x v="4"/>
    <s v="May-2016"/>
    <n v="422568786"/>
    <d v="2016-06-17T00:00:00"/>
    <n v="17"/>
    <s v="Jun"/>
    <n v="2016"/>
    <s v="Jun-2016"/>
    <s v="6/17/2016"/>
    <n v="33"/>
    <n v="6349"/>
    <n v="421.89"/>
    <n v="364.69"/>
    <n v="421.89"/>
    <n v="2678579.61"/>
    <n v="2315416.81"/>
    <n v="0.13558036455000119"/>
    <n v="363162.8"/>
  </r>
  <r>
    <x v="0"/>
    <s v="Denmark"/>
    <x v="5"/>
    <x v="1"/>
    <x v="2"/>
    <s v="8/26/2012"/>
    <d v="2012-08-26T00:00:00"/>
    <n v="26"/>
    <s v="Aug"/>
    <x v="5"/>
    <s v="Aug-2012"/>
    <n v="969195258"/>
    <d v="2012-09-17T00:00:00"/>
    <n v="17"/>
    <s v="Sep"/>
    <n v="2012"/>
    <s v="Sep-2012"/>
    <s v="9/17/2012"/>
    <n v="22"/>
    <n v="5269"/>
    <n v="154.06"/>
    <n v="90.93"/>
    <n v="154.06"/>
    <n v="811742.14"/>
    <n v="479110.17"/>
    <n v="0.40977541217707381"/>
    <n v="332631.96999999997"/>
  </r>
  <r>
    <x v="0"/>
    <s v="Netherlands"/>
    <x v="3"/>
    <x v="1"/>
    <x v="0"/>
    <s v="7/29/2011"/>
    <d v="2011-07-29T00:00:00"/>
    <n v="29"/>
    <s v="Jul"/>
    <x v="0"/>
    <s v="Jul-2011"/>
    <n v="857457864"/>
    <d v="2011-09-16T00:00:00"/>
    <n v="16"/>
    <s v="Sep"/>
    <n v="2011"/>
    <s v="Sep-2011"/>
    <s v="9/16/2011"/>
    <n v="49"/>
    <n v="9691"/>
    <n v="651.21"/>
    <n v="524.96"/>
    <n v="651.21"/>
    <n v="6310876.1100000003"/>
    <n v="5087387.3600000003"/>
    <n v="0.19386987300563566"/>
    <n v="1223488.75"/>
  </r>
  <r>
    <x v="0"/>
    <s v="Hungary"/>
    <x v="5"/>
    <x v="1"/>
    <x v="1"/>
    <s v="6/5/2012"/>
    <d v="2012-06-05T00:00:00"/>
    <n v="5"/>
    <s v="Jun"/>
    <x v="5"/>
    <s v="Jun-2012"/>
    <n v="495631301"/>
    <d v="2012-07-18T00:00:00"/>
    <n v="18"/>
    <s v="Jul"/>
    <n v="2012"/>
    <s v="Jul-2012"/>
    <s v="7/18/2012"/>
    <n v="43"/>
    <n v="7171"/>
    <n v="154.06"/>
    <n v="90.93"/>
    <n v="154.06"/>
    <n v="1104764.26"/>
    <n v="652059.03"/>
    <n v="0.40977541217707386"/>
    <n v="452705.23"/>
  </r>
  <r>
    <x v="0"/>
    <s v="Slovakia"/>
    <x v="3"/>
    <x v="0"/>
    <x v="3"/>
    <s v="6/23/2014"/>
    <d v="2014-06-23T00:00:00"/>
    <n v="23"/>
    <s v="Jun"/>
    <x v="2"/>
    <s v="Jun-2014"/>
    <n v="224647080"/>
    <d v="2014-07-30T00:00:00"/>
    <n v="30"/>
    <s v="Jul"/>
    <n v="2014"/>
    <s v="Jul-2014"/>
    <s v="7/30/2014"/>
    <n v="37"/>
    <n v="6918"/>
    <n v="651.21"/>
    <n v="524.96"/>
    <n v="651.21"/>
    <n v="4505070.78"/>
    <n v="3631673.28"/>
    <n v="0.19386987300563566"/>
    <n v="873397.5"/>
  </r>
  <r>
    <x v="0"/>
    <s v="Armenia"/>
    <x v="3"/>
    <x v="0"/>
    <x v="3"/>
    <s v="8/3/2014"/>
    <d v="2014-08-03T00:00:00"/>
    <n v="3"/>
    <s v="Aug"/>
    <x v="2"/>
    <s v="Aug-2014"/>
    <n v="883504474"/>
    <d v="2014-09-08T00:00:00"/>
    <n v="8"/>
    <s v="Sep"/>
    <n v="2014"/>
    <s v="Sep-2014"/>
    <s v="9/8/2014"/>
    <n v="36"/>
    <n v="7462"/>
    <n v="651.21"/>
    <n v="524.96"/>
    <n v="651.20999999999992"/>
    <n v="4859329.0199999996"/>
    <n v="3917251.52"/>
    <n v="0.19386987300563568"/>
    <n v="942077.5"/>
  </r>
  <r>
    <x v="0"/>
    <s v="Austria"/>
    <x v="3"/>
    <x v="0"/>
    <x v="0"/>
    <s v="4/3/2015"/>
    <d v="2015-04-03T00:00:00"/>
    <n v="3"/>
    <s v="Apr"/>
    <x v="6"/>
    <s v="Apr-2015"/>
    <n v="575552117"/>
    <d v="2015-04-26T00:00:00"/>
    <n v="26"/>
    <s v="Apr"/>
    <n v="2015"/>
    <s v="Apr-2015"/>
    <s v="4/26/2015"/>
    <n v="23"/>
    <n v="7516"/>
    <n v="651.21"/>
    <n v="524.96"/>
    <n v="651.21"/>
    <n v="4894494.3600000003"/>
    <n v="3945599.36"/>
    <n v="0.19386987300563566"/>
    <n v="948895"/>
  </r>
  <r>
    <x v="0"/>
    <s v="Andorra"/>
    <x v="8"/>
    <x v="0"/>
    <x v="3"/>
    <s v="7/15/2013"/>
    <d v="2013-07-15T00:00:00"/>
    <n v="15"/>
    <s v="Jul"/>
    <x v="1"/>
    <s v="Jul-2013"/>
    <n v="141764247"/>
    <d v="2013-08-29T00:00:00"/>
    <n v="29"/>
    <s v="Aug"/>
    <n v="2013"/>
    <s v="Aug-2013"/>
    <s v="8/29/2013"/>
    <n v="45"/>
    <n v="46"/>
    <n v="255.28"/>
    <n v="159.41999999999999"/>
    <n v="255.27999999999997"/>
    <n v="11742.88"/>
    <n v="7333.32"/>
    <n v="0.37550924475086184"/>
    <n v="4409.5600000000004"/>
  </r>
  <r>
    <x v="0"/>
    <s v="Italy"/>
    <x v="5"/>
    <x v="0"/>
    <x v="1"/>
    <s v="4/11/2016"/>
    <d v="2016-04-11T00:00:00"/>
    <n v="11"/>
    <s v="Apr"/>
    <x v="4"/>
    <s v="Apr-2016"/>
    <n v="608374631"/>
    <d v="2016-04-12T00:00:00"/>
    <n v="12"/>
    <s v="Apr"/>
    <n v="2016"/>
    <s v="Apr-2016"/>
    <s v="4/12/2016"/>
    <n v="1"/>
    <n v="428"/>
    <n v="154.06"/>
    <n v="90.93"/>
    <n v="154.05999999999997"/>
    <n v="65937.679999999993"/>
    <n v="38918.04"/>
    <n v="0.40977541217707392"/>
    <n v="27019.64"/>
  </r>
  <r>
    <x v="0"/>
    <s v="Portugal"/>
    <x v="9"/>
    <x v="1"/>
    <x v="2"/>
    <s v="1/17/2012"/>
    <d v="2012-01-17T00:00:00"/>
    <n v="17"/>
    <s v="Jan"/>
    <x v="5"/>
    <s v="Jan-2012"/>
    <n v="200432097"/>
    <d v="2012-01-31T00:00:00"/>
    <n v="31"/>
    <s v="Jan"/>
    <n v="2012"/>
    <s v="Jan-2012"/>
    <s v="1/31/2012"/>
    <n v="14"/>
    <n v="1167"/>
    <n v="668.27"/>
    <n v="502.54"/>
    <n v="668.27"/>
    <n v="779871.09"/>
    <n v="586464.18000000005"/>
    <n v="0.24799856345489099"/>
    <n v="193406.91"/>
  </r>
  <r>
    <x v="0"/>
    <s v="Romania"/>
    <x v="7"/>
    <x v="0"/>
    <x v="1"/>
    <s v="8/21/2010"/>
    <d v="2010-08-21T00:00:00"/>
    <n v="21"/>
    <s v="Aug"/>
    <x v="3"/>
    <s v="Aug-2010"/>
    <n v="884462773"/>
    <d v="2010-10-05T00:00:00"/>
    <n v="5"/>
    <s v="Oct"/>
    <n v="2010"/>
    <s v="Oct-2010"/>
    <s v="10/5/2010"/>
    <n v="45"/>
    <n v="1044"/>
    <n v="152.58000000000001"/>
    <n v="97.44"/>
    <n v="152.57999999999998"/>
    <n v="159293.51999999999"/>
    <n v="101727.36"/>
    <n v="0.36138419189933152"/>
    <n v="57566.16"/>
  </r>
  <r>
    <x v="0"/>
    <s v="Czech Republic"/>
    <x v="3"/>
    <x v="0"/>
    <x v="1"/>
    <s v="6/19/2010"/>
    <d v="2010-06-19T00:00:00"/>
    <n v="19"/>
    <s v="Jun"/>
    <x v="3"/>
    <s v="Jun-2010"/>
    <n v="885046851"/>
    <d v="2010-07-19T00:00:00"/>
    <n v="19"/>
    <s v="Jul"/>
    <n v="2010"/>
    <s v="Jul-2010"/>
    <s v="7/19/2010"/>
    <n v="30"/>
    <n v="3886"/>
    <n v="651.21"/>
    <n v="524.96"/>
    <n v="651.21"/>
    <n v="2530602.06"/>
    <n v="2039994.56"/>
    <n v="0.19386987300563566"/>
    <n v="490607.5"/>
  </r>
  <r>
    <x v="0"/>
    <s v="Czech Republic"/>
    <x v="5"/>
    <x v="1"/>
    <x v="1"/>
    <s v="6/14/2012"/>
    <d v="2012-06-14T00:00:00"/>
    <n v="14"/>
    <s v="Jun"/>
    <x v="5"/>
    <s v="Jun-2012"/>
    <n v="527079236"/>
    <d v="2012-06-20T00:00:00"/>
    <n v="20"/>
    <s v="Jun"/>
    <n v="2012"/>
    <s v="Jun-2012"/>
    <s v="6/20/2012"/>
    <n v="6"/>
    <n v="3314"/>
    <n v="154.06"/>
    <n v="90.93"/>
    <n v="154.06"/>
    <n v="510554.84"/>
    <n v="301342.02"/>
    <n v="0.40977541217707386"/>
    <n v="209212.82"/>
  </r>
  <r>
    <x v="0"/>
    <s v="Denmark"/>
    <x v="1"/>
    <x v="1"/>
    <x v="0"/>
    <s v="11/9/2012"/>
    <d v="2012-11-09T00:00:00"/>
    <n v="9"/>
    <s v="Nov"/>
    <x v="5"/>
    <s v="Nov-2012"/>
    <n v="161812150"/>
    <d v="2012-11-12T00:00:00"/>
    <n v="12"/>
    <s v="Nov"/>
    <n v="2012"/>
    <s v="Nov-2012"/>
    <s v="11/12/2012"/>
    <n v="3"/>
    <n v="2666"/>
    <n v="109.28"/>
    <n v="35.840000000000003"/>
    <n v="109.27999999999999"/>
    <n v="291340.48"/>
    <n v="95549.440000000002"/>
    <n v="0.67203513909224022"/>
    <n v="195791.04"/>
  </r>
  <r>
    <x v="0"/>
    <s v="Hungary"/>
    <x v="10"/>
    <x v="0"/>
    <x v="3"/>
    <s v="6/10/2013"/>
    <d v="2013-06-10T00:00:00"/>
    <n v="10"/>
    <s v="Jun"/>
    <x v="1"/>
    <s v="Jun-2013"/>
    <n v="689349019"/>
    <d v="2013-07-23T00:00:00"/>
    <n v="23"/>
    <s v="Jul"/>
    <n v="2013"/>
    <s v="Jul-2013"/>
    <s v="7/23/2013"/>
    <n v="43"/>
    <n v="2548"/>
    <n v="437.2"/>
    <n v="263.33"/>
    <n v="437.20000000000005"/>
    <n v="1113985.6000000001"/>
    <n v="670964.84"/>
    <n v="0.39768984446477584"/>
    <n v="443020.76"/>
  </r>
  <r>
    <x v="0"/>
    <s v="Italy"/>
    <x v="9"/>
    <x v="0"/>
    <x v="1"/>
    <s v="2/22/2011"/>
    <d v="2011-02-22T00:00:00"/>
    <n v="22"/>
    <s v="Feb"/>
    <x v="0"/>
    <s v="Feb-2011"/>
    <n v="677851569"/>
    <d v="2011-03-02T00:00:00"/>
    <n v="2"/>
    <s v="Mar"/>
    <n v="2011"/>
    <s v="Mar-2011"/>
    <s v="3/2/2011"/>
    <n v="8"/>
    <n v="198"/>
    <n v="668.27"/>
    <n v="502.54"/>
    <n v="668.27"/>
    <n v="132317.46"/>
    <n v="99502.92"/>
    <n v="0.24799856345489102"/>
    <n v="32814.54"/>
  </r>
  <r>
    <x v="0"/>
    <s v="Hungary"/>
    <x v="1"/>
    <x v="0"/>
    <x v="3"/>
    <s v="1/21/2015"/>
    <d v="2015-01-21T00:00:00"/>
    <n v="21"/>
    <s v="Jan"/>
    <x v="6"/>
    <s v="Jan-2015"/>
    <n v="538430345"/>
    <d v="2015-03-10T00:00:00"/>
    <n v="10"/>
    <s v="Mar"/>
    <n v="2015"/>
    <s v="Mar-2015"/>
    <s v="3/10/2015"/>
    <n v="48"/>
    <n v="2359"/>
    <n v="109.28"/>
    <n v="35.840000000000003"/>
    <n v="109.28"/>
    <n v="257791.52"/>
    <n v="84546.559999999998"/>
    <n v="0.67203513909224011"/>
    <n v="173244.96"/>
  </r>
  <r>
    <x v="0"/>
    <s v="Switzerland"/>
    <x v="0"/>
    <x v="1"/>
    <x v="3"/>
    <s v="1/30/2010"/>
    <d v="2010-01-30T00:00:00"/>
    <n v="30"/>
    <s v="Jan"/>
    <x v="3"/>
    <s v="Jan-2010"/>
    <n v="797461354"/>
    <d v="2010-02-05T00:00:00"/>
    <n v="5"/>
    <s v="Feb"/>
    <n v="2010"/>
    <s v="Feb-2010"/>
    <s v="2/5/2010"/>
    <n v="6"/>
    <n v="5391"/>
    <n v="47.45"/>
    <n v="31.79"/>
    <n v="47.45"/>
    <n v="255802.95"/>
    <n v="171379.89"/>
    <n v="0.330031612223393"/>
    <n v="84423.06"/>
  </r>
  <r>
    <x v="0"/>
    <s v="Switzerland"/>
    <x v="10"/>
    <x v="0"/>
    <x v="0"/>
    <s v="9/10/2014"/>
    <d v="2014-09-10T00:00:00"/>
    <n v="10"/>
    <s v="Sep"/>
    <x v="2"/>
    <s v="Sep-2014"/>
    <n v="347609412"/>
    <d v="2014-09-17T00:00:00"/>
    <n v="17"/>
    <s v="Sep"/>
    <n v="2014"/>
    <s v="Sep-2014"/>
    <s v="9/17/2014"/>
    <n v="7"/>
    <n v="4205"/>
    <n v="437.2"/>
    <n v="263.33"/>
    <n v="437.2"/>
    <n v="1838426"/>
    <n v="1107302.6499999999"/>
    <n v="0.39768984446477584"/>
    <n v="731123.35"/>
  </r>
  <r>
    <x v="0"/>
    <s v="Russia"/>
    <x v="11"/>
    <x v="0"/>
    <x v="3"/>
    <s v="11/12/2011"/>
    <d v="2011-11-12T00:00:00"/>
    <n v="12"/>
    <s v="Nov"/>
    <x v="0"/>
    <s v="Nov-2011"/>
    <n v="473845756"/>
    <d v="2011-12-16T00:00:00"/>
    <n v="16"/>
    <s v="Dec"/>
    <n v="2011"/>
    <s v="Dec-2011"/>
    <s v="12/16/2011"/>
    <n v="34"/>
    <n v="344"/>
    <n v="81.73"/>
    <n v="56.67"/>
    <n v="81.73"/>
    <n v="28115.119999999999"/>
    <n v="19494.48"/>
    <n v="0.30661935641747218"/>
    <n v="8620.64"/>
  </r>
  <r>
    <x v="0"/>
    <s v="Belarus"/>
    <x v="5"/>
    <x v="1"/>
    <x v="0"/>
    <s v="1/5/2011"/>
    <d v="2011-01-05T00:00:00"/>
    <n v="5"/>
    <s v="Jan"/>
    <x v="0"/>
    <s v="Jan-2011"/>
    <n v="180479466"/>
    <d v="2011-01-12T00:00:00"/>
    <n v="12"/>
    <s v="Jan"/>
    <n v="2011"/>
    <s v="Jan-2011"/>
    <s v="1/12/2011"/>
    <n v="7"/>
    <n v="6740"/>
    <n v="154.06"/>
    <n v="90.93"/>
    <n v="154.06"/>
    <n v="1038364.4"/>
    <n v="612868.19999999995"/>
    <n v="0.40977541217707386"/>
    <n v="425496.2"/>
  </r>
  <r>
    <x v="0"/>
    <s v="Norway"/>
    <x v="11"/>
    <x v="0"/>
    <x v="1"/>
    <s v="1/14/2014"/>
    <d v="2014-01-14T00:00:00"/>
    <n v="14"/>
    <s v="Jan"/>
    <x v="2"/>
    <s v="Jan-2014"/>
    <n v="634033286"/>
    <d v="2014-01-15T00:00:00"/>
    <n v="15"/>
    <s v="Jan"/>
    <n v="2014"/>
    <s v="Jan-2014"/>
    <s v="1/15/2014"/>
    <n v="1"/>
    <n v="3394"/>
    <n v="81.73"/>
    <n v="56.67"/>
    <n v="81.73"/>
    <n v="277391.62"/>
    <n v="192337.98"/>
    <n v="0.30661935641747218"/>
    <n v="85053.64"/>
  </r>
  <r>
    <x v="0"/>
    <s v="Ukraine"/>
    <x v="2"/>
    <x v="0"/>
    <x v="2"/>
    <s v="4/14/2014"/>
    <d v="2014-04-14T00:00:00"/>
    <n v="14"/>
    <s v="Apr"/>
    <x v="2"/>
    <s v="Apr-2014"/>
    <n v="559183347"/>
    <d v="2014-05-21T00:00:00"/>
    <n v="21"/>
    <s v="May"/>
    <n v="2014"/>
    <s v="May-2014"/>
    <s v="5/21/2014"/>
    <n v="37"/>
    <n v="3633"/>
    <n v="205.7"/>
    <n v="117.11"/>
    <n v="205.7"/>
    <n v="747308.1"/>
    <n v="425460.63"/>
    <n v="0.43067574137092851"/>
    <n v="321847.46999999997"/>
  </r>
  <r>
    <x v="0"/>
    <s v="Armenia"/>
    <x v="6"/>
    <x v="0"/>
    <x v="1"/>
    <s v="11/9/2015"/>
    <d v="2015-11-09T00:00:00"/>
    <n v="9"/>
    <s v="Nov"/>
    <x v="6"/>
    <s v="Nov-2015"/>
    <n v="781416594"/>
    <d v="2015-12-23T00:00:00"/>
    <n v="23"/>
    <s v="Dec"/>
    <n v="2015"/>
    <s v="Dec-2015"/>
    <s v="12/23/2015"/>
    <n v="44"/>
    <n v="7390"/>
    <n v="421.89"/>
    <n v="364.69"/>
    <n v="421.89"/>
    <n v="3117767.1"/>
    <n v="2695059.1"/>
    <n v="0.13558036455000119"/>
    <n v="422708"/>
  </r>
  <r>
    <x v="0"/>
    <s v="Denmark"/>
    <x v="1"/>
    <x v="0"/>
    <x v="3"/>
    <s v="5/9/2012"/>
    <d v="2012-05-09T00:00:00"/>
    <n v="9"/>
    <s v="May"/>
    <x v="5"/>
    <s v="May-2012"/>
    <n v="713357150"/>
    <d v="2012-06-03T00:00:00"/>
    <n v="3"/>
    <s v="Jun"/>
    <n v="2012"/>
    <s v="Jun-2012"/>
    <s v="6/3/2012"/>
    <n v="25"/>
    <n v="7088"/>
    <n v="109.28"/>
    <n v="35.840000000000003"/>
    <n v="109.28"/>
    <n v="774576.64000000001"/>
    <n v="254033.92000000001"/>
    <n v="0.67203513909224011"/>
    <n v="520542.71999999997"/>
  </r>
  <r>
    <x v="0"/>
    <s v="Finland"/>
    <x v="1"/>
    <x v="1"/>
    <x v="2"/>
    <s v="4/22/2014"/>
    <d v="2014-04-22T00:00:00"/>
    <n v="22"/>
    <s v="Apr"/>
    <x v="2"/>
    <s v="Apr-2014"/>
    <n v="906794202"/>
    <d v="2014-05-11T00:00:00"/>
    <n v="11"/>
    <s v="May"/>
    <n v="2014"/>
    <s v="May-2014"/>
    <s v="5/11/2014"/>
    <n v="19"/>
    <n v="9410"/>
    <n v="109.28"/>
    <n v="35.840000000000003"/>
    <n v="109.28"/>
    <n v="1028324.8"/>
    <n v="337254.40000000002"/>
    <n v="0.67203513909224011"/>
    <n v="69107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BE6356-2766-440C-9800-F4B9404C93DB}" name="PivotTable1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1:J30" firstHeaderRow="1" firstDataRow="1" firstDataCol="1"/>
  <pivotFields count="27">
    <pivotField showAll="0"/>
    <pivotField showAll="0"/>
    <pivotField showAll="0">
      <items count="13">
        <item x="8"/>
        <item x="0"/>
        <item x="2"/>
        <item x="1"/>
        <item x="10"/>
        <item x="4"/>
        <item x="9"/>
        <item x="6"/>
        <item x="3"/>
        <item x="11"/>
        <item x="7"/>
        <item x="5"/>
        <item t="default"/>
      </items>
    </pivotField>
    <pivotField showAll="0">
      <items count="3">
        <item x="0"/>
        <item x="1"/>
        <item t="default"/>
      </items>
    </pivotField>
    <pivotField showAll="0"/>
    <pivotField showAll="0"/>
    <pivotField numFmtId="14" showAll="0"/>
    <pivotField showAll="0"/>
    <pivotField showAll="0"/>
    <pivotField axis="axisRow" showAll="0">
      <items count="9">
        <item x="3"/>
        <item x="0"/>
        <item x="5"/>
        <item x="1"/>
        <item x="2"/>
        <item x="6"/>
        <item x="4"/>
        <item x="7"/>
        <item t="default"/>
      </items>
    </pivotField>
    <pivotField showAll="0"/>
    <pivotField showAll="0"/>
    <pivotField numFmtId="14" showAll="0"/>
    <pivotField showAll="0"/>
    <pivotField showAll="0"/>
    <pivotField showAll="0"/>
    <pivotField showAll="0"/>
    <pivotField showAll="0"/>
    <pivotField numFmtId="1" showAll="0"/>
    <pivotField showAll="0"/>
    <pivotField showAll="0"/>
    <pivotField showAll="0"/>
    <pivotField showAll="0"/>
    <pivotField dataField="1" showAll="0"/>
    <pivotField showAll="0"/>
    <pivotField numFmtId="9" showAll="0"/>
    <pivotField showAll="0"/>
  </pivotFields>
  <rowFields count="1">
    <field x="9"/>
  </rowFields>
  <rowItems count="9">
    <i>
      <x/>
    </i>
    <i>
      <x v="1"/>
    </i>
    <i>
      <x v="2"/>
    </i>
    <i>
      <x v="3"/>
    </i>
    <i>
      <x v="4"/>
    </i>
    <i>
      <x v="5"/>
    </i>
    <i>
      <x v="6"/>
    </i>
    <i>
      <x v="7"/>
    </i>
    <i t="grand">
      <x/>
    </i>
  </rowItems>
  <colItems count="1">
    <i/>
  </colItems>
  <dataFields count="1">
    <dataField name="Sum of Total Revenue" fld="23"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2FE100-FA2B-4E16-A9D2-A38CD01C1162}"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J15" firstHeaderRow="1" firstDataRow="1" firstDataCol="1"/>
  <pivotFields count="27">
    <pivotField showAll="0"/>
    <pivotField showAll="0"/>
    <pivotField showAll="0">
      <items count="13">
        <item x="8"/>
        <item x="0"/>
        <item x="2"/>
        <item x="1"/>
        <item x="10"/>
        <item x="4"/>
        <item x="9"/>
        <item x="6"/>
        <item x="3"/>
        <item x="11"/>
        <item x="7"/>
        <item x="5"/>
        <item t="default"/>
      </items>
    </pivotField>
    <pivotField showAll="0">
      <items count="3">
        <item x="0"/>
        <item x="1"/>
        <item t="default"/>
      </items>
    </pivotField>
    <pivotField axis="axisRow" showAll="0">
      <items count="5">
        <item x="0"/>
        <item x="3"/>
        <item x="2"/>
        <item x="1"/>
        <item t="default"/>
      </items>
    </pivotField>
    <pivotField showAll="0"/>
    <pivotField numFmtId="14" showAll="0"/>
    <pivotField showAll="0"/>
    <pivotField showAll="0"/>
    <pivotField showAll="0">
      <items count="9">
        <item x="3"/>
        <item x="0"/>
        <item x="5"/>
        <item x="1"/>
        <item x="2"/>
        <item x="6"/>
        <item x="4"/>
        <item x="7"/>
        <item t="default"/>
      </items>
    </pivotField>
    <pivotField showAll="0"/>
    <pivotField showAll="0"/>
    <pivotField numFmtId="14"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numFmtId="9" showAll="0"/>
    <pivotField showAll="0"/>
  </pivotFields>
  <rowFields count="1">
    <field x="4"/>
  </rowFields>
  <rowItems count="5">
    <i>
      <x/>
    </i>
    <i>
      <x v="1"/>
    </i>
    <i>
      <x v="2"/>
    </i>
    <i>
      <x v="3"/>
    </i>
    <i t="grand">
      <x/>
    </i>
  </rowItems>
  <colItems count="1">
    <i/>
  </colItems>
  <dataFields count="1">
    <dataField name="Average of Shipping Days" fld="18" subtotal="average"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9ADD26-F09E-4DF4-94EB-394F50F9425A}"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K6" firstHeaderRow="0" firstDataRow="1" firstDataCol="1"/>
  <pivotFields count="27">
    <pivotField showAll="0"/>
    <pivotField showAll="0"/>
    <pivotField showAll="0">
      <items count="13">
        <item x="8"/>
        <item x="0"/>
        <item x="2"/>
        <item x="1"/>
        <item x="10"/>
        <item x="4"/>
        <item x="9"/>
        <item x="6"/>
        <item x="3"/>
        <item x="11"/>
        <item x="7"/>
        <item x="5"/>
        <item t="default"/>
      </items>
    </pivotField>
    <pivotField axis="axisRow" showAll="0">
      <items count="3">
        <item x="0"/>
        <item x="1"/>
        <item t="default"/>
      </items>
    </pivotField>
    <pivotField showAll="0"/>
    <pivotField showAll="0"/>
    <pivotField numFmtId="14" showAll="0"/>
    <pivotField showAll="0"/>
    <pivotField showAll="0"/>
    <pivotField showAll="0">
      <items count="9">
        <item x="3"/>
        <item x="0"/>
        <item x="5"/>
        <item x="1"/>
        <item x="2"/>
        <item x="6"/>
        <item x="4"/>
        <item x="7"/>
        <item t="default"/>
      </items>
    </pivotField>
    <pivotField showAll="0"/>
    <pivotField showAll="0"/>
    <pivotField numFmtId="14" showAll="0"/>
    <pivotField showAll="0"/>
    <pivotField showAll="0"/>
    <pivotField showAll="0"/>
    <pivotField showAll="0"/>
    <pivotField showAll="0"/>
    <pivotField numFmtId="1" showAll="0"/>
    <pivotField showAll="0"/>
    <pivotField showAll="0"/>
    <pivotField showAll="0"/>
    <pivotField showAll="0"/>
    <pivotField dataField="1" showAll="0"/>
    <pivotField showAll="0"/>
    <pivotField numFmtId="9" showAll="0"/>
    <pivotField dataField="1" showAll="0"/>
  </pivotFields>
  <rowFields count="1">
    <field x="3"/>
  </rowFields>
  <rowItems count="3">
    <i>
      <x/>
    </i>
    <i>
      <x v="1"/>
    </i>
    <i t="grand">
      <x/>
    </i>
  </rowItems>
  <colFields count="1">
    <field x="-2"/>
  </colFields>
  <colItems count="2">
    <i>
      <x/>
    </i>
    <i i="1">
      <x v="1"/>
    </i>
  </colItems>
  <dataFields count="2">
    <dataField name="Sum of Total Revenue" fld="23" baseField="0" baseItem="0"/>
    <dataField name="Sum of Total Profit" fld="26" baseField="0" baseItem="0"/>
  </dataFields>
  <chartFormats count="18">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1">
          <reference field="4294967294" count="1" selected="0">
            <x v="1"/>
          </reference>
        </references>
      </pivotArea>
    </chartFormat>
    <chartFormat chart="1" format="6">
      <pivotArea type="data" outline="0" fieldPosition="0">
        <references count="2">
          <reference field="4294967294" count="1" selected="0">
            <x v="1"/>
          </reference>
          <reference field="3" count="1" selected="0">
            <x v="0"/>
          </reference>
        </references>
      </pivotArea>
    </chartFormat>
    <chartFormat chart="1" format="7">
      <pivotArea type="data" outline="0" fieldPosition="0">
        <references count="2">
          <reference field="4294967294" count="1" selected="0">
            <x v="1"/>
          </reference>
          <reference field="3"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3" count="1" selected="0">
            <x v="0"/>
          </reference>
        </references>
      </pivotArea>
    </chartFormat>
    <chartFormat chart="2" format="13">
      <pivotArea type="data" outline="0" fieldPosition="0">
        <references count="2">
          <reference field="4294967294" count="1" selected="0">
            <x v="1"/>
          </reference>
          <reference field="3"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3" count="1" selected="0">
            <x v="0"/>
          </reference>
        </references>
      </pivotArea>
    </chartFormat>
    <chartFormat chart="3" format="13">
      <pivotArea type="data" outline="0" fieldPosition="0">
        <references count="2">
          <reference field="4294967294"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5A2BFA-AD84-4F16-9F16-0AEB9A0C43A2}"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9:F22" firstHeaderRow="0" firstDataRow="1" firstDataCol="1"/>
  <pivotFields count="27">
    <pivotField showAll="0"/>
    <pivotField showAll="0"/>
    <pivotField axis="axisRow" showAll="0">
      <items count="13">
        <item x="8"/>
        <item x="0"/>
        <item x="2"/>
        <item x="1"/>
        <item x="10"/>
        <item x="4"/>
        <item x="9"/>
        <item x="6"/>
        <item x="3"/>
        <item x="11"/>
        <item x="7"/>
        <item x="5"/>
        <item t="default"/>
      </items>
    </pivotField>
    <pivotField showAll="0">
      <items count="3">
        <item x="0"/>
        <item x="1"/>
        <item t="default"/>
      </items>
    </pivotField>
    <pivotField showAll="0"/>
    <pivotField showAll="0"/>
    <pivotField numFmtId="14" showAll="0"/>
    <pivotField showAll="0"/>
    <pivotField showAll="0"/>
    <pivotField showAll="0">
      <items count="9">
        <item x="3"/>
        <item x="0"/>
        <item x="5"/>
        <item x="1"/>
        <item x="2"/>
        <item x="6"/>
        <item x="4"/>
        <item x="7"/>
        <item t="default"/>
      </items>
    </pivotField>
    <pivotField showAll="0"/>
    <pivotField showAll="0"/>
    <pivotField numFmtId="14" showAll="0"/>
    <pivotField showAll="0"/>
    <pivotField showAll="0"/>
    <pivotField showAll="0"/>
    <pivotField showAll="0"/>
    <pivotField showAll="0"/>
    <pivotField numFmtId="1" showAll="0"/>
    <pivotField showAll="0"/>
    <pivotField showAll="0"/>
    <pivotField showAll="0"/>
    <pivotField showAll="0"/>
    <pivotField showAll="0"/>
    <pivotField showAll="0"/>
    <pivotField dataField="1" numFmtId="9" showAll="0"/>
    <pivotField dataField="1"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Profit" fld="26" baseField="0" baseItem="0"/>
    <dataField name="Average of Profit Margin %" fld="25" subtotal="average" baseField="2" baseItem="0" numFmtId="9"/>
  </dataField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4A0A8A-40CB-434A-B558-399904342012}"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F5" firstHeaderRow="0" firstDataRow="1" firstDataCol="1"/>
  <pivotFields count="27">
    <pivotField axis="axisRow" showAll="0">
      <items count="2">
        <item x="0"/>
        <item t="default"/>
      </items>
    </pivotField>
    <pivotField showAll="0"/>
    <pivotField showAll="0">
      <items count="13">
        <item x="8"/>
        <item x="0"/>
        <item x="2"/>
        <item x="1"/>
        <item x="10"/>
        <item x="4"/>
        <item x="9"/>
        <item x="6"/>
        <item x="3"/>
        <item x="11"/>
        <item x="7"/>
        <item x="5"/>
        <item t="default"/>
      </items>
    </pivotField>
    <pivotField showAll="0">
      <items count="3">
        <item x="0"/>
        <item x="1"/>
        <item t="default"/>
      </items>
    </pivotField>
    <pivotField showAll="0"/>
    <pivotField showAll="0"/>
    <pivotField numFmtId="14" showAll="0"/>
    <pivotField showAll="0"/>
    <pivotField showAll="0"/>
    <pivotField showAll="0">
      <items count="9">
        <item x="3"/>
        <item x="0"/>
        <item x="5"/>
        <item x="1"/>
        <item x="2"/>
        <item x="6"/>
        <item x="4"/>
        <item x="7"/>
        <item t="default"/>
      </items>
    </pivotField>
    <pivotField showAll="0"/>
    <pivotField showAll="0"/>
    <pivotField numFmtId="14" showAll="0"/>
    <pivotField showAll="0"/>
    <pivotField showAll="0"/>
    <pivotField showAll="0"/>
    <pivotField showAll="0"/>
    <pivotField showAll="0"/>
    <pivotField numFmtId="1" showAll="0"/>
    <pivotField showAll="0"/>
    <pivotField showAll="0"/>
    <pivotField showAll="0"/>
    <pivotField showAll="0"/>
    <pivotField dataField="1" showAll="0"/>
    <pivotField showAll="0"/>
    <pivotField numFmtId="9" showAll="0"/>
    <pivotField dataField="1" showAll="0"/>
  </pivotFields>
  <rowFields count="1">
    <field x="0"/>
  </rowFields>
  <rowItems count="2">
    <i>
      <x/>
    </i>
    <i t="grand">
      <x/>
    </i>
  </rowItems>
  <colFields count="1">
    <field x="-2"/>
  </colFields>
  <colItems count="2">
    <i>
      <x/>
    </i>
    <i i="1">
      <x v="1"/>
    </i>
  </colItems>
  <dataFields count="2">
    <dataField name="Sum of Total Revenue" fld="23" baseField="0" baseItem="0"/>
    <dataField name="Sum of Total Profit" fld="26" baseField="0" baseItem="0"/>
  </dataFields>
  <formats count="2">
    <format dxfId="22">
      <pivotArea collapsedLevelsAreSubtotals="1" fieldPosition="0">
        <references count="2">
          <reference field="4294967294" count="1" selected="0">
            <x v="1"/>
          </reference>
          <reference field="0" count="0"/>
        </references>
      </pivotArea>
    </format>
    <format dxfId="23">
      <pivotArea field="0" grandRow="1" outline="0" collapsedLevelsAreSubtotals="1" axis="axisRow" fieldPosition="0">
        <references count="1">
          <reference field="4294967294" count="1" selected="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2377C54-A78E-4E82-903F-6959D494A153}" autoFormatId="16" applyNumberFormats="0" applyBorderFormats="0" applyFontFormats="0" applyPatternFormats="0" applyAlignmentFormats="0" applyWidthHeightFormats="0">
  <queryTableRefresh nextId="15">
    <queryTableFields count="14">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7" name="Order ID"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CBB6C617-E68D-437B-9E9D-62EC66240D37}" autoFormatId="16" applyNumberFormats="0" applyBorderFormats="0" applyFontFormats="0" applyPatternFormats="0" applyAlignmentFormats="0" applyWidthHeightFormats="0">
  <queryTableRefresh nextId="29">
    <queryTableFields count="27">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18" dataBound="0" tableColumnId="18"/>
      <queryTableField id="17" dataBound="0" tableColumnId="17"/>
      <queryTableField id="16" dataBound="0" tableColumnId="16"/>
      <queryTableField id="15" dataBound="0" tableColumnId="15"/>
      <queryTableField id="23" dataBound="0" tableColumnId="23"/>
      <queryTableField id="7" name="Order ID" tableColumnId="7"/>
      <queryTableField id="22" dataBound="0" tableColumnId="22"/>
      <queryTableField id="21" dataBound="0" tableColumnId="21"/>
      <queryTableField id="20" dataBound="0" tableColumnId="20"/>
      <queryTableField id="19" dataBound="0" tableColumnId="19"/>
      <queryTableField id="24" dataBound="0" tableColumnId="24"/>
      <queryTableField id="8" name="Ship Date" tableColumnId="8"/>
      <queryTableField id="25" dataBound="0" tableColumnId="25"/>
      <queryTableField id="9" name="Units Sold" tableColumnId="9"/>
      <queryTableField id="10" name="Unit Price" tableColumnId="10"/>
      <queryTableField id="11" name="Unit Cost" tableColumnId="11"/>
      <queryTableField id="28" dataBound="0" tableColumnId="28"/>
      <queryTableField id="12" name="Total Revenue" tableColumnId="12"/>
      <queryTableField id="13" name="Total Cost" tableColumnId="13"/>
      <queryTableField id="27" dataBound="0" tableColumnId="27"/>
      <queryTableField id="14" name="Total 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CCC0BBD-1240-47BB-824B-941FE64E4934}" sourceName="Item Type">
  <pivotTables>
    <pivotTable tabId="3" name="PivotTable1"/>
    <pivotTable tabId="3" name="PivotTable16"/>
    <pivotTable tabId="3" name="PivotTable2"/>
    <pivotTable tabId="3" name="PivotTable3"/>
    <pivotTable tabId="3" name="PivotTable4"/>
  </pivotTables>
  <data>
    <tabular pivotCacheId="1987973665">
      <items count="12">
        <i x="8" s="1"/>
        <i x="0" s="1"/>
        <i x="2" s="1"/>
        <i x="1" s="1"/>
        <i x="10" s="1"/>
        <i x="4" s="1"/>
        <i x="9" s="1"/>
        <i x="6" s="1"/>
        <i x="3" s="1"/>
        <i x="11"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B16265D-82A9-492E-8B9E-87AB543BBB01}" sourceName="Sales Channel">
  <pivotTables>
    <pivotTable tabId="3" name="PivotTable1"/>
    <pivotTable tabId="3" name="PivotTable16"/>
    <pivotTable tabId="3" name="PivotTable2"/>
    <pivotTable tabId="3" name="PivotTable3"/>
    <pivotTable tabId="3" name="PivotTable4"/>
  </pivotTables>
  <data>
    <tabular pivotCacheId="198797366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6940590B-5F50-43D6-891A-F3DF5A5A5C00}" sourceName="Order Year">
  <pivotTables>
    <pivotTable tabId="3" name="PivotTable1"/>
    <pivotTable tabId="3" name="PivotTable16"/>
    <pivotTable tabId="3" name="PivotTable2"/>
    <pivotTable tabId="3" name="PivotTable3"/>
    <pivotTable tabId="3" name="PivotTable4"/>
  </pivotTables>
  <data>
    <tabular pivotCacheId="1987973665">
      <items count="8">
        <i x="3" s="1"/>
        <i x="0" s="1"/>
        <i x="5" s="1"/>
        <i x="1" s="1"/>
        <i x="2" s="1"/>
        <i x="6"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C9920FEB-EB56-4DF5-B13D-881E404E2FD2}" cache="Slicer_Item_Type" caption="Item Type" rowHeight="234950"/>
  <slicer name="Sales Channel" xr10:uid="{B9A6D09E-0538-48A2-8CDC-AA1B247B8C9C}" cache="Slicer_Sales_Channel" caption="Sales Channel" rowHeight="234950"/>
  <slicer name="Order Year" xr10:uid="{F800675D-611A-4A68-8071-078B41DCD73A}" cache="Slicer_Order_Year" caption="Order 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9F6F04-9453-4294-A219-AC2F99BEDFFB}" name="Europe_Sales_Records3" displayName="Europe_Sales_Records3" ref="A1:N1331" tableType="queryTable" totalsRowShown="0">
  <autoFilter ref="A1:N1331" xr:uid="{E8217D36-9645-46E6-8570-C155CBE81A73}"/>
  <tableColumns count="14">
    <tableColumn id="1" xr3:uid="{542F0901-F430-4EF5-A982-1FB798D677FD}" uniqueName="1" name="Region" queryTableFieldId="1" dataDxfId="50"/>
    <tableColumn id="2" xr3:uid="{074E7EFB-CB7C-4948-96FB-75B0AD8A0F8C}" uniqueName="2" name="Country" queryTableFieldId="2" dataDxfId="49"/>
    <tableColumn id="3" xr3:uid="{75551BBF-197D-4100-A5DE-85F65B9C858A}" uniqueName="3" name="Item Type" queryTableFieldId="3" dataDxfId="48"/>
    <tableColumn id="4" xr3:uid="{FE259EE3-A701-4AAC-A34A-C02C020891B7}" uniqueName="4" name="Sales Channel" queryTableFieldId="4" dataDxfId="47"/>
    <tableColumn id="5" xr3:uid="{6DF0764E-4A10-4A1B-86DE-A8E6109B33E8}" uniqueName="5" name="Order Priority" queryTableFieldId="5" dataDxfId="46"/>
    <tableColumn id="6" xr3:uid="{3D0EE257-4D6D-4DFB-9E63-FD6691E9770C}" uniqueName="6" name="Order Date" queryTableFieldId="6" dataDxfId="45"/>
    <tableColumn id="7" xr3:uid="{549CFCFD-2572-4ABD-90B4-F01DB41EB66A}" uniqueName="7" name="Order ID" queryTableFieldId="7"/>
    <tableColumn id="8" xr3:uid="{D18A6123-6DCD-4E07-9D7B-A6F727B6D422}" uniqueName="8" name="Ship Date" queryTableFieldId="8" dataDxfId="44"/>
    <tableColumn id="9" xr3:uid="{72E54131-E728-460B-B05E-DF3BB3EE3A56}" uniqueName="9" name="Units Sold" queryTableFieldId="9"/>
    <tableColumn id="10" xr3:uid="{05521ABB-35EA-44C0-8A02-847CBE79FBB0}" uniqueName="10" name="Unit Price" queryTableFieldId="10"/>
    <tableColumn id="11" xr3:uid="{FF5B63BF-B2DF-4D37-8E4F-EEB75699CB45}" uniqueName="11" name="Unit Cost" queryTableFieldId="11"/>
    <tableColumn id="12" xr3:uid="{EE8048D3-A486-4BC9-8C38-6810F02DCC37}" uniqueName="12" name="Total Revenue" queryTableFieldId="12"/>
    <tableColumn id="13" xr3:uid="{2957FF9E-28C9-4DC4-8BAA-7B54EDBD7412}" uniqueName="13" name="Total Cost" queryTableFieldId="13"/>
    <tableColumn id="14" xr3:uid="{FD594DFF-81D6-4EA3-8FDF-7475BAD5D166}" uniqueName="14" name="Total Profi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792E7C-C6CB-402D-A4C5-7F09BFAD680A}" name="Europe_Sales_Records34" displayName="Europe_Sales_Records34" ref="A1:AA1331" tableType="queryTable" totalsRowShown="0">
  <autoFilter ref="A1:AA1331" xr:uid="{E8217D36-9645-46E6-8570-C155CBE81A73}"/>
  <tableColumns count="27">
    <tableColumn id="1" xr3:uid="{5CE23A17-6BD6-40F4-8F2A-9552AFD6723C}" uniqueName="1" name="Region" queryTableFieldId="1" dataDxfId="43"/>
    <tableColumn id="2" xr3:uid="{8C80EB91-10F1-4C8F-AFD3-0185F14DEE38}" uniqueName="2" name="Country" queryTableFieldId="2" dataDxfId="42"/>
    <tableColumn id="3" xr3:uid="{789390F3-A572-4407-BD5C-218BCBBEA42F}" uniqueName="3" name="Item Type" queryTableFieldId="3" dataDxfId="41"/>
    <tableColumn id="4" xr3:uid="{6D12E4AD-1267-4D06-9074-E5D675D785C9}" uniqueName="4" name="Sales Channel" queryTableFieldId="4" dataDxfId="40"/>
    <tableColumn id="5" xr3:uid="{512949C6-5371-4799-8FD7-888D1F695179}" uniqueName="5" name="Order Priority" queryTableFieldId="5" dataDxfId="39"/>
    <tableColumn id="6" xr3:uid="{E971DB46-2B84-48D2-A8A5-19C3855E602C}" uniqueName="6" name="Order Date" queryTableFieldId="6" dataDxfId="38"/>
    <tableColumn id="18" xr3:uid="{10CDD9C1-9BEA-42A3-99BD-D56F60F18D3E}" uniqueName="18" name="Order Date Fixed" queryTableFieldId="18" dataDxfId="37">
      <calculatedColumnFormula>DATE(
  RIGHT(F2,4),
  LEFT(F2,FIND("/",F2)-1),
  MID(F2,FIND("/",F2)+1, FIND("/",F2,FIND("/",F2)+1)-FIND("/",F2)-1)
)</calculatedColumnFormula>
    </tableColumn>
    <tableColumn id="17" xr3:uid="{CE97F656-099E-4A98-951A-4D9DE4B33D83}" uniqueName="17" name="Order Day" queryTableFieldId="17" dataDxfId="36">
      <calculatedColumnFormula>DAY(Europe_Sales_Records34[[#This Row],[Order Date Fixed]])</calculatedColumnFormula>
    </tableColumn>
    <tableColumn id="16" xr3:uid="{8C70E56C-D42D-45EF-9AEF-47A3C9E2518E}" uniqueName="16" name="Order Month" queryTableFieldId="16" dataDxfId="35">
      <calculatedColumnFormula>TEXT(Europe_Sales_Records34[[#This Row],[Order Date Fixed]],"MMM")</calculatedColumnFormula>
    </tableColumn>
    <tableColumn id="15" xr3:uid="{1AADC377-6B38-4188-991F-6996F795CC9F}" uniqueName="15" name="Order Year" queryTableFieldId="15" dataDxfId="34">
      <calculatedColumnFormula>YEAR(Europe_Sales_Records34[[#This Row],[Order Date Fixed]])</calculatedColumnFormula>
    </tableColumn>
    <tableColumn id="23" xr3:uid="{8FC1E1FD-3A22-4A28-9AED-A5F8959604A3}" uniqueName="23" name="Order Month-Year" queryTableFieldId="23" dataDxfId="33">
      <calculatedColumnFormula>TEXT(Europe_Sales_Records34[[#This Row],[Order Date Fixed]],"MMM-YYYY")</calculatedColumnFormula>
    </tableColumn>
    <tableColumn id="7" xr3:uid="{F520160F-EE2A-4C5C-878E-9534A7DAB274}" uniqueName="7" name="Order ID" queryTableFieldId="7"/>
    <tableColumn id="22" xr3:uid="{1CCA74F3-7969-437B-A29B-1C36A1104793}" uniqueName="22" name="Ship Date Fixed" queryTableFieldId="22" dataDxfId="32">
      <calculatedColumnFormula>DATE(
  RIGHT(R2,4),
  LEFT(R2,FIND("/",R2)-1),
  MID(
      R2,
      FIND("/",R2)+1,
      FIND("/",R2,FIND("/",R2)+1)-FIND("/",R2)-1
     )
)</calculatedColumnFormula>
    </tableColumn>
    <tableColumn id="21" xr3:uid="{35F42690-6E43-4B99-B1E6-65CB18056D13}" uniqueName="21" name="Ship Day" queryTableFieldId="21" dataDxfId="31">
      <calculatedColumnFormula>DAY(Europe_Sales_Records34[[#This Row],[Ship Date Fixed]])</calculatedColumnFormula>
    </tableColumn>
    <tableColumn id="20" xr3:uid="{6D80A000-BB3B-4A8D-9486-9A5942424A76}" uniqueName="20" name="Ship Month" queryTableFieldId="20" dataDxfId="30">
      <calculatedColumnFormula>TEXT(Europe_Sales_Records34[[#This Row],[Ship Date Fixed]],"MMM")</calculatedColumnFormula>
    </tableColumn>
    <tableColumn id="19" xr3:uid="{F1C4B5B8-8193-480B-97A1-A5330060F9ED}" uniqueName="19" name="Ship Year" queryTableFieldId="19" dataDxfId="29">
      <calculatedColumnFormula>YEAR(Europe_Sales_Records34[[#This Row],[Ship Date Fixed]])</calculatedColumnFormula>
    </tableColumn>
    <tableColumn id="24" xr3:uid="{4777E5E2-E052-4C01-8273-5848BA94A274}" uniqueName="24" name="Ship Month-Year" queryTableFieldId="24" dataDxfId="28">
      <calculatedColumnFormula>TEXT(Europe_Sales_Records34[[#This Row],[Ship Date Fixed]],"MMM-YYYY")</calculatedColumnFormula>
    </tableColumn>
    <tableColumn id="8" xr3:uid="{804CBBD4-5C9A-4EC2-9584-338E72A8D4DB}" uniqueName="8" name="Ship Date" queryTableFieldId="8" dataDxfId="27"/>
    <tableColumn id="25" xr3:uid="{E8E17515-0EA1-4108-9F98-9A1D69541027}" uniqueName="25" name="Shipping Days" queryTableFieldId="25" dataDxfId="26">
      <calculatedColumnFormula>Europe_Sales_Records34[[#This Row],[Ship Date Fixed]]-Europe_Sales_Records34[[#This Row],[Order Date Fixed]]</calculatedColumnFormula>
    </tableColumn>
    <tableColumn id="9" xr3:uid="{42A7E373-AFA6-4071-8B46-BCD204045FC4}" uniqueName="9" name="Units Sold" queryTableFieldId="9"/>
    <tableColumn id="10" xr3:uid="{E11BFD7D-3145-41AF-BCE7-168ED4C9B5C2}" uniqueName="10" name="Unit Price" queryTableFieldId="10"/>
    <tableColumn id="11" xr3:uid="{B931CC18-03E5-4761-B443-3E3C0C5F1E28}" uniqueName="11" name="Unit Cost" queryTableFieldId="11"/>
    <tableColumn id="28" xr3:uid="{09AC3650-F8A2-4BB6-9B3F-EFB310154559}" uniqueName="28" name="Revenue Per Unit" queryTableFieldId="28" dataDxfId="25">
      <calculatedColumnFormula>Europe_Sales_Records34[[#This Row],[Total Revenue]]/Europe_Sales_Records34[[#This Row],[Units Sold]]</calculatedColumnFormula>
    </tableColumn>
    <tableColumn id="12" xr3:uid="{CE888BBF-2B04-42C7-BCAB-A8D473F873A3}" uniqueName="12" name="Total Revenue" queryTableFieldId="12"/>
    <tableColumn id="13" xr3:uid="{258CEDCE-11F9-4200-92FC-DA3F7C273C02}" uniqueName="13" name="Total Cost" queryTableFieldId="13"/>
    <tableColumn id="27" xr3:uid="{3784D22C-D65F-43EB-AF02-3FD13D479E0C}" uniqueName="27" name="Profit Margin %" queryTableFieldId="27" dataDxfId="24">
      <calculatedColumnFormula>Europe_Sales_Records34[[#This Row],[Total Profit]]/Europe_Sales_Records34[[#This Row],[Total Revenue]]</calculatedColumnFormula>
    </tableColumn>
    <tableColumn id="14" xr3:uid="{1DB60F49-6AF2-436E-A7F0-61E43693605A}" uniqueName="14" name="Total 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E8C5C-A222-4577-A990-7EE5794D6226}">
  <dimension ref="A1:N1331"/>
  <sheetViews>
    <sheetView workbookViewId="0">
      <selection activeCell="G1" sqref="G1:G1048576"/>
    </sheetView>
  </sheetViews>
  <sheetFormatPr defaultRowHeight="14.4" x14ac:dyDescent="0.3"/>
  <cols>
    <col min="1" max="1" width="9" bestFit="1" customWidth="1"/>
    <col min="2" max="2" width="20.5546875" bestFit="1" customWidth="1"/>
    <col min="3" max="3" width="13.109375" bestFit="1" customWidth="1"/>
    <col min="4" max="4" width="14.77734375" bestFit="1" customWidth="1"/>
    <col min="5" max="5" width="14.5546875" bestFit="1" customWidth="1"/>
    <col min="6" max="6" width="12.33203125" bestFit="1" customWidth="1"/>
    <col min="7" max="7" width="19.33203125" customWidth="1"/>
    <col min="8" max="8" width="16.109375" customWidth="1"/>
    <col min="9" max="9" width="11.6640625" bestFit="1" customWidth="1"/>
    <col min="10" max="10" width="11.33203125" bestFit="1" customWidth="1"/>
    <col min="11" max="11" width="10.88671875" bestFit="1" customWidth="1"/>
    <col min="12" max="12" width="15.33203125" bestFit="1" customWidth="1"/>
    <col min="13" max="13" width="11.5546875" bestFit="1" customWidth="1"/>
    <col min="14" max="14" width="12.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v>478051030</v>
      </c>
      <c r="H2" t="s">
        <v>20</v>
      </c>
      <c r="I2">
        <v>4778</v>
      </c>
      <c r="J2">
        <v>47.45</v>
      </c>
      <c r="K2">
        <v>31.79</v>
      </c>
      <c r="L2">
        <v>226716.1</v>
      </c>
      <c r="M2">
        <v>151892.62</v>
      </c>
      <c r="N2">
        <v>74823.48</v>
      </c>
    </row>
    <row r="3" spans="1:14" x14ac:dyDescent="0.3">
      <c r="A3" t="s">
        <v>14</v>
      </c>
      <c r="B3" t="s">
        <v>21</v>
      </c>
      <c r="C3" t="s">
        <v>22</v>
      </c>
      <c r="D3" t="s">
        <v>23</v>
      </c>
      <c r="E3" t="s">
        <v>24</v>
      </c>
      <c r="F3" t="s">
        <v>25</v>
      </c>
      <c r="G3">
        <v>919133651</v>
      </c>
      <c r="H3" t="s">
        <v>26</v>
      </c>
      <c r="I3">
        <v>927</v>
      </c>
      <c r="J3">
        <v>109.28</v>
      </c>
      <c r="K3">
        <v>35.840000000000003</v>
      </c>
      <c r="L3">
        <v>101302.56</v>
      </c>
      <c r="M3">
        <v>33223.68</v>
      </c>
      <c r="N3">
        <v>68078.880000000005</v>
      </c>
    </row>
    <row r="4" spans="1:14" x14ac:dyDescent="0.3">
      <c r="A4" t="s">
        <v>14</v>
      </c>
      <c r="B4" t="s">
        <v>27</v>
      </c>
      <c r="C4" t="s">
        <v>28</v>
      </c>
      <c r="D4" t="s">
        <v>17</v>
      </c>
      <c r="E4" t="s">
        <v>18</v>
      </c>
      <c r="F4" t="s">
        <v>29</v>
      </c>
      <c r="G4">
        <v>987410676</v>
      </c>
      <c r="H4" t="s">
        <v>30</v>
      </c>
      <c r="I4">
        <v>5616</v>
      </c>
      <c r="J4">
        <v>205.7</v>
      </c>
      <c r="K4">
        <v>117.11</v>
      </c>
      <c r="L4">
        <v>1155211.2</v>
      </c>
      <c r="M4">
        <v>657689.76</v>
      </c>
      <c r="N4">
        <v>497521.44</v>
      </c>
    </row>
    <row r="5" spans="1:14" x14ac:dyDescent="0.3">
      <c r="A5" t="s">
        <v>14</v>
      </c>
      <c r="B5" t="s">
        <v>31</v>
      </c>
      <c r="C5" t="s">
        <v>32</v>
      </c>
      <c r="D5" t="s">
        <v>23</v>
      </c>
      <c r="E5" t="s">
        <v>33</v>
      </c>
      <c r="F5" t="s">
        <v>34</v>
      </c>
      <c r="G5">
        <v>672330081</v>
      </c>
      <c r="H5" t="s">
        <v>35</v>
      </c>
      <c r="I5">
        <v>6266</v>
      </c>
      <c r="J5">
        <v>651.21</v>
      </c>
      <c r="K5">
        <v>524.96</v>
      </c>
      <c r="L5">
        <v>4080481.86</v>
      </c>
      <c r="M5">
        <v>3289399.36</v>
      </c>
      <c r="N5">
        <v>791082.5</v>
      </c>
    </row>
    <row r="6" spans="1:14" x14ac:dyDescent="0.3">
      <c r="A6" t="s">
        <v>14</v>
      </c>
      <c r="B6" t="s">
        <v>36</v>
      </c>
      <c r="C6" t="s">
        <v>37</v>
      </c>
      <c r="D6" t="s">
        <v>23</v>
      </c>
      <c r="E6" t="s">
        <v>33</v>
      </c>
      <c r="F6" t="s">
        <v>38</v>
      </c>
      <c r="G6">
        <v>579463422</v>
      </c>
      <c r="H6" t="s">
        <v>39</v>
      </c>
      <c r="I6">
        <v>4958</v>
      </c>
      <c r="J6">
        <v>9.33</v>
      </c>
      <c r="K6">
        <v>6.92</v>
      </c>
      <c r="L6">
        <v>46258.14</v>
      </c>
      <c r="M6">
        <v>34309.360000000001</v>
      </c>
      <c r="N6">
        <v>11948.78</v>
      </c>
    </row>
    <row r="7" spans="1:14" x14ac:dyDescent="0.3">
      <c r="A7" t="s">
        <v>14</v>
      </c>
      <c r="B7" t="s">
        <v>40</v>
      </c>
      <c r="C7" t="s">
        <v>37</v>
      </c>
      <c r="D7" t="s">
        <v>17</v>
      </c>
      <c r="E7" t="s">
        <v>33</v>
      </c>
      <c r="F7" t="s">
        <v>41</v>
      </c>
      <c r="G7">
        <v>313705861</v>
      </c>
      <c r="H7" t="s">
        <v>42</v>
      </c>
      <c r="I7">
        <v>1390</v>
      </c>
      <c r="J7">
        <v>9.33</v>
      </c>
      <c r="K7">
        <v>6.92</v>
      </c>
      <c r="L7">
        <v>12968.7</v>
      </c>
      <c r="M7">
        <v>9618.7999999999993</v>
      </c>
      <c r="N7">
        <v>3349.9</v>
      </c>
    </row>
    <row r="8" spans="1:14" x14ac:dyDescent="0.3">
      <c r="A8" t="s">
        <v>14</v>
      </c>
      <c r="B8" t="s">
        <v>15</v>
      </c>
      <c r="C8" t="s">
        <v>28</v>
      </c>
      <c r="D8" t="s">
        <v>23</v>
      </c>
      <c r="E8" t="s">
        <v>24</v>
      </c>
      <c r="F8" t="s">
        <v>43</v>
      </c>
      <c r="G8">
        <v>552037513</v>
      </c>
      <c r="H8" t="s">
        <v>44</v>
      </c>
      <c r="I8">
        <v>9022</v>
      </c>
      <c r="J8">
        <v>205.7</v>
      </c>
      <c r="K8">
        <v>117.11</v>
      </c>
      <c r="L8">
        <v>1855825.4</v>
      </c>
      <c r="M8">
        <v>1056566.42</v>
      </c>
      <c r="N8">
        <v>799258.98</v>
      </c>
    </row>
    <row r="9" spans="1:14" x14ac:dyDescent="0.3">
      <c r="A9" t="s">
        <v>14</v>
      </c>
      <c r="B9" t="s">
        <v>45</v>
      </c>
      <c r="C9" t="s">
        <v>46</v>
      </c>
      <c r="D9" t="s">
        <v>17</v>
      </c>
      <c r="E9" t="s">
        <v>33</v>
      </c>
      <c r="F9" t="s">
        <v>47</v>
      </c>
      <c r="G9">
        <v>744683635</v>
      </c>
      <c r="H9" t="s">
        <v>48</v>
      </c>
      <c r="I9">
        <v>7291</v>
      </c>
      <c r="J9">
        <v>154.06</v>
      </c>
      <c r="K9">
        <v>90.93</v>
      </c>
      <c r="L9">
        <v>1123251.46</v>
      </c>
      <c r="M9">
        <v>662970.63</v>
      </c>
      <c r="N9">
        <v>460280.83</v>
      </c>
    </row>
    <row r="10" spans="1:14" x14ac:dyDescent="0.3">
      <c r="A10" t="s">
        <v>14</v>
      </c>
      <c r="B10" t="s">
        <v>49</v>
      </c>
      <c r="C10" t="s">
        <v>50</v>
      </c>
      <c r="D10" t="s">
        <v>23</v>
      </c>
      <c r="E10" t="s">
        <v>33</v>
      </c>
      <c r="F10" t="s">
        <v>51</v>
      </c>
      <c r="G10">
        <v>169378983</v>
      </c>
      <c r="H10" t="s">
        <v>52</v>
      </c>
      <c r="I10">
        <v>1860</v>
      </c>
      <c r="J10">
        <v>421.89</v>
      </c>
      <c r="K10">
        <v>364.69</v>
      </c>
      <c r="L10">
        <v>784715.4</v>
      </c>
      <c r="M10">
        <v>678323.4</v>
      </c>
      <c r="N10">
        <v>106392</v>
      </c>
    </row>
    <row r="11" spans="1:14" x14ac:dyDescent="0.3">
      <c r="A11" t="s">
        <v>14</v>
      </c>
      <c r="B11" t="s">
        <v>53</v>
      </c>
      <c r="C11" t="s">
        <v>16</v>
      </c>
      <c r="D11" t="s">
        <v>23</v>
      </c>
      <c r="E11" t="s">
        <v>54</v>
      </c>
      <c r="F11" t="s">
        <v>55</v>
      </c>
      <c r="G11">
        <v>566428315</v>
      </c>
      <c r="H11" t="s">
        <v>56</v>
      </c>
      <c r="I11">
        <v>7581</v>
      </c>
      <c r="J11">
        <v>47.45</v>
      </c>
      <c r="K11">
        <v>31.79</v>
      </c>
      <c r="L11">
        <v>359718.45</v>
      </c>
      <c r="M11">
        <v>240999.99</v>
      </c>
      <c r="N11">
        <v>118718.46</v>
      </c>
    </row>
    <row r="12" spans="1:14" x14ac:dyDescent="0.3">
      <c r="A12" t="s">
        <v>14</v>
      </c>
      <c r="B12" t="s">
        <v>57</v>
      </c>
      <c r="C12" t="s">
        <v>58</v>
      </c>
      <c r="D12" t="s">
        <v>23</v>
      </c>
      <c r="E12" t="s">
        <v>24</v>
      </c>
      <c r="F12" t="s">
        <v>59</v>
      </c>
      <c r="G12">
        <v>519380223</v>
      </c>
      <c r="H12" t="s">
        <v>60</v>
      </c>
      <c r="I12">
        <v>5005</v>
      </c>
      <c r="J12">
        <v>152.58000000000001</v>
      </c>
      <c r="K12">
        <v>97.44</v>
      </c>
      <c r="L12">
        <v>763662.9</v>
      </c>
      <c r="M12">
        <v>487687.2</v>
      </c>
      <c r="N12">
        <v>275975.7</v>
      </c>
    </row>
    <row r="13" spans="1:14" x14ac:dyDescent="0.3">
      <c r="A13" t="s">
        <v>14</v>
      </c>
      <c r="B13" t="s">
        <v>61</v>
      </c>
      <c r="C13" t="s">
        <v>32</v>
      </c>
      <c r="D13" t="s">
        <v>23</v>
      </c>
      <c r="E13" t="s">
        <v>54</v>
      </c>
      <c r="F13" t="s">
        <v>62</v>
      </c>
      <c r="G13">
        <v>904589211</v>
      </c>
      <c r="H13" t="s">
        <v>63</v>
      </c>
      <c r="I13">
        <v>6905</v>
      </c>
      <c r="J13">
        <v>651.21</v>
      </c>
      <c r="K13">
        <v>524.96</v>
      </c>
      <c r="L13">
        <v>4496605.05</v>
      </c>
      <c r="M13">
        <v>3624848.8</v>
      </c>
      <c r="N13">
        <v>871756.25</v>
      </c>
    </row>
    <row r="14" spans="1:14" x14ac:dyDescent="0.3">
      <c r="A14" t="s">
        <v>14</v>
      </c>
      <c r="B14" t="s">
        <v>21</v>
      </c>
      <c r="C14" t="s">
        <v>64</v>
      </c>
      <c r="D14" t="s">
        <v>23</v>
      </c>
      <c r="E14" t="s">
        <v>18</v>
      </c>
      <c r="F14" t="s">
        <v>65</v>
      </c>
      <c r="G14">
        <v>184412229</v>
      </c>
      <c r="H14" t="s">
        <v>66</v>
      </c>
      <c r="I14">
        <v>531</v>
      </c>
      <c r="J14">
        <v>255.28</v>
      </c>
      <c r="K14">
        <v>159.41999999999999</v>
      </c>
      <c r="L14">
        <v>135553.68</v>
      </c>
      <c r="M14">
        <v>84652.02</v>
      </c>
      <c r="N14">
        <v>50901.66</v>
      </c>
    </row>
    <row r="15" spans="1:14" x14ac:dyDescent="0.3">
      <c r="A15" t="s">
        <v>14</v>
      </c>
      <c r="B15" t="s">
        <v>67</v>
      </c>
      <c r="C15" t="s">
        <v>50</v>
      </c>
      <c r="D15" t="s">
        <v>17</v>
      </c>
      <c r="E15" t="s">
        <v>24</v>
      </c>
      <c r="F15" t="s">
        <v>68</v>
      </c>
      <c r="G15">
        <v>747774398</v>
      </c>
      <c r="H15" t="s">
        <v>69</v>
      </c>
      <c r="I15">
        <v>1916</v>
      </c>
      <c r="J15">
        <v>421.89</v>
      </c>
      <c r="K15">
        <v>364.69</v>
      </c>
      <c r="L15">
        <v>808341.24</v>
      </c>
      <c r="M15">
        <v>698746.04</v>
      </c>
      <c r="N15">
        <v>109595.2</v>
      </c>
    </row>
    <row r="16" spans="1:14" x14ac:dyDescent="0.3">
      <c r="A16" t="s">
        <v>14</v>
      </c>
      <c r="B16" t="s">
        <v>70</v>
      </c>
      <c r="C16" t="s">
        <v>71</v>
      </c>
      <c r="D16" t="s">
        <v>23</v>
      </c>
      <c r="E16" t="s">
        <v>24</v>
      </c>
      <c r="F16" t="s">
        <v>72</v>
      </c>
      <c r="G16">
        <v>194176757</v>
      </c>
      <c r="H16" t="s">
        <v>73</v>
      </c>
      <c r="I16">
        <v>72</v>
      </c>
      <c r="J16">
        <v>668.27</v>
      </c>
      <c r="K16">
        <v>502.54</v>
      </c>
      <c r="L16">
        <v>48115.44</v>
      </c>
      <c r="M16">
        <v>36182.879999999997</v>
      </c>
      <c r="N16">
        <v>11932.56</v>
      </c>
    </row>
    <row r="17" spans="1:14" x14ac:dyDescent="0.3">
      <c r="A17" t="s">
        <v>14</v>
      </c>
      <c r="B17" t="s">
        <v>74</v>
      </c>
      <c r="C17" t="s">
        <v>75</v>
      </c>
      <c r="D17" t="s">
        <v>23</v>
      </c>
      <c r="E17" t="s">
        <v>54</v>
      </c>
      <c r="F17" t="s">
        <v>76</v>
      </c>
      <c r="G17">
        <v>773645913</v>
      </c>
      <c r="H17" t="s">
        <v>77</v>
      </c>
      <c r="I17">
        <v>7873</v>
      </c>
      <c r="J17">
        <v>437.2</v>
      </c>
      <c r="K17">
        <v>263.33</v>
      </c>
      <c r="L17">
        <v>3442075.6</v>
      </c>
      <c r="M17">
        <v>2073197.09</v>
      </c>
      <c r="N17">
        <v>1368878.51</v>
      </c>
    </row>
    <row r="18" spans="1:14" x14ac:dyDescent="0.3">
      <c r="A18" t="s">
        <v>14</v>
      </c>
      <c r="B18" t="s">
        <v>21</v>
      </c>
      <c r="C18" t="s">
        <v>50</v>
      </c>
      <c r="D18" t="s">
        <v>23</v>
      </c>
      <c r="E18" t="s">
        <v>54</v>
      </c>
      <c r="F18" t="s">
        <v>78</v>
      </c>
      <c r="G18">
        <v>410740888</v>
      </c>
      <c r="H18" t="s">
        <v>79</v>
      </c>
      <c r="I18">
        <v>6211</v>
      </c>
      <c r="J18">
        <v>421.89</v>
      </c>
      <c r="K18">
        <v>364.69</v>
      </c>
      <c r="L18">
        <v>2620358.79</v>
      </c>
      <c r="M18">
        <v>2265089.59</v>
      </c>
      <c r="N18">
        <v>355269.2</v>
      </c>
    </row>
    <row r="19" spans="1:14" x14ac:dyDescent="0.3">
      <c r="A19" t="s">
        <v>14</v>
      </c>
      <c r="B19" t="s">
        <v>80</v>
      </c>
      <c r="C19" t="s">
        <v>50</v>
      </c>
      <c r="D19" t="s">
        <v>17</v>
      </c>
      <c r="E19" t="s">
        <v>24</v>
      </c>
      <c r="F19" t="s">
        <v>81</v>
      </c>
      <c r="G19">
        <v>847317397</v>
      </c>
      <c r="H19" t="s">
        <v>82</v>
      </c>
      <c r="I19">
        <v>8902</v>
      </c>
      <c r="J19">
        <v>421.89</v>
      </c>
      <c r="K19">
        <v>364.69</v>
      </c>
      <c r="L19">
        <v>3755664.78</v>
      </c>
      <c r="M19">
        <v>3246470.38</v>
      </c>
      <c r="N19">
        <v>509194.4</v>
      </c>
    </row>
    <row r="20" spans="1:14" x14ac:dyDescent="0.3">
      <c r="A20" t="s">
        <v>14</v>
      </c>
      <c r="B20" t="s">
        <v>83</v>
      </c>
      <c r="C20" t="s">
        <v>16</v>
      </c>
      <c r="D20" t="s">
        <v>23</v>
      </c>
      <c r="E20" t="s">
        <v>33</v>
      </c>
      <c r="F20" t="s">
        <v>84</v>
      </c>
      <c r="G20">
        <v>599624192</v>
      </c>
      <c r="H20" t="s">
        <v>85</v>
      </c>
      <c r="I20">
        <v>978</v>
      </c>
      <c r="J20">
        <v>47.45</v>
      </c>
      <c r="K20">
        <v>31.79</v>
      </c>
      <c r="L20">
        <v>46406.1</v>
      </c>
      <c r="M20">
        <v>31090.62</v>
      </c>
      <c r="N20">
        <v>15315.48</v>
      </c>
    </row>
    <row r="21" spans="1:14" x14ac:dyDescent="0.3">
      <c r="A21" t="s">
        <v>14</v>
      </c>
      <c r="B21" t="s">
        <v>86</v>
      </c>
      <c r="C21" t="s">
        <v>32</v>
      </c>
      <c r="D21" t="s">
        <v>23</v>
      </c>
      <c r="E21" t="s">
        <v>24</v>
      </c>
      <c r="F21" t="s">
        <v>87</v>
      </c>
      <c r="G21">
        <v>734318292</v>
      </c>
      <c r="H21" t="s">
        <v>88</v>
      </c>
      <c r="I21">
        <v>9956</v>
      </c>
      <c r="J21">
        <v>651.21</v>
      </c>
      <c r="K21">
        <v>524.96</v>
      </c>
      <c r="L21">
        <v>6483446.7599999998</v>
      </c>
      <c r="M21">
        <v>5226501.76</v>
      </c>
      <c r="N21">
        <v>1256945</v>
      </c>
    </row>
    <row r="22" spans="1:14" x14ac:dyDescent="0.3">
      <c r="A22" t="s">
        <v>14</v>
      </c>
      <c r="B22" t="s">
        <v>89</v>
      </c>
      <c r="C22" t="s">
        <v>71</v>
      </c>
      <c r="D22" t="s">
        <v>17</v>
      </c>
      <c r="E22" t="s">
        <v>33</v>
      </c>
      <c r="F22" t="s">
        <v>90</v>
      </c>
      <c r="G22">
        <v>232196319</v>
      </c>
      <c r="H22" t="s">
        <v>91</v>
      </c>
      <c r="I22">
        <v>905</v>
      </c>
      <c r="J22">
        <v>668.27</v>
      </c>
      <c r="K22">
        <v>502.54</v>
      </c>
      <c r="L22">
        <v>604784.35</v>
      </c>
      <c r="M22">
        <v>454798.7</v>
      </c>
      <c r="N22">
        <v>149985.65</v>
      </c>
    </row>
    <row r="23" spans="1:14" x14ac:dyDescent="0.3">
      <c r="A23" t="s">
        <v>14</v>
      </c>
      <c r="B23" t="s">
        <v>92</v>
      </c>
      <c r="C23" t="s">
        <v>75</v>
      </c>
      <c r="D23" t="s">
        <v>23</v>
      </c>
      <c r="E23" t="s">
        <v>33</v>
      </c>
      <c r="F23" t="s">
        <v>93</v>
      </c>
      <c r="G23">
        <v>229693067</v>
      </c>
      <c r="H23" t="s">
        <v>93</v>
      </c>
      <c r="I23">
        <v>138</v>
      </c>
      <c r="J23">
        <v>437.2</v>
      </c>
      <c r="K23">
        <v>263.33</v>
      </c>
      <c r="L23">
        <v>60333.599999999999</v>
      </c>
      <c r="M23">
        <v>36339.54</v>
      </c>
      <c r="N23">
        <v>23994.06</v>
      </c>
    </row>
    <row r="24" spans="1:14" x14ac:dyDescent="0.3">
      <c r="A24" t="s">
        <v>14</v>
      </c>
      <c r="B24" t="s">
        <v>94</v>
      </c>
      <c r="C24" t="s">
        <v>16</v>
      </c>
      <c r="D24" t="s">
        <v>23</v>
      </c>
      <c r="E24" t="s">
        <v>18</v>
      </c>
      <c r="F24" t="s">
        <v>95</v>
      </c>
      <c r="G24">
        <v>121945512</v>
      </c>
      <c r="H24" t="s">
        <v>96</v>
      </c>
      <c r="I24">
        <v>5242</v>
      </c>
      <c r="J24">
        <v>47.45</v>
      </c>
      <c r="K24">
        <v>31.79</v>
      </c>
      <c r="L24">
        <v>248732.9</v>
      </c>
      <c r="M24">
        <v>166643.18</v>
      </c>
      <c r="N24">
        <v>82089.72</v>
      </c>
    </row>
    <row r="25" spans="1:14" x14ac:dyDescent="0.3">
      <c r="A25" t="s">
        <v>14</v>
      </c>
      <c r="B25" t="s">
        <v>97</v>
      </c>
      <c r="C25" t="s">
        <v>37</v>
      </c>
      <c r="D25" t="s">
        <v>23</v>
      </c>
      <c r="E25" t="s">
        <v>54</v>
      </c>
      <c r="F25" t="s">
        <v>98</v>
      </c>
      <c r="G25">
        <v>169799983</v>
      </c>
      <c r="H25" t="s">
        <v>99</v>
      </c>
      <c r="I25">
        <v>6443</v>
      </c>
      <c r="J25">
        <v>9.33</v>
      </c>
      <c r="K25">
        <v>6.92</v>
      </c>
      <c r="L25">
        <v>60113.19</v>
      </c>
      <c r="M25">
        <v>44585.56</v>
      </c>
      <c r="N25">
        <v>15527.63</v>
      </c>
    </row>
    <row r="26" spans="1:14" x14ac:dyDescent="0.3">
      <c r="A26" t="s">
        <v>14</v>
      </c>
      <c r="B26" t="s">
        <v>100</v>
      </c>
      <c r="C26" t="s">
        <v>46</v>
      </c>
      <c r="D26" t="s">
        <v>23</v>
      </c>
      <c r="E26" t="s">
        <v>24</v>
      </c>
      <c r="F26" t="s">
        <v>101</v>
      </c>
      <c r="G26">
        <v>894589078</v>
      </c>
      <c r="H26" t="s">
        <v>52</v>
      </c>
      <c r="I26">
        <v>7643</v>
      </c>
      <c r="J26">
        <v>154.06</v>
      </c>
      <c r="K26">
        <v>90.93</v>
      </c>
      <c r="L26">
        <v>1177480.58</v>
      </c>
      <c r="M26">
        <v>694977.99</v>
      </c>
      <c r="N26">
        <v>482502.59</v>
      </c>
    </row>
    <row r="27" spans="1:14" x14ac:dyDescent="0.3">
      <c r="A27" t="s">
        <v>14</v>
      </c>
      <c r="B27" t="s">
        <v>74</v>
      </c>
      <c r="C27" t="s">
        <v>102</v>
      </c>
      <c r="D27" t="s">
        <v>23</v>
      </c>
      <c r="E27" t="s">
        <v>24</v>
      </c>
      <c r="F27" t="s">
        <v>103</v>
      </c>
      <c r="G27">
        <v>987459170</v>
      </c>
      <c r="H27" t="s">
        <v>104</v>
      </c>
      <c r="I27">
        <v>9967</v>
      </c>
      <c r="J27">
        <v>81.73</v>
      </c>
      <c r="K27">
        <v>56.67</v>
      </c>
      <c r="L27">
        <v>814602.91</v>
      </c>
      <c r="M27">
        <v>564829.89</v>
      </c>
      <c r="N27">
        <v>249773.02</v>
      </c>
    </row>
    <row r="28" spans="1:14" x14ac:dyDescent="0.3">
      <c r="A28" t="s">
        <v>14</v>
      </c>
      <c r="B28" t="s">
        <v>105</v>
      </c>
      <c r="C28" t="s">
        <v>37</v>
      </c>
      <c r="D28" t="s">
        <v>17</v>
      </c>
      <c r="E28" t="s">
        <v>24</v>
      </c>
      <c r="F28" t="s">
        <v>106</v>
      </c>
      <c r="G28">
        <v>600515115</v>
      </c>
      <c r="H28" t="s">
        <v>107</v>
      </c>
      <c r="I28">
        <v>4622</v>
      </c>
      <c r="J28">
        <v>9.33</v>
      </c>
      <c r="K28">
        <v>6.92</v>
      </c>
      <c r="L28">
        <v>43123.26</v>
      </c>
      <c r="M28">
        <v>31984.240000000002</v>
      </c>
      <c r="N28">
        <v>11139.02</v>
      </c>
    </row>
    <row r="29" spans="1:14" x14ac:dyDescent="0.3">
      <c r="A29" t="s">
        <v>14</v>
      </c>
      <c r="B29" t="s">
        <v>89</v>
      </c>
      <c r="C29" t="s">
        <v>32</v>
      </c>
      <c r="D29" t="s">
        <v>17</v>
      </c>
      <c r="E29" t="s">
        <v>24</v>
      </c>
      <c r="F29" t="s">
        <v>108</v>
      </c>
      <c r="G29">
        <v>208365428</v>
      </c>
      <c r="H29" t="s">
        <v>109</v>
      </c>
      <c r="I29">
        <v>8815</v>
      </c>
      <c r="J29">
        <v>651.21</v>
      </c>
      <c r="K29">
        <v>524.96</v>
      </c>
      <c r="L29">
        <v>5740416.1500000004</v>
      </c>
      <c r="M29">
        <v>4627522.4000000004</v>
      </c>
      <c r="N29">
        <v>1112893.75</v>
      </c>
    </row>
    <row r="30" spans="1:14" x14ac:dyDescent="0.3">
      <c r="A30" t="s">
        <v>14</v>
      </c>
      <c r="B30" t="s">
        <v>110</v>
      </c>
      <c r="C30" t="s">
        <v>102</v>
      </c>
      <c r="D30" t="s">
        <v>23</v>
      </c>
      <c r="E30" t="s">
        <v>33</v>
      </c>
      <c r="F30" t="s">
        <v>111</v>
      </c>
      <c r="G30">
        <v>263098371</v>
      </c>
      <c r="H30" t="s">
        <v>112</v>
      </c>
      <c r="I30">
        <v>5509</v>
      </c>
      <c r="J30">
        <v>81.73</v>
      </c>
      <c r="K30">
        <v>56.67</v>
      </c>
      <c r="L30">
        <v>450250.57</v>
      </c>
      <c r="M30">
        <v>312195.03000000003</v>
      </c>
      <c r="N30">
        <v>138055.54</v>
      </c>
    </row>
    <row r="31" spans="1:14" x14ac:dyDescent="0.3">
      <c r="A31" t="s">
        <v>14</v>
      </c>
      <c r="B31" t="s">
        <v>36</v>
      </c>
      <c r="C31" t="s">
        <v>75</v>
      </c>
      <c r="D31" t="s">
        <v>23</v>
      </c>
      <c r="E31" t="s">
        <v>18</v>
      </c>
      <c r="F31" t="s">
        <v>113</v>
      </c>
      <c r="G31">
        <v>790149009</v>
      </c>
      <c r="H31" t="s">
        <v>114</v>
      </c>
      <c r="I31">
        <v>1505</v>
      </c>
      <c r="J31">
        <v>437.2</v>
      </c>
      <c r="K31">
        <v>263.33</v>
      </c>
      <c r="L31">
        <v>657986</v>
      </c>
      <c r="M31">
        <v>396311.65</v>
      </c>
      <c r="N31">
        <v>261674.35</v>
      </c>
    </row>
    <row r="32" spans="1:14" x14ac:dyDescent="0.3">
      <c r="A32" t="s">
        <v>14</v>
      </c>
      <c r="B32" t="s">
        <v>115</v>
      </c>
      <c r="C32" t="s">
        <v>28</v>
      </c>
      <c r="D32" t="s">
        <v>23</v>
      </c>
      <c r="E32" t="s">
        <v>24</v>
      </c>
      <c r="F32" t="s">
        <v>116</v>
      </c>
      <c r="G32">
        <v>100640618</v>
      </c>
      <c r="H32" t="s">
        <v>117</v>
      </c>
      <c r="I32">
        <v>650</v>
      </c>
      <c r="J32">
        <v>205.7</v>
      </c>
      <c r="K32">
        <v>117.11</v>
      </c>
      <c r="L32">
        <v>133705</v>
      </c>
      <c r="M32">
        <v>76121.5</v>
      </c>
      <c r="N32">
        <v>57583.5</v>
      </c>
    </row>
    <row r="33" spans="1:14" x14ac:dyDescent="0.3">
      <c r="A33" t="s">
        <v>14</v>
      </c>
      <c r="B33" t="s">
        <v>45</v>
      </c>
      <c r="C33" t="s">
        <v>58</v>
      </c>
      <c r="D33" t="s">
        <v>23</v>
      </c>
      <c r="E33" t="s">
        <v>54</v>
      </c>
      <c r="F33" t="s">
        <v>118</v>
      </c>
      <c r="G33">
        <v>977324712</v>
      </c>
      <c r="H33" t="s">
        <v>119</v>
      </c>
      <c r="I33">
        <v>955</v>
      </c>
      <c r="J33">
        <v>152.58000000000001</v>
      </c>
      <c r="K33">
        <v>97.44</v>
      </c>
      <c r="L33">
        <v>145713.9</v>
      </c>
      <c r="M33">
        <v>93055.2</v>
      </c>
      <c r="N33">
        <v>52658.7</v>
      </c>
    </row>
    <row r="34" spans="1:14" x14ac:dyDescent="0.3">
      <c r="A34" t="s">
        <v>14</v>
      </c>
      <c r="B34" t="s">
        <v>45</v>
      </c>
      <c r="C34" t="s">
        <v>58</v>
      </c>
      <c r="D34" t="s">
        <v>23</v>
      </c>
      <c r="E34" t="s">
        <v>54</v>
      </c>
      <c r="F34" t="s">
        <v>120</v>
      </c>
      <c r="G34">
        <v>510956799</v>
      </c>
      <c r="H34" t="s">
        <v>121</v>
      </c>
      <c r="I34">
        <v>2326</v>
      </c>
      <c r="J34">
        <v>152.58000000000001</v>
      </c>
      <c r="K34">
        <v>97.44</v>
      </c>
      <c r="L34">
        <v>354901.08</v>
      </c>
      <c r="M34">
        <v>226645.44</v>
      </c>
      <c r="N34">
        <v>128255.64</v>
      </c>
    </row>
    <row r="35" spans="1:14" x14ac:dyDescent="0.3">
      <c r="A35" t="s">
        <v>14</v>
      </c>
      <c r="B35" t="s">
        <v>122</v>
      </c>
      <c r="C35" t="s">
        <v>37</v>
      </c>
      <c r="D35" t="s">
        <v>23</v>
      </c>
      <c r="E35" t="s">
        <v>24</v>
      </c>
      <c r="F35" t="s">
        <v>123</v>
      </c>
      <c r="G35">
        <v>120977771</v>
      </c>
      <c r="H35" t="s">
        <v>124</v>
      </c>
      <c r="I35">
        <v>8866</v>
      </c>
      <c r="J35">
        <v>9.33</v>
      </c>
      <c r="K35">
        <v>6.92</v>
      </c>
      <c r="L35">
        <v>82719.78</v>
      </c>
      <c r="M35">
        <v>61352.72</v>
      </c>
      <c r="N35">
        <v>21367.06</v>
      </c>
    </row>
    <row r="36" spans="1:14" x14ac:dyDescent="0.3">
      <c r="A36" t="s">
        <v>14</v>
      </c>
      <c r="B36" t="s">
        <v>31</v>
      </c>
      <c r="C36" t="s">
        <v>58</v>
      </c>
      <c r="D36" t="s">
        <v>17</v>
      </c>
      <c r="E36" t="s">
        <v>33</v>
      </c>
      <c r="F36" t="s">
        <v>125</v>
      </c>
      <c r="G36">
        <v>476991450</v>
      </c>
      <c r="H36" t="s">
        <v>126</v>
      </c>
      <c r="I36">
        <v>1225</v>
      </c>
      <c r="J36">
        <v>152.58000000000001</v>
      </c>
      <c r="K36">
        <v>97.44</v>
      </c>
      <c r="L36">
        <v>186910.5</v>
      </c>
      <c r="M36">
        <v>119364</v>
      </c>
      <c r="N36">
        <v>67546.5</v>
      </c>
    </row>
    <row r="37" spans="1:14" x14ac:dyDescent="0.3">
      <c r="A37" t="s">
        <v>14</v>
      </c>
      <c r="B37" t="s">
        <v>127</v>
      </c>
      <c r="C37" t="s">
        <v>16</v>
      </c>
      <c r="D37" t="s">
        <v>23</v>
      </c>
      <c r="E37" t="s">
        <v>54</v>
      </c>
      <c r="F37" t="s">
        <v>128</v>
      </c>
      <c r="G37">
        <v>973268353</v>
      </c>
      <c r="H37" t="s">
        <v>129</v>
      </c>
      <c r="I37">
        <v>589</v>
      </c>
      <c r="J37">
        <v>47.45</v>
      </c>
      <c r="K37">
        <v>31.79</v>
      </c>
      <c r="L37">
        <v>27948.05</v>
      </c>
      <c r="M37">
        <v>18724.310000000001</v>
      </c>
      <c r="N37">
        <v>9223.74</v>
      </c>
    </row>
    <row r="38" spans="1:14" x14ac:dyDescent="0.3">
      <c r="A38" t="s">
        <v>14</v>
      </c>
      <c r="B38" t="s">
        <v>53</v>
      </c>
      <c r="C38" t="s">
        <v>46</v>
      </c>
      <c r="D38" t="s">
        <v>17</v>
      </c>
      <c r="E38" t="s">
        <v>33</v>
      </c>
      <c r="F38" t="s">
        <v>130</v>
      </c>
      <c r="G38">
        <v>771674382</v>
      </c>
      <c r="H38" t="s">
        <v>131</v>
      </c>
      <c r="I38">
        <v>4453</v>
      </c>
      <c r="J38">
        <v>154.06</v>
      </c>
      <c r="K38">
        <v>90.93</v>
      </c>
      <c r="L38">
        <v>686029.18</v>
      </c>
      <c r="M38">
        <v>404911.29</v>
      </c>
      <c r="N38">
        <v>281117.89</v>
      </c>
    </row>
    <row r="39" spans="1:14" x14ac:dyDescent="0.3">
      <c r="A39" t="s">
        <v>14</v>
      </c>
      <c r="B39" t="s">
        <v>132</v>
      </c>
      <c r="C39" t="s">
        <v>37</v>
      </c>
      <c r="D39" t="s">
        <v>23</v>
      </c>
      <c r="E39" t="s">
        <v>33</v>
      </c>
      <c r="F39" t="s">
        <v>133</v>
      </c>
      <c r="G39">
        <v>291995418</v>
      </c>
      <c r="H39" t="s">
        <v>134</v>
      </c>
      <c r="I39">
        <v>6788</v>
      </c>
      <c r="J39">
        <v>9.33</v>
      </c>
      <c r="K39">
        <v>6.92</v>
      </c>
      <c r="L39">
        <v>63332.04</v>
      </c>
      <c r="M39">
        <v>46972.959999999999</v>
      </c>
      <c r="N39">
        <v>16359.08</v>
      </c>
    </row>
    <row r="40" spans="1:14" x14ac:dyDescent="0.3">
      <c r="A40" t="s">
        <v>14</v>
      </c>
      <c r="B40" t="s">
        <v>135</v>
      </c>
      <c r="C40" t="s">
        <v>64</v>
      </c>
      <c r="D40" t="s">
        <v>23</v>
      </c>
      <c r="E40" t="s">
        <v>24</v>
      </c>
      <c r="F40" t="s">
        <v>136</v>
      </c>
      <c r="G40">
        <v>128686225</v>
      </c>
      <c r="H40" t="s">
        <v>137</v>
      </c>
      <c r="I40">
        <v>9968</v>
      </c>
      <c r="J40">
        <v>255.28</v>
      </c>
      <c r="K40">
        <v>159.41999999999999</v>
      </c>
      <c r="L40">
        <v>2544631.04</v>
      </c>
      <c r="M40">
        <v>1589098.56</v>
      </c>
      <c r="N40">
        <v>955532.48</v>
      </c>
    </row>
    <row r="41" spans="1:14" x14ac:dyDescent="0.3">
      <c r="A41" t="s">
        <v>14</v>
      </c>
      <c r="B41" t="s">
        <v>138</v>
      </c>
      <c r="C41" t="s">
        <v>75</v>
      </c>
      <c r="D41" t="s">
        <v>17</v>
      </c>
      <c r="E41" t="s">
        <v>33</v>
      </c>
      <c r="F41" t="s">
        <v>139</v>
      </c>
      <c r="G41">
        <v>420875346</v>
      </c>
      <c r="H41" t="s">
        <v>140</v>
      </c>
      <c r="I41">
        <v>5223</v>
      </c>
      <c r="J41">
        <v>437.2</v>
      </c>
      <c r="K41">
        <v>263.33</v>
      </c>
      <c r="L41">
        <v>2283495.6</v>
      </c>
      <c r="M41">
        <v>1375372.59</v>
      </c>
      <c r="N41">
        <v>908123.01</v>
      </c>
    </row>
    <row r="42" spans="1:14" x14ac:dyDescent="0.3">
      <c r="A42" t="s">
        <v>14</v>
      </c>
      <c r="B42" t="s">
        <v>141</v>
      </c>
      <c r="C42" t="s">
        <v>46</v>
      </c>
      <c r="D42" t="s">
        <v>23</v>
      </c>
      <c r="E42" t="s">
        <v>18</v>
      </c>
      <c r="F42" t="s">
        <v>142</v>
      </c>
      <c r="G42">
        <v>476633536</v>
      </c>
      <c r="H42" t="s">
        <v>143</v>
      </c>
      <c r="I42">
        <v>5310</v>
      </c>
      <c r="J42">
        <v>154.06</v>
      </c>
      <c r="K42">
        <v>90.93</v>
      </c>
      <c r="L42">
        <v>818058.6</v>
      </c>
      <c r="M42">
        <v>482838.3</v>
      </c>
      <c r="N42">
        <v>335220.3</v>
      </c>
    </row>
    <row r="43" spans="1:14" x14ac:dyDescent="0.3">
      <c r="A43" t="s">
        <v>14</v>
      </c>
      <c r="B43" t="s">
        <v>105</v>
      </c>
      <c r="C43" t="s">
        <v>46</v>
      </c>
      <c r="D43" t="s">
        <v>17</v>
      </c>
      <c r="E43" t="s">
        <v>18</v>
      </c>
      <c r="F43" t="s">
        <v>144</v>
      </c>
      <c r="G43">
        <v>727997720</v>
      </c>
      <c r="H43" t="s">
        <v>145</v>
      </c>
      <c r="I43">
        <v>9558</v>
      </c>
      <c r="J43">
        <v>154.06</v>
      </c>
      <c r="K43">
        <v>90.93</v>
      </c>
      <c r="L43">
        <v>1472505.48</v>
      </c>
      <c r="M43">
        <v>869108.94</v>
      </c>
      <c r="N43">
        <v>603396.54</v>
      </c>
    </row>
    <row r="44" spans="1:14" x14ac:dyDescent="0.3">
      <c r="A44" t="s">
        <v>14</v>
      </c>
      <c r="B44" t="s">
        <v>146</v>
      </c>
      <c r="C44" t="s">
        <v>102</v>
      </c>
      <c r="D44" t="s">
        <v>23</v>
      </c>
      <c r="E44" t="s">
        <v>24</v>
      </c>
      <c r="F44" t="s">
        <v>147</v>
      </c>
      <c r="G44">
        <v>467045819</v>
      </c>
      <c r="H44" t="s">
        <v>148</v>
      </c>
      <c r="I44">
        <v>8092</v>
      </c>
      <c r="J44">
        <v>81.73</v>
      </c>
      <c r="K44">
        <v>56.67</v>
      </c>
      <c r="L44">
        <v>661359.16</v>
      </c>
      <c r="M44">
        <v>458573.64</v>
      </c>
      <c r="N44">
        <v>202785.52</v>
      </c>
    </row>
    <row r="45" spans="1:14" x14ac:dyDescent="0.3">
      <c r="A45" t="s">
        <v>14</v>
      </c>
      <c r="B45" t="s">
        <v>132</v>
      </c>
      <c r="C45" t="s">
        <v>75</v>
      </c>
      <c r="D45" t="s">
        <v>17</v>
      </c>
      <c r="E45" t="s">
        <v>18</v>
      </c>
      <c r="F45" t="s">
        <v>149</v>
      </c>
      <c r="G45">
        <v>813973891</v>
      </c>
      <c r="H45" t="s">
        <v>150</v>
      </c>
      <c r="I45">
        <v>1818</v>
      </c>
      <c r="J45">
        <v>437.2</v>
      </c>
      <c r="K45">
        <v>263.33</v>
      </c>
      <c r="L45">
        <v>794829.6</v>
      </c>
      <c r="M45">
        <v>478733.94</v>
      </c>
      <c r="N45">
        <v>316095.65999999997</v>
      </c>
    </row>
    <row r="46" spans="1:14" x14ac:dyDescent="0.3">
      <c r="A46" t="s">
        <v>14</v>
      </c>
      <c r="B46" t="s">
        <v>141</v>
      </c>
      <c r="C46" t="s">
        <v>75</v>
      </c>
      <c r="D46" t="s">
        <v>17</v>
      </c>
      <c r="E46" t="s">
        <v>33</v>
      </c>
      <c r="F46" t="s">
        <v>151</v>
      </c>
      <c r="G46">
        <v>576944720</v>
      </c>
      <c r="H46" t="s">
        <v>152</v>
      </c>
      <c r="I46">
        <v>9619</v>
      </c>
      <c r="J46">
        <v>437.2</v>
      </c>
      <c r="K46">
        <v>263.33</v>
      </c>
      <c r="L46">
        <v>4205426.8</v>
      </c>
      <c r="M46">
        <v>2532971.27</v>
      </c>
      <c r="N46">
        <v>1672455.53</v>
      </c>
    </row>
    <row r="47" spans="1:14" x14ac:dyDescent="0.3">
      <c r="A47" t="s">
        <v>14</v>
      </c>
      <c r="B47" t="s">
        <v>86</v>
      </c>
      <c r="C47" t="s">
        <v>64</v>
      </c>
      <c r="D47" t="s">
        <v>23</v>
      </c>
      <c r="E47" t="s">
        <v>33</v>
      </c>
      <c r="F47" t="s">
        <v>153</v>
      </c>
      <c r="G47">
        <v>404789817</v>
      </c>
      <c r="H47" t="s">
        <v>154</v>
      </c>
      <c r="I47">
        <v>5157</v>
      </c>
      <c r="J47">
        <v>255.28</v>
      </c>
      <c r="K47">
        <v>159.41999999999999</v>
      </c>
      <c r="L47">
        <v>1316478.96</v>
      </c>
      <c r="M47">
        <v>822128.94</v>
      </c>
      <c r="N47">
        <v>494350.02</v>
      </c>
    </row>
    <row r="48" spans="1:14" x14ac:dyDescent="0.3">
      <c r="A48" t="s">
        <v>14</v>
      </c>
      <c r="B48" t="s">
        <v>21</v>
      </c>
      <c r="C48" t="s">
        <v>64</v>
      </c>
      <c r="D48" t="s">
        <v>23</v>
      </c>
      <c r="E48" t="s">
        <v>18</v>
      </c>
      <c r="F48" t="s">
        <v>155</v>
      </c>
      <c r="G48">
        <v>871923768</v>
      </c>
      <c r="H48" t="s">
        <v>156</v>
      </c>
      <c r="I48">
        <v>474</v>
      </c>
      <c r="J48">
        <v>255.28</v>
      </c>
      <c r="K48">
        <v>159.41999999999999</v>
      </c>
      <c r="L48">
        <v>121002.72</v>
      </c>
      <c r="M48">
        <v>75565.08</v>
      </c>
      <c r="N48">
        <v>45437.64</v>
      </c>
    </row>
    <row r="49" spans="1:14" x14ac:dyDescent="0.3">
      <c r="A49" t="s">
        <v>14</v>
      </c>
      <c r="B49" t="s">
        <v>132</v>
      </c>
      <c r="C49" t="s">
        <v>46</v>
      </c>
      <c r="D49" t="s">
        <v>17</v>
      </c>
      <c r="E49" t="s">
        <v>18</v>
      </c>
      <c r="F49" t="s">
        <v>157</v>
      </c>
      <c r="G49">
        <v>818976962</v>
      </c>
      <c r="H49" t="s">
        <v>158</v>
      </c>
      <c r="I49">
        <v>2337</v>
      </c>
      <c r="J49">
        <v>154.06</v>
      </c>
      <c r="K49">
        <v>90.93</v>
      </c>
      <c r="L49">
        <v>360038.22</v>
      </c>
      <c r="M49">
        <v>212503.41</v>
      </c>
      <c r="N49">
        <v>147534.81</v>
      </c>
    </row>
    <row r="50" spans="1:14" x14ac:dyDescent="0.3">
      <c r="A50" t="s">
        <v>14</v>
      </c>
      <c r="B50" t="s">
        <v>49</v>
      </c>
      <c r="C50" t="s">
        <v>75</v>
      </c>
      <c r="D50" t="s">
        <v>23</v>
      </c>
      <c r="E50" t="s">
        <v>18</v>
      </c>
      <c r="F50" t="s">
        <v>159</v>
      </c>
      <c r="G50">
        <v>233811223</v>
      </c>
      <c r="H50" t="s">
        <v>159</v>
      </c>
      <c r="I50">
        <v>8792</v>
      </c>
      <c r="J50">
        <v>437.2</v>
      </c>
      <c r="K50">
        <v>263.33</v>
      </c>
      <c r="L50">
        <v>3843862.4</v>
      </c>
      <c r="M50">
        <v>2315197.36</v>
      </c>
      <c r="N50">
        <v>1528665.04</v>
      </c>
    </row>
    <row r="51" spans="1:14" x14ac:dyDescent="0.3">
      <c r="A51" t="s">
        <v>14</v>
      </c>
      <c r="B51" t="s">
        <v>138</v>
      </c>
      <c r="C51" t="s">
        <v>32</v>
      </c>
      <c r="D51" t="s">
        <v>17</v>
      </c>
      <c r="E51" t="s">
        <v>18</v>
      </c>
      <c r="F51" t="s">
        <v>160</v>
      </c>
      <c r="G51">
        <v>112330758</v>
      </c>
      <c r="H51" t="s">
        <v>161</v>
      </c>
      <c r="I51">
        <v>22</v>
      </c>
      <c r="J51">
        <v>651.21</v>
      </c>
      <c r="K51">
        <v>524.96</v>
      </c>
      <c r="L51">
        <v>14326.62</v>
      </c>
      <c r="M51">
        <v>11549.12</v>
      </c>
      <c r="N51">
        <v>2777.5</v>
      </c>
    </row>
    <row r="52" spans="1:14" x14ac:dyDescent="0.3">
      <c r="A52" t="s">
        <v>14</v>
      </c>
      <c r="B52" t="s">
        <v>40</v>
      </c>
      <c r="C52" t="s">
        <v>32</v>
      </c>
      <c r="D52" t="s">
        <v>17</v>
      </c>
      <c r="E52" t="s">
        <v>54</v>
      </c>
      <c r="F52" t="s">
        <v>144</v>
      </c>
      <c r="G52">
        <v>256095016</v>
      </c>
      <c r="H52" t="s">
        <v>162</v>
      </c>
      <c r="I52">
        <v>3061</v>
      </c>
      <c r="J52">
        <v>651.21</v>
      </c>
      <c r="K52">
        <v>524.96</v>
      </c>
      <c r="L52">
        <v>1993353.81</v>
      </c>
      <c r="M52">
        <v>1606902.56</v>
      </c>
      <c r="N52">
        <v>386451.25</v>
      </c>
    </row>
    <row r="53" spans="1:14" x14ac:dyDescent="0.3">
      <c r="A53" t="s">
        <v>14</v>
      </c>
      <c r="B53" t="s">
        <v>163</v>
      </c>
      <c r="C53" t="s">
        <v>50</v>
      </c>
      <c r="D53" t="s">
        <v>23</v>
      </c>
      <c r="E53" t="s">
        <v>33</v>
      </c>
      <c r="F53" t="s">
        <v>164</v>
      </c>
      <c r="G53">
        <v>245440852</v>
      </c>
      <c r="H53" t="s">
        <v>165</v>
      </c>
      <c r="I53">
        <v>257</v>
      </c>
      <c r="J53">
        <v>421.89</v>
      </c>
      <c r="K53">
        <v>364.69</v>
      </c>
      <c r="L53">
        <v>108425.73</v>
      </c>
      <c r="M53">
        <v>93725.33</v>
      </c>
      <c r="N53">
        <v>14700.4</v>
      </c>
    </row>
    <row r="54" spans="1:14" x14ac:dyDescent="0.3">
      <c r="A54" t="s">
        <v>14</v>
      </c>
      <c r="B54" t="s">
        <v>166</v>
      </c>
      <c r="C54" t="s">
        <v>37</v>
      </c>
      <c r="D54" t="s">
        <v>23</v>
      </c>
      <c r="E54" t="s">
        <v>54</v>
      </c>
      <c r="F54" t="s">
        <v>167</v>
      </c>
      <c r="G54">
        <v>817006289</v>
      </c>
      <c r="H54" t="s">
        <v>168</v>
      </c>
      <c r="I54">
        <v>9172</v>
      </c>
      <c r="J54">
        <v>9.33</v>
      </c>
      <c r="K54">
        <v>6.92</v>
      </c>
      <c r="L54">
        <v>85574.76</v>
      </c>
      <c r="M54">
        <v>63470.239999999998</v>
      </c>
      <c r="N54">
        <v>22104.52</v>
      </c>
    </row>
    <row r="55" spans="1:14" x14ac:dyDescent="0.3">
      <c r="A55" t="s">
        <v>14</v>
      </c>
      <c r="B55" t="s">
        <v>169</v>
      </c>
      <c r="C55" t="s">
        <v>46</v>
      </c>
      <c r="D55" t="s">
        <v>23</v>
      </c>
      <c r="E55" t="s">
        <v>54</v>
      </c>
      <c r="F55" t="s">
        <v>170</v>
      </c>
      <c r="G55">
        <v>298228013</v>
      </c>
      <c r="H55" t="s">
        <v>171</v>
      </c>
      <c r="I55">
        <v>1151</v>
      </c>
      <c r="J55">
        <v>154.06</v>
      </c>
      <c r="K55">
        <v>90.93</v>
      </c>
      <c r="L55">
        <v>177323.06</v>
      </c>
      <c r="M55">
        <v>104660.43</v>
      </c>
      <c r="N55">
        <v>72662.63</v>
      </c>
    </row>
    <row r="56" spans="1:14" x14ac:dyDescent="0.3">
      <c r="A56" t="s">
        <v>14</v>
      </c>
      <c r="B56" t="s">
        <v>80</v>
      </c>
      <c r="C56" t="s">
        <v>58</v>
      </c>
      <c r="D56" t="s">
        <v>23</v>
      </c>
      <c r="E56" t="s">
        <v>18</v>
      </c>
      <c r="F56" t="s">
        <v>172</v>
      </c>
      <c r="G56">
        <v>972981679</v>
      </c>
      <c r="H56" t="s">
        <v>173</v>
      </c>
      <c r="I56">
        <v>5755</v>
      </c>
      <c r="J56">
        <v>152.58000000000001</v>
      </c>
      <c r="K56">
        <v>97.44</v>
      </c>
      <c r="L56">
        <v>878097.9</v>
      </c>
      <c r="M56">
        <v>560767.19999999995</v>
      </c>
      <c r="N56">
        <v>317330.7</v>
      </c>
    </row>
    <row r="57" spans="1:14" x14ac:dyDescent="0.3">
      <c r="A57" t="s">
        <v>14</v>
      </c>
      <c r="B57" t="s">
        <v>115</v>
      </c>
      <c r="C57" t="s">
        <v>102</v>
      </c>
      <c r="D57" t="s">
        <v>17</v>
      </c>
      <c r="E57" t="s">
        <v>24</v>
      </c>
      <c r="F57" t="s">
        <v>174</v>
      </c>
      <c r="G57">
        <v>594813811</v>
      </c>
      <c r="H57" t="s">
        <v>175</v>
      </c>
      <c r="I57">
        <v>7480</v>
      </c>
      <c r="J57">
        <v>81.73</v>
      </c>
      <c r="K57">
        <v>56.67</v>
      </c>
      <c r="L57">
        <v>611340.4</v>
      </c>
      <c r="M57">
        <v>423891.6</v>
      </c>
      <c r="N57">
        <v>187448.8</v>
      </c>
    </row>
    <row r="58" spans="1:14" x14ac:dyDescent="0.3">
      <c r="A58" t="s">
        <v>14</v>
      </c>
      <c r="B58" t="s">
        <v>36</v>
      </c>
      <c r="C58" t="s">
        <v>22</v>
      </c>
      <c r="D58" t="s">
        <v>23</v>
      </c>
      <c r="E58" t="s">
        <v>54</v>
      </c>
      <c r="F58" t="s">
        <v>176</v>
      </c>
      <c r="G58">
        <v>176722657</v>
      </c>
      <c r="H58" t="s">
        <v>177</v>
      </c>
      <c r="I58">
        <v>5016</v>
      </c>
      <c r="J58">
        <v>109.28</v>
      </c>
      <c r="K58">
        <v>35.840000000000003</v>
      </c>
      <c r="L58">
        <v>548148.47999999998</v>
      </c>
      <c r="M58">
        <v>179773.44</v>
      </c>
      <c r="N58">
        <v>368375.03999999998</v>
      </c>
    </row>
    <row r="59" spans="1:14" x14ac:dyDescent="0.3">
      <c r="A59" t="s">
        <v>14</v>
      </c>
      <c r="B59" t="s">
        <v>100</v>
      </c>
      <c r="C59" t="s">
        <v>102</v>
      </c>
      <c r="D59" t="s">
        <v>17</v>
      </c>
      <c r="E59" t="s">
        <v>24</v>
      </c>
      <c r="F59" t="s">
        <v>178</v>
      </c>
      <c r="G59">
        <v>466988742</v>
      </c>
      <c r="H59" t="s">
        <v>178</v>
      </c>
      <c r="I59">
        <v>1201</v>
      </c>
      <c r="J59">
        <v>81.73</v>
      </c>
      <c r="K59">
        <v>56.67</v>
      </c>
      <c r="L59">
        <v>98157.73</v>
      </c>
      <c r="M59">
        <v>68060.67</v>
      </c>
      <c r="N59">
        <v>30097.06</v>
      </c>
    </row>
    <row r="60" spans="1:14" x14ac:dyDescent="0.3">
      <c r="A60" t="s">
        <v>14</v>
      </c>
      <c r="B60" t="s">
        <v>86</v>
      </c>
      <c r="C60" t="s">
        <v>28</v>
      </c>
      <c r="D60" t="s">
        <v>23</v>
      </c>
      <c r="E60" t="s">
        <v>18</v>
      </c>
      <c r="F60" t="s">
        <v>179</v>
      </c>
      <c r="G60">
        <v>615080583</v>
      </c>
      <c r="H60" t="s">
        <v>180</v>
      </c>
      <c r="I60">
        <v>4868</v>
      </c>
      <c r="J60">
        <v>205.7</v>
      </c>
      <c r="K60">
        <v>117.11</v>
      </c>
      <c r="L60">
        <v>1001347.6</v>
      </c>
      <c r="M60">
        <v>570091.48</v>
      </c>
      <c r="N60">
        <v>431256.12</v>
      </c>
    </row>
    <row r="61" spans="1:14" x14ac:dyDescent="0.3">
      <c r="A61" t="s">
        <v>14</v>
      </c>
      <c r="B61" t="s">
        <v>181</v>
      </c>
      <c r="C61" t="s">
        <v>75</v>
      </c>
      <c r="D61" t="s">
        <v>23</v>
      </c>
      <c r="E61" t="s">
        <v>18</v>
      </c>
      <c r="F61" t="s">
        <v>182</v>
      </c>
      <c r="G61">
        <v>350977408</v>
      </c>
      <c r="H61" t="s">
        <v>76</v>
      </c>
      <c r="I61">
        <v>869</v>
      </c>
      <c r="J61">
        <v>437.2</v>
      </c>
      <c r="K61">
        <v>263.33</v>
      </c>
      <c r="L61">
        <v>379926.8</v>
      </c>
      <c r="M61">
        <v>228833.77</v>
      </c>
      <c r="N61">
        <v>151093.03</v>
      </c>
    </row>
    <row r="62" spans="1:14" x14ac:dyDescent="0.3">
      <c r="A62" t="s">
        <v>14</v>
      </c>
      <c r="B62" t="s">
        <v>183</v>
      </c>
      <c r="C62" t="s">
        <v>102</v>
      </c>
      <c r="D62" t="s">
        <v>17</v>
      </c>
      <c r="E62" t="s">
        <v>24</v>
      </c>
      <c r="F62" t="s">
        <v>184</v>
      </c>
      <c r="G62">
        <v>701298367</v>
      </c>
      <c r="H62" t="s">
        <v>139</v>
      </c>
      <c r="I62">
        <v>8626</v>
      </c>
      <c r="J62">
        <v>81.73</v>
      </c>
      <c r="K62">
        <v>56.67</v>
      </c>
      <c r="L62">
        <v>705002.98</v>
      </c>
      <c r="M62">
        <v>488835.42</v>
      </c>
      <c r="N62">
        <v>216167.56</v>
      </c>
    </row>
    <row r="63" spans="1:14" x14ac:dyDescent="0.3">
      <c r="A63" t="s">
        <v>14</v>
      </c>
      <c r="B63" t="s">
        <v>185</v>
      </c>
      <c r="C63" t="s">
        <v>102</v>
      </c>
      <c r="D63" t="s">
        <v>23</v>
      </c>
      <c r="E63" t="s">
        <v>18</v>
      </c>
      <c r="F63" t="s">
        <v>186</v>
      </c>
      <c r="G63">
        <v>309342658</v>
      </c>
      <c r="H63" t="s">
        <v>187</v>
      </c>
      <c r="I63">
        <v>222</v>
      </c>
      <c r="J63">
        <v>81.73</v>
      </c>
      <c r="K63">
        <v>56.67</v>
      </c>
      <c r="L63">
        <v>18144.060000000001</v>
      </c>
      <c r="M63">
        <v>12580.74</v>
      </c>
      <c r="N63">
        <v>5563.32</v>
      </c>
    </row>
    <row r="64" spans="1:14" x14ac:dyDescent="0.3">
      <c r="A64" t="s">
        <v>14</v>
      </c>
      <c r="B64" t="s">
        <v>115</v>
      </c>
      <c r="C64" t="s">
        <v>71</v>
      </c>
      <c r="D64" t="s">
        <v>17</v>
      </c>
      <c r="E64" t="s">
        <v>24</v>
      </c>
      <c r="F64" t="s">
        <v>188</v>
      </c>
      <c r="G64">
        <v>384128224</v>
      </c>
      <c r="H64" t="s">
        <v>189</v>
      </c>
      <c r="I64">
        <v>933</v>
      </c>
      <c r="J64">
        <v>668.27</v>
      </c>
      <c r="K64">
        <v>502.54</v>
      </c>
      <c r="L64">
        <v>623495.91</v>
      </c>
      <c r="M64">
        <v>468869.82</v>
      </c>
      <c r="N64">
        <v>154626.09</v>
      </c>
    </row>
    <row r="65" spans="1:14" x14ac:dyDescent="0.3">
      <c r="A65" t="s">
        <v>14</v>
      </c>
      <c r="B65" t="s">
        <v>67</v>
      </c>
      <c r="C65" t="s">
        <v>71</v>
      </c>
      <c r="D65" t="s">
        <v>17</v>
      </c>
      <c r="E65" t="s">
        <v>18</v>
      </c>
      <c r="F65" t="s">
        <v>190</v>
      </c>
      <c r="G65">
        <v>990774810</v>
      </c>
      <c r="H65" t="s">
        <v>191</v>
      </c>
      <c r="I65">
        <v>1138</v>
      </c>
      <c r="J65">
        <v>668.27</v>
      </c>
      <c r="K65">
        <v>502.54</v>
      </c>
      <c r="L65">
        <v>760491.26</v>
      </c>
      <c r="M65">
        <v>571890.52</v>
      </c>
      <c r="N65">
        <v>188600.74</v>
      </c>
    </row>
    <row r="66" spans="1:14" x14ac:dyDescent="0.3">
      <c r="A66" t="s">
        <v>14</v>
      </c>
      <c r="B66" t="s">
        <v>57</v>
      </c>
      <c r="C66" t="s">
        <v>46</v>
      </c>
      <c r="D66" t="s">
        <v>17</v>
      </c>
      <c r="E66" t="s">
        <v>18</v>
      </c>
      <c r="F66" t="s">
        <v>192</v>
      </c>
      <c r="G66">
        <v>394110763</v>
      </c>
      <c r="H66" t="s">
        <v>193</v>
      </c>
      <c r="I66">
        <v>4988</v>
      </c>
      <c r="J66">
        <v>154.06</v>
      </c>
      <c r="K66">
        <v>90.93</v>
      </c>
      <c r="L66">
        <v>768451.28</v>
      </c>
      <c r="M66">
        <v>453558.84</v>
      </c>
      <c r="N66">
        <v>314892.44</v>
      </c>
    </row>
    <row r="67" spans="1:14" x14ac:dyDescent="0.3">
      <c r="A67" t="s">
        <v>14</v>
      </c>
      <c r="B67" t="s">
        <v>132</v>
      </c>
      <c r="C67" t="s">
        <v>37</v>
      </c>
      <c r="D67" t="s">
        <v>23</v>
      </c>
      <c r="E67" t="s">
        <v>18</v>
      </c>
      <c r="F67" t="s">
        <v>194</v>
      </c>
      <c r="G67">
        <v>899868094</v>
      </c>
      <c r="H67" t="s">
        <v>195</v>
      </c>
      <c r="I67">
        <v>9821</v>
      </c>
      <c r="J67">
        <v>9.33</v>
      </c>
      <c r="K67">
        <v>6.92</v>
      </c>
      <c r="L67">
        <v>91629.93</v>
      </c>
      <c r="M67">
        <v>67961.320000000007</v>
      </c>
      <c r="N67">
        <v>23668.61</v>
      </c>
    </row>
    <row r="68" spans="1:14" x14ac:dyDescent="0.3">
      <c r="A68" t="s">
        <v>14</v>
      </c>
      <c r="B68" t="s">
        <v>196</v>
      </c>
      <c r="C68" t="s">
        <v>64</v>
      </c>
      <c r="D68" t="s">
        <v>17</v>
      </c>
      <c r="E68" t="s">
        <v>33</v>
      </c>
      <c r="F68" t="s">
        <v>197</v>
      </c>
      <c r="G68">
        <v>361311852</v>
      </c>
      <c r="H68" t="s">
        <v>198</v>
      </c>
      <c r="I68">
        <v>9061</v>
      </c>
      <c r="J68">
        <v>255.28</v>
      </c>
      <c r="K68">
        <v>159.41999999999999</v>
      </c>
      <c r="L68">
        <v>2313092.08</v>
      </c>
      <c r="M68">
        <v>1444504.62</v>
      </c>
      <c r="N68">
        <v>868587.46</v>
      </c>
    </row>
    <row r="69" spans="1:14" x14ac:dyDescent="0.3">
      <c r="A69" t="s">
        <v>14</v>
      </c>
      <c r="B69" t="s">
        <v>135</v>
      </c>
      <c r="C69" t="s">
        <v>16</v>
      </c>
      <c r="D69" t="s">
        <v>23</v>
      </c>
      <c r="E69" t="s">
        <v>33</v>
      </c>
      <c r="F69" t="s">
        <v>199</v>
      </c>
      <c r="G69">
        <v>930136287</v>
      </c>
      <c r="H69" t="s">
        <v>200</v>
      </c>
      <c r="I69">
        <v>6852</v>
      </c>
      <c r="J69">
        <v>47.45</v>
      </c>
      <c r="K69">
        <v>31.79</v>
      </c>
      <c r="L69">
        <v>325127.40000000002</v>
      </c>
      <c r="M69">
        <v>217825.08</v>
      </c>
      <c r="N69">
        <v>107302.32</v>
      </c>
    </row>
    <row r="70" spans="1:14" x14ac:dyDescent="0.3">
      <c r="A70" t="s">
        <v>14</v>
      </c>
      <c r="B70" t="s">
        <v>31</v>
      </c>
      <c r="C70" t="s">
        <v>75</v>
      </c>
      <c r="D70" t="s">
        <v>23</v>
      </c>
      <c r="E70" t="s">
        <v>18</v>
      </c>
      <c r="F70" t="s">
        <v>201</v>
      </c>
      <c r="G70">
        <v>179819428</v>
      </c>
      <c r="H70" t="s">
        <v>202</v>
      </c>
      <c r="I70">
        <v>1420</v>
      </c>
      <c r="J70">
        <v>437.2</v>
      </c>
      <c r="K70">
        <v>263.33</v>
      </c>
      <c r="L70">
        <v>620824</v>
      </c>
      <c r="M70">
        <v>373928.6</v>
      </c>
      <c r="N70">
        <v>246895.4</v>
      </c>
    </row>
    <row r="71" spans="1:14" x14ac:dyDescent="0.3">
      <c r="A71" t="s">
        <v>14</v>
      </c>
      <c r="B71" t="s">
        <v>21</v>
      </c>
      <c r="C71" t="s">
        <v>37</v>
      </c>
      <c r="D71" t="s">
        <v>23</v>
      </c>
      <c r="E71" t="s">
        <v>54</v>
      </c>
      <c r="F71" t="s">
        <v>203</v>
      </c>
      <c r="G71">
        <v>291305768</v>
      </c>
      <c r="H71" t="s">
        <v>204</v>
      </c>
      <c r="I71">
        <v>2705</v>
      </c>
      <c r="J71">
        <v>9.33</v>
      </c>
      <c r="K71">
        <v>6.92</v>
      </c>
      <c r="L71">
        <v>25237.65</v>
      </c>
      <c r="M71">
        <v>18718.599999999999</v>
      </c>
      <c r="N71">
        <v>6519.05</v>
      </c>
    </row>
    <row r="72" spans="1:14" x14ac:dyDescent="0.3">
      <c r="A72" t="s">
        <v>14</v>
      </c>
      <c r="B72" t="s">
        <v>70</v>
      </c>
      <c r="C72" t="s">
        <v>102</v>
      </c>
      <c r="D72" t="s">
        <v>23</v>
      </c>
      <c r="E72" t="s">
        <v>33</v>
      </c>
      <c r="F72" t="s">
        <v>205</v>
      </c>
      <c r="G72">
        <v>602357041</v>
      </c>
      <c r="H72" t="s">
        <v>206</v>
      </c>
      <c r="I72">
        <v>9689</v>
      </c>
      <c r="J72">
        <v>81.73</v>
      </c>
      <c r="K72">
        <v>56.67</v>
      </c>
      <c r="L72">
        <v>791881.97</v>
      </c>
      <c r="M72">
        <v>549075.63</v>
      </c>
      <c r="N72">
        <v>242806.34</v>
      </c>
    </row>
    <row r="73" spans="1:14" x14ac:dyDescent="0.3">
      <c r="A73" t="s">
        <v>14</v>
      </c>
      <c r="B73" t="s">
        <v>141</v>
      </c>
      <c r="C73" t="s">
        <v>58</v>
      </c>
      <c r="D73" t="s">
        <v>23</v>
      </c>
      <c r="E73" t="s">
        <v>54</v>
      </c>
      <c r="F73" t="s">
        <v>207</v>
      </c>
      <c r="G73">
        <v>653087270</v>
      </c>
      <c r="H73" t="s">
        <v>208</v>
      </c>
      <c r="I73">
        <v>1891</v>
      </c>
      <c r="J73">
        <v>152.58000000000001</v>
      </c>
      <c r="K73">
        <v>97.44</v>
      </c>
      <c r="L73">
        <v>288528.78000000003</v>
      </c>
      <c r="M73">
        <v>184259.04</v>
      </c>
      <c r="N73">
        <v>104269.74</v>
      </c>
    </row>
    <row r="74" spans="1:14" x14ac:dyDescent="0.3">
      <c r="A74" t="s">
        <v>14</v>
      </c>
      <c r="B74" t="s">
        <v>97</v>
      </c>
      <c r="C74" t="s">
        <v>37</v>
      </c>
      <c r="D74" t="s">
        <v>17</v>
      </c>
      <c r="E74" t="s">
        <v>24</v>
      </c>
      <c r="F74" t="s">
        <v>209</v>
      </c>
      <c r="G74">
        <v>812637078</v>
      </c>
      <c r="H74" t="s">
        <v>210</v>
      </c>
      <c r="I74">
        <v>6225</v>
      </c>
      <c r="J74">
        <v>9.33</v>
      </c>
      <c r="K74">
        <v>6.92</v>
      </c>
      <c r="L74">
        <v>58079.25</v>
      </c>
      <c r="M74">
        <v>43077</v>
      </c>
      <c r="N74">
        <v>15002.25</v>
      </c>
    </row>
    <row r="75" spans="1:14" x14ac:dyDescent="0.3">
      <c r="A75" t="s">
        <v>14</v>
      </c>
      <c r="B75" t="s">
        <v>181</v>
      </c>
      <c r="C75" t="s">
        <v>102</v>
      </c>
      <c r="D75" t="s">
        <v>23</v>
      </c>
      <c r="E75" t="s">
        <v>33</v>
      </c>
      <c r="F75" t="s">
        <v>145</v>
      </c>
      <c r="G75">
        <v>456192958</v>
      </c>
      <c r="H75" t="s">
        <v>211</v>
      </c>
      <c r="I75">
        <v>6489</v>
      </c>
      <c r="J75">
        <v>81.73</v>
      </c>
      <c r="K75">
        <v>56.67</v>
      </c>
      <c r="L75">
        <v>530345.97</v>
      </c>
      <c r="M75">
        <v>367731.63</v>
      </c>
      <c r="N75">
        <v>162614.34</v>
      </c>
    </row>
    <row r="76" spans="1:14" x14ac:dyDescent="0.3">
      <c r="A76" t="s">
        <v>14</v>
      </c>
      <c r="B76" t="s">
        <v>141</v>
      </c>
      <c r="C76" t="s">
        <v>50</v>
      </c>
      <c r="D76" t="s">
        <v>17</v>
      </c>
      <c r="E76" t="s">
        <v>54</v>
      </c>
      <c r="F76" t="s">
        <v>212</v>
      </c>
      <c r="G76">
        <v>986449801</v>
      </c>
      <c r="H76" t="s">
        <v>213</v>
      </c>
      <c r="I76">
        <v>1272</v>
      </c>
      <c r="J76">
        <v>421.89</v>
      </c>
      <c r="K76">
        <v>364.69</v>
      </c>
      <c r="L76">
        <v>536644.07999999996</v>
      </c>
      <c r="M76">
        <v>463885.68</v>
      </c>
      <c r="N76">
        <v>72758.399999999994</v>
      </c>
    </row>
    <row r="77" spans="1:14" x14ac:dyDescent="0.3">
      <c r="A77" t="s">
        <v>14</v>
      </c>
      <c r="B77" t="s">
        <v>169</v>
      </c>
      <c r="C77" t="s">
        <v>75</v>
      </c>
      <c r="D77" t="s">
        <v>23</v>
      </c>
      <c r="E77" t="s">
        <v>33</v>
      </c>
      <c r="F77" t="s">
        <v>214</v>
      </c>
      <c r="G77">
        <v>910610234</v>
      </c>
      <c r="H77" t="s">
        <v>215</v>
      </c>
      <c r="I77">
        <v>8659</v>
      </c>
      <c r="J77">
        <v>437.2</v>
      </c>
      <c r="K77">
        <v>263.33</v>
      </c>
      <c r="L77">
        <v>3785714.8</v>
      </c>
      <c r="M77">
        <v>2280174.4700000002</v>
      </c>
      <c r="N77">
        <v>1505540.33</v>
      </c>
    </row>
    <row r="78" spans="1:14" x14ac:dyDescent="0.3">
      <c r="A78" t="s">
        <v>14</v>
      </c>
      <c r="B78" t="s">
        <v>115</v>
      </c>
      <c r="C78" t="s">
        <v>50</v>
      </c>
      <c r="D78" t="s">
        <v>23</v>
      </c>
      <c r="E78" t="s">
        <v>24</v>
      </c>
      <c r="F78" t="s">
        <v>216</v>
      </c>
      <c r="G78">
        <v>696844613</v>
      </c>
      <c r="H78" t="s">
        <v>217</v>
      </c>
      <c r="I78">
        <v>661</v>
      </c>
      <c r="J78">
        <v>421.89</v>
      </c>
      <c r="K78">
        <v>364.69</v>
      </c>
      <c r="L78">
        <v>278869.28999999998</v>
      </c>
      <c r="M78">
        <v>241060.09</v>
      </c>
      <c r="N78">
        <v>37809.199999999997</v>
      </c>
    </row>
    <row r="79" spans="1:14" x14ac:dyDescent="0.3">
      <c r="A79" t="s">
        <v>14</v>
      </c>
      <c r="B79" t="s">
        <v>15</v>
      </c>
      <c r="C79" t="s">
        <v>102</v>
      </c>
      <c r="D79" t="s">
        <v>23</v>
      </c>
      <c r="E79" t="s">
        <v>24</v>
      </c>
      <c r="F79" t="s">
        <v>218</v>
      </c>
      <c r="G79">
        <v>353415429</v>
      </c>
      <c r="H79" t="s">
        <v>219</v>
      </c>
      <c r="I79">
        <v>2334</v>
      </c>
      <c r="J79">
        <v>81.73</v>
      </c>
      <c r="K79">
        <v>56.67</v>
      </c>
      <c r="L79">
        <v>190757.82</v>
      </c>
      <c r="M79">
        <v>132267.78</v>
      </c>
      <c r="N79">
        <v>58490.04</v>
      </c>
    </row>
    <row r="80" spans="1:14" x14ac:dyDescent="0.3">
      <c r="A80" t="s">
        <v>14</v>
      </c>
      <c r="B80" t="s">
        <v>220</v>
      </c>
      <c r="C80" t="s">
        <v>28</v>
      </c>
      <c r="D80" t="s">
        <v>23</v>
      </c>
      <c r="E80" t="s">
        <v>54</v>
      </c>
      <c r="F80" t="s">
        <v>221</v>
      </c>
      <c r="G80">
        <v>696197879</v>
      </c>
      <c r="H80" t="s">
        <v>222</v>
      </c>
      <c r="I80">
        <v>9278</v>
      </c>
      <c r="J80">
        <v>205.7</v>
      </c>
      <c r="K80">
        <v>117.11</v>
      </c>
      <c r="L80">
        <v>1908484.6</v>
      </c>
      <c r="M80">
        <v>1086546.58</v>
      </c>
      <c r="N80">
        <v>821938.02</v>
      </c>
    </row>
    <row r="81" spans="1:14" x14ac:dyDescent="0.3">
      <c r="A81" t="s">
        <v>14</v>
      </c>
      <c r="B81" t="s">
        <v>223</v>
      </c>
      <c r="C81" t="s">
        <v>75</v>
      </c>
      <c r="D81" t="s">
        <v>23</v>
      </c>
      <c r="E81" t="s">
        <v>18</v>
      </c>
      <c r="F81" t="s">
        <v>224</v>
      </c>
      <c r="G81">
        <v>907349526</v>
      </c>
      <c r="H81" t="s">
        <v>225</v>
      </c>
      <c r="I81">
        <v>3743</v>
      </c>
      <c r="J81">
        <v>437.2</v>
      </c>
      <c r="K81">
        <v>263.33</v>
      </c>
      <c r="L81">
        <v>1636439.6</v>
      </c>
      <c r="M81">
        <v>985644.19</v>
      </c>
      <c r="N81">
        <v>650795.41</v>
      </c>
    </row>
    <row r="82" spans="1:14" x14ac:dyDescent="0.3">
      <c r="A82" t="s">
        <v>14</v>
      </c>
      <c r="B82" t="s">
        <v>89</v>
      </c>
      <c r="C82" t="s">
        <v>102</v>
      </c>
      <c r="D82" t="s">
        <v>17</v>
      </c>
      <c r="E82" t="s">
        <v>18</v>
      </c>
      <c r="F82" t="s">
        <v>226</v>
      </c>
      <c r="G82">
        <v>386440074</v>
      </c>
      <c r="H82" t="s">
        <v>227</v>
      </c>
      <c r="I82">
        <v>5060</v>
      </c>
      <c r="J82">
        <v>81.73</v>
      </c>
      <c r="K82">
        <v>56.67</v>
      </c>
      <c r="L82">
        <v>413553.8</v>
      </c>
      <c r="M82">
        <v>286750.2</v>
      </c>
      <c r="N82">
        <v>126803.6</v>
      </c>
    </row>
    <row r="83" spans="1:14" x14ac:dyDescent="0.3">
      <c r="A83" t="s">
        <v>14</v>
      </c>
      <c r="B83" t="s">
        <v>53</v>
      </c>
      <c r="C83" t="s">
        <v>46</v>
      </c>
      <c r="D83" t="s">
        <v>23</v>
      </c>
      <c r="E83" t="s">
        <v>54</v>
      </c>
      <c r="F83" t="s">
        <v>228</v>
      </c>
      <c r="G83">
        <v>800352561</v>
      </c>
      <c r="H83" t="s">
        <v>229</v>
      </c>
      <c r="I83">
        <v>963</v>
      </c>
      <c r="J83">
        <v>154.06</v>
      </c>
      <c r="K83">
        <v>90.93</v>
      </c>
      <c r="L83">
        <v>148359.78</v>
      </c>
      <c r="M83">
        <v>87565.59</v>
      </c>
      <c r="N83">
        <v>60794.19</v>
      </c>
    </row>
    <row r="84" spans="1:14" x14ac:dyDescent="0.3">
      <c r="A84" t="s">
        <v>14</v>
      </c>
      <c r="B84" t="s">
        <v>89</v>
      </c>
      <c r="C84" t="s">
        <v>16</v>
      </c>
      <c r="D84" t="s">
        <v>17</v>
      </c>
      <c r="E84" t="s">
        <v>18</v>
      </c>
      <c r="F84" t="s">
        <v>230</v>
      </c>
      <c r="G84">
        <v>714165675</v>
      </c>
      <c r="H84" t="s">
        <v>231</v>
      </c>
      <c r="I84">
        <v>6348</v>
      </c>
      <c r="J84">
        <v>47.45</v>
      </c>
      <c r="K84">
        <v>31.79</v>
      </c>
      <c r="L84">
        <v>301212.59999999998</v>
      </c>
      <c r="M84">
        <v>201802.92</v>
      </c>
      <c r="N84">
        <v>99409.68</v>
      </c>
    </row>
    <row r="85" spans="1:14" x14ac:dyDescent="0.3">
      <c r="A85" t="s">
        <v>14</v>
      </c>
      <c r="B85" t="s">
        <v>232</v>
      </c>
      <c r="C85" t="s">
        <v>16</v>
      </c>
      <c r="D85" t="s">
        <v>17</v>
      </c>
      <c r="E85" t="s">
        <v>33</v>
      </c>
      <c r="F85" t="s">
        <v>233</v>
      </c>
      <c r="G85">
        <v>189924275</v>
      </c>
      <c r="H85" t="s">
        <v>131</v>
      </c>
      <c r="I85">
        <v>1668</v>
      </c>
      <c r="J85">
        <v>47.45</v>
      </c>
      <c r="K85">
        <v>31.79</v>
      </c>
      <c r="L85">
        <v>79146.600000000006</v>
      </c>
      <c r="M85">
        <v>53025.72</v>
      </c>
      <c r="N85">
        <v>26120.880000000001</v>
      </c>
    </row>
    <row r="86" spans="1:14" x14ac:dyDescent="0.3">
      <c r="A86" t="s">
        <v>14</v>
      </c>
      <c r="B86" t="s">
        <v>89</v>
      </c>
      <c r="C86" t="s">
        <v>50</v>
      </c>
      <c r="D86" t="s">
        <v>23</v>
      </c>
      <c r="E86" t="s">
        <v>54</v>
      </c>
      <c r="F86" t="s">
        <v>234</v>
      </c>
      <c r="G86">
        <v>546081721</v>
      </c>
      <c r="H86" t="s">
        <v>235</v>
      </c>
      <c r="I86">
        <v>6571</v>
      </c>
      <c r="J86">
        <v>421.89</v>
      </c>
      <c r="K86">
        <v>364.69</v>
      </c>
      <c r="L86">
        <v>2772239.19</v>
      </c>
      <c r="M86">
        <v>2396377.9900000002</v>
      </c>
      <c r="N86">
        <v>375861.2</v>
      </c>
    </row>
    <row r="87" spans="1:14" x14ac:dyDescent="0.3">
      <c r="A87" t="s">
        <v>14</v>
      </c>
      <c r="B87" t="s">
        <v>49</v>
      </c>
      <c r="C87" t="s">
        <v>64</v>
      </c>
      <c r="D87" t="s">
        <v>23</v>
      </c>
      <c r="E87" t="s">
        <v>18</v>
      </c>
      <c r="F87" t="s">
        <v>236</v>
      </c>
      <c r="G87">
        <v>979073941</v>
      </c>
      <c r="H87" t="s">
        <v>237</v>
      </c>
      <c r="I87">
        <v>8591</v>
      </c>
      <c r="J87">
        <v>255.28</v>
      </c>
      <c r="K87">
        <v>159.41999999999999</v>
      </c>
      <c r="L87">
        <v>2193110.48</v>
      </c>
      <c r="M87">
        <v>1369577.22</v>
      </c>
      <c r="N87">
        <v>823533.26</v>
      </c>
    </row>
    <row r="88" spans="1:14" x14ac:dyDescent="0.3">
      <c r="A88" t="s">
        <v>14</v>
      </c>
      <c r="B88" t="s">
        <v>21</v>
      </c>
      <c r="C88" t="s">
        <v>102</v>
      </c>
      <c r="D88" t="s">
        <v>17</v>
      </c>
      <c r="E88" t="s">
        <v>33</v>
      </c>
      <c r="F88" t="s">
        <v>238</v>
      </c>
      <c r="G88">
        <v>396718728</v>
      </c>
      <c r="H88" t="s">
        <v>239</v>
      </c>
      <c r="I88">
        <v>6742</v>
      </c>
      <c r="J88">
        <v>81.73</v>
      </c>
      <c r="K88">
        <v>56.67</v>
      </c>
      <c r="L88">
        <v>551023.66</v>
      </c>
      <c r="M88">
        <v>382069.14</v>
      </c>
      <c r="N88">
        <v>168954.52</v>
      </c>
    </row>
    <row r="89" spans="1:14" x14ac:dyDescent="0.3">
      <c r="A89" t="s">
        <v>14</v>
      </c>
      <c r="B89" t="s">
        <v>135</v>
      </c>
      <c r="C89" t="s">
        <v>16</v>
      </c>
      <c r="D89" t="s">
        <v>17</v>
      </c>
      <c r="E89" t="s">
        <v>24</v>
      </c>
      <c r="F89" t="s">
        <v>240</v>
      </c>
      <c r="G89">
        <v>948075759</v>
      </c>
      <c r="H89" t="s">
        <v>241</v>
      </c>
      <c r="I89">
        <v>5540</v>
      </c>
      <c r="J89">
        <v>47.45</v>
      </c>
      <c r="K89">
        <v>31.79</v>
      </c>
      <c r="L89">
        <v>262873</v>
      </c>
      <c r="M89">
        <v>176116.6</v>
      </c>
      <c r="N89">
        <v>86756.4</v>
      </c>
    </row>
    <row r="90" spans="1:14" x14ac:dyDescent="0.3">
      <c r="A90" t="s">
        <v>14</v>
      </c>
      <c r="B90" t="s">
        <v>169</v>
      </c>
      <c r="C90" t="s">
        <v>28</v>
      </c>
      <c r="D90" t="s">
        <v>17</v>
      </c>
      <c r="E90" t="s">
        <v>33</v>
      </c>
      <c r="F90" t="s">
        <v>242</v>
      </c>
      <c r="G90">
        <v>737736070</v>
      </c>
      <c r="H90" t="s">
        <v>143</v>
      </c>
      <c r="I90">
        <v>1352</v>
      </c>
      <c r="J90">
        <v>205.7</v>
      </c>
      <c r="K90">
        <v>117.11</v>
      </c>
      <c r="L90">
        <v>278106.40000000002</v>
      </c>
      <c r="M90">
        <v>158332.72</v>
      </c>
      <c r="N90">
        <v>119773.68</v>
      </c>
    </row>
    <row r="91" spans="1:14" x14ac:dyDescent="0.3">
      <c r="A91" t="s">
        <v>14</v>
      </c>
      <c r="B91" t="s">
        <v>243</v>
      </c>
      <c r="C91" t="s">
        <v>71</v>
      </c>
      <c r="D91" t="s">
        <v>17</v>
      </c>
      <c r="E91" t="s">
        <v>33</v>
      </c>
      <c r="F91" t="s">
        <v>244</v>
      </c>
      <c r="G91">
        <v>585362994</v>
      </c>
      <c r="H91" t="s">
        <v>245</v>
      </c>
      <c r="I91">
        <v>773</v>
      </c>
      <c r="J91">
        <v>668.27</v>
      </c>
      <c r="K91">
        <v>502.54</v>
      </c>
      <c r="L91">
        <v>516572.71</v>
      </c>
      <c r="M91">
        <v>388463.42</v>
      </c>
      <c r="N91">
        <v>128109.29</v>
      </c>
    </row>
    <row r="92" spans="1:14" x14ac:dyDescent="0.3">
      <c r="A92" t="s">
        <v>14</v>
      </c>
      <c r="B92" t="s">
        <v>15</v>
      </c>
      <c r="C92" t="s">
        <v>64</v>
      </c>
      <c r="D92" t="s">
        <v>17</v>
      </c>
      <c r="E92" t="s">
        <v>54</v>
      </c>
      <c r="F92" t="s">
        <v>246</v>
      </c>
      <c r="G92">
        <v>850872075</v>
      </c>
      <c r="H92" t="s">
        <v>247</v>
      </c>
      <c r="I92">
        <v>810</v>
      </c>
      <c r="J92">
        <v>255.28</v>
      </c>
      <c r="K92">
        <v>159.41999999999999</v>
      </c>
      <c r="L92">
        <v>206776.8</v>
      </c>
      <c r="M92">
        <v>129130.2</v>
      </c>
      <c r="N92">
        <v>77646.600000000006</v>
      </c>
    </row>
    <row r="93" spans="1:14" x14ac:dyDescent="0.3">
      <c r="A93" t="s">
        <v>14</v>
      </c>
      <c r="B93" t="s">
        <v>21</v>
      </c>
      <c r="C93" t="s">
        <v>32</v>
      </c>
      <c r="D93" t="s">
        <v>17</v>
      </c>
      <c r="E93" t="s">
        <v>18</v>
      </c>
      <c r="F93" t="s">
        <v>248</v>
      </c>
      <c r="G93">
        <v>575583016</v>
      </c>
      <c r="H93" t="s">
        <v>249</v>
      </c>
      <c r="I93">
        <v>6660</v>
      </c>
      <c r="J93">
        <v>651.21</v>
      </c>
      <c r="K93">
        <v>524.96</v>
      </c>
      <c r="L93">
        <v>4337058.5999999996</v>
      </c>
      <c r="M93">
        <v>3496233.6</v>
      </c>
      <c r="N93">
        <v>840825</v>
      </c>
    </row>
    <row r="94" spans="1:14" x14ac:dyDescent="0.3">
      <c r="A94" t="s">
        <v>14</v>
      </c>
      <c r="B94" t="s">
        <v>132</v>
      </c>
      <c r="C94" t="s">
        <v>50</v>
      </c>
      <c r="D94" t="s">
        <v>17</v>
      </c>
      <c r="E94" t="s">
        <v>54</v>
      </c>
      <c r="F94" t="s">
        <v>118</v>
      </c>
      <c r="G94">
        <v>515773189</v>
      </c>
      <c r="H94" t="s">
        <v>250</v>
      </c>
      <c r="I94">
        <v>7603</v>
      </c>
      <c r="J94">
        <v>421.89</v>
      </c>
      <c r="K94">
        <v>364.69</v>
      </c>
      <c r="L94">
        <v>3207629.67</v>
      </c>
      <c r="M94">
        <v>2772738.07</v>
      </c>
      <c r="N94">
        <v>434891.6</v>
      </c>
    </row>
    <row r="95" spans="1:14" x14ac:dyDescent="0.3">
      <c r="A95" t="s">
        <v>14</v>
      </c>
      <c r="B95" t="s">
        <v>110</v>
      </c>
      <c r="C95" t="s">
        <v>102</v>
      </c>
      <c r="D95" t="s">
        <v>23</v>
      </c>
      <c r="E95" t="s">
        <v>54</v>
      </c>
      <c r="F95" t="s">
        <v>251</v>
      </c>
      <c r="G95">
        <v>351247346</v>
      </c>
      <c r="H95" t="s">
        <v>252</v>
      </c>
      <c r="I95">
        <v>750</v>
      </c>
      <c r="J95">
        <v>81.73</v>
      </c>
      <c r="K95">
        <v>56.67</v>
      </c>
      <c r="L95">
        <v>61297.5</v>
      </c>
      <c r="M95">
        <v>42502.5</v>
      </c>
      <c r="N95">
        <v>18795</v>
      </c>
    </row>
    <row r="96" spans="1:14" x14ac:dyDescent="0.3">
      <c r="A96" t="s">
        <v>14</v>
      </c>
      <c r="B96" t="s">
        <v>86</v>
      </c>
      <c r="C96" t="s">
        <v>16</v>
      </c>
      <c r="D96" t="s">
        <v>17</v>
      </c>
      <c r="E96" t="s">
        <v>54</v>
      </c>
      <c r="F96" t="s">
        <v>253</v>
      </c>
      <c r="G96">
        <v>554721438</v>
      </c>
      <c r="H96" t="s">
        <v>254</v>
      </c>
      <c r="I96">
        <v>3256</v>
      </c>
      <c r="J96">
        <v>47.45</v>
      </c>
      <c r="K96">
        <v>31.79</v>
      </c>
      <c r="L96">
        <v>154497.20000000001</v>
      </c>
      <c r="M96">
        <v>103508.24</v>
      </c>
      <c r="N96">
        <v>50988.959999999999</v>
      </c>
    </row>
    <row r="97" spans="1:14" x14ac:dyDescent="0.3">
      <c r="A97" t="s">
        <v>14</v>
      </c>
      <c r="B97" t="s">
        <v>196</v>
      </c>
      <c r="C97" t="s">
        <v>28</v>
      </c>
      <c r="D97" t="s">
        <v>17</v>
      </c>
      <c r="E97" t="s">
        <v>18</v>
      </c>
      <c r="F97" t="s">
        <v>255</v>
      </c>
      <c r="G97">
        <v>398333632</v>
      </c>
      <c r="H97" t="s">
        <v>256</v>
      </c>
      <c r="I97">
        <v>4629</v>
      </c>
      <c r="J97">
        <v>205.7</v>
      </c>
      <c r="K97">
        <v>117.11</v>
      </c>
      <c r="L97">
        <v>952185.3</v>
      </c>
      <c r="M97">
        <v>542102.18999999994</v>
      </c>
      <c r="N97">
        <v>410083.11</v>
      </c>
    </row>
    <row r="98" spans="1:14" x14ac:dyDescent="0.3">
      <c r="A98" t="s">
        <v>14</v>
      </c>
      <c r="B98" t="s">
        <v>257</v>
      </c>
      <c r="C98" t="s">
        <v>16</v>
      </c>
      <c r="D98" t="s">
        <v>23</v>
      </c>
      <c r="E98" t="s">
        <v>18</v>
      </c>
      <c r="F98" t="s">
        <v>258</v>
      </c>
      <c r="G98">
        <v>370484149</v>
      </c>
      <c r="H98" t="s">
        <v>259</v>
      </c>
      <c r="I98">
        <v>3348</v>
      </c>
      <c r="J98">
        <v>47.45</v>
      </c>
      <c r="K98">
        <v>31.79</v>
      </c>
      <c r="L98">
        <v>158862.6</v>
      </c>
      <c r="M98">
        <v>106432.92</v>
      </c>
      <c r="N98">
        <v>52429.68</v>
      </c>
    </row>
    <row r="99" spans="1:14" x14ac:dyDescent="0.3">
      <c r="A99" t="s">
        <v>14</v>
      </c>
      <c r="B99" t="s">
        <v>127</v>
      </c>
      <c r="C99" t="s">
        <v>64</v>
      </c>
      <c r="D99" t="s">
        <v>17</v>
      </c>
      <c r="E99" t="s">
        <v>54</v>
      </c>
      <c r="F99" t="s">
        <v>260</v>
      </c>
      <c r="G99">
        <v>306839406</v>
      </c>
      <c r="H99" t="s">
        <v>261</v>
      </c>
      <c r="I99">
        <v>9454</v>
      </c>
      <c r="J99">
        <v>255.28</v>
      </c>
      <c r="K99">
        <v>159.41999999999999</v>
      </c>
      <c r="L99">
        <v>2413417.12</v>
      </c>
      <c r="M99">
        <v>1507156.68</v>
      </c>
      <c r="N99">
        <v>906260.44</v>
      </c>
    </row>
    <row r="100" spans="1:14" x14ac:dyDescent="0.3">
      <c r="A100" t="s">
        <v>14</v>
      </c>
      <c r="B100" t="s">
        <v>36</v>
      </c>
      <c r="C100" t="s">
        <v>16</v>
      </c>
      <c r="D100" t="s">
        <v>17</v>
      </c>
      <c r="E100" t="s">
        <v>18</v>
      </c>
      <c r="F100" t="s">
        <v>262</v>
      </c>
      <c r="G100">
        <v>653548610</v>
      </c>
      <c r="H100" t="s">
        <v>263</v>
      </c>
      <c r="I100">
        <v>8412</v>
      </c>
      <c r="J100">
        <v>47.45</v>
      </c>
      <c r="K100">
        <v>31.79</v>
      </c>
      <c r="L100">
        <v>399149.4</v>
      </c>
      <c r="M100">
        <v>267417.48</v>
      </c>
      <c r="N100">
        <v>131731.92000000001</v>
      </c>
    </row>
    <row r="101" spans="1:14" x14ac:dyDescent="0.3">
      <c r="A101" t="s">
        <v>14</v>
      </c>
      <c r="B101" t="s">
        <v>264</v>
      </c>
      <c r="C101" t="s">
        <v>46</v>
      </c>
      <c r="D101" t="s">
        <v>23</v>
      </c>
      <c r="E101" t="s">
        <v>33</v>
      </c>
      <c r="F101" t="s">
        <v>265</v>
      </c>
      <c r="G101">
        <v>413078916</v>
      </c>
      <c r="H101" t="s">
        <v>266</v>
      </c>
      <c r="I101">
        <v>8086</v>
      </c>
      <c r="J101">
        <v>154.06</v>
      </c>
      <c r="K101">
        <v>90.93</v>
      </c>
      <c r="L101">
        <v>1245729.1599999999</v>
      </c>
      <c r="M101">
        <v>735259.98</v>
      </c>
      <c r="N101">
        <v>510469.18</v>
      </c>
    </row>
    <row r="102" spans="1:14" x14ac:dyDescent="0.3">
      <c r="A102" t="s">
        <v>14</v>
      </c>
      <c r="B102" t="s">
        <v>185</v>
      </c>
      <c r="C102" t="s">
        <v>58</v>
      </c>
      <c r="D102" t="s">
        <v>23</v>
      </c>
      <c r="E102" t="s">
        <v>24</v>
      </c>
      <c r="F102" t="s">
        <v>267</v>
      </c>
      <c r="G102">
        <v>307721745</v>
      </c>
      <c r="H102" t="s">
        <v>268</v>
      </c>
      <c r="I102">
        <v>558</v>
      </c>
      <c r="J102">
        <v>152.58000000000001</v>
      </c>
      <c r="K102">
        <v>97.44</v>
      </c>
      <c r="L102">
        <v>85139.64</v>
      </c>
      <c r="M102">
        <v>54371.519999999997</v>
      </c>
      <c r="N102">
        <v>30768.12</v>
      </c>
    </row>
    <row r="103" spans="1:14" x14ac:dyDescent="0.3">
      <c r="A103" t="s">
        <v>14</v>
      </c>
      <c r="B103" t="s">
        <v>132</v>
      </c>
      <c r="C103" t="s">
        <v>32</v>
      </c>
      <c r="D103" t="s">
        <v>23</v>
      </c>
      <c r="E103" t="s">
        <v>18</v>
      </c>
      <c r="F103" t="s">
        <v>269</v>
      </c>
      <c r="G103">
        <v>374663245</v>
      </c>
      <c r="H103" t="s">
        <v>270</v>
      </c>
      <c r="I103">
        <v>35</v>
      </c>
      <c r="J103">
        <v>651.21</v>
      </c>
      <c r="K103">
        <v>524.96</v>
      </c>
      <c r="L103">
        <v>22792.35</v>
      </c>
      <c r="M103">
        <v>18373.599999999999</v>
      </c>
      <c r="N103">
        <v>4418.75</v>
      </c>
    </row>
    <row r="104" spans="1:14" x14ac:dyDescent="0.3">
      <c r="A104" t="s">
        <v>14</v>
      </c>
      <c r="B104" t="s">
        <v>271</v>
      </c>
      <c r="C104" t="s">
        <v>46</v>
      </c>
      <c r="D104" t="s">
        <v>17</v>
      </c>
      <c r="E104" t="s">
        <v>18</v>
      </c>
      <c r="F104" t="s">
        <v>272</v>
      </c>
      <c r="G104">
        <v>901670968</v>
      </c>
      <c r="H104" t="s">
        <v>273</v>
      </c>
      <c r="I104">
        <v>3331</v>
      </c>
      <c r="J104">
        <v>154.06</v>
      </c>
      <c r="K104">
        <v>90.93</v>
      </c>
      <c r="L104">
        <v>513173.86</v>
      </c>
      <c r="M104">
        <v>302887.83</v>
      </c>
      <c r="N104">
        <v>210286.03</v>
      </c>
    </row>
    <row r="105" spans="1:14" x14ac:dyDescent="0.3">
      <c r="A105" t="s">
        <v>14</v>
      </c>
      <c r="B105" t="s">
        <v>40</v>
      </c>
      <c r="C105" t="s">
        <v>75</v>
      </c>
      <c r="D105" t="s">
        <v>17</v>
      </c>
      <c r="E105" t="s">
        <v>33</v>
      </c>
      <c r="F105" t="s">
        <v>274</v>
      </c>
      <c r="G105">
        <v>353320157</v>
      </c>
      <c r="H105" t="s">
        <v>275</v>
      </c>
      <c r="I105">
        <v>4141</v>
      </c>
      <c r="J105">
        <v>437.2</v>
      </c>
      <c r="K105">
        <v>263.33</v>
      </c>
      <c r="L105">
        <v>1810445.2</v>
      </c>
      <c r="M105">
        <v>1090449.53</v>
      </c>
      <c r="N105">
        <v>719995.67</v>
      </c>
    </row>
    <row r="106" spans="1:14" x14ac:dyDescent="0.3">
      <c r="A106" t="s">
        <v>14</v>
      </c>
      <c r="B106" t="s">
        <v>115</v>
      </c>
      <c r="C106" t="s">
        <v>28</v>
      </c>
      <c r="D106" t="s">
        <v>17</v>
      </c>
      <c r="E106" t="s">
        <v>33</v>
      </c>
      <c r="F106" t="s">
        <v>276</v>
      </c>
      <c r="G106">
        <v>645701968</v>
      </c>
      <c r="H106" t="s">
        <v>277</v>
      </c>
      <c r="I106">
        <v>6416</v>
      </c>
      <c r="J106">
        <v>205.7</v>
      </c>
      <c r="K106">
        <v>117.11</v>
      </c>
      <c r="L106">
        <v>1319771.2</v>
      </c>
      <c r="M106">
        <v>751377.76</v>
      </c>
      <c r="N106">
        <v>568393.43999999994</v>
      </c>
    </row>
    <row r="107" spans="1:14" x14ac:dyDescent="0.3">
      <c r="A107" t="s">
        <v>14</v>
      </c>
      <c r="B107" t="s">
        <v>89</v>
      </c>
      <c r="C107" t="s">
        <v>32</v>
      </c>
      <c r="D107" t="s">
        <v>23</v>
      </c>
      <c r="E107" t="s">
        <v>54</v>
      </c>
      <c r="F107" t="s">
        <v>278</v>
      </c>
      <c r="G107">
        <v>148894631</v>
      </c>
      <c r="H107" t="s">
        <v>279</v>
      </c>
      <c r="I107">
        <v>85</v>
      </c>
      <c r="J107">
        <v>651.21</v>
      </c>
      <c r="K107">
        <v>524.96</v>
      </c>
      <c r="L107">
        <v>55352.85</v>
      </c>
      <c r="M107">
        <v>44621.599999999999</v>
      </c>
      <c r="N107">
        <v>10731.25</v>
      </c>
    </row>
    <row r="108" spans="1:14" x14ac:dyDescent="0.3">
      <c r="A108" t="s">
        <v>14</v>
      </c>
      <c r="B108" t="s">
        <v>169</v>
      </c>
      <c r="C108" t="s">
        <v>64</v>
      </c>
      <c r="D108" t="s">
        <v>23</v>
      </c>
      <c r="E108" t="s">
        <v>33</v>
      </c>
      <c r="F108" t="s">
        <v>280</v>
      </c>
      <c r="G108">
        <v>443551385</v>
      </c>
      <c r="H108" t="s">
        <v>281</v>
      </c>
      <c r="I108">
        <v>5566</v>
      </c>
      <c r="J108">
        <v>255.28</v>
      </c>
      <c r="K108">
        <v>159.41999999999999</v>
      </c>
      <c r="L108">
        <v>1420888.48</v>
      </c>
      <c r="M108">
        <v>887331.72</v>
      </c>
      <c r="N108">
        <v>533556.76</v>
      </c>
    </row>
    <row r="109" spans="1:14" x14ac:dyDescent="0.3">
      <c r="A109" t="s">
        <v>14</v>
      </c>
      <c r="B109" t="s">
        <v>257</v>
      </c>
      <c r="C109" t="s">
        <v>22</v>
      </c>
      <c r="D109" t="s">
        <v>17</v>
      </c>
      <c r="E109" t="s">
        <v>54</v>
      </c>
      <c r="F109" t="s">
        <v>101</v>
      </c>
      <c r="G109">
        <v>508014523</v>
      </c>
      <c r="H109" t="s">
        <v>282</v>
      </c>
      <c r="I109">
        <v>1642</v>
      </c>
      <c r="J109">
        <v>109.28</v>
      </c>
      <c r="K109">
        <v>35.840000000000003</v>
      </c>
      <c r="L109">
        <v>179437.76</v>
      </c>
      <c r="M109">
        <v>58849.279999999999</v>
      </c>
      <c r="N109">
        <v>120588.48</v>
      </c>
    </row>
    <row r="110" spans="1:14" x14ac:dyDescent="0.3">
      <c r="A110" t="s">
        <v>14</v>
      </c>
      <c r="B110" t="s">
        <v>138</v>
      </c>
      <c r="C110" t="s">
        <v>32</v>
      </c>
      <c r="D110" t="s">
        <v>23</v>
      </c>
      <c r="E110" t="s">
        <v>18</v>
      </c>
      <c r="F110" t="s">
        <v>283</v>
      </c>
      <c r="G110">
        <v>987767302</v>
      </c>
      <c r="H110" t="s">
        <v>284</v>
      </c>
      <c r="I110">
        <v>1150</v>
      </c>
      <c r="J110">
        <v>651.21</v>
      </c>
      <c r="K110">
        <v>524.96</v>
      </c>
      <c r="L110">
        <v>748891.5</v>
      </c>
      <c r="M110">
        <v>603704</v>
      </c>
      <c r="N110">
        <v>145187.5</v>
      </c>
    </row>
    <row r="111" spans="1:14" x14ac:dyDescent="0.3">
      <c r="A111" t="s">
        <v>14</v>
      </c>
      <c r="B111" t="s">
        <v>232</v>
      </c>
      <c r="C111" t="s">
        <v>64</v>
      </c>
      <c r="D111" t="s">
        <v>17</v>
      </c>
      <c r="E111" t="s">
        <v>54</v>
      </c>
      <c r="F111" t="s">
        <v>285</v>
      </c>
      <c r="G111">
        <v>103832662</v>
      </c>
      <c r="H111" t="s">
        <v>286</v>
      </c>
      <c r="I111">
        <v>5247</v>
      </c>
      <c r="J111">
        <v>255.28</v>
      </c>
      <c r="K111">
        <v>159.41999999999999</v>
      </c>
      <c r="L111">
        <v>1339454.1599999999</v>
      </c>
      <c r="M111">
        <v>836476.74</v>
      </c>
      <c r="N111">
        <v>502977.42</v>
      </c>
    </row>
    <row r="112" spans="1:14" x14ac:dyDescent="0.3">
      <c r="A112" t="s">
        <v>14</v>
      </c>
      <c r="B112" t="s">
        <v>100</v>
      </c>
      <c r="C112" t="s">
        <v>102</v>
      </c>
      <c r="D112" t="s">
        <v>23</v>
      </c>
      <c r="E112" t="s">
        <v>54</v>
      </c>
      <c r="F112" t="s">
        <v>287</v>
      </c>
      <c r="G112">
        <v>445708739</v>
      </c>
      <c r="H112" t="s">
        <v>288</v>
      </c>
      <c r="I112">
        <v>3975</v>
      </c>
      <c r="J112">
        <v>81.73</v>
      </c>
      <c r="K112">
        <v>56.67</v>
      </c>
      <c r="L112">
        <v>324876.75</v>
      </c>
      <c r="M112">
        <v>225263.25</v>
      </c>
      <c r="N112">
        <v>99613.5</v>
      </c>
    </row>
    <row r="113" spans="1:14" x14ac:dyDescent="0.3">
      <c r="A113" t="s">
        <v>14</v>
      </c>
      <c r="B113" t="s">
        <v>181</v>
      </c>
      <c r="C113" t="s">
        <v>16</v>
      </c>
      <c r="D113" t="s">
        <v>17</v>
      </c>
      <c r="E113" t="s">
        <v>24</v>
      </c>
      <c r="F113" t="s">
        <v>78</v>
      </c>
      <c r="G113">
        <v>354655683</v>
      </c>
      <c r="H113" t="s">
        <v>289</v>
      </c>
      <c r="I113">
        <v>9353</v>
      </c>
      <c r="J113">
        <v>47.45</v>
      </c>
      <c r="K113">
        <v>31.79</v>
      </c>
      <c r="L113">
        <v>443799.85</v>
      </c>
      <c r="M113">
        <v>297331.87</v>
      </c>
      <c r="N113">
        <v>146467.98000000001</v>
      </c>
    </row>
    <row r="114" spans="1:14" x14ac:dyDescent="0.3">
      <c r="A114" t="s">
        <v>14</v>
      </c>
      <c r="B114" t="s">
        <v>264</v>
      </c>
      <c r="C114" t="s">
        <v>32</v>
      </c>
      <c r="D114" t="s">
        <v>17</v>
      </c>
      <c r="E114" t="s">
        <v>18</v>
      </c>
      <c r="F114" t="s">
        <v>290</v>
      </c>
      <c r="G114">
        <v>624398362</v>
      </c>
      <c r="H114" t="s">
        <v>291</v>
      </c>
      <c r="I114">
        <v>2206</v>
      </c>
      <c r="J114">
        <v>651.21</v>
      </c>
      <c r="K114">
        <v>524.96</v>
      </c>
      <c r="L114">
        <v>1436569.26</v>
      </c>
      <c r="M114">
        <v>1158061.76</v>
      </c>
      <c r="N114">
        <v>278507.5</v>
      </c>
    </row>
    <row r="115" spans="1:14" x14ac:dyDescent="0.3">
      <c r="A115" t="s">
        <v>14</v>
      </c>
      <c r="B115" t="s">
        <v>92</v>
      </c>
      <c r="C115" t="s">
        <v>16</v>
      </c>
      <c r="D115" t="s">
        <v>23</v>
      </c>
      <c r="E115" t="s">
        <v>18</v>
      </c>
      <c r="F115" t="s">
        <v>292</v>
      </c>
      <c r="G115">
        <v>264163959</v>
      </c>
      <c r="H115" t="s">
        <v>293</v>
      </c>
      <c r="I115">
        <v>840</v>
      </c>
      <c r="J115">
        <v>47.45</v>
      </c>
      <c r="K115">
        <v>31.79</v>
      </c>
      <c r="L115">
        <v>39858</v>
      </c>
      <c r="M115">
        <v>26703.599999999999</v>
      </c>
      <c r="N115">
        <v>13154.4</v>
      </c>
    </row>
    <row r="116" spans="1:14" x14ac:dyDescent="0.3">
      <c r="A116" t="s">
        <v>14</v>
      </c>
      <c r="B116" t="s">
        <v>70</v>
      </c>
      <c r="C116" t="s">
        <v>32</v>
      </c>
      <c r="D116" t="s">
        <v>17</v>
      </c>
      <c r="E116" t="s">
        <v>54</v>
      </c>
      <c r="F116" t="s">
        <v>294</v>
      </c>
      <c r="G116">
        <v>520915305</v>
      </c>
      <c r="H116" t="s">
        <v>295</v>
      </c>
      <c r="I116">
        <v>9270</v>
      </c>
      <c r="J116">
        <v>651.21</v>
      </c>
      <c r="K116">
        <v>524.96</v>
      </c>
      <c r="L116">
        <v>6036716.7000000002</v>
      </c>
      <c r="M116">
        <v>4866379.2</v>
      </c>
      <c r="N116">
        <v>1170337.5</v>
      </c>
    </row>
    <row r="117" spans="1:14" x14ac:dyDescent="0.3">
      <c r="A117" t="s">
        <v>14</v>
      </c>
      <c r="B117" t="s">
        <v>122</v>
      </c>
      <c r="C117" t="s">
        <v>28</v>
      </c>
      <c r="D117" t="s">
        <v>23</v>
      </c>
      <c r="E117" t="s">
        <v>54</v>
      </c>
      <c r="F117" t="s">
        <v>296</v>
      </c>
      <c r="G117">
        <v>424181544</v>
      </c>
      <c r="H117" t="s">
        <v>297</v>
      </c>
      <c r="I117">
        <v>3600</v>
      </c>
      <c r="J117">
        <v>205.7</v>
      </c>
      <c r="K117">
        <v>117.11</v>
      </c>
      <c r="L117">
        <v>740520</v>
      </c>
      <c r="M117">
        <v>421596</v>
      </c>
      <c r="N117">
        <v>318924</v>
      </c>
    </row>
    <row r="118" spans="1:14" x14ac:dyDescent="0.3">
      <c r="A118" t="s">
        <v>14</v>
      </c>
      <c r="B118" t="s">
        <v>94</v>
      </c>
      <c r="C118" t="s">
        <v>32</v>
      </c>
      <c r="D118" t="s">
        <v>23</v>
      </c>
      <c r="E118" t="s">
        <v>54</v>
      </c>
      <c r="F118" t="s">
        <v>298</v>
      </c>
      <c r="G118">
        <v>560762631</v>
      </c>
      <c r="H118" t="s">
        <v>299</v>
      </c>
      <c r="I118">
        <v>979</v>
      </c>
      <c r="J118">
        <v>651.21</v>
      </c>
      <c r="K118">
        <v>524.96</v>
      </c>
      <c r="L118">
        <v>637534.59</v>
      </c>
      <c r="M118">
        <v>513935.84</v>
      </c>
      <c r="N118">
        <v>123598.75</v>
      </c>
    </row>
    <row r="119" spans="1:14" x14ac:dyDescent="0.3">
      <c r="A119" t="s">
        <v>14</v>
      </c>
      <c r="B119" t="s">
        <v>146</v>
      </c>
      <c r="C119" t="s">
        <v>32</v>
      </c>
      <c r="D119" t="s">
        <v>17</v>
      </c>
      <c r="E119" t="s">
        <v>33</v>
      </c>
      <c r="F119" t="s">
        <v>65</v>
      </c>
      <c r="G119">
        <v>458816373</v>
      </c>
      <c r="H119" t="s">
        <v>300</v>
      </c>
      <c r="I119">
        <v>2815</v>
      </c>
      <c r="J119">
        <v>651.21</v>
      </c>
      <c r="K119">
        <v>524.96</v>
      </c>
      <c r="L119">
        <v>1833156.15</v>
      </c>
      <c r="M119">
        <v>1477762.4</v>
      </c>
      <c r="N119">
        <v>355393.75</v>
      </c>
    </row>
    <row r="120" spans="1:14" x14ac:dyDescent="0.3">
      <c r="A120" t="s">
        <v>14</v>
      </c>
      <c r="B120" t="s">
        <v>67</v>
      </c>
      <c r="C120" t="s">
        <v>71</v>
      </c>
      <c r="D120" t="s">
        <v>17</v>
      </c>
      <c r="E120" t="s">
        <v>33</v>
      </c>
      <c r="F120" t="s">
        <v>301</v>
      </c>
      <c r="G120">
        <v>142987763</v>
      </c>
      <c r="H120" t="s">
        <v>302</v>
      </c>
      <c r="I120">
        <v>2112</v>
      </c>
      <c r="J120">
        <v>668.27</v>
      </c>
      <c r="K120">
        <v>502.54</v>
      </c>
      <c r="L120">
        <v>1411386.24</v>
      </c>
      <c r="M120">
        <v>1061364.48</v>
      </c>
      <c r="N120">
        <v>350021.76</v>
      </c>
    </row>
    <row r="121" spans="1:14" x14ac:dyDescent="0.3">
      <c r="A121" t="s">
        <v>14</v>
      </c>
      <c r="B121" t="s">
        <v>220</v>
      </c>
      <c r="C121" t="s">
        <v>58</v>
      </c>
      <c r="D121" t="s">
        <v>17</v>
      </c>
      <c r="E121" t="s">
        <v>18</v>
      </c>
      <c r="F121" t="s">
        <v>303</v>
      </c>
      <c r="G121">
        <v>480904042</v>
      </c>
      <c r="H121" t="s">
        <v>304</v>
      </c>
      <c r="I121">
        <v>9048</v>
      </c>
      <c r="J121">
        <v>152.58000000000001</v>
      </c>
      <c r="K121">
        <v>97.44</v>
      </c>
      <c r="L121">
        <v>1380543.84</v>
      </c>
      <c r="M121">
        <v>881637.12</v>
      </c>
      <c r="N121">
        <v>498906.72</v>
      </c>
    </row>
    <row r="122" spans="1:14" x14ac:dyDescent="0.3">
      <c r="A122" t="s">
        <v>14</v>
      </c>
      <c r="B122" t="s">
        <v>122</v>
      </c>
      <c r="C122" t="s">
        <v>46</v>
      </c>
      <c r="D122" t="s">
        <v>23</v>
      </c>
      <c r="E122" t="s">
        <v>24</v>
      </c>
      <c r="F122" t="s">
        <v>305</v>
      </c>
      <c r="G122">
        <v>571323239</v>
      </c>
      <c r="H122" t="s">
        <v>306</v>
      </c>
      <c r="I122">
        <v>6097</v>
      </c>
      <c r="J122">
        <v>154.06</v>
      </c>
      <c r="K122">
        <v>90.93</v>
      </c>
      <c r="L122">
        <v>939303.82</v>
      </c>
      <c r="M122">
        <v>554400.21</v>
      </c>
      <c r="N122">
        <v>384903.61</v>
      </c>
    </row>
    <row r="123" spans="1:14" x14ac:dyDescent="0.3">
      <c r="A123" t="s">
        <v>14</v>
      </c>
      <c r="B123" t="s">
        <v>185</v>
      </c>
      <c r="C123" t="s">
        <v>58</v>
      </c>
      <c r="D123" t="s">
        <v>23</v>
      </c>
      <c r="E123" t="s">
        <v>54</v>
      </c>
      <c r="F123" t="s">
        <v>177</v>
      </c>
      <c r="G123">
        <v>281100928</v>
      </c>
      <c r="H123" t="s">
        <v>143</v>
      </c>
      <c r="I123">
        <v>2866</v>
      </c>
      <c r="J123">
        <v>152.58000000000001</v>
      </c>
      <c r="K123">
        <v>97.44</v>
      </c>
      <c r="L123">
        <v>437294.28</v>
      </c>
      <c r="M123">
        <v>279263.03999999998</v>
      </c>
      <c r="N123">
        <v>158031.24</v>
      </c>
    </row>
    <row r="124" spans="1:14" x14ac:dyDescent="0.3">
      <c r="A124" t="s">
        <v>14</v>
      </c>
      <c r="B124" t="s">
        <v>232</v>
      </c>
      <c r="C124" t="s">
        <v>71</v>
      </c>
      <c r="D124" t="s">
        <v>23</v>
      </c>
      <c r="E124" t="s">
        <v>33</v>
      </c>
      <c r="F124" t="s">
        <v>307</v>
      </c>
      <c r="G124">
        <v>659196269</v>
      </c>
      <c r="H124" t="s">
        <v>308</v>
      </c>
      <c r="I124">
        <v>9680</v>
      </c>
      <c r="J124">
        <v>668.27</v>
      </c>
      <c r="K124">
        <v>502.54</v>
      </c>
      <c r="L124">
        <v>6468853.5999999996</v>
      </c>
      <c r="M124">
        <v>4864587.2</v>
      </c>
      <c r="N124">
        <v>1604266.4</v>
      </c>
    </row>
    <row r="125" spans="1:14" x14ac:dyDescent="0.3">
      <c r="A125" t="s">
        <v>14</v>
      </c>
      <c r="B125" t="s">
        <v>31</v>
      </c>
      <c r="C125" t="s">
        <v>102</v>
      </c>
      <c r="D125" t="s">
        <v>17</v>
      </c>
      <c r="E125" t="s">
        <v>54</v>
      </c>
      <c r="F125" t="s">
        <v>309</v>
      </c>
      <c r="G125">
        <v>595496594</v>
      </c>
      <c r="H125" t="s">
        <v>310</v>
      </c>
      <c r="I125">
        <v>9530</v>
      </c>
      <c r="J125">
        <v>81.73</v>
      </c>
      <c r="K125">
        <v>56.67</v>
      </c>
      <c r="L125">
        <v>778886.9</v>
      </c>
      <c r="M125">
        <v>540065.1</v>
      </c>
      <c r="N125">
        <v>238821.8</v>
      </c>
    </row>
    <row r="126" spans="1:14" x14ac:dyDescent="0.3">
      <c r="A126" t="s">
        <v>14</v>
      </c>
      <c r="B126" t="s">
        <v>271</v>
      </c>
      <c r="C126" t="s">
        <v>102</v>
      </c>
      <c r="D126" t="s">
        <v>17</v>
      </c>
      <c r="E126" t="s">
        <v>54</v>
      </c>
      <c r="F126" t="s">
        <v>311</v>
      </c>
      <c r="G126">
        <v>354931628</v>
      </c>
      <c r="H126" t="s">
        <v>312</v>
      </c>
      <c r="I126">
        <v>1011</v>
      </c>
      <c r="J126">
        <v>81.73</v>
      </c>
      <c r="K126">
        <v>56.67</v>
      </c>
      <c r="L126">
        <v>82629.03</v>
      </c>
      <c r="M126">
        <v>57293.37</v>
      </c>
      <c r="N126">
        <v>25335.66</v>
      </c>
    </row>
    <row r="127" spans="1:14" x14ac:dyDescent="0.3">
      <c r="A127" t="s">
        <v>14</v>
      </c>
      <c r="B127" t="s">
        <v>166</v>
      </c>
      <c r="C127" t="s">
        <v>50</v>
      </c>
      <c r="D127" t="s">
        <v>17</v>
      </c>
      <c r="E127" t="s">
        <v>18</v>
      </c>
      <c r="F127" t="s">
        <v>313</v>
      </c>
      <c r="G127">
        <v>436969029</v>
      </c>
      <c r="H127" t="s">
        <v>314</v>
      </c>
      <c r="I127">
        <v>7701</v>
      </c>
      <c r="J127">
        <v>421.89</v>
      </c>
      <c r="K127">
        <v>364.69</v>
      </c>
      <c r="L127">
        <v>3248974.89</v>
      </c>
      <c r="M127">
        <v>2808477.69</v>
      </c>
      <c r="N127">
        <v>440497.2</v>
      </c>
    </row>
    <row r="128" spans="1:14" x14ac:dyDescent="0.3">
      <c r="A128" t="s">
        <v>14</v>
      </c>
      <c r="B128" t="s">
        <v>146</v>
      </c>
      <c r="C128" t="s">
        <v>46</v>
      </c>
      <c r="D128" t="s">
        <v>23</v>
      </c>
      <c r="E128" t="s">
        <v>33</v>
      </c>
      <c r="F128" t="s">
        <v>315</v>
      </c>
      <c r="G128">
        <v>810752236</v>
      </c>
      <c r="H128" t="s">
        <v>316</v>
      </c>
      <c r="I128">
        <v>8458</v>
      </c>
      <c r="J128">
        <v>154.06</v>
      </c>
      <c r="K128">
        <v>90.93</v>
      </c>
      <c r="L128">
        <v>1303039.48</v>
      </c>
      <c r="M128">
        <v>769085.94</v>
      </c>
      <c r="N128">
        <v>533953.54</v>
      </c>
    </row>
    <row r="129" spans="1:14" x14ac:dyDescent="0.3">
      <c r="A129" t="s">
        <v>14</v>
      </c>
      <c r="B129" t="s">
        <v>185</v>
      </c>
      <c r="C129" t="s">
        <v>32</v>
      </c>
      <c r="D129" t="s">
        <v>17</v>
      </c>
      <c r="E129" t="s">
        <v>18</v>
      </c>
      <c r="F129" t="s">
        <v>43</v>
      </c>
      <c r="G129">
        <v>886620128</v>
      </c>
      <c r="H129" t="s">
        <v>317</v>
      </c>
      <c r="I129">
        <v>9453</v>
      </c>
      <c r="J129">
        <v>651.21</v>
      </c>
      <c r="K129">
        <v>524.96</v>
      </c>
      <c r="L129">
        <v>6155888.1299999999</v>
      </c>
      <c r="M129">
        <v>4962446.88</v>
      </c>
      <c r="N129">
        <v>1193441.25</v>
      </c>
    </row>
    <row r="130" spans="1:14" x14ac:dyDescent="0.3">
      <c r="A130" t="s">
        <v>14</v>
      </c>
      <c r="B130" t="s">
        <v>53</v>
      </c>
      <c r="C130" t="s">
        <v>28</v>
      </c>
      <c r="D130" t="s">
        <v>17</v>
      </c>
      <c r="E130" t="s">
        <v>24</v>
      </c>
      <c r="F130" t="s">
        <v>318</v>
      </c>
      <c r="G130">
        <v>889093768</v>
      </c>
      <c r="H130" t="s">
        <v>319</v>
      </c>
      <c r="I130">
        <v>1458</v>
      </c>
      <c r="J130">
        <v>205.7</v>
      </c>
      <c r="K130">
        <v>117.11</v>
      </c>
      <c r="L130">
        <v>299910.59999999998</v>
      </c>
      <c r="M130">
        <v>170746.38</v>
      </c>
      <c r="N130">
        <v>129164.22</v>
      </c>
    </row>
    <row r="131" spans="1:14" x14ac:dyDescent="0.3">
      <c r="A131" t="s">
        <v>14</v>
      </c>
      <c r="B131" t="s">
        <v>89</v>
      </c>
      <c r="C131" t="s">
        <v>28</v>
      </c>
      <c r="D131" t="s">
        <v>23</v>
      </c>
      <c r="E131" t="s">
        <v>18</v>
      </c>
      <c r="F131" t="s">
        <v>320</v>
      </c>
      <c r="G131">
        <v>454550588</v>
      </c>
      <c r="H131" t="s">
        <v>321</v>
      </c>
      <c r="I131">
        <v>475</v>
      </c>
      <c r="J131">
        <v>205.7</v>
      </c>
      <c r="K131">
        <v>117.11</v>
      </c>
      <c r="L131">
        <v>97707.5</v>
      </c>
      <c r="M131">
        <v>55627.25</v>
      </c>
      <c r="N131">
        <v>42080.25</v>
      </c>
    </row>
    <row r="132" spans="1:14" x14ac:dyDescent="0.3">
      <c r="A132" t="s">
        <v>14</v>
      </c>
      <c r="B132" t="s">
        <v>27</v>
      </c>
      <c r="C132" t="s">
        <v>32</v>
      </c>
      <c r="D132" t="s">
        <v>23</v>
      </c>
      <c r="E132" t="s">
        <v>33</v>
      </c>
      <c r="F132" t="s">
        <v>322</v>
      </c>
      <c r="G132">
        <v>926064479</v>
      </c>
      <c r="H132" t="s">
        <v>323</v>
      </c>
      <c r="I132">
        <v>1913</v>
      </c>
      <c r="J132">
        <v>651.21</v>
      </c>
      <c r="K132">
        <v>524.96</v>
      </c>
      <c r="L132">
        <v>1245764.73</v>
      </c>
      <c r="M132">
        <v>1004248.48</v>
      </c>
      <c r="N132">
        <v>241516.25</v>
      </c>
    </row>
    <row r="133" spans="1:14" x14ac:dyDescent="0.3">
      <c r="A133" t="s">
        <v>14</v>
      </c>
      <c r="B133" t="s">
        <v>220</v>
      </c>
      <c r="C133" t="s">
        <v>37</v>
      </c>
      <c r="D133" t="s">
        <v>17</v>
      </c>
      <c r="E133" t="s">
        <v>18</v>
      </c>
      <c r="F133" t="s">
        <v>324</v>
      </c>
      <c r="G133">
        <v>413245427</v>
      </c>
      <c r="H133" t="s">
        <v>325</v>
      </c>
      <c r="I133">
        <v>7360</v>
      </c>
      <c r="J133">
        <v>9.33</v>
      </c>
      <c r="K133">
        <v>6.92</v>
      </c>
      <c r="L133">
        <v>68668.800000000003</v>
      </c>
      <c r="M133">
        <v>50931.199999999997</v>
      </c>
      <c r="N133">
        <v>17737.599999999999</v>
      </c>
    </row>
    <row r="134" spans="1:14" x14ac:dyDescent="0.3">
      <c r="A134" t="s">
        <v>14</v>
      </c>
      <c r="B134" t="s">
        <v>53</v>
      </c>
      <c r="C134" t="s">
        <v>16</v>
      </c>
      <c r="D134" t="s">
        <v>23</v>
      </c>
      <c r="E134" t="s">
        <v>54</v>
      </c>
      <c r="F134" t="s">
        <v>326</v>
      </c>
      <c r="G134">
        <v>884147775</v>
      </c>
      <c r="H134" t="s">
        <v>327</v>
      </c>
      <c r="I134">
        <v>7829</v>
      </c>
      <c r="J134">
        <v>47.45</v>
      </c>
      <c r="K134">
        <v>31.79</v>
      </c>
      <c r="L134">
        <v>371486.05</v>
      </c>
      <c r="M134">
        <v>248883.91</v>
      </c>
      <c r="N134">
        <v>122602.14</v>
      </c>
    </row>
    <row r="135" spans="1:14" x14ac:dyDescent="0.3">
      <c r="A135" t="s">
        <v>14</v>
      </c>
      <c r="B135" t="s">
        <v>220</v>
      </c>
      <c r="C135" t="s">
        <v>75</v>
      </c>
      <c r="D135" t="s">
        <v>23</v>
      </c>
      <c r="E135" t="s">
        <v>18</v>
      </c>
      <c r="F135" t="s">
        <v>328</v>
      </c>
      <c r="G135">
        <v>328322827</v>
      </c>
      <c r="H135" t="s">
        <v>329</v>
      </c>
      <c r="I135">
        <v>6876</v>
      </c>
      <c r="J135">
        <v>437.2</v>
      </c>
      <c r="K135">
        <v>263.33</v>
      </c>
      <c r="L135">
        <v>3006187.2</v>
      </c>
      <c r="M135">
        <v>1810657.08</v>
      </c>
      <c r="N135">
        <v>1195530.1200000001</v>
      </c>
    </row>
    <row r="136" spans="1:14" x14ac:dyDescent="0.3">
      <c r="A136" t="s">
        <v>14</v>
      </c>
      <c r="B136" t="s">
        <v>196</v>
      </c>
      <c r="C136" t="s">
        <v>58</v>
      </c>
      <c r="D136" t="s">
        <v>23</v>
      </c>
      <c r="E136" t="s">
        <v>54</v>
      </c>
      <c r="F136" t="s">
        <v>330</v>
      </c>
      <c r="G136">
        <v>158673751</v>
      </c>
      <c r="H136" t="s">
        <v>331</v>
      </c>
      <c r="I136">
        <v>3944</v>
      </c>
      <c r="J136">
        <v>152.58000000000001</v>
      </c>
      <c r="K136">
        <v>97.44</v>
      </c>
      <c r="L136">
        <v>601775.52</v>
      </c>
      <c r="M136">
        <v>384303.35999999999</v>
      </c>
      <c r="N136">
        <v>217472.16</v>
      </c>
    </row>
    <row r="137" spans="1:14" x14ac:dyDescent="0.3">
      <c r="A137" t="s">
        <v>14</v>
      </c>
      <c r="B137" t="s">
        <v>185</v>
      </c>
      <c r="C137" t="s">
        <v>58</v>
      </c>
      <c r="D137" t="s">
        <v>17</v>
      </c>
      <c r="E137" t="s">
        <v>33</v>
      </c>
      <c r="F137" t="s">
        <v>332</v>
      </c>
      <c r="G137">
        <v>464911210</v>
      </c>
      <c r="H137" t="s">
        <v>333</v>
      </c>
      <c r="I137">
        <v>6413</v>
      </c>
      <c r="J137">
        <v>152.58000000000001</v>
      </c>
      <c r="K137">
        <v>97.44</v>
      </c>
      <c r="L137">
        <v>978495.54</v>
      </c>
      <c r="M137">
        <v>624882.72</v>
      </c>
      <c r="N137">
        <v>353612.82</v>
      </c>
    </row>
    <row r="138" spans="1:14" x14ac:dyDescent="0.3">
      <c r="A138" t="s">
        <v>14</v>
      </c>
      <c r="B138" t="s">
        <v>83</v>
      </c>
      <c r="C138" t="s">
        <v>16</v>
      </c>
      <c r="D138" t="s">
        <v>23</v>
      </c>
      <c r="E138" t="s">
        <v>18</v>
      </c>
      <c r="F138" t="s">
        <v>334</v>
      </c>
      <c r="G138">
        <v>395562589</v>
      </c>
      <c r="H138" t="s">
        <v>335</v>
      </c>
      <c r="I138">
        <v>4615</v>
      </c>
      <c r="J138">
        <v>47.45</v>
      </c>
      <c r="K138">
        <v>31.79</v>
      </c>
      <c r="L138">
        <v>218981.75</v>
      </c>
      <c r="M138">
        <v>146710.85</v>
      </c>
      <c r="N138">
        <v>72270.899999999994</v>
      </c>
    </row>
    <row r="139" spans="1:14" x14ac:dyDescent="0.3">
      <c r="A139" t="s">
        <v>14</v>
      </c>
      <c r="B139" t="s">
        <v>185</v>
      </c>
      <c r="C139" t="s">
        <v>64</v>
      </c>
      <c r="D139" t="s">
        <v>17</v>
      </c>
      <c r="E139" t="s">
        <v>54</v>
      </c>
      <c r="F139" t="s">
        <v>336</v>
      </c>
      <c r="G139">
        <v>459372985</v>
      </c>
      <c r="H139" t="s">
        <v>337</v>
      </c>
      <c r="I139">
        <v>7529</v>
      </c>
      <c r="J139">
        <v>255.28</v>
      </c>
      <c r="K139">
        <v>159.41999999999999</v>
      </c>
      <c r="L139">
        <v>1922003.12</v>
      </c>
      <c r="M139">
        <v>1200273.18</v>
      </c>
      <c r="N139">
        <v>721729.94</v>
      </c>
    </row>
    <row r="140" spans="1:14" x14ac:dyDescent="0.3">
      <c r="A140" t="s">
        <v>14</v>
      </c>
      <c r="B140" t="s">
        <v>122</v>
      </c>
      <c r="C140" t="s">
        <v>50</v>
      </c>
      <c r="D140" t="s">
        <v>23</v>
      </c>
      <c r="E140" t="s">
        <v>33</v>
      </c>
      <c r="F140" t="s">
        <v>338</v>
      </c>
      <c r="G140">
        <v>693210542</v>
      </c>
      <c r="H140" t="s">
        <v>339</v>
      </c>
      <c r="I140">
        <v>5259</v>
      </c>
      <c r="J140">
        <v>421.89</v>
      </c>
      <c r="K140">
        <v>364.69</v>
      </c>
      <c r="L140">
        <v>2218719.5099999998</v>
      </c>
      <c r="M140">
        <v>1917904.71</v>
      </c>
      <c r="N140">
        <v>300814.8</v>
      </c>
    </row>
    <row r="141" spans="1:14" x14ac:dyDescent="0.3">
      <c r="A141" t="s">
        <v>14</v>
      </c>
      <c r="B141" t="s">
        <v>169</v>
      </c>
      <c r="C141" t="s">
        <v>37</v>
      </c>
      <c r="D141" t="s">
        <v>17</v>
      </c>
      <c r="E141" t="s">
        <v>33</v>
      </c>
      <c r="F141" t="s">
        <v>340</v>
      </c>
      <c r="G141">
        <v>153974950</v>
      </c>
      <c r="H141" t="s">
        <v>341</v>
      </c>
      <c r="I141">
        <v>3464</v>
      </c>
      <c r="J141">
        <v>9.33</v>
      </c>
      <c r="K141">
        <v>6.92</v>
      </c>
      <c r="L141">
        <v>32319.119999999999</v>
      </c>
      <c r="M141">
        <v>23970.880000000001</v>
      </c>
      <c r="N141">
        <v>8348.24</v>
      </c>
    </row>
    <row r="142" spans="1:14" x14ac:dyDescent="0.3">
      <c r="A142" t="s">
        <v>14</v>
      </c>
      <c r="B142" t="s">
        <v>342</v>
      </c>
      <c r="C142" t="s">
        <v>58</v>
      </c>
      <c r="D142" t="s">
        <v>23</v>
      </c>
      <c r="E142" t="s">
        <v>54</v>
      </c>
      <c r="F142" t="s">
        <v>211</v>
      </c>
      <c r="G142">
        <v>747327220</v>
      </c>
      <c r="H142" t="s">
        <v>343</v>
      </c>
      <c r="I142">
        <v>9587</v>
      </c>
      <c r="J142">
        <v>152.58000000000001</v>
      </c>
      <c r="K142">
        <v>97.44</v>
      </c>
      <c r="L142">
        <v>1462784.46</v>
      </c>
      <c r="M142">
        <v>934157.28</v>
      </c>
      <c r="N142">
        <v>528627.18000000005</v>
      </c>
    </row>
    <row r="143" spans="1:14" x14ac:dyDescent="0.3">
      <c r="A143" t="s">
        <v>14</v>
      </c>
      <c r="B143" t="s">
        <v>21</v>
      </c>
      <c r="C143" t="s">
        <v>22</v>
      </c>
      <c r="D143" t="s">
        <v>23</v>
      </c>
      <c r="E143" t="s">
        <v>24</v>
      </c>
      <c r="F143" t="s">
        <v>344</v>
      </c>
      <c r="G143">
        <v>166810500</v>
      </c>
      <c r="H143" t="s">
        <v>345</v>
      </c>
      <c r="I143">
        <v>1789</v>
      </c>
      <c r="J143">
        <v>109.28</v>
      </c>
      <c r="K143">
        <v>35.840000000000003</v>
      </c>
      <c r="L143">
        <v>195501.92</v>
      </c>
      <c r="M143">
        <v>64117.760000000002</v>
      </c>
      <c r="N143">
        <v>131384.16</v>
      </c>
    </row>
    <row r="144" spans="1:14" x14ac:dyDescent="0.3">
      <c r="A144" t="s">
        <v>14</v>
      </c>
      <c r="B144" t="s">
        <v>138</v>
      </c>
      <c r="C144" t="s">
        <v>102</v>
      </c>
      <c r="D144" t="s">
        <v>17</v>
      </c>
      <c r="E144" t="s">
        <v>24</v>
      </c>
      <c r="F144" t="s">
        <v>346</v>
      </c>
      <c r="G144">
        <v>386009633</v>
      </c>
      <c r="H144" t="s">
        <v>347</v>
      </c>
      <c r="I144">
        <v>7683</v>
      </c>
      <c r="J144">
        <v>81.73</v>
      </c>
      <c r="K144">
        <v>56.67</v>
      </c>
      <c r="L144">
        <v>627931.59</v>
      </c>
      <c r="M144">
        <v>435395.61</v>
      </c>
      <c r="N144">
        <v>192535.98</v>
      </c>
    </row>
    <row r="145" spans="1:14" x14ac:dyDescent="0.3">
      <c r="A145" t="s">
        <v>14</v>
      </c>
      <c r="B145" t="s">
        <v>196</v>
      </c>
      <c r="C145" t="s">
        <v>102</v>
      </c>
      <c r="D145" t="s">
        <v>17</v>
      </c>
      <c r="E145" t="s">
        <v>54</v>
      </c>
      <c r="F145" t="s">
        <v>348</v>
      </c>
      <c r="G145">
        <v>993368613</v>
      </c>
      <c r="H145" t="s">
        <v>349</v>
      </c>
      <c r="I145">
        <v>8702</v>
      </c>
      <c r="J145">
        <v>81.73</v>
      </c>
      <c r="K145">
        <v>56.67</v>
      </c>
      <c r="L145">
        <v>711214.46</v>
      </c>
      <c r="M145">
        <v>493142.34</v>
      </c>
      <c r="N145">
        <v>218072.12</v>
      </c>
    </row>
    <row r="146" spans="1:14" x14ac:dyDescent="0.3">
      <c r="A146" t="s">
        <v>14</v>
      </c>
      <c r="B146" t="s">
        <v>196</v>
      </c>
      <c r="C146" t="s">
        <v>64</v>
      </c>
      <c r="D146" t="s">
        <v>23</v>
      </c>
      <c r="E146" t="s">
        <v>33</v>
      </c>
      <c r="F146" t="s">
        <v>350</v>
      </c>
      <c r="G146">
        <v>405986297</v>
      </c>
      <c r="H146" t="s">
        <v>351</v>
      </c>
      <c r="I146">
        <v>9222</v>
      </c>
      <c r="J146">
        <v>255.28</v>
      </c>
      <c r="K146">
        <v>159.41999999999999</v>
      </c>
      <c r="L146">
        <v>2354192.16</v>
      </c>
      <c r="M146">
        <v>1470171.24</v>
      </c>
      <c r="N146">
        <v>884020.92</v>
      </c>
    </row>
    <row r="147" spans="1:14" x14ac:dyDescent="0.3">
      <c r="A147" t="s">
        <v>14</v>
      </c>
      <c r="B147" t="s">
        <v>31</v>
      </c>
      <c r="C147" t="s">
        <v>16</v>
      </c>
      <c r="D147" t="s">
        <v>23</v>
      </c>
      <c r="E147" t="s">
        <v>54</v>
      </c>
      <c r="F147" t="s">
        <v>352</v>
      </c>
      <c r="G147">
        <v>476794040</v>
      </c>
      <c r="H147" t="s">
        <v>353</v>
      </c>
      <c r="I147">
        <v>2807</v>
      </c>
      <c r="J147">
        <v>47.45</v>
      </c>
      <c r="K147">
        <v>31.79</v>
      </c>
      <c r="L147">
        <v>133192.15</v>
      </c>
      <c r="M147">
        <v>89234.53</v>
      </c>
      <c r="N147">
        <v>43957.62</v>
      </c>
    </row>
    <row r="148" spans="1:14" x14ac:dyDescent="0.3">
      <c r="A148" t="s">
        <v>14</v>
      </c>
      <c r="B148" t="s">
        <v>83</v>
      </c>
      <c r="C148" t="s">
        <v>50</v>
      </c>
      <c r="D148" t="s">
        <v>17</v>
      </c>
      <c r="E148" t="s">
        <v>18</v>
      </c>
      <c r="F148" t="s">
        <v>354</v>
      </c>
      <c r="G148">
        <v>380610454</v>
      </c>
      <c r="H148" t="s">
        <v>193</v>
      </c>
      <c r="I148">
        <v>9946</v>
      </c>
      <c r="J148">
        <v>421.89</v>
      </c>
      <c r="K148">
        <v>364.69</v>
      </c>
      <c r="L148">
        <v>4196117.9400000004</v>
      </c>
      <c r="M148">
        <v>3627206.74</v>
      </c>
      <c r="N148">
        <v>568911.19999999995</v>
      </c>
    </row>
    <row r="149" spans="1:14" x14ac:dyDescent="0.3">
      <c r="A149" t="s">
        <v>14</v>
      </c>
      <c r="B149" t="s">
        <v>163</v>
      </c>
      <c r="C149" t="s">
        <v>46</v>
      </c>
      <c r="D149" t="s">
        <v>17</v>
      </c>
      <c r="E149" t="s">
        <v>33</v>
      </c>
      <c r="F149" t="s">
        <v>355</v>
      </c>
      <c r="G149">
        <v>455040681</v>
      </c>
      <c r="H149" t="s">
        <v>356</v>
      </c>
      <c r="I149">
        <v>5504</v>
      </c>
      <c r="J149">
        <v>154.06</v>
      </c>
      <c r="K149">
        <v>90.93</v>
      </c>
      <c r="L149">
        <v>847946.23999999999</v>
      </c>
      <c r="M149">
        <v>500478.71999999997</v>
      </c>
      <c r="N149">
        <v>347467.52000000002</v>
      </c>
    </row>
    <row r="150" spans="1:14" x14ac:dyDescent="0.3">
      <c r="A150" t="s">
        <v>14</v>
      </c>
      <c r="B150" t="s">
        <v>223</v>
      </c>
      <c r="C150" t="s">
        <v>22</v>
      </c>
      <c r="D150" t="s">
        <v>23</v>
      </c>
      <c r="E150" t="s">
        <v>24</v>
      </c>
      <c r="F150" t="s">
        <v>357</v>
      </c>
      <c r="G150">
        <v>917792117</v>
      </c>
      <c r="H150" t="s">
        <v>358</v>
      </c>
      <c r="I150">
        <v>3938</v>
      </c>
      <c r="J150">
        <v>109.28</v>
      </c>
      <c r="K150">
        <v>35.840000000000003</v>
      </c>
      <c r="L150">
        <v>430344.64</v>
      </c>
      <c r="M150">
        <v>141137.92000000001</v>
      </c>
      <c r="N150">
        <v>289206.71999999997</v>
      </c>
    </row>
    <row r="151" spans="1:14" x14ac:dyDescent="0.3">
      <c r="A151" t="s">
        <v>14</v>
      </c>
      <c r="B151" t="s">
        <v>141</v>
      </c>
      <c r="C151" t="s">
        <v>75</v>
      </c>
      <c r="D151" t="s">
        <v>17</v>
      </c>
      <c r="E151" t="s">
        <v>33</v>
      </c>
      <c r="F151" t="s">
        <v>359</v>
      </c>
      <c r="G151">
        <v>728793370</v>
      </c>
      <c r="H151" t="s">
        <v>360</v>
      </c>
      <c r="I151">
        <v>5009</v>
      </c>
      <c r="J151">
        <v>437.2</v>
      </c>
      <c r="K151">
        <v>263.33</v>
      </c>
      <c r="L151">
        <v>2189934.7999999998</v>
      </c>
      <c r="M151">
        <v>1319019.97</v>
      </c>
      <c r="N151">
        <v>870914.83</v>
      </c>
    </row>
    <row r="152" spans="1:14" x14ac:dyDescent="0.3">
      <c r="A152" t="s">
        <v>14</v>
      </c>
      <c r="B152" t="s">
        <v>27</v>
      </c>
      <c r="C152" t="s">
        <v>37</v>
      </c>
      <c r="D152" t="s">
        <v>17</v>
      </c>
      <c r="E152" t="s">
        <v>24</v>
      </c>
      <c r="F152" t="s">
        <v>361</v>
      </c>
      <c r="G152">
        <v>185960614</v>
      </c>
      <c r="H152" t="s">
        <v>362</v>
      </c>
      <c r="I152">
        <v>8733</v>
      </c>
      <c r="J152">
        <v>9.33</v>
      </c>
      <c r="K152">
        <v>6.92</v>
      </c>
      <c r="L152">
        <v>81478.89</v>
      </c>
      <c r="M152">
        <v>60432.36</v>
      </c>
      <c r="N152">
        <v>21046.53</v>
      </c>
    </row>
    <row r="153" spans="1:14" x14ac:dyDescent="0.3">
      <c r="A153" t="s">
        <v>14</v>
      </c>
      <c r="B153" t="s">
        <v>53</v>
      </c>
      <c r="C153" t="s">
        <v>32</v>
      </c>
      <c r="D153" t="s">
        <v>17</v>
      </c>
      <c r="E153" t="s">
        <v>54</v>
      </c>
      <c r="F153" t="s">
        <v>313</v>
      </c>
      <c r="G153">
        <v>445273578</v>
      </c>
      <c r="H153" t="s">
        <v>363</v>
      </c>
      <c r="I153">
        <v>5201</v>
      </c>
      <c r="J153">
        <v>651.21</v>
      </c>
      <c r="K153">
        <v>524.96</v>
      </c>
      <c r="L153">
        <v>3386943.21</v>
      </c>
      <c r="M153">
        <v>2730316.96</v>
      </c>
      <c r="N153">
        <v>656626.25</v>
      </c>
    </row>
    <row r="154" spans="1:14" x14ac:dyDescent="0.3">
      <c r="A154" t="s">
        <v>14</v>
      </c>
      <c r="B154" t="s">
        <v>364</v>
      </c>
      <c r="C154" t="s">
        <v>64</v>
      </c>
      <c r="D154" t="s">
        <v>23</v>
      </c>
      <c r="E154" t="s">
        <v>33</v>
      </c>
      <c r="F154" t="s">
        <v>365</v>
      </c>
      <c r="G154">
        <v>359197413</v>
      </c>
      <c r="H154" t="s">
        <v>366</v>
      </c>
      <c r="I154">
        <v>3352</v>
      </c>
      <c r="J154">
        <v>255.28</v>
      </c>
      <c r="K154">
        <v>159.41999999999999</v>
      </c>
      <c r="L154">
        <v>855698.56</v>
      </c>
      <c r="M154">
        <v>534375.84</v>
      </c>
      <c r="N154">
        <v>321322.71999999997</v>
      </c>
    </row>
    <row r="155" spans="1:14" x14ac:dyDescent="0.3">
      <c r="A155" t="s">
        <v>14</v>
      </c>
      <c r="B155" t="s">
        <v>342</v>
      </c>
      <c r="C155" t="s">
        <v>102</v>
      </c>
      <c r="D155" t="s">
        <v>17</v>
      </c>
      <c r="E155" t="s">
        <v>33</v>
      </c>
      <c r="F155" t="s">
        <v>367</v>
      </c>
      <c r="G155">
        <v>853036296</v>
      </c>
      <c r="H155" t="s">
        <v>308</v>
      </c>
      <c r="I155">
        <v>1251</v>
      </c>
      <c r="J155">
        <v>81.73</v>
      </c>
      <c r="K155">
        <v>56.67</v>
      </c>
      <c r="L155">
        <v>102244.23</v>
      </c>
      <c r="M155">
        <v>70894.17</v>
      </c>
      <c r="N155">
        <v>31350.06</v>
      </c>
    </row>
    <row r="156" spans="1:14" x14ac:dyDescent="0.3">
      <c r="A156" t="s">
        <v>14</v>
      </c>
      <c r="B156" t="s">
        <v>49</v>
      </c>
      <c r="C156" t="s">
        <v>37</v>
      </c>
      <c r="D156" t="s">
        <v>17</v>
      </c>
      <c r="E156" t="s">
        <v>24</v>
      </c>
      <c r="F156" t="s">
        <v>368</v>
      </c>
      <c r="G156">
        <v>567412793</v>
      </c>
      <c r="H156" t="s">
        <v>369</v>
      </c>
      <c r="I156">
        <v>8910</v>
      </c>
      <c r="J156">
        <v>9.33</v>
      </c>
      <c r="K156">
        <v>6.92</v>
      </c>
      <c r="L156">
        <v>83130.3</v>
      </c>
      <c r="M156">
        <v>61657.2</v>
      </c>
      <c r="N156">
        <v>21473.1</v>
      </c>
    </row>
    <row r="157" spans="1:14" x14ac:dyDescent="0.3">
      <c r="A157" t="s">
        <v>14</v>
      </c>
      <c r="B157" t="s">
        <v>271</v>
      </c>
      <c r="C157" t="s">
        <v>75</v>
      </c>
      <c r="D157" t="s">
        <v>17</v>
      </c>
      <c r="E157" t="s">
        <v>54</v>
      </c>
      <c r="F157" t="s">
        <v>370</v>
      </c>
      <c r="G157">
        <v>139201343</v>
      </c>
      <c r="H157" t="s">
        <v>371</v>
      </c>
      <c r="I157">
        <v>1625</v>
      </c>
      <c r="J157">
        <v>437.2</v>
      </c>
      <c r="K157">
        <v>263.33</v>
      </c>
      <c r="L157">
        <v>710450</v>
      </c>
      <c r="M157">
        <v>427911.25</v>
      </c>
      <c r="N157">
        <v>282538.75</v>
      </c>
    </row>
    <row r="158" spans="1:14" x14ac:dyDescent="0.3">
      <c r="A158" t="s">
        <v>14</v>
      </c>
      <c r="B158" t="s">
        <v>74</v>
      </c>
      <c r="C158" t="s">
        <v>75</v>
      </c>
      <c r="D158" t="s">
        <v>23</v>
      </c>
      <c r="E158" t="s">
        <v>18</v>
      </c>
      <c r="F158" t="s">
        <v>372</v>
      </c>
      <c r="G158">
        <v>183910119</v>
      </c>
      <c r="H158" t="s">
        <v>373</v>
      </c>
      <c r="I158">
        <v>1946</v>
      </c>
      <c r="J158">
        <v>437.2</v>
      </c>
      <c r="K158">
        <v>263.33</v>
      </c>
      <c r="L158">
        <v>850791.2</v>
      </c>
      <c r="M158">
        <v>512440.18</v>
      </c>
      <c r="N158">
        <v>338351.02</v>
      </c>
    </row>
    <row r="159" spans="1:14" x14ac:dyDescent="0.3">
      <c r="A159" t="s">
        <v>14</v>
      </c>
      <c r="B159" t="s">
        <v>45</v>
      </c>
      <c r="C159" t="s">
        <v>22</v>
      </c>
      <c r="D159" t="s">
        <v>23</v>
      </c>
      <c r="E159" t="s">
        <v>54</v>
      </c>
      <c r="F159" t="s">
        <v>374</v>
      </c>
      <c r="G159">
        <v>922363460</v>
      </c>
      <c r="H159" t="s">
        <v>375</v>
      </c>
      <c r="I159">
        <v>6700</v>
      </c>
      <c r="J159">
        <v>109.28</v>
      </c>
      <c r="K159">
        <v>35.840000000000003</v>
      </c>
      <c r="L159">
        <v>732176</v>
      </c>
      <c r="M159">
        <v>240128</v>
      </c>
      <c r="N159">
        <v>492048</v>
      </c>
    </row>
    <row r="160" spans="1:14" x14ac:dyDescent="0.3">
      <c r="A160" t="s">
        <v>14</v>
      </c>
      <c r="B160" t="s">
        <v>27</v>
      </c>
      <c r="C160" t="s">
        <v>16</v>
      </c>
      <c r="D160" t="s">
        <v>17</v>
      </c>
      <c r="E160" t="s">
        <v>18</v>
      </c>
      <c r="F160" t="s">
        <v>376</v>
      </c>
      <c r="G160">
        <v>192922341</v>
      </c>
      <c r="H160" t="s">
        <v>377</v>
      </c>
      <c r="I160">
        <v>8863</v>
      </c>
      <c r="J160">
        <v>47.45</v>
      </c>
      <c r="K160">
        <v>31.79</v>
      </c>
      <c r="L160">
        <v>420549.35</v>
      </c>
      <c r="M160">
        <v>281754.77</v>
      </c>
      <c r="N160">
        <v>138794.57999999999</v>
      </c>
    </row>
    <row r="161" spans="1:14" x14ac:dyDescent="0.3">
      <c r="A161" t="s">
        <v>14</v>
      </c>
      <c r="B161" t="s">
        <v>110</v>
      </c>
      <c r="C161" t="s">
        <v>28</v>
      </c>
      <c r="D161" t="s">
        <v>23</v>
      </c>
      <c r="E161" t="s">
        <v>33</v>
      </c>
      <c r="F161" t="s">
        <v>378</v>
      </c>
      <c r="G161">
        <v>792178905</v>
      </c>
      <c r="H161" t="s">
        <v>379</v>
      </c>
      <c r="I161">
        <v>2197</v>
      </c>
      <c r="J161">
        <v>205.7</v>
      </c>
      <c r="K161">
        <v>117.11</v>
      </c>
      <c r="L161">
        <v>451922.9</v>
      </c>
      <c r="M161">
        <v>257290.67</v>
      </c>
      <c r="N161">
        <v>194632.23</v>
      </c>
    </row>
    <row r="162" spans="1:14" x14ac:dyDescent="0.3">
      <c r="A162" t="s">
        <v>14</v>
      </c>
      <c r="B162" t="s">
        <v>83</v>
      </c>
      <c r="C162" t="s">
        <v>16</v>
      </c>
      <c r="D162" t="s">
        <v>23</v>
      </c>
      <c r="E162" t="s">
        <v>24</v>
      </c>
      <c r="F162" t="s">
        <v>380</v>
      </c>
      <c r="G162">
        <v>424297845</v>
      </c>
      <c r="H162" t="s">
        <v>381</v>
      </c>
      <c r="I162">
        <v>8016</v>
      </c>
      <c r="J162">
        <v>47.45</v>
      </c>
      <c r="K162">
        <v>31.79</v>
      </c>
      <c r="L162">
        <v>380359.2</v>
      </c>
      <c r="M162">
        <v>254828.64</v>
      </c>
      <c r="N162">
        <v>125530.56</v>
      </c>
    </row>
    <row r="163" spans="1:14" x14ac:dyDescent="0.3">
      <c r="A163" t="s">
        <v>14</v>
      </c>
      <c r="B163" t="s">
        <v>271</v>
      </c>
      <c r="C163" t="s">
        <v>64</v>
      </c>
      <c r="D163" t="s">
        <v>23</v>
      </c>
      <c r="E163" t="s">
        <v>54</v>
      </c>
      <c r="F163" t="s">
        <v>382</v>
      </c>
      <c r="G163">
        <v>243684327</v>
      </c>
      <c r="H163" t="s">
        <v>383</v>
      </c>
      <c r="I163">
        <v>462</v>
      </c>
      <c r="J163">
        <v>255.28</v>
      </c>
      <c r="K163">
        <v>159.41999999999999</v>
      </c>
      <c r="L163">
        <v>117939.36</v>
      </c>
      <c r="M163">
        <v>73652.039999999994</v>
      </c>
      <c r="N163">
        <v>44287.32</v>
      </c>
    </row>
    <row r="164" spans="1:14" x14ac:dyDescent="0.3">
      <c r="A164" t="s">
        <v>14</v>
      </c>
      <c r="B164" t="s">
        <v>61</v>
      </c>
      <c r="C164" t="s">
        <v>22</v>
      </c>
      <c r="D164" t="s">
        <v>17</v>
      </c>
      <c r="E164" t="s">
        <v>24</v>
      </c>
      <c r="F164" t="s">
        <v>384</v>
      </c>
      <c r="G164">
        <v>152505099</v>
      </c>
      <c r="H164" t="s">
        <v>385</v>
      </c>
      <c r="I164">
        <v>8503</v>
      </c>
      <c r="J164">
        <v>109.28</v>
      </c>
      <c r="K164">
        <v>35.840000000000003</v>
      </c>
      <c r="L164">
        <v>929207.84</v>
      </c>
      <c r="M164">
        <v>304747.52000000002</v>
      </c>
      <c r="N164">
        <v>624460.31999999995</v>
      </c>
    </row>
    <row r="165" spans="1:14" x14ac:dyDescent="0.3">
      <c r="A165" t="s">
        <v>14</v>
      </c>
      <c r="B165" t="s">
        <v>364</v>
      </c>
      <c r="C165" t="s">
        <v>64</v>
      </c>
      <c r="D165" t="s">
        <v>23</v>
      </c>
      <c r="E165" t="s">
        <v>33</v>
      </c>
      <c r="F165" t="s">
        <v>386</v>
      </c>
      <c r="G165">
        <v>203036630</v>
      </c>
      <c r="H165" t="s">
        <v>387</v>
      </c>
      <c r="I165">
        <v>1905</v>
      </c>
      <c r="J165">
        <v>255.28</v>
      </c>
      <c r="K165">
        <v>159.41999999999999</v>
      </c>
      <c r="L165">
        <v>486308.4</v>
      </c>
      <c r="M165">
        <v>303695.09999999998</v>
      </c>
      <c r="N165">
        <v>182613.3</v>
      </c>
    </row>
    <row r="166" spans="1:14" x14ac:dyDescent="0.3">
      <c r="A166" t="s">
        <v>14</v>
      </c>
      <c r="B166" t="s">
        <v>74</v>
      </c>
      <c r="C166" t="s">
        <v>58</v>
      </c>
      <c r="D166" t="s">
        <v>17</v>
      </c>
      <c r="E166" t="s">
        <v>18</v>
      </c>
      <c r="F166" t="s">
        <v>388</v>
      </c>
      <c r="G166">
        <v>611791121</v>
      </c>
      <c r="H166" t="s">
        <v>389</v>
      </c>
      <c r="I166">
        <v>1443</v>
      </c>
      <c r="J166">
        <v>152.58000000000001</v>
      </c>
      <c r="K166">
        <v>97.44</v>
      </c>
      <c r="L166">
        <v>220172.94</v>
      </c>
      <c r="M166">
        <v>140605.92000000001</v>
      </c>
      <c r="N166">
        <v>79567.02</v>
      </c>
    </row>
    <row r="167" spans="1:14" x14ac:dyDescent="0.3">
      <c r="A167" t="s">
        <v>14</v>
      </c>
      <c r="B167" t="s">
        <v>61</v>
      </c>
      <c r="C167" t="s">
        <v>28</v>
      </c>
      <c r="D167" t="s">
        <v>17</v>
      </c>
      <c r="E167" t="s">
        <v>18</v>
      </c>
      <c r="F167" t="s">
        <v>390</v>
      </c>
      <c r="G167">
        <v>554554927</v>
      </c>
      <c r="H167" t="s">
        <v>391</v>
      </c>
      <c r="I167">
        <v>3981</v>
      </c>
      <c r="J167">
        <v>205.7</v>
      </c>
      <c r="K167">
        <v>117.11</v>
      </c>
      <c r="L167">
        <v>818891.7</v>
      </c>
      <c r="M167">
        <v>466214.91</v>
      </c>
      <c r="N167">
        <v>352676.79</v>
      </c>
    </row>
    <row r="168" spans="1:14" x14ac:dyDescent="0.3">
      <c r="A168" t="s">
        <v>14</v>
      </c>
      <c r="B168" t="s">
        <v>21</v>
      </c>
      <c r="C168" t="s">
        <v>32</v>
      </c>
      <c r="D168" t="s">
        <v>17</v>
      </c>
      <c r="E168" t="s">
        <v>54</v>
      </c>
      <c r="F168" t="s">
        <v>392</v>
      </c>
      <c r="G168">
        <v>434275662</v>
      </c>
      <c r="H168" t="s">
        <v>339</v>
      </c>
      <c r="I168">
        <v>674</v>
      </c>
      <c r="J168">
        <v>651.21</v>
      </c>
      <c r="K168">
        <v>524.96</v>
      </c>
      <c r="L168">
        <v>438915.54</v>
      </c>
      <c r="M168">
        <v>353823.04</v>
      </c>
      <c r="N168">
        <v>85092.5</v>
      </c>
    </row>
    <row r="169" spans="1:14" x14ac:dyDescent="0.3">
      <c r="A169" t="s">
        <v>14</v>
      </c>
      <c r="B169" t="s">
        <v>196</v>
      </c>
      <c r="C169" t="s">
        <v>102</v>
      </c>
      <c r="D169" t="s">
        <v>17</v>
      </c>
      <c r="E169" t="s">
        <v>54</v>
      </c>
      <c r="F169" t="s">
        <v>393</v>
      </c>
      <c r="G169">
        <v>835093390</v>
      </c>
      <c r="H169" t="s">
        <v>394</v>
      </c>
      <c r="I169">
        <v>1547</v>
      </c>
      <c r="J169">
        <v>81.73</v>
      </c>
      <c r="K169">
        <v>56.67</v>
      </c>
      <c r="L169">
        <v>126436.31</v>
      </c>
      <c r="M169">
        <v>87668.49</v>
      </c>
      <c r="N169">
        <v>38767.82</v>
      </c>
    </row>
    <row r="170" spans="1:14" x14ac:dyDescent="0.3">
      <c r="A170" t="s">
        <v>14</v>
      </c>
      <c r="B170" t="s">
        <v>232</v>
      </c>
      <c r="C170" t="s">
        <v>16</v>
      </c>
      <c r="D170" t="s">
        <v>23</v>
      </c>
      <c r="E170" t="s">
        <v>24</v>
      </c>
      <c r="F170" t="s">
        <v>395</v>
      </c>
      <c r="G170">
        <v>976323497</v>
      </c>
      <c r="H170" t="s">
        <v>396</v>
      </c>
      <c r="I170">
        <v>4674</v>
      </c>
      <c r="J170">
        <v>47.45</v>
      </c>
      <c r="K170">
        <v>31.79</v>
      </c>
      <c r="L170">
        <v>221781.3</v>
      </c>
      <c r="M170">
        <v>148586.46</v>
      </c>
      <c r="N170">
        <v>73194.84</v>
      </c>
    </row>
    <row r="171" spans="1:14" x14ac:dyDescent="0.3">
      <c r="A171" t="s">
        <v>14</v>
      </c>
      <c r="B171" t="s">
        <v>138</v>
      </c>
      <c r="C171" t="s">
        <v>16</v>
      </c>
      <c r="D171" t="s">
        <v>23</v>
      </c>
      <c r="E171" t="s">
        <v>54</v>
      </c>
      <c r="F171" t="s">
        <v>397</v>
      </c>
      <c r="G171">
        <v>732703387</v>
      </c>
      <c r="H171" t="s">
        <v>398</v>
      </c>
      <c r="I171">
        <v>2069</v>
      </c>
      <c r="J171">
        <v>47.45</v>
      </c>
      <c r="K171">
        <v>31.79</v>
      </c>
      <c r="L171">
        <v>98174.05</v>
      </c>
      <c r="M171">
        <v>65773.509999999995</v>
      </c>
      <c r="N171">
        <v>32400.54</v>
      </c>
    </row>
    <row r="172" spans="1:14" x14ac:dyDescent="0.3">
      <c r="A172" t="s">
        <v>14</v>
      </c>
      <c r="B172" t="s">
        <v>97</v>
      </c>
      <c r="C172" t="s">
        <v>71</v>
      </c>
      <c r="D172" t="s">
        <v>23</v>
      </c>
      <c r="E172" t="s">
        <v>18</v>
      </c>
      <c r="F172" t="s">
        <v>399</v>
      </c>
      <c r="G172">
        <v>873432672</v>
      </c>
      <c r="H172" t="s">
        <v>400</v>
      </c>
      <c r="I172">
        <v>6992</v>
      </c>
      <c r="J172">
        <v>668.27</v>
      </c>
      <c r="K172">
        <v>502.54</v>
      </c>
      <c r="L172">
        <v>4672543.84</v>
      </c>
      <c r="M172">
        <v>3513759.68</v>
      </c>
      <c r="N172">
        <v>1158784.1599999999</v>
      </c>
    </row>
    <row r="173" spans="1:14" x14ac:dyDescent="0.3">
      <c r="A173" t="s">
        <v>14</v>
      </c>
      <c r="B173" t="s">
        <v>83</v>
      </c>
      <c r="C173" t="s">
        <v>22</v>
      </c>
      <c r="D173" t="s">
        <v>23</v>
      </c>
      <c r="E173" t="s">
        <v>18</v>
      </c>
      <c r="F173" t="s">
        <v>401</v>
      </c>
      <c r="G173">
        <v>523580348</v>
      </c>
      <c r="H173" t="s">
        <v>402</v>
      </c>
      <c r="I173">
        <v>7915</v>
      </c>
      <c r="J173">
        <v>109.28</v>
      </c>
      <c r="K173">
        <v>35.840000000000003</v>
      </c>
      <c r="L173">
        <v>864951.2</v>
      </c>
      <c r="M173">
        <v>283673.59999999998</v>
      </c>
      <c r="N173">
        <v>581277.6</v>
      </c>
    </row>
    <row r="174" spans="1:14" x14ac:dyDescent="0.3">
      <c r="A174" t="s">
        <v>14</v>
      </c>
      <c r="B174" t="s">
        <v>183</v>
      </c>
      <c r="C174" t="s">
        <v>102</v>
      </c>
      <c r="D174" t="s">
        <v>23</v>
      </c>
      <c r="E174" t="s">
        <v>24</v>
      </c>
      <c r="F174" t="s">
        <v>403</v>
      </c>
      <c r="G174">
        <v>800045716</v>
      </c>
      <c r="H174" t="s">
        <v>404</v>
      </c>
      <c r="I174">
        <v>161</v>
      </c>
      <c r="J174">
        <v>81.73</v>
      </c>
      <c r="K174">
        <v>56.67</v>
      </c>
      <c r="L174">
        <v>13158.53</v>
      </c>
      <c r="M174">
        <v>9123.8700000000008</v>
      </c>
      <c r="N174">
        <v>4034.66</v>
      </c>
    </row>
    <row r="175" spans="1:14" x14ac:dyDescent="0.3">
      <c r="A175" t="s">
        <v>14</v>
      </c>
      <c r="B175" t="s">
        <v>100</v>
      </c>
      <c r="C175" t="s">
        <v>46</v>
      </c>
      <c r="D175" t="s">
        <v>23</v>
      </c>
      <c r="E175" t="s">
        <v>24</v>
      </c>
      <c r="F175" t="s">
        <v>405</v>
      </c>
      <c r="G175">
        <v>743769109</v>
      </c>
      <c r="H175" t="s">
        <v>406</v>
      </c>
      <c r="I175">
        <v>6662</v>
      </c>
      <c r="J175">
        <v>154.06</v>
      </c>
      <c r="K175">
        <v>90.93</v>
      </c>
      <c r="L175">
        <v>1026347.72</v>
      </c>
      <c r="M175">
        <v>605775.66</v>
      </c>
      <c r="N175">
        <v>420572.06</v>
      </c>
    </row>
    <row r="176" spans="1:14" x14ac:dyDescent="0.3">
      <c r="A176" t="s">
        <v>14</v>
      </c>
      <c r="B176" t="s">
        <v>61</v>
      </c>
      <c r="C176" t="s">
        <v>58</v>
      </c>
      <c r="D176" t="s">
        <v>17</v>
      </c>
      <c r="E176" t="s">
        <v>33</v>
      </c>
      <c r="F176" t="s">
        <v>407</v>
      </c>
      <c r="G176">
        <v>201294267</v>
      </c>
      <c r="H176" t="s">
        <v>408</v>
      </c>
      <c r="I176">
        <v>6302</v>
      </c>
      <c r="J176">
        <v>152.58000000000001</v>
      </c>
      <c r="K176">
        <v>97.44</v>
      </c>
      <c r="L176">
        <v>961559.16</v>
      </c>
      <c r="M176">
        <v>614066.88</v>
      </c>
      <c r="N176">
        <v>347492.28</v>
      </c>
    </row>
    <row r="177" spans="1:14" x14ac:dyDescent="0.3">
      <c r="A177" t="s">
        <v>14</v>
      </c>
      <c r="B177" t="s">
        <v>86</v>
      </c>
      <c r="C177" t="s">
        <v>50</v>
      </c>
      <c r="D177" t="s">
        <v>23</v>
      </c>
      <c r="E177" t="s">
        <v>33</v>
      </c>
      <c r="F177" t="s">
        <v>409</v>
      </c>
      <c r="G177">
        <v>668280589</v>
      </c>
      <c r="H177" t="s">
        <v>410</v>
      </c>
      <c r="I177">
        <v>7932</v>
      </c>
      <c r="J177">
        <v>421.89</v>
      </c>
      <c r="K177">
        <v>364.69</v>
      </c>
      <c r="L177">
        <v>3346431.48</v>
      </c>
      <c r="M177">
        <v>2892721.08</v>
      </c>
      <c r="N177">
        <v>453710.4</v>
      </c>
    </row>
    <row r="178" spans="1:14" x14ac:dyDescent="0.3">
      <c r="A178" t="s">
        <v>14</v>
      </c>
      <c r="B178" t="s">
        <v>141</v>
      </c>
      <c r="C178" t="s">
        <v>71</v>
      </c>
      <c r="D178" t="s">
        <v>23</v>
      </c>
      <c r="E178" t="s">
        <v>18</v>
      </c>
      <c r="F178" t="s">
        <v>411</v>
      </c>
      <c r="G178">
        <v>380379998</v>
      </c>
      <c r="H178" t="s">
        <v>412</v>
      </c>
      <c r="I178">
        <v>1749</v>
      </c>
      <c r="J178">
        <v>668.27</v>
      </c>
      <c r="K178">
        <v>502.54</v>
      </c>
      <c r="L178">
        <v>1168804.23</v>
      </c>
      <c r="M178">
        <v>878942.46</v>
      </c>
      <c r="N178">
        <v>289861.77</v>
      </c>
    </row>
    <row r="179" spans="1:14" x14ac:dyDescent="0.3">
      <c r="A179" t="s">
        <v>14</v>
      </c>
      <c r="B179" t="s">
        <v>67</v>
      </c>
      <c r="C179" t="s">
        <v>22</v>
      </c>
      <c r="D179" t="s">
        <v>23</v>
      </c>
      <c r="E179" t="s">
        <v>54</v>
      </c>
      <c r="F179" t="s">
        <v>413</v>
      </c>
      <c r="G179">
        <v>767490565</v>
      </c>
      <c r="H179" t="s">
        <v>414</v>
      </c>
      <c r="I179">
        <v>6368</v>
      </c>
      <c r="J179">
        <v>109.28</v>
      </c>
      <c r="K179">
        <v>35.840000000000003</v>
      </c>
      <c r="L179">
        <v>695895.04000000004</v>
      </c>
      <c r="M179">
        <v>228229.12</v>
      </c>
      <c r="N179">
        <v>467665.91999999998</v>
      </c>
    </row>
    <row r="180" spans="1:14" x14ac:dyDescent="0.3">
      <c r="A180" t="s">
        <v>14</v>
      </c>
      <c r="B180" t="s">
        <v>223</v>
      </c>
      <c r="C180" t="s">
        <v>58</v>
      </c>
      <c r="D180" t="s">
        <v>17</v>
      </c>
      <c r="E180" t="s">
        <v>33</v>
      </c>
      <c r="F180" t="s">
        <v>415</v>
      </c>
      <c r="G180">
        <v>720931279</v>
      </c>
      <c r="H180" t="s">
        <v>416</v>
      </c>
      <c r="I180">
        <v>8441</v>
      </c>
      <c r="J180">
        <v>152.58000000000001</v>
      </c>
      <c r="K180">
        <v>97.44</v>
      </c>
      <c r="L180">
        <v>1287927.78</v>
      </c>
      <c r="M180">
        <v>822491.04</v>
      </c>
      <c r="N180">
        <v>465436.74</v>
      </c>
    </row>
    <row r="181" spans="1:14" x14ac:dyDescent="0.3">
      <c r="A181" t="s">
        <v>14</v>
      </c>
      <c r="B181" t="s">
        <v>94</v>
      </c>
      <c r="C181" t="s">
        <v>58</v>
      </c>
      <c r="D181" t="s">
        <v>23</v>
      </c>
      <c r="E181" t="s">
        <v>33</v>
      </c>
      <c r="F181" t="s">
        <v>417</v>
      </c>
      <c r="G181">
        <v>138025033</v>
      </c>
      <c r="H181" t="s">
        <v>418</v>
      </c>
      <c r="I181">
        <v>3529</v>
      </c>
      <c r="J181">
        <v>152.58000000000001</v>
      </c>
      <c r="K181">
        <v>97.44</v>
      </c>
      <c r="L181">
        <v>538454.81999999995</v>
      </c>
      <c r="M181">
        <v>343865.76</v>
      </c>
      <c r="N181">
        <v>194589.06</v>
      </c>
    </row>
    <row r="182" spans="1:14" x14ac:dyDescent="0.3">
      <c r="A182" t="s">
        <v>14</v>
      </c>
      <c r="B182" t="s">
        <v>220</v>
      </c>
      <c r="C182" t="s">
        <v>50</v>
      </c>
      <c r="D182" t="s">
        <v>17</v>
      </c>
      <c r="E182" t="s">
        <v>54</v>
      </c>
      <c r="F182" t="s">
        <v>419</v>
      </c>
      <c r="G182">
        <v>552931869</v>
      </c>
      <c r="H182" t="s">
        <v>420</v>
      </c>
      <c r="I182">
        <v>3682</v>
      </c>
      <c r="J182">
        <v>421.89</v>
      </c>
      <c r="K182">
        <v>364.69</v>
      </c>
      <c r="L182">
        <v>1553398.98</v>
      </c>
      <c r="M182">
        <v>1342788.58</v>
      </c>
      <c r="N182">
        <v>210610.4</v>
      </c>
    </row>
    <row r="183" spans="1:14" x14ac:dyDescent="0.3">
      <c r="A183" t="s">
        <v>14</v>
      </c>
      <c r="B183" t="s">
        <v>92</v>
      </c>
      <c r="C183" t="s">
        <v>37</v>
      </c>
      <c r="D183" t="s">
        <v>23</v>
      </c>
      <c r="E183" t="s">
        <v>33</v>
      </c>
      <c r="F183" t="s">
        <v>421</v>
      </c>
      <c r="G183">
        <v>142375361</v>
      </c>
      <c r="H183" t="s">
        <v>287</v>
      </c>
      <c r="I183">
        <v>888</v>
      </c>
      <c r="J183">
        <v>9.33</v>
      </c>
      <c r="K183">
        <v>6.92</v>
      </c>
      <c r="L183">
        <v>8285.0400000000009</v>
      </c>
      <c r="M183">
        <v>6144.96</v>
      </c>
      <c r="N183">
        <v>2140.08</v>
      </c>
    </row>
    <row r="184" spans="1:14" x14ac:dyDescent="0.3">
      <c r="A184" t="s">
        <v>14</v>
      </c>
      <c r="B184" t="s">
        <v>57</v>
      </c>
      <c r="C184" t="s">
        <v>75</v>
      </c>
      <c r="D184" t="s">
        <v>17</v>
      </c>
      <c r="E184" t="s">
        <v>18</v>
      </c>
      <c r="F184" t="s">
        <v>422</v>
      </c>
      <c r="G184">
        <v>916089236</v>
      </c>
      <c r="H184" t="s">
        <v>423</v>
      </c>
      <c r="I184">
        <v>17</v>
      </c>
      <c r="J184">
        <v>437.2</v>
      </c>
      <c r="K184">
        <v>263.33</v>
      </c>
      <c r="L184">
        <v>7432.4</v>
      </c>
      <c r="M184">
        <v>4476.6099999999997</v>
      </c>
      <c r="N184">
        <v>2955.79</v>
      </c>
    </row>
    <row r="185" spans="1:14" x14ac:dyDescent="0.3">
      <c r="A185" t="s">
        <v>14</v>
      </c>
      <c r="B185" t="s">
        <v>45</v>
      </c>
      <c r="C185" t="s">
        <v>37</v>
      </c>
      <c r="D185" t="s">
        <v>17</v>
      </c>
      <c r="E185" t="s">
        <v>33</v>
      </c>
      <c r="F185" t="s">
        <v>424</v>
      </c>
      <c r="G185">
        <v>242265546</v>
      </c>
      <c r="H185" t="s">
        <v>425</v>
      </c>
      <c r="I185">
        <v>614</v>
      </c>
      <c r="J185">
        <v>9.33</v>
      </c>
      <c r="K185">
        <v>6.92</v>
      </c>
      <c r="L185">
        <v>5728.62</v>
      </c>
      <c r="M185">
        <v>4248.88</v>
      </c>
      <c r="N185">
        <v>1479.74</v>
      </c>
    </row>
    <row r="186" spans="1:14" x14ac:dyDescent="0.3">
      <c r="A186" t="s">
        <v>14</v>
      </c>
      <c r="B186" t="s">
        <v>100</v>
      </c>
      <c r="C186" t="s">
        <v>75</v>
      </c>
      <c r="D186" t="s">
        <v>23</v>
      </c>
      <c r="E186" t="s">
        <v>24</v>
      </c>
      <c r="F186" t="s">
        <v>59</v>
      </c>
      <c r="G186">
        <v>265914475</v>
      </c>
      <c r="H186" t="s">
        <v>426</v>
      </c>
      <c r="I186">
        <v>8857</v>
      </c>
      <c r="J186">
        <v>437.2</v>
      </c>
      <c r="K186">
        <v>263.33</v>
      </c>
      <c r="L186">
        <v>3872280.4</v>
      </c>
      <c r="M186">
        <v>2332313.81</v>
      </c>
      <c r="N186">
        <v>1539966.59</v>
      </c>
    </row>
    <row r="187" spans="1:14" x14ac:dyDescent="0.3">
      <c r="A187" t="s">
        <v>14</v>
      </c>
      <c r="B187" t="s">
        <v>243</v>
      </c>
      <c r="C187" t="s">
        <v>58</v>
      </c>
      <c r="D187" t="s">
        <v>23</v>
      </c>
      <c r="E187" t="s">
        <v>33</v>
      </c>
      <c r="F187" t="s">
        <v>427</v>
      </c>
      <c r="G187">
        <v>637040793</v>
      </c>
      <c r="H187" t="s">
        <v>428</v>
      </c>
      <c r="I187">
        <v>3382</v>
      </c>
      <c r="J187">
        <v>152.58000000000001</v>
      </c>
      <c r="K187">
        <v>97.44</v>
      </c>
      <c r="L187">
        <v>516025.56</v>
      </c>
      <c r="M187">
        <v>329542.08</v>
      </c>
      <c r="N187">
        <v>186483.48</v>
      </c>
    </row>
    <row r="188" spans="1:14" x14ac:dyDescent="0.3">
      <c r="A188" t="s">
        <v>14</v>
      </c>
      <c r="B188" t="s">
        <v>220</v>
      </c>
      <c r="C188" t="s">
        <v>102</v>
      </c>
      <c r="D188" t="s">
        <v>17</v>
      </c>
      <c r="E188" t="s">
        <v>33</v>
      </c>
      <c r="F188" t="s">
        <v>429</v>
      </c>
      <c r="G188">
        <v>754541289</v>
      </c>
      <c r="H188" t="s">
        <v>430</v>
      </c>
      <c r="I188">
        <v>4390</v>
      </c>
      <c r="J188">
        <v>81.73</v>
      </c>
      <c r="K188">
        <v>56.67</v>
      </c>
      <c r="L188">
        <v>358794.7</v>
      </c>
      <c r="M188">
        <v>248781.3</v>
      </c>
      <c r="N188">
        <v>110013.4</v>
      </c>
    </row>
    <row r="189" spans="1:14" x14ac:dyDescent="0.3">
      <c r="A189" t="s">
        <v>14</v>
      </c>
      <c r="B189" t="s">
        <v>83</v>
      </c>
      <c r="C189" t="s">
        <v>46</v>
      </c>
      <c r="D189" t="s">
        <v>17</v>
      </c>
      <c r="E189" t="s">
        <v>33</v>
      </c>
      <c r="F189" t="s">
        <v>431</v>
      </c>
      <c r="G189">
        <v>697638976</v>
      </c>
      <c r="H189" t="s">
        <v>432</v>
      </c>
      <c r="I189">
        <v>5731</v>
      </c>
      <c r="J189">
        <v>154.06</v>
      </c>
      <c r="K189">
        <v>90.93</v>
      </c>
      <c r="L189">
        <v>882917.86</v>
      </c>
      <c r="M189">
        <v>521119.83</v>
      </c>
      <c r="N189">
        <v>361798.03</v>
      </c>
    </row>
    <row r="190" spans="1:14" x14ac:dyDescent="0.3">
      <c r="A190" t="s">
        <v>14</v>
      </c>
      <c r="B190" t="s">
        <v>15</v>
      </c>
      <c r="C190" t="s">
        <v>64</v>
      </c>
      <c r="D190" t="s">
        <v>23</v>
      </c>
      <c r="E190" t="s">
        <v>18</v>
      </c>
      <c r="F190" t="s">
        <v>433</v>
      </c>
      <c r="G190">
        <v>467312324</v>
      </c>
      <c r="H190" t="s">
        <v>434</v>
      </c>
      <c r="I190">
        <v>6956</v>
      </c>
      <c r="J190">
        <v>255.28</v>
      </c>
      <c r="K190">
        <v>159.41999999999999</v>
      </c>
      <c r="L190">
        <v>1775727.68</v>
      </c>
      <c r="M190">
        <v>1108925.52</v>
      </c>
      <c r="N190">
        <v>666802.16</v>
      </c>
    </row>
    <row r="191" spans="1:14" x14ac:dyDescent="0.3">
      <c r="A191" t="s">
        <v>14</v>
      </c>
      <c r="B191" t="s">
        <v>97</v>
      </c>
      <c r="C191" t="s">
        <v>22</v>
      </c>
      <c r="D191" t="s">
        <v>23</v>
      </c>
      <c r="E191" t="s">
        <v>33</v>
      </c>
      <c r="F191" t="s">
        <v>435</v>
      </c>
      <c r="G191">
        <v>622441852</v>
      </c>
      <c r="H191" t="s">
        <v>436</v>
      </c>
      <c r="I191">
        <v>3231</v>
      </c>
      <c r="J191">
        <v>109.28</v>
      </c>
      <c r="K191">
        <v>35.840000000000003</v>
      </c>
      <c r="L191">
        <v>353083.68</v>
      </c>
      <c r="M191">
        <v>115799.03999999999</v>
      </c>
      <c r="N191">
        <v>237284.64</v>
      </c>
    </row>
    <row r="192" spans="1:14" x14ac:dyDescent="0.3">
      <c r="A192" t="s">
        <v>14</v>
      </c>
      <c r="B192" t="s">
        <v>31</v>
      </c>
      <c r="C192" t="s">
        <v>50</v>
      </c>
      <c r="D192" t="s">
        <v>23</v>
      </c>
      <c r="E192" t="s">
        <v>18</v>
      </c>
      <c r="F192" t="s">
        <v>437</v>
      </c>
      <c r="G192">
        <v>349212729</v>
      </c>
      <c r="H192" t="s">
        <v>438</v>
      </c>
      <c r="I192">
        <v>8662</v>
      </c>
      <c r="J192">
        <v>421.89</v>
      </c>
      <c r="K192">
        <v>364.69</v>
      </c>
      <c r="L192">
        <v>3654411.18</v>
      </c>
      <c r="M192">
        <v>3158944.78</v>
      </c>
      <c r="N192">
        <v>495466.4</v>
      </c>
    </row>
    <row r="193" spans="1:14" x14ac:dyDescent="0.3">
      <c r="A193" t="s">
        <v>14</v>
      </c>
      <c r="B193" t="s">
        <v>135</v>
      </c>
      <c r="C193" t="s">
        <v>75</v>
      </c>
      <c r="D193" t="s">
        <v>23</v>
      </c>
      <c r="E193" t="s">
        <v>54</v>
      </c>
      <c r="F193" t="s">
        <v>439</v>
      </c>
      <c r="G193">
        <v>332353007</v>
      </c>
      <c r="H193" t="s">
        <v>440</v>
      </c>
      <c r="I193">
        <v>9495</v>
      </c>
      <c r="J193">
        <v>437.2</v>
      </c>
      <c r="K193">
        <v>263.33</v>
      </c>
      <c r="L193">
        <v>4151214</v>
      </c>
      <c r="M193">
        <v>2500318.35</v>
      </c>
      <c r="N193">
        <v>1650895.65</v>
      </c>
    </row>
    <row r="194" spans="1:14" x14ac:dyDescent="0.3">
      <c r="A194" t="s">
        <v>14</v>
      </c>
      <c r="B194" t="s">
        <v>243</v>
      </c>
      <c r="C194" t="s">
        <v>50</v>
      </c>
      <c r="D194" t="s">
        <v>17</v>
      </c>
      <c r="E194" t="s">
        <v>54</v>
      </c>
      <c r="F194" t="s">
        <v>441</v>
      </c>
      <c r="G194">
        <v>876856458</v>
      </c>
      <c r="H194" t="s">
        <v>442</v>
      </c>
      <c r="I194">
        <v>166</v>
      </c>
      <c r="J194">
        <v>421.89</v>
      </c>
      <c r="K194">
        <v>364.69</v>
      </c>
      <c r="L194">
        <v>70033.740000000005</v>
      </c>
      <c r="M194">
        <v>60538.54</v>
      </c>
      <c r="N194">
        <v>9495.2000000000007</v>
      </c>
    </row>
    <row r="195" spans="1:14" x14ac:dyDescent="0.3">
      <c r="A195" t="s">
        <v>14</v>
      </c>
      <c r="B195" t="s">
        <v>31</v>
      </c>
      <c r="C195" t="s">
        <v>16</v>
      </c>
      <c r="D195" t="s">
        <v>17</v>
      </c>
      <c r="E195" t="s">
        <v>18</v>
      </c>
      <c r="F195" t="s">
        <v>443</v>
      </c>
      <c r="G195">
        <v>313178002</v>
      </c>
      <c r="H195" t="s">
        <v>444</v>
      </c>
      <c r="I195">
        <v>5185</v>
      </c>
      <c r="J195">
        <v>47.45</v>
      </c>
      <c r="K195">
        <v>31.79</v>
      </c>
      <c r="L195">
        <v>246028.25</v>
      </c>
      <c r="M195">
        <v>164831.15</v>
      </c>
      <c r="N195">
        <v>81197.100000000006</v>
      </c>
    </row>
    <row r="196" spans="1:14" x14ac:dyDescent="0.3">
      <c r="A196" t="s">
        <v>14</v>
      </c>
      <c r="B196" t="s">
        <v>132</v>
      </c>
      <c r="C196" t="s">
        <v>102</v>
      </c>
      <c r="D196" t="s">
        <v>23</v>
      </c>
      <c r="E196" t="s">
        <v>33</v>
      </c>
      <c r="F196" t="s">
        <v>445</v>
      </c>
      <c r="G196">
        <v>461445796</v>
      </c>
      <c r="H196" t="s">
        <v>446</v>
      </c>
      <c r="I196">
        <v>920</v>
      </c>
      <c r="J196">
        <v>81.73</v>
      </c>
      <c r="K196">
        <v>56.67</v>
      </c>
      <c r="L196">
        <v>75191.600000000006</v>
      </c>
      <c r="M196">
        <v>52136.4</v>
      </c>
      <c r="N196">
        <v>23055.200000000001</v>
      </c>
    </row>
    <row r="197" spans="1:14" x14ac:dyDescent="0.3">
      <c r="A197" t="s">
        <v>14</v>
      </c>
      <c r="B197" t="s">
        <v>166</v>
      </c>
      <c r="C197" t="s">
        <v>75</v>
      </c>
      <c r="D197" t="s">
        <v>17</v>
      </c>
      <c r="E197" t="s">
        <v>18</v>
      </c>
      <c r="F197" t="s">
        <v>447</v>
      </c>
      <c r="G197">
        <v>391026866</v>
      </c>
      <c r="H197" t="s">
        <v>448</v>
      </c>
      <c r="I197">
        <v>2394</v>
      </c>
      <c r="J197">
        <v>437.2</v>
      </c>
      <c r="K197">
        <v>263.33</v>
      </c>
      <c r="L197">
        <v>1046656.8</v>
      </c>
      <c r="M197">
        <v>630412.02</v>
      </c>
      <c r="N197">
        <v>416244.78</v>
      </c>
    </row>
    <row r="198" spans="1:14" x14ac:dyDescent="0.3">
      <c r="A198" t="s">
        <v>14</v>
      </c>
      <c r="B198" t="s">
        <v>196</v>
      </c>
      <c r="C198" t="s">
        <v>46</v>
      </c>
      <c r="D198" t="s">
        <v>17</v>
      </c>
      <c r="E198" t="s">
        <v>18</v>
      </c>
      <c r="F198" t="s">
        <v>449</v>
      </c>
      <c r="G198">
        <v>204418504</v>
      </c>
      <c r="H198" t="s">
        <v>450</v>
      </c>
      <c r="I198">
        <v>833</v>
      </c>
      <c r="J198">
        <v>154.06</v>
      </c>
      <c r="K198">
        <v>90.93</v>
      </c>
      <c r="L198">
        <v>128331.98</v>
      </c>
      <c r="M198">
        <v>75744.69</v>
      </c>
      <c r="N198">
        <v>52587.29</v>
      </c>
    </row>
    <row r="199" spans="1:14" x14ac:dyDescent="0.3">
      <c r="A199" t="s">
        <v>14</v>
      </c>
      <c r="B199" t="s">
        <v>342</v>
      </c>
      <c r="C199" t="s">
        <v>50</v>
      </c>
      <c r="D199" t="s">
        <v>17</v>
      </c>
      <c r="E199" t="s">
        <v>33</v>
      </c>
      <c r="F199" t="s">
        <v>451</v>
      </c>
      <c r="G199">
        <v>524972951</v>
      </c>
      <c r="H199" t="s">
        <v>452</v>
      </c>
      <c r="I199">
        <v>17</v>
      </c>
      <c r="J199">
        <v>421.89</v>
      </c>
      <c r="K199">
        <v>364.69</v>
      </c>
      <c r="L199">
        <v>7172.13</v>
      </c>
      <c r="M199">
        <v>6199.73</v>
      </c>
      <c r="N199">
        <v>972.4</v>
      </c>
    </row>
    <row r="200" spans="1:14" x14ac:dyDescent="0.3">
      <c r="A200" t="s">
        <v>14</v>
      </c>
      <c r="B200" t="s">
        <v>80</v>
      </c>
      <c r="C200" t="s">
        <v>16</v>
      </c>
      <c r="D200" t="s">
        <v>23</v>
      </c>
      <c r="E200" t="s">
        <v>18</v>
      </c>
      <c r="F200" t="s">
        <v>453</v>
      </c>
      <c r="G200">
        <v>469197165</v>
      </c>
      <c r="H200" t="s">
        <v>454</v>
      </c>
      <c r="I200">
        <v>4723</v>
      </c>
      <c r="J200">
        <v>47.45</v>
      </c>
      <c r="K200">
        <v>31.79</v>
      </c>
      <c r="L200">
        <v>224106.35</v>
      </c>
      <c r="M200">
        <v>150144.17000000001</v>
      </c>
      <c r="N200">
        <v>73962.179999999993</v>
      </c>
    </row>
    <row r="201" spans="1:14" x14ac:dyDescent="0.3">
      <c r="A201" t="s">
        <v>14</v>
      </c>
      <c r="B201" t="s">
        <v>169</v>
      </c>
      <c r="C201" t="s">
        <v>71</v>
      </c>
      <c r="D201" t="s">
        <v>17</v>
      </c>
      <c r="E201" t="s">
        <v>54</v>
      </c>
      <c r="F201" t="s">
        <v>455</v>
      </c>
      <c r="G201">
        <v>688650786</v>
      </c>
      <c r="H201" t="s">
        <v>456</v>
      </c>
      <c r="I201">
        <v>5926</v>
      </c>
      <c r="J201">
        <v>668.27</v>
      </c>
      <c r="K201">
        <v>502.54</v>
      </c>
      <c r="L201">
        <v>3960168.02</v>
      </c>
      <c r="M201">
        <v>2978052.04</v>
      </c>
      <c r="N201">
        <v>982115.98</v>
      </c>
    </row>
    <row r="202" spans="1:14" x14ac:dyDescent="0.3">
      <c r="A202" t="s">
        <v>14</v>
      </c>
      <c r="B202" t="s">
        <v>181</v>
      </c>
      <c r="C202" t="s">
        <v>32</v>
      </c>
      <c r="D202" t="s">
        <v>23</v>
      </c>
      <c r="E202" t="s">
        <v>24</v>
      </c>
      <c r="F202" t="s">
        <v>457</v>
      </c>
      <c r="G202">
        <v>823236739</v>
      </c>
      <c r="H202" t="s">
        <v>458</v>
      </c>
      <c r="I202">
        <v>2900</v>
      </c>
      <c r="J202">
        <v>651.21</v>
      </c>
      <c r="K202">
        <v>524.96</v>
      </c>
      <c r="L202">
        <v>1888509</v>
      </c>
      <c r="M202">
        <v>1522384</v>
      </c>
      <c r="N202">
        <v>366125</v>
      </c>
    </row>
    <row r="203" spans="1:14" x14ac:dyDescent="0.3">
      <c r="A203" t="s">
        <v>14</v>
      </c>
      <c r="B203" t="s">
        <v>122</v>
      </c>
      <c r="C203" t="s">
        <v>37</v>
      </c>
      <c r="D203" t="s">
        <v>17</v>
      </c>
      <c r="E203" t="s">
        <v>33</v>
      </c>
      <c r="F203" t="s">
        <v>459</v>
      </c>
      <c r="G203">
        <v>439725911</v>
      </c>
      <c r="H203" t="s">
        <v>66</v>
      </c>
      <c r="I203">
        <v>3524</v>
      </c>
      <c r="J203">
        <v>9.33</v>
      </c>
      <c r="K203">
        <v>6.92</v>
      </c>
      <c r="L203">
        <v>32878.92</v>
      </c>
      <c r="M203">
        <v>24386.080000000002</v>
      </c>
      <c r="N203">
        <v>8492.84</v>
      </c>
    </row>
    <row r="204" spans="1:14" x14ac:dyDescent="0.3">
      <c r="A204" t="s">
        <v>14</v>
      </c>
      <c r="B204" t="s">
        <v>105</v>
      </c>
      <c r="C204" t="s">
        <v>58</v>
      </c>
      <c r="D204" t="s">
        <v>23</v>
      </c>
      <c r="E204" t="s">
        <v>54</v>
      </c>
      <c r="F204" t="s">
        <v>460</v>
      </c>
      <c r="G204">
        <v>255047452</v>
      </c>
      <c r="H204" t="s">
        <v>415</v>
      </c>
      <c r="I204">
        <v>3064</v>
      </c>
      <c r="J204">
        <v>152.58000000000001</v>
      </c>
      <c r="K204">
        <v>97.44</v>
      </c>
      <c r="L204">
        <v>467505.12</v>
      </c>
      <c r="M204">
        <v>298556.15999999997</v>
      </c>
      <c r="N204">
        <v>168948.96</v>
      </c>
    </row>
    <row r="205" spans="1:14" x14ac:dyDescent="0.3">
      <c r="A205" t="s">
        <v>14</v>
      </c>
      <c r="B205" t="s">
        <v>100</v>
      </c>
      <c r="C205" t="s">
        <v>50</v>
      </c>
      <c r="D205" t="s">
        <v>17</v>
      </c>
      <c r="E205" t="s">
        <v>18</v>
      </c>
      <c r="F205" t="s">
        <v>461</v>
      </c>
      <c r="G205">
        <v>662623488</v>
      </c>
      <c r="H205" t="s">
        <v>462</v>
      </c>
      <c r="I205">
        <v>3870</v>
      </c>
      <c r="J205">
        <v>421.89</v>
      </c>
      <c r="K205">
        <v>364.69</v>
      </c>
      <c r="L205">
        <v>1632714.3</v>
      </c>
      <c r="M205">
        <v>1411350.3</v>
      </c>
      <c r="N205">
        <v>221364</v>
      </c>
    </row>
    <row r="206" spans="1:14" x14ac:dyDescent="0.3">
      <c r="A206" t="s">
        <v>14</v>
      </c>
      <c r="B206" t="s">
        <v>61</v>
      </c>
      <c r="C206" t="s">
        <v>46</v>
      </c>
      <c r="D206" t="s">
        <v>17</v>
      </c>
      <c r="E206" t="s">
        <v>24</v>
      </c>
      <c r="F206" t="s">
        <v>463</v>
      </c>
      <c r="G206">
        <v>560389268</v>
      </c>
      <c r="H206" t="s">
        <v>464</v>
      </c>
      <c r="I206">
        <v>492</v>
      </c>
      <c r="J206">
        <v>154.06</v>
      </c>
      <c r="K206">
        <v>90.93</v>
      </c>
      <c r="L206">
        <v>75797.52</v>
      </c>
      <c r="M206">
        <v>44737.56</v>
      </c>
      <c r="N206">
        <v>31059.96</v>
      </c>
    </row>
    <row r="207" spans="1:14" x14ac:dyDescent="0.3">
      <c r="A207" t="s">
        <v>14</v>
      </c>
      <c r="B207" t="s">
        <v>163</v>
      </c>
      <c r="C207" t="s">
        <v>32</v>
      </c>
      <c r="D207" t="s">
        <v>17</v>
      </c>
      <c r="E207" t="s">
        <v>18</v>
      </c>
      <c r="F207" t="s">
        <v>465</v>
      </c>
      <c r="G207">
        <v>867138278</v>
      </c>
      <c r="H207" t="s">
        <v>402</v>
      </c>
      <c r="I207">
        <v>4341</v>
      </c>
      <c r="J207">
        <v>651.21</v>
      </c>
      <c r="K207">
        <v>524.96</v>
      </c>
      <c r="L207">
        <v>2826902.61</v>
      </c>
      <c r="M207">
        <v>2278851.36</v>
      </c>
      <c r="N207">
        <v>548051.25</v>
      </c>
    </row>
    <row r="208" spans="1:14" x14ac:dyDescent="0.3">
      <c r="A208" t="s">
        <v>14</v>
      </c>
      <c r="B208" t="s">
        <v>40</v>
      </c>
      <c r="C208" t="s">
        <v>71</v>
      </c>
      <c r="D208" t="s">
        <v>23</v>
      </c>
      <c r="E208" t="s">
        <v>54</v>
      </c>
      <c r="F208" t="s">
        <v>466</v>
      </c>
      <c r="G208">
        <v>525321424</v>
      </c>
      <c r="H208" t="s">
        <v>467</v>
      </c>
      <c r="I208">
        <v>3138</v>
      </c>
      <c r="J208">
        <v>668.27</v>
      </c>
      <c r="K208">
        <v>502.54</v>
      </c>
      <c r="L208">
        <v>2097031.26</v>
      </c>
      <c r="M208">
        <v>1576970.52</v>
      </c>
      <c r="N208">
        <v>520060.74</v>
      </c>
    </row>
    <row r="209" spans="1:14" x14ac:dyDescent="0.3">
      <c r="A209" t="s">
        <v>14</v>
      </c>
      <c r="B209" t="s">
        <v>105</v>
      </c>
      <c r="C209" t="s">
        <v>22</v>
      </c>
      <c r="D209" t="s">
        <v>23</v>
      </c>
      <c r="E209" t="s">
        <v>54</v>
      </c>
      <c r="F209" t="s">
        <v>468</v>
      </c>
      <c r="G209">
        <v>497554337</v>
      </c>
      <c r="H209" t="s">
        <v>423</v>
      </c>
      <c r="I209">
        <v>6240</v>
      </c>
      <c r="J209">
        <v>109.28</v>
      </c>
      <c r="K209">
        <v>35.840000000000003</v>
      </c>
      <c r="L209">
        <v>681907.19999999995</v>
      </c>
      <c r="M209">
        <v>223641.60000000001</v>
      </c>
      <c r="N209">
        <v>458265.59999999998</v>
      </c>
    </row>
    <row r="210" spans="1:14" x14ac:dyDescent="0.3">
      <c r="A210" t="s">
        <v>14</v>
      </c>
      <c r="B210" t="s">
        <v>257</v>
      </c>
      <c r="C210" t="s">
        <v>102</v>
      </c>
      <c r="D210" t="s">
        <v>17</v>
      </c>
      <c r="E210" t="s">
        <v>24</v>
      </c>
      <c r="F210" t="s">
        <v>469</v>
      </c>
      <c r="G210">
        <v>626322257</v>
      </c>
      <c r="H210" t="s">
        <v>470</v>
      </c>
      <c r="I210">
        <v>1529</v>
      </c>
      <c r="J210">
        <v>81.73</v>
      </c>
      <c r="K210">
        <v>56.67</v>
      </c>
      <c r="L210">
        <v>124965.17</v>
      </c>
      <c r="M210">
        <v>86648.43</v>
      </c>
      <c r="N210">
        <v>38316.74</v>
      </c>
    </row>
    <row r="211" spans="1:14" x14ac:dyDescent="0.3">
      <c r="A211" t="s">
        <v>14</v>
      </c>
      <c r="B211" t="s">
        <v>67</v>
      </c>
      <c r="C211" t="s">
        <v>64</v>
      </c>
      <c r="D211" t="s">
        <v>17</v>
      </c>
      <c r="E211" t="s">
        <v>18</v>
      </c>
      <c r="F211" t="s">
        <v>471</v>
      </c>
      <c r="G211">
        <v>611766231</v>
      </c>
      <c r="H211" t="s">
        <v>472</v>
      </c>
      <c r="I211">
        <v>4077</v>
      </c>
      <c r="J211">
        <v>255.28</v>
      </c>
      <c r="K211">
        <v>159.41999999999999</v>
      </c>
      <c r="L211">
        <v>1040776.56</v>
      </c>
      <c r="M211">
        <v>649955.34</v>
      </c>
      <c r="N211">
        <v>390821.22</v>
      </c>
    </row>
    <row r="212" spans="1:14" x14ac:dyDescent="0.3">
      <c r="A212" t="s">
        <v>14</v>
      </c>
      <c r="B212" t="s">
        <v>40</v>
      </c>
      <c r="C212" t="s">
        <v>64</v>
      </c>
      <c r="D212" t="s">
        <v>17</v>
      </c>
      <c r="E212" t="s">
        <v>54</v>
      </c>
      <c r="F212" t="s">
        <v>473</v>
      </c>
      <c r="G212">
        <v>630931794</v>
      </c>
      <c r="H212" t="s">
        <v>474</v>
      </c>
      <c r="I212">
        <v>5593</v>
      </c>
      <c r="J212">
        <v>255.28</v>
      </c>
      <c r="K212">
        <v>159.41999999999999</v>
      </c>
      <c r="L212">
        <v>1427781.04</v>
      </c>
      <c r="M212">
        <v>891636.06</v>
      </c>
      <c r="N212">
        <v>536144.98</v>
      </c>
    </row>
    <row r="213" spans="1:14" x14ac:dyDescent="0.3">
      <c r="A213" t="s">
        <v>14</v>
      </c>
      <c r="B213" t="s">
        <v>61</v>
      </c>
      <c r="C213" t="s">
        <v>32</v>
      </c>
      <c r="D213" t="s">
        <v>17</v>
      </c>
      <c r="E213" t="s">
        <v>33</v>
      </c>
      <c r="F213" t="s">
        <v>475</v>
      </c>
      <c r="G213">
        <v>239386355</v>
      </c>
      <c r="H213" t="s">
        <v>476</v>
      </c>
      <c r="I213">
        <v>8597</v>
      </c>
      <c r="J213">
        <v>651.21</v>
      </c>
      <c r="K213">
        <v>524.96</v>
      </c>
      <c r="L213">
        <v>5598452.3700000001</v>
      </c>
      <c r="M213">
        <v>4513081.12</v>
      </c>
      <c r="N213">
        <v>1085371.25</v>
      </c>
    </row>
    <row r="214" spans="1:14" x14ac:dyDescent="0.3">
      <c r="A214" t="s">
        <v>14</v>
      </c>
      <c r="B214" t="s">
        <v>196</v>
      </c>
      <c r="C214" t="s">
        <v>71</v>
      </c>
      <c r="D214" t="s">
        <v>17</v>
      </c>
      <c r="E214" t="s">
        <v>24</v>
      </c>
      <c r="F214" t="s">
        <v>477</v>
      </c>
      <c r="G214">
        <v>874172532</v>
      </c>
      <c r="H214" t="s">
        <v>478</v>
      </c>
      <c r="I214">
        <v>5933</v>
      </c>
      <c r="J214">
        <v>668.27</v>
      </c>
      <c r="K214">
        <v>502.54</v>
      </c>
      <c r="L214">
        <v>3964845.91</v>
      </c>
      <c r="M214">
        <v>2981569.82</v>
      </c>
      <c r="N214">
        <v>983276.09</v>
      </c>
    </row>
    <row r="215" spans="1:14" x14ac:dyDescent="0.3">
      <c r="A215" t="s">
        <v>14</v>
      </c>
      <c r="B215" t="s">
        <v>223</v>
      </c>
      <c r="C215" t="s">
        <v>102</v>
      </c>
      <c r="D215" t="s">
        <v>17</v>
      </c>
      <c r="E215" t="s">
        <v>18</v>
      </c>
      <c r="F215" t="s">
        <v>479</v>
      </c>
      <c r="G215">
        <v>570703542</v>
      </c>
      <c r="H215" t="s">
        <v>480</v>
      </c>
      <c r="I215">
        <v>2715</v>
      </c>
      <c r="J215">
        <v>81.73</v>
      </c>
      <c r="K215">
        <v>56.67</v>
      </c>
      <c r="L215">
        <v>221896.95</v>
      </c>
      <c r="M215">
        <v>153859.04999999999</v>
      </c>
      <c r="N215">
        <v>68037.899999999994</v>
      </c>
    </row>
    <row r="216" spans="1:14" x14ac:dyDescent="0.3">
      <c r="A216" t="s">
        <v>14</v>
      </c>
      <c r="B216" t="s">
        <v>135</v>
      </c>
      <c r="C216" t="s">
        <v>75</v>
      </c>
      <c r="D216" t="s">
        <v>23</v>
      </c>
      <c r="E216" t="s">
        <v>24</v>
      </c>
      <c r="F216" t="s">
        <v>481</v>
      </c>
      <c r="G216">
        <v>132603538</v>
      </c>
      <c r="H216" t="s">
        <v>482</v>
      </c>
      <c r="I216">
        <v>9188</v>
      </c>
      <c r="J216">
        <v>437.2</v>
      </c>
      <c r="K216">
        <v>263.33</v>
      </c>
      <c r="L216">
        <v>4016993.6</v>
      </c>
      <c r="M216">
        <v>2419476.04</v>
      </c>
      <c r="N216">
        <v>1597517.56</v>
      </c>
    </row>
    <row r="217" spans="1:14" x14ac:dyDescent="0.3">
      <c r="A217" t="s">
        <v>14</v>
      </c>
      <c r="B217" t="s">
        <v>15</v>
      </c>
      <c r="C217" t="s">
        <v>50</v>
      </c>
      <c r="D217" t="s">
        <v>17</v>
      </c>
      <c r="E217" t="s">
        <v>33</v>
      </c>
      <c r="F217" t="s">
        <v>320</v>
      </c>
      <c r="G217">
        <v>552276551</v>
      </c>
      <c r="H217" t="s">
        <v>483</v>
      </c>
      <c r="I217">
        <v>9759</v>
      </c>
      <c r="J217">
        <v>421.89</v>
      </c>
      <c r="K217">
        <v>364.69</v>
      </c>
      <c r="L217">
        <v>4117224.51</v>
      </c>
      <c r="M217">
        <v>3559009.71</v>
      </c>
      <c r="N217">
        <v>558214.80000000005</v>
      </c>
    </row>
    <row r="218" spans="1:14" x14ac:dyDescent="0.3">
      <c r="A218" t="s">
        <v>14</v>
      </c>
      <c r="B218" t="s">
        <v>181</v>
      </c>
      <c r="C218" t="s">
        <v>58</v>
      </c>
      <c r="D218" t="s">
        <v>17</v>
      </c>
      <c r="E218" t="s">
        <v>24</v>
      </c>
      <c r="F218" t="s">
        <v>446</v>
      </c>
      <c r="G218">
        <v>163587558</v>
      </c>
      <c r="H218" t="s">
        <v>484</v>
      </c>
      <c r="I218">
        <v>8048</v>
      </c>
      <c r="J218">
        <v>152.58000000000001</v>
      </c>
      <c r="K218">
        <v>97.44</v>
      </c>
      <c r="L218">
        <v>1227963.8400000001</v>
      </c>
      <c r="M218">
        <v>784197.12</v>
      </c>
      <c r="N218">
        <v>443766.72</v>
      </c>
    </row>
    <row r="219" spans="1:14" x14ac:dyDescent="0.3">
      <c r="A219" t="s">
        <v>14</v>
      </c>
      <c r="B219" t="s">
        <v>220</v>
      </c>
      <c r="C219" t="s">
        <v>64</v>
      </c>
      <c r="D219" t="s">
        <v>17</v>
      </c>
      <c r="E219" t="s">
        <v>24</v>
      </c>
      <c r="F219" t="s">
        <v>485</v>
      </c>
      <c r="G219">
        <v>415837943</v>
      </c>
      <c r="H219" t="s">
        <v>486</v>
      </c>
      <c r="I219">
        <v>4543</v>
      </c>
      <c r="J219">
        <v>255.28</v>
      </c>
      <c r="K219">
        <v>159.41999999999999</v>
      </c>
      <c r="L219">
        <v>1159737.04</v>
      </c>
      <c r="M219">
        <v>724245.06</v>
      </c>
      <c r="N219">
        <v>435491.98</v>
      </c>
    </row>
    <row r="220" spans="1:14" x14ac:dyDescent="0.3">
      <c r="A220" t="s">
        <v>14</v>
      </c>
      <c r="B220" t="s">
        <v>135</v>
      </c>
      <c r="C220" t="s">
        <v>64</v>
      </c>
      <c r="D220" t="s">
        <v>17</v>
      </c>
      <c r="E220" t="s">
        <v>54</v>
      </c>
      <c r="F220" t="s">
        <v>487</v>
      </c>
      <c r="G220">
        <v>398645198</v>
      </c>
      <c r="H220" t="s">
        <v>488</v>
      </c>
      <c r="I220">
        <v>6828</v>
      </c>
      <c r="J220">
        <v>255.28</v>
      </c>
      <c r="K220">
        <v>159.41999999999999</v>
      </c>
      <c r="L220">
        <v>1743051.84</v>
      </c>
      <c r="M220">
        <v>1088519.76</v>
      </c>
      <c r="N220">
        <v>654532.07999999996</v>
      </c>
    </row>
    <row r="221" spans="1:14" x14ac:dyDescent="0.3">
      <c r="A221" t="s">
        <v>14</v>
      </c>
      <c r="B221" t="s">
        <v>80</v>
      </c>
      <c r="C221" t="s">
        <v>102</v>
      </c>
      <c r="D221" t="s">
        <v>17</v>
      </c>
      <c r="E221" t="s">
        <v>54</v>
      </c>
      <c r="F221" t="s">
        <v>489</v>
      </c>
      <c r="G221">
        <v>913074433</v>
      </c>
      <c r="H221" t="s">
        <v>490</v>
      </c>
      <c r="I221">
        <v>7870</v>
      </c>
      <c r="J221">
        <v>81.73</v>
      </c>
      <c r="K221">
        <v>56.67</v>
      </c>
      <c r="L221">
        <v>643215.1</v>
      </c>
      <c r="M221">
        <v>445992.9</v>
      </c>
      <c r="N221">
        <v>197222.2</v>
      </c>
    </row>
    <row r="222" spans="1:14" x14ac:dyDescent="0.3">
      <c r="A222" t="s">
        <v>14</v>
      </c>
      <c r="B222" t="s">
        <v>220</v>
      </c>
      <c r="C222" t="s">
        <v>37</v>
      </c>
      <c r="D222" t="s">
        <v>17</v>
      </c>
      <c r="E222" t="s">
        <v>54</v>
      </c>
      <c r="F222" t="s">
        <v>491</v>
      </c>
      <c r="G222">
        <v>889125955</v>
      </c>
      <c r="H222" t="s">
        <v>492</v>
      </c>
      <c r="I222">
        <v>983</v>
      </c>
      <c r="J222">
        <v>9.33</v>
      </c>
      <c r="K222">
        <v>6.92</v>
      </c>
      <c r="L222">
        <v>9171.39</v>
      </c>
      <c r="M222">
        <v>6802.36</v>
      </c>
      <c r="N222">
        <v>2369.0300000000002</v>
      </c>
    </row>
    <row r="223" spans="1:14" x14ac:dyDescent="0.3">
      <c r="A223" t="s">
        <v>14</v>
      </c>
      <c r="B223" t="s">
        <v>27</v>
      </c>
      <c r="C223" t="s">
        <v>37</v>
      </c>
      <c r="D223" t="s">
        <v>17</v>
      </c>
      <c r="E223" t="s">
        <v>54</v>
      </c>
      <c r="F223" t="s">
        <v>320</v>
      </c>
      <c r="G223">
        <v>263427960</v>
      </c>
      <c r="H223" t="s">
        <v>341</v>
      </c>
      <c r="I223">
        <v>3042</v>
      </c>
      <c r="J223">
        <v>9.33</v>
      </c>
      <c r="K223">
        <v>6.92</v>
      </c>
      <c r="L223">
        <v>28381.86</v>
      </c>
      <c r="M223">
        <v>21050.639999999999</v>
      </c>
      <c r="N223">
        <v>7331.22</v>
      </c>
    </row>
    <row r="224" spans="1:14" x14ac:dyDescent="0.3">
      <c r="A224" t="s">
        <v>14</v>
      </c>
      <c r="B224" t="s">
        <v>92</v>
      </c>
      <c r="C224" t="s">
        <v>50</v>
      </c>
      <c r="D224" t="s">
        <v>23</v>
      </c>
      <c r="E224" t="s">
        <v>54</v>
      </c>
      <c r="F224" t="s">
        <v>493</v>
      </c>
      <c r="G224">
        <v>730490243</v>
      </c>
      <c r="H224" t="s">
        <v>494</v>
      </c>
      <c r="I224">
        <v>7151</v>
      </c>
      <c r="J224">
        <v>421.89</v>
      </c>
      <c r="K224">
        <v>364.69</v>
      </c>
      <c r="L224">
        <v>3016935.39</v>
      </c>
      <c r="M224">
        <v>2607898.19</v>
      </c>
      <c r="N224">
        <v>409037.2</v>
      </c>
    </row>
    <row r="225" spans="1:14" x14ac:dyDescent="0.3">
      <c r="A225" t="s">
        <v>14</v>
      </c>
      <c r="B225" t="s">
        <v>89</v>
      </c>
      <c r="C225" t="s">
        <v>28</v>
      </c>
      <c r="D225" t="s">
        <v>23</v>
      </c>
      <c r="E225" t="s">
        <v>33</v>
      </c>
      <c r="F225" t="s">
        <v>39</v>
      </c>
      <c r="G225">
        <v>905036389</v>
      </c>
      <c r="H225" t="s">
        <v>495</v>
      </c>
      <c r="I225">
        <v>9234</v>
      </c>
      <c r="J225">
        <v>205.7</v>
      </c>
      <c r="K225">
        <v>117.11</v>
      </c>
      <c r="L225">
        <v>1899433.8</v>
      </c>
      <c r="M225">
        <v>1081393.74</v>
      </c>
      <c r="N225">
        <v>818040.06</v>
      </c>
    </row>
    <row r="226" spans="1:14" x14ac:dyDescent="0.3">
      <c r="A226" t="s">
        <v>14</v>
      </c>
      <c r="B226" t="s">
        <v>40</v>
      </c>
      <c r="C226" t="s">
        <v>22</v>
      </c>
      <c r="D226" t="s">
        <v>23</v>
      </c>
      <c r="E226" t="s">
        <v>18</v>
      </c>
      <c r="F226" t="s">
        <v>496</v>
      </c>
      <c r="G226">
        <v>381759297</v>
      </c>
      <c r="H226" t="s">
        <v>497</v>
      </c>
      <c r="I226">
        <v>9914</v>
      </c>
      <c r="J226">
        <v>109.28</v>
      </c>
      <c r="K226">
        <v>35.840000000000003</v>
      </c>
      <c r="L226">
        <v>1083401.92</v>
      </c>
      <c r="M226">
        <v>355317.76000000001</v>
      </c>
      <c r="N226">
        <v>728084.16</v>
      </c>
    </row>
    <row r="227" spans="1:14" x14ac:dyDescent="0.3">
      <c r="A227" t="s">
        <v>14</v>
      </c>
      <c r="B227" t="s">
        <v>264</v>
      </c>
      <c r="C227" t="s">
        <v>75</v>
      </c>
      <c r="D227" t="s">
        <v>17</v>
      </c>
      <c r="E227" t="s">
        <v>24</v>
      </c>
      <c r="F227" t="s">
        <v>498</v>
      </c>
      <c r="G227">
        <v>613166129</v>
      </c>
      <c r="H227" t="s">
        <v>499</v>
      </c>
      <c r="I227">
        <v>8338</v>
      </c>
      <c r="J227">
        <v>437.2</v>
      </c>
      <c r="K227">
        <v>263.33</v>
      </c>
      <c r="L227">
        <v>3645373.6</v>
      </c>
      <c r="M227">
        <v>2195645.54</v>
      </c>
      <c r="N227">
        <v>1449728.06</v>
      </c>
    </row>
    <row r="228" spans="1:14" x14ac:dyDescent="0.3">
      <c r="A228" t="s">
        <v>14</v>
      </c>
      <c r="B228" t="s">
        <v>74</v>
      </c>
      <c r="C228" t="s">
        <v>32</v>
      </c>
      <c r="D228" t="s">
        <v>17</v>
      </c>
      <c r="E228" t="s">
        <v>24</v>
      </c>
      <c r="F228" t="s">
        <v>500</v>
      </c>
      <c r="G228">
        <v>181260526</v>
      </c>
      <c r="H228" t="s">
        <v>378</v>
      </c>
      <c r="I228">
        <v>7872</v>
      </c>
      <c r="J228">
        <v>651.21</v>
      </c>
      <c r="K228">
        <v>524.96</v>
      </c>
      <c r="L228">
        <v>5126325.12</v>
      </c>
      <c r="M228">
        <v>4132485.1200000001</v>
      </c>
      <c r="N228">
        <v>993840</v>
      </c>
    </row>
    <row r="229" spans="1:14" x14ac:dyDescent="0.3">
      <c r="A229" t="s">
        <v>14</v>
      </c>
      <c r="B229" t="s">
        <v>364</v>
      </c>
      <c r="C229" t="s">
        <v>58</v>
      </c>
      <c r="D229" t="s">
        <v>23</v>
      </c>
      <c r="E229" t="s">
        <v>18</v>
      </c>
      <c r="F229" t="s">
        <v>302</v>
      </c>
      <c r="G229">
        <v>264959609</v>
      </c>
      <c r="H229" t="s">
        <v>501</v>
      </c>
      <c r="I229">
        <v>6291</v>
      </c>
      <c r="J229">
        <v>152.58000000000001</v>
      </c>
      <c r="K229">
        <v>97.44</v>
      </c>
      <c r="L229">
        <v>959880.78</v>
      </c>
      <c r="M229">
        <v>612995.04</v>
      </c>
      <c r="N229">
        <v>346885.74</v>
      </c>
    </row>
    <row r="230" spans="1:14" x14ac:dyDescent="0.3">
      <c r="A230" t="s">
        <v>14</v>
      </c>
      <c r="B230" t="s">
        <v>100</v>
      </c>
      <c r="C230" t="s">
        <v>37</v>
      </c>
      <c r="D230" t="s">
        <v>23</v>
      </c>
      <c r="E230" t="s">
        <v>33</v>
      </c>
      <c r="F230" t="s">
        <v>502</v>
      </c>
      <c r="G230">
        <v>475176560</v>
      </c>
      <c r="H230" t="s">
        <v>503</v>
      </c>
      <c r="I230">
        <v>4159</v>
      </c>
      <c r="J230">
        <v>9.33</v>
      </c>
      <c r="K230">
        <v>6.92</v>
      </c>
      <c r="L230">
        <v>38803.47</v>
      </c>
      <c r="M230">
        <v>28780.28</v>
      </c>
      <c r="N230">
        <v>10023.19</v>
      </c>
    </row>
    <row r="231" spans="1:14" x14ac:dyDescent="0.3">
      <c r="A231" t="s">
        <v>14</v>
      </c>
      <c r="B231" t="s">
        <v>122</v>
      </c>
      <c r="C231" t="s">
        <v>64</v>
      </c>
      <c r="D231" t="s">
        <v>17</v>
      </c>
      <c r="E231" t="s">
        <v>54</v>
      </c>
      <c r="F231" t="s">
        <v>504</v>
      </c>
      <c r="G231">
        <v>194922626</v>
      </c>
      <c r="H231" t="s">
        <v>505</v>
      </c>
      <c r="I231">
        <v>791</v>
      </c>
      <c r="J231">
        <v>255.28</v>
      </c>
      <c r="K231">
        <v>159.41999999999999</v>
      </c>
      <c r="L231">
        <v>201926.48</v>
      </c>
      <c r="M231">
        <v>126101.22</v>
      </c>
      <c r="N231">
        <v>75825.259999999995</v>
      </c>
    </row>
    <row r="232" spans="1:14" x14ac:dyDescent="0.3">
      <c r="A232" t="s">
        <v>14</v>
      </c>
      <c r="B232" t="s">
        <v>163</v>
      </c>
      <c r="C232" t="s">
        <v>58</v>
      </c>
      <c r="D232" t="s">
        <v>17</v>
      </c>
      <c r="E232" t="s">
        <v>24</v>
      </c>
      <c r="F232" t="s">
        <v>506</v>
      </c>
      <c r="G232">
        <v>447684133</v>
      </c>
      <c r="H232" t="s">
        <v>507</v>
      </c>
      <c r="I232">
        <v>8538</v>
      </c>
      <c r="J232">
        <v>152.58000000000001</v>
      </c>
      <c r="K232">
        <v>97.44</v>
      </c>
      <c r="L232">
        <v>1302728.04</v>
      </c>
      <c r="M232">
        <v>831942.72</v>
      </c>
      <c r="N232">
        <v>470785.32</v>
      </c>
    </row>
    <row r="233" spans="1:14" x14ac:dyDescent="0.3">
      <c r="A233" t="s">
        <v>14</v>
      </c>
      <c r="B233" t="s">
        <v>92</v>
      </c>
      <c r="C233" t="s">
        <v>102</v>
      </c>
      <c r="D233" t="s">
        <v>23</v>
      </c>
      <c r="E233" t="s">
        <v>54</v>
      </c>
      <c r="F233" t="s">
        <v>508</v>
      </c>
      <c r="G233">
        <v>527259910</v>
      </c>
      <c r="H233" t="s">
        <v>509</v>
      </c>
      <c r="I233">
        <v>6779</v>
      </c>
      <c r="J233">
        <v>81.73</v>
      </c>
      <c r="K233">
        <v>56.67</v>
      </c>
      <c r="L233">
        <v>554047.67000000004</v>
      </c>
      <c r="M233">
        <v>384165.93</v>
      </c>
      <c r="N233">
        <v>169881.74</v>
      </c>
    </row>
    <row r="234" spans="1:14" x14ac:dyDescent="0.3">
      <c r="A234" t="s">
        <v>14</v>
      </c>
      <c r="B234" t="s">
        <v>135</v>
      </c>
      <c r="C234" t="s">
        <v>64</v>
      </c>
      <c r="D234" t="s">
        <v>23</v>
      </c>
      <c r="E234" t="s">
        <v>24</v>
      </c>
      <c r="F234" t="s">
        <v>510</v>
      </c>
      <c r="G234">
        <v>879923617</v>
      </c>
      <c r="H234" t="s">
        <v>343</v>
      </c>
      <c r="I234">
        <v>7807</v>
      </c>
      <c r="J234">
        <v>255.28</v>
      </c>
      <c r="K234">
        <v>159.41999999999999</v>
      </c>
      <c r="L234">
        <v>1992970.96</v>
      </c>
      <c r="M234">
        <v>1244591.94</v>
      </c>
      <c r="N234">
        <v>748379.02</v>
      </c>
    </row>
    <row r="235" spans="1:14" x14ac:dyDescent="0.3">
      <c r="A235" t="s">
        <v>14</v>
      </c>
      <c r="B235" t="s">
        <v>86</v>
      </c>
      <c r="C235" t="s">
        <v>58</v>
      </c>
      <c r="D235" t="s">
        <v>17</v>
      </c>
      <c r="E235" t="s">
        <v>54</v>
      </c>
      <c r="F235" t="s">
        <v>511</v>
      </c>
      <c r="G235">
        <v>279816472</v>
      </c>
      <c r="H235" t="s">
        <v>512</v>
      </c>
      <c r="I235">
        <v>2767</v>
      </c>
      <c r="J235">
        <v>152.58000000000001</v>
      </c>
      <c r="K235">
        <v>97.44</v>
      </c>
      <c r="L235">
        <v>422188.86</v>
      </c>
      <c r="M235">
        <v>269616.48</v>
      </c>
      <c r="N235">
        <v>152572.38</v>
      </c>
    </row>
    <row r="236" spans="1:14" x14ac:dyDescent="0.3">
      <c r="A236" t="s">
        <v>14</v>
      </c>
      <c r="B236" t="s">
        <v>105</v>
      </c>
      <c r="C236" t="s">
        <v>58</v>
      </c>
      <c r="D236" t="s">
        <v>23</v>
      </c>
      <c r="E236" t="s">
        <v>24</v>
      </c>
      <c r="F236" t="s">
        <v>513</v>
      </c>
      <c r="G236">
        <v>593018233</v>
      </c>
      <c r="H236" t="s">
        <v>514</v>
      </c>
      <c r="I236">
        <v>6128</v>
      </c>
      <c r="J236">
        <v>152.58000000000001</v>
      </c>
      <c r="K236">
        <v>97.44</v>
      </c>
      <c r="L236">
        <v>935010.24</v>
      </c>
      <c r="M236">
        <v>597112.31999999995</v>
      </c>
      <c r="N236">
        <v>337897.92</v>
      </c>
    </row>
    <row r="237" spans="1:14" x14ac:dyDescent="0.3">
      <c r="A237" t="s">
        <v>14</v>
      </c>
      <c r="B237" t="s">
        <v>181</v>
      </c>
      <c r="C237" t="s">
        <v>64</v>
      </c>
      <c r="D237" t="s">
        <v>23</v>
      </c>
      <c r="E237" t="s">
        <v>54</v>
      </c>
      <c r="F237" t="s">
        <v>515</v>
      </c>
      <c r="G237">
        <v>349060380</v>
      </c>
      <c r="H237" t="s">
        <v>38</v>
      </c>
      <c r="I237">
        <v>3578</v>
      </c>
      <c r="J237">
        <v>255.28</v>
      </c>
      <c r="K237">
        <v>159.41999999999999</v>
      </c>
      <c r="L237">
        <v>913391.84</v>
      </c>
      <c r="M237">
        <v>570404.76</v>
      </c>
      <c r="N237">
        <v>342987.08</v>
      </c>
    </row>
    <row r="238" spans="1:14" x14ac:dyDescent="0.3">
      <c r="A238" t="s">
        <v>14</v>
      </c>
      <c r="B238" t="s">
        <v>80</v>
      </c>
      <c r="C238" t="s">
        <v>71</v>
      </c>
      <c r="D238" t="s">
        <v>17</v>
      </c>
      <c r="E238" t="s">
        <v>18</v>
      </c>
      <c r="F238" t="s">
        <v>516</v>
      </c>
      <c r="G238">
        <v>863890445</v>
      </c>
      <c r="H238" t="s">
        <v>517</v>
      </c>
      <c r="I238">
        <v>3235</v>
      </c>
      <c r="J238">
        <v>668.27</v>
      </c>
      <c r="K238">
        <v>502.54</v>
      </c>
      <c r="L238">
        <v>2161853.4500000002</v>
      </c>
      <c r="M238">
        <v>1625716.9</v>
      </c>
      <c r="N238">
        <v>536136.55000000005</v>
      </c>
    </row>
    <row r="239" spans="1:14" x14ac:dyDescent="0.3">
      <c r="A239" t="s">
        <v>14</v>
      </c>
      <c r="B239" t="s">
        <v>122</v>
      </c>
      <c r="C239" t="s">
        <v>102</v>
      </c>
      <c r="D239" t="s">
        <v>23</v>
      </c>
      <c r="E239" t="s">
        <v>18</v>
      </c>
      <c r="F239" t="s">
        <v>518</v>
      </c>
      <c r="G239">
        <v>667420995</v>
      </c>
      <c r="H239" t="s">
        <v>519</v>
      </c>
      <c r="I239">
        <v>3559</v>
      </c>
      <c r="J239">
        <v>81.73</v>
      </c>
      <c r="K239">
        <v>56.67</v>
      </c>
      <c r="L239">
        <v>290877.07</v>
      </c>
      <c r="M239">
        <v>201688.53</v>
      </c>
      <c r="N239">
        <v>89188.54</v>
      </c>
    </row>
    <row r="240" spans="1:14" x14ac:dyDescent="0.3">
      <c r="A240" t="s">
        <v>14</v>
      </c>
      <c r="B240" t="s">
        <v>40</v>
      </c>
      <c r="C240" t="s">
        <v>46</v>
      </c>
      <c r="D240" t="s">
        <v>17</v>
      </c>
      <c r="E240" t="s">
        <v>54</v>
      </c>
      <c r="F240" t="s">
        <v>520</v>
      </c>
      <c r="G240">
        <v>842687690</v>
      </c>
      <c r="H240" t="s">
        <v>521</v>
      </c>
      <c r="I240">
        <v>8869</v>
      </c>
      <c r="J240">
        <v>154.06</v>
      </c>
      <c r="K240">
        <v>90.93</v>
      </c>
      <c r="L240">
        <v>1366358.14</v>
      </c>
      <c r="M240">
        <v>806458.17</v>
      </c>
      <c r="N240">
        <v>559899.97</v>
      </c>
    </row>
    <row r="241" spans="1:14" x14ac:dyDescent="0.3">
      <c r="A241" t="s">
        <v>14</v>
      </c>
      <c r="B241" t="s">
        <v>61</v>
      </c>
      <c r="C241" t="s">
        <v>16</v>
      </c>
      <c r="D241" t="s">
        <v>17</v>
      </c>
      <c r="E241" t="s">
        <v>33</v>
      </c>
      <c r="F241" t="s">
        <v>522</v>
      </c>
      <c r="G241">
        <v>772893178</v>
      </c>
      <c r="H241" t="s">
        <v>522</v>
      </c>
      <c r="I241">
        <v>5122</v>
      </c>
      <c r="J241">
        <v>47.45</v>
      </c>
      <c r="K241">
        <v>31.79</v>
      </c>
      <c r="L241">
        <v>243038.9</v>
      </c>
      <c r="M241">
        <v>162828.38</v>
      </c>
      <c r="N241">
        <v>80210.52</v>
      </c>
    </row>
    <row r="242" spans="1:14" x14ac:dyDescent="0.3">
      <c r="A242" t="s">
        <v>14</v>
      </c>
      <c r="B242" t="s">
        <v>15</v>
      </c>
      <c r="C242" t="s">
        <v>58</v>
      </c>
      <c r="D242" t="s">
        <v>23</v>
      </c>
      <c r="E242" t="s">
        <v>24</v>
      </c>
      <c r="F242" t="s">
        <v>523</v>
      </c>
      <c r="G242">
        <v>789484250</v>
      </c>
      <c r="H242" t="s">
        <v>524</v>
      </c>
      <c r="I242">
        <v>4789</v>
      </c>
      <c r="J242">
        <v>152.58000000000001</v>
      </c>
      <c r="K242">
        <v>97.44</v>
      </c>
      <c r="L242">
        <v>730705.62</v>
      </c>
      <c r="M242">
        <v>466640.16</v>
      </c>
      <c r="N242">
        <v>264065.46000000002</v>
      </c>
    </row>
    <row r="243" spans="1:14" x14ac:dyDescent="0.3">
      <c r="A243" t="s">
        <v>14</v>
      </c>
      <c r="B243" t="s">
        <v>257</v>
      </c>
      <c r="C243" t="s">
        <v>102</v>
      </c>
      <c r="D243" t="s">
        <v>17</v>
      </c>
      <c r="E243" t="s">
        <v>24</v>
      </c>
      <c r="F243" t="s">
        <v>525</v>
      </c>
      <c r="G243">
        <v>336111962</v>
      </c>
      <c r="H243" t="s">
        <v>526</v>
      </c>
      <c r="I243">
        <v>1854</v>
      </c>
      <c r="J243">
        <v>81.73</v>
      </c>
      <c r="K243">
        <v>56.67</v>
      </c>
      <c r="L243">
        <v>151527.42000000001</v>
      </c>
      <c r="M243">
        <v>105066.18</v>
      </c>
      <c r="N243">
        <v>46461.24</v>
      </c>
    </row>
    <row r="244" spans="1:14" x14ac:dyDescent="0.3">
      <c r="A244" t="s">
        <v>14</v>
      </c>
      <c r="B244" t="s">
        <v>61</v>
      </c>
      <c r="C244" t="s">
        <v>71</v>
      </c>
      <c r="D244" t="s">
        <v>17</v>
      </c>
      <c r="E244" t="s">
        <v>54</v>
      </c>
      <c r="F244" t="s">
        <v>527</v>
      </c>
      <c r="G244">
        <v>821131742</v>
      </c>
      <c r="H244" t="s">
        <v>527</v>
      </c>
      <c r="I244">
        <v>9985</v>
      </c>
      <c r="J244">
        <v>668.27</v>
      </c>
      <c r="K244">
        <v>502.54</v>
      </c>
      <c r="L244">
        <v>6672675.9500000002</v>
      </c>
      <c r="M244">
        <v>5017861.9000000004</v>
      </c>
      <c r="N244">
        <v>1654814.05</v>
      </c>
    </row>
    <row r="245" spans="1:14" x14ac:dyDescent="0.3">
      <c r="A245" t="s">
        <v>14</v>
      </c>
      <c r="B245" t="s">
        <v>92</v>
      </c>
      <c r="C245" t="s">
        <v>71</v>
      </c>
      <c r="D245" t="s">
        <v>23</v>
      </c>
      <c r="E245" t="s">
        <v>24</v>
      </c>
      <c r="F245" t="s">
        <v>528</v>
      </c>
      <c r="G245">
        <v>679108560</v>
      </c>
      <c r="H245" t="s">
        <v>373</v>
      </c>
      <c r="I245">
        <v>2169</v>
      </c>
      <c r="J245">
        <v>668.27</v>
      </c>
      <c r="K245">
        <v>502.54</v>
      </c>
      <c r="L245">
        <v>1449477.63</v>
      </c>
      <c r="M245">
        <v>1090009.26</v>
      </c>
      <c r="N245">
        <v>359468.37</v>
      </c>
    </row>
    <row r="246" spans="1:14" x14ac:dyDescent="0.3">
      <c r="A246" t="s">
        <v>14</v>
      </c>
      <c r="B246" t="s">
        <v>138</v>
      </c>
      <c r="C246" t="s">
        <v>102</v>
      </c>
      <c r="D246" t="s">
        <v>17</v>
      </c>
      <c r="E246" t="s">
        <v>33</v>
      </c>
      <c r="F246" t="s">
        <v>529</v>
      </c>
      <c r="G246">
        <v>129875409</v>
      </c>
      <c r="H246" t="s">
        <v>530</v>
      </c>
      <c r="I246">
        <v>1875</v>
      </c>
      <c r="J246">
        <v>81.73</v>
      </c>
      <c r="K246">
        <v>56.67</v>
      </c>
      <c r="L246">
        <v>153243.75</v>
      </c>
      <c r="M246">
        <v>106256.25</v>
      </c>
      <c r="N246">
        <v>46987.5</v>
      </c>
    </row>
    <row r="247" spans="1:14" x14ac:dyDescent="0.3">
      <c r="A247" t="s">
        <v>14</v>
      </c>
      <c r="B247" t="s">
        <v>271</v>
      </c>
      <c r="C247" t="s">
        <v>37</v>
      </c>
      <c r="D247" t="s">
        <v>17</v>
      </c>
      <c r="E247" t="s">
        <v>54</v>
      </c>
      <c r="F247" t="s">
        <v>531</v>
      </c>
      <c r="G247">
        <v>155914723</v>
      </c>
      <c r="H247" t="s">
        <v>532</v>
      </c>
      <c r="I247">
        <v>7486</v>
      </c>
      <c r="J247">
        <v>9.33</v>
      </c>
      <c r="K247">
        <v>6.92</v>
      </c>
      <c r="L247">
        <v>69844.38</v>
      </c>
      <c r="M247">
        <v>51803.12</v>
      </c>
      <c r="N247">
        <v>18041.259999999998</v>
      </c>
    </row>
    <row r="248" spans="1:14" x14ac:dyDescent="0.3">
      <c r="A248" t="s">
        <v>14</v>
      </c>
      <c r="B248" t="s">
        <v>166</v>
      </c>
      <c r="C248" t="s">
        <v>37</v>
      </c>
      <c r="D248" t="s">
        <v>23</v>
      </c>
      <c r="E248" t="s">
        <v>54</v>
      </c>
      <c r="F248" t="s">
        <v>533</v>
      </c>
      <c r="G248">
        <v>753166282</v>
      </c>
      <c r="H248" t="s">
        <v>534</v>
      </c>
      <c r="I248">
        <v>7495</v>
      </c>
      <c r="J248">
        <v>9.33</v>
      </c>
      <c r="K248">
        <v>6.92</v>
      </c>
      <c r="L248">
        <v>69928.350000000006</v>
      </c>
      <c r="M248">
        <v>51865.4</v>
      </c>
      <c r="N248">
        <v>18062.95</v>
      </c>
    </row>
    <row r="249" spans="1:14" x14ac:dyDescent="0.3">
      <c r="A249" t="s">
        <v>14</v>
      </c>
      <c r="B249" t="s">
        <v>220</v>
      </c>
      <c r="C249" t="s">
        <v>28</v>
      </c>
      <c r="D249" t="s">
        <v>17</v>
      </c>
      <c r="E249" t="s">
        <v>24</v>
      </c>
      <c r="F249" t="s">
        <v>535</v>
      </c>
      <c r="G249">
        <v>443347108</v>
      </c>
      <c r="H249" t="s">
        <v>536</v>
      </c>
      <c r="I249">
        <v>5116</v>
      </c>
      <c r="J249">
        <v>205.7</v>
      </c>
      <c r="K249">
        <v>117.11</v>
      </c>
      <c r="L249">
        <v>1052361.2</v>
      </c>
      <c r="M249">
        <v>599134.76</v>
      </c>
      <c r="N249">
        <v>453226.44</v>
      </c>
    </row>
    <row r="250" spans="1:14" x14ac:dyDescent="0.3">
      <c r="A250" t="s">
        <v>14</v>
      </c>
      <c r="B250" t="s">
        <v>223</v>
      </c>
      <c r="C250" t="s">
        <v>32</v>
      </c>
      <c r="D250" t="s">
        <v>23</v>
      </c>
      <c r="E250" t="s">
        <v>18</v>
      </c>
      <c r="F250" t="s">
        <v>537</v>
      </c>
      <c r="G250">
        <v>527509677</v>
      </c>
      <c r="H250" t="s">
        <v>538</v>
      </c>
      <c r="I250">
        <v>691</v>
      </c>
      <c r="J250">
        <v>651.21</v>
      </c>
      <c r="K250">
        <v>524.96</v>
      </c>
      <c r="L250">
        <v>449986.11</v>
      </c>
      <c r="M250">
        <v>362747.36</v>
      </c>
      <c r="N250">
        <v>87238.75</v>
      </c>
    </row>
    <row r="251" spans="1:14" x14ac:dyDescent="0.3">
      <c r="A251" t="s">
        <v>14</v>
      </c>
      <c r="B251" t="s">
        <v>271</v>
      </c>
      <c r="C251" t="s">
        <v>16</v>
      </c>
      <c r="D251" t="s">
        <v>17</v>
      </c>
      <c r="E251" t="s">
        <v>54</v>
      </c>
      <c r="F251" t="s">
        <v>539</v>
      </c>
      <c r="G251">
        <v>416953313</v>
      </c>
      <c r="H251" t="s">
        <v>540</v>
      </c>
      <c r="I251">
        <v>4606</v>
      </c>
      <c r="J251">
        <v>47.45</v>
      </c>
      <c r="K251">
        <v>31.79</v>
      </c>
      <c r="L251">
        <v>218554.7</v>
      </c>
      <c r="M251">
        <v>146424.74</v>
      </c>
      <c r="N251">
        <v>72129.960000000006</v>
      </c>
    </row>
    <row r="252" spans="1:14" x14ac:dyDescent="0.3">
      <c r="A252" t="s">
        <v>14</v>
      </c>
      <c r="B252" t="s">
        <v>21</v>
      </c>
      <c r="C252" t="s">
        <v>28</v>
      </c>
      <c r="D252" t="s">
        <v>23</v>
      </c>
      <c r="E252" t="s">
        <v>18</v>
      </c>
      <c r="F252" t="s">
        <v>541</v>
      </c>
      <c r="G252">
        <v>639126908</v>
      </c>
      <c r="H252" t="s">
        <v>542</v>
      </c>
      <c r="I252">
        <v>710</v>
      </c>
      <c r="J252">
        <v>205.7</v>
      </c>
      <c r="K252">
        <v>117.11</v>
      </c>
      <c r="L252">
        <v>146047</v>
      </c>
      <c r="M252">
        <v>83148.100000000006</v>
      </c>
      <c r="N252">
        <v>62898.9</v>
      </c>
    </row>
    <row r="253" spans="1:14" x14ac:dyDescent="0.3">
      <c r="A253" t="s">
        <v>14</v>
      </c>
      <c r="B253" t="s">
        <v>264</v>
      </c>
      <c r="C253" t="s">
        <v>16</v>
      </c>
      <c r="D253" t="s">
        <v>23</v>
      </c>
      <c r="E253" t="s">
        <v>33</v>
      </c>
      <c r="F253" t="s">
        <v>543</v>
      </c>
      <c r="G253">
        <v>879405200</v>
      </c>
      <c r="H253" t="s">
        <v>544</v>
      </c>
      <c r="I253">
        <v>4396</v>
      </c>
      <c r="J253">
        <v>47.45</v>
      </c>
      <c r="K253">
        <v>31.79</v>
      </c>
      <c r="L253">
        <v>208590.2</v>
      </c>
      <c r="M253">
        <v>139748.84</v>
      </c>
      <c r="N253">
        <v>68841.36</v>
      </c>
    </row>
    <row r="254" spans="1:14" x14ac:dyDescent="0.3">
      <c r="A254" t="s">
        <v>14</v>
      </c>
      <c r="B254" t="s">
        <v>97</v>
      </c>
      <c r="C254" t="s">
        <v>16</v>
      </c>
      <c r="D254" t="s">
        <v>17</v>
      </c>
      <c r="E254" t="s">
        <v>54</v>
      </c>
      <c r="F254" t="s">
        <v>545</v>
      </c>
      <c r="G254">
        <v>844105184</v>
      </c>
      <c r="H254" t="s">
        <v>546</v>
      </c>
      <c r="I254">
        <v>8337</v>
      </c>
      <c r="J254">
        <v>47.45</v>
      </c>
      <c r="K254">
        <v>31.79</v>
      </c>
      <c r="L254">
        <v>395590.65</v>
      </c>
      <c r="M254">
        <v>265033.23</v>
      </c>
      <c r="N254">
        <v>130557.42</v>
      </c>
    </row>
    <row r="255" spans="1:14" x14ac:dyDescent="0.3">
      <c r="A255" t="s">
        <v>14</v>
      </c>
      <c r="B255" t="s">
        <v>67</v>
      </c>
      <c r="C255" t="s">
        <v>37</v>
      </c>
      <c r="D255" t="s">
        <v>17</v>
      </c>
      <c r="E255" t="s">
        <v>18</v>
      </c>
      <c r="F255" t="s">
        <v>547</v>
      </c>
      <c r="G255">
        <v>127838218</v>
      </c>
      <c r="H255" t="s">
        <v>548</v>
      </c>
      <c r="I255">
        <v>9024</v>
      </c>
      <c r="J255">
        <v>9.33</v>
      </c>
      <c r="K255">
        <v>6.92</v>
      </c>
      <c r="L255">
        <v>84193.919999999998</v>
      </c>
      <c r="M255">
        <v>62446.080000000002</v>
      </c>
      <c r="N255">
        <v>21747.84</v>
      </c>
    </row>
    <row r="256" spans="1:14" x14ac:dyDescent="0.3">
      <c r="A256" t="s">
        <v>14</v>
      </c>
      <c r="B256" t="s">
        <v>57</v>
      </c>
      <c r="C256" t="s">
        <v>58</v>
      </c>
      <c r="D256" t="s">
        <v>23</v>
      </c>
      <c r="E256" t="s">
        <v>24</v>
      </c>
      <c r="F256" t="s">
        <v>440</v>
      </c>
      <c r="G256">
        <v>881717050</v>
      </c>
      <c r="H256" t="s">
        <v>549</v>
      </c>
      <c r="I256">
        <v>8524</v>
      </c>
      <c r="J256">
        <v>152.58000000000001</v>
      </c>
      <c r="K256">
        <v>97.44</v>
      </c>
      <c r="L256">
        <v>1300591.92</v>
      </c>
      <c r="M256">
        <v>830578.56</v>
      </c>
      <c r="N256">
        <v>470013.36</v>
      </c>
    </row>
    <row r="257" spans="1:14" x14ac:dyDescent="0.3">
      <c r="A257" t="s">
        <v>14</v>
      </c>
      <c r="B257" t="s">
        <v>181</v>
      </c>
      <c r="C257" t="s">
        <v>71</v>
      </c>
      <c r="D257" t="s">
        <v>17</v>
      </c>
      <c r="E257" t="s">
        <v>33</v>
      </c>
      <c r="F257" t="s">
        <v>550</v>
      </c>
      <c r="G257">
        <v>905509746</v>
      </c>
      <c r="H257" t="s">
        <v>551</v>
      </c>
      <c r="I257">
        <v>9311</v>
      </c>
      <c r="J257">
        <v>668.27</v>
      </c>
      <c r="K257">
        <v>502.54</v>
      </c>
      <c r="L257">
        <v>6222261.9699999997</v>
      </c>
      <c r="M257">
        <v>4679149.9400000004</v>
      </c>
      <c r="N257">
        <v>1543112.03</v>
      </c>
    </row>
    <row r="258" spans="1:14" x14ac:dyDescent="0.3">
      <c r="A258" t="s">
        <v>14</v>
      </c>
      <c r="B258" t="s">
        <v>92</v>
      </c>
      <c r="C258" t="s">
        <v>64</v>
      </c>
      <c r="D258" t="s">
        <v>23</v>
      </c>
      <c r="E258" t="s">
        <v>54</v>
      </c>
      <c r="F258" t="s">
        <v>552</v>
      </c>
      <c r="G258">
        <v>720878922</v>
      </c>
      <c r="H258" t="s">
        <v>284</v>
      </c>
      <c r="I258">
        <v>2948</v>
      </c>
      <c r="J258">
        <v>255.28</v>
      </c>
      <c r="K258">
        <v>159.41999999999999</v>
      </c>
      <c r="L258">
        <v>752565.44</v>
      </c>
      <c r="M258">
        <v>469970.16</v>
      </c>
      <c r="N258">
        <v>282595.28000000003</v>
      </c>
    </row>
    <row r="259" spans="1:14" x14ac:dyDescent="0.3">
      <c r="A259" t="s">
        <v>14</v>
      </c>
      <c r="B259" t="s">
        <v>185</v>
      </c>
      <c r="C259" t="s">
        <v>102</v>
      </c>
      <c r="D259" t="s">
        <v>17</v>
      </c>
      <c r="E259" t="s">
        <v>33</v>
      </c>
      <c r="F259" t="s">
        <v>553</v>
      </c>
      <c r="G259">
        <v>306256616</v>
      </c>
      <c r="H259" t="s">
        <v>416</v>
      </c>
      <c r="I259">
        <v>6993</v>
      </c>
      <c r="J259">
        <v>81.73</v>
      </c>
      <c r="K259">
        <v>56.67</v>
      </c>
      <c r="L259">
        <v>571537.89</v>
      </c>
      <c r="M259">
        <v>396293.31</v>
      </c>
      <c r="N259">
        <v>175244.58</v>
      </c>
    </row>
    <row r="260" spans="1:14" x14ac:dyDescent="0.3">
      <c r="A260" t="s">
        <v>14</v>
      </c>
      <c r="B260" t="s">
        <v>166</v>
      </c>
      <c r="C260" t="s">
        <v>28</v>
      </c>
      <c r="D260" t="s">
        <v>17</v>
      </c>
      <c r="E260" t="s">
        <v>24</v>
      </c>
      <c r="F260" t="s">
        <v>554</v>
      </c>
      <c r="G260">
        <v>392252957</v>
      </c>
      <c r="H260" t="s">
        <v>555</v>
      </c>
      <c r="I260">
        <v>5222</v>
      </c>
      <c r="J260">
        <v>205.7</v>
      </c>
      <c r="K260">
        <v>117.11</v>
      </c>
      <c r="L260">
        <v>1074165.3999999999</v>
      </c>
      <c r="M260">
        <v>611548.42000000004</v>
      </c>
      <c r="N260">
        <v>462616.98</v>
      </c>
    </row>
    <row r="261" spans="1:14" x14ac:dyDescent="0.3">
      <c r="A261" t="s">
        <v>14</v>
      </c>
      <c r="B261" t="s">
        <v>115</v>
      </c>
      <c r="C261" t="s">
        <v>75</v>
      </c>
      <c r="D261" t="s">
        <v>17</v>
      </c>
      <c r="E261" t="s">
        <v>18</v>
      </c>
      <c r="F261" t="s">
        <v>556</v>
      </c>
      <c r="G261">
        <v>746563756</v>
      </c>
      <c r="H261" t="s">
        <v>557</v>
      </c>
      <c r="I261">
        <v>3661</v>
      </c>
      <c r="J261">
        <v>437.2</v>
      </c>
      <c r="K261">
        <v>263.33</v>
      </c>
      <c r="L261">
        <v>1600589.2</v>
      </c>
      <c r="M261">
        <v>964051.13</v>
      </c>
      <c r="N261">
        <v>636538.06999999995</v>
      </c>
    </row>
    <row r="262" spans="1:14" x14ac:dyDescent="0.3">
      <c r="A262" t="s">
        <v>14</v>
      </c>
      <c r="B262" t="s">
        <v>31</v>
      </c>
      <c r="C262" t="s">
        <v>71</v>
      </c>
      <c r="D262" t="s">
        <v>23</v>
      </c>
      <c r="E262" t="s">
        <v>18</v>
      </c>
      <c r="F262" t="s">
        <v>51</v>
      </c>
      <c r="G262">
        <v>129902875</v>
      </c>
      <c r="H262" t="s">
        <v>558</v>
      </c>
      <c r="I262">
        <v>2</v>
      </c>
      <c r="J262">
        <v>668.27</v>
      </c>
      <c r="K262">
        <v>502.54</v>
      </c>
      <c r="L262">
        <v>1336.54</v>
      </c>
      <c r="M262">
        <v>1005.08</v>
      </c>
      <c r="N262">
        <v>331.46</v>
      </c>
    </row>
    <row r="263" spans="1:14" x14ac:dyDescent="0.3">
      <c r="A263" t="s">
        <v>14</v>
      </c>
      <c r="B263" t="s">
        <v>61</v>
      </c>
      <c r="C263" t="s">
        <v>16</v>
      </c>
      <c r="D263" t="s">
        <v>17</v>
      </c>
      <c r="E263" t="s">
        <v>24</v>
      </c>
      <c r="F263" t="s">
        <v>331</v>
      </c>
      <c r="G263">
        <v>595395314</v>
      </c>
      <c r="H263" t="s">
        <v>156</v>
      </c>
      <c r="I263">
        <v>9559</v>
      </c>
      <c r="J263">
        <v>47.45</v>
      </c>
      <c r="K263">
        <v>31.79</v>
      </c>
      <c r="L263">
        <v>453574.55</v>
      </c>
      <c r="M263">
        <v>303880.61</v>
      </c>
      <c r="N263">
        <v>149693.94</v>
      </c>
    </row>
    <row r="264" spans="1:14" x14ac:dyDescent="0.3">
      <c r="A264" t="s">
        <v>14</v>
      </c>
      <c r="B264" t="s">
        <v>127</v>
      </c>
      <c r="C264" t="s">
        <v>37</v>
      </c>
      <c r="D264" t="s">
        <v>23</v>
      </c>
      <c r="E264" t="s">
        <v>33</v>
      </c>
      <c r="F264" t="s">
        <v>559</v>
      </c>
      <c r="G264">
        <v>272425591</v>
      </c>
      <c r="H264" t="s">
        <v>560</v>
      </c>
      <c r="I264">
        <v>5641</v>
      </c>
      <c r="J264">
        <v>9.33</v>
      </c>
      <c r="K264">
        <v>6.92</v>
      </c>
      <c r="L264">
        <v>52630.53</v>
      </c>
      <c r="M264">
        <v>39035.72</v>
      </c>
      <c r="N264">
        <v>13594.81</v>
      </c>
    </row>
    <row r="265" spans="1:14" x14ac:dyDescent="0.3">
      <c r="A265" t="s">
        <v>14</v>
      </c>
      <c r="B265" t="s">
        <v>196</v>
      </c>
      <c r="C265" t="s">
        <v>64</v>
      </c>
      <c r="D265" t="s">
        <v>17</v>
      </c>
      <c r="E265" t="s">
        <v>54</v>
      </c>
      <c r="F265" t="s">
        <v>453</v>
      </c>
      <c r="G265">
        <v>596166074</v>
      </c>
      <c r="H265" t="s">
        <v>561</v>
      </c>
      <c r="I265">
        <v>7644</v>
      </c>
      <c r="J265">
        <v>255.28</v>
      </c>
      <c r="K265">
        <v>159.41999999999999</v>
      </c>
      <c r="L265">
        <v>1951360.32</v>
      </c>
      <c r="M265">
        <v>1218606.48</v>
      </c>
      <c r="N265">
        <v>732753.84</v>
      </c>
    </row>
    <row r="266" spans="1:14" x14ac:dyDescent="0.3">
      <c r="A266" t="s">
        <v>14</v>
      </c>
      <c r="B266" t="s">
        <v>67</v>
      </c>
      <c r="C266" t="s">
        <v>16</v>
      </c>
      <c r="D266" t="s">
        <v>17</v>
      </c>
      <c r="E266" t="s">
        <v>18</v>
      </c>
      <c r="F266" t="s">
        <v>562</v>
      </c>
      <c r="G266">
        <v>906345736</v>
      </c>
      <c r="H266" t="s">
        <v>563</v>
      </c>
      <c r="I266">
        <v>6699</v>
      </c>
      <c r="J266">
        <v>47.45</v>
      </c>
      <c r="K266">
        <v>31.79</v>
      </c>
      <c r="L266">
        <v>317867.55</v>
      </c>
      <c r="M266">
        <v>212961.21</v>
      </c>
      <c r="N266">
        <v>104906.34</v>
      </c>
    </row>
    <row r="267" spans="1:14" x14ac:dyDescent="0.3">
      <c r="A267" t="s">
        <v>14</v>
      </c>
      <c r="B267" t="s">
        <v>196</v>
      </c>
      <c r="C267" t="s">
        <v>75</v>
      </c>
      <c r="D267" t="s">
        <v>17</v>
      </c>
      <c r="E267" t="s">
        <v>24</v>
      </c>
      <c r="F267" t="s">
        <v>564</v>
      </c>
      <c r="G267">
        <v>385340154</v>
      </c>
      <c r="H267" t="s">
        <v>565</v>
      </c>
      <c r="I267">
        <v>9569</v>
      </c>
      <c r="J267">
        <v>437.2</v>
      </c>
      <c r="K267">
        <v>263.33</v>
      </c>
      <c r="L267">
        <v>4183566.8</v>
      </c>
      <c r="M267">
        <v>2519804.77</v>
      </c>
      <c r="N267">
        <v>1663762.03</v>
      </c>
    </row>
    <row r="268" spans="1:14" x14ac:dyDescent="0.3">
      <c r="A268" t="s">
        <v>14</v>
      </c>
      <c r="B268" t="s">
        <v>169</v>
      </c>
      <c r="C268" t="s">
        <v>75</v>
      </c>
      <c r="D268" t="s">
        <v>17</v>
      </c>
      <c r="E268" t="s">
        <v>54</v>
      </c>
      <c r="F268" t="s">
        <v>566</v>
      </c>
      <c r="G268">
        <v>679039466</v>
      </c>
      <c r="H268" t="s">
        <v>567</v>
      </c>
      <c r="I268">
        <v>1723</v>
      </c>
      <c r="J268">
        <v>437.2</v>
      </c>
      <c r="K268">
        <v>263.33</v>
      </c>
      <c r="L268">
        <v>753295.6</v>
      </c>
      <c r="M268">
        <v>453717.59</v>
      </c>
      <c r="N268">
        <v>299578.01</v>
      </c>
    </row>
    <row r="269" spans="1:14" x14ac:dyDescent="0.3">
      <c r="A269" t="s">
        <v>14</v>
      </c>
      <c r="B269" t="s">
        <v>61</v>
      </c>
      <c r="C269" t="s">
        <v>64</v>
      </c>
      <c r="D269" t="s">
        <v>17</v>
      </c>
      <c r="E269" t="s">
        <v>33</v>
      </c>
      <c r="F269" t="s">
        <v>568</v>
      </c>
      <c r="G269">
        <v>587799727</v>
      </c>
      <c r="H269" t="s">
        <v>569</v>
      </c>
      <c r="I269">
        <v>1856</v>
      </c>
      <c r="J269">
        <v>255.28</v>
      </c>
      <c r="K269">
        <v>159.41999999999999</v>
      </c>
      <c r="L269">
        <v>473799.67999999999</v>
      </c>
      <c r="M269">
        <v>295883.52000000002</v>
      </c>
      <c r="N269">
        <v>177916.16</v>
      </c>
    </row>
    <row r="270" spans="1:14" x14ac:dyDescent="0.3">
      <c r="A270" t="s">
        <v>14</v>
      </c>
      <c r="B270" t="s">
        <v>364</v>
      </c>
      <c r="C270" t="s">
        <v>58</v>
      </c>
      <c r="D270" t="s">
        <v>17</v>
      </c>
      <c r="E270" t="s">
        <v>33</v>
      </c>
      <c r="F270" t="s">
        <v>570</v>
      </c>
      <c r="G270">
        <v>341398274</v>
      </c>
      <c r="H270" t="s">
        <v>571</v>
      </c>
      <c r="I270">
        <v>6191</v>
      </c>
      <c r="J270">
        <v>152.58000000000001</v>
      </c>
      <c r="K270">
        <v>97.44</v>
      </c>
      <c r="L270">
        <v>944622.78</v>
      </c>
      <c r="M270">
        <v>603251.04</v>
      </c>
      <c r="N270">
        <v>341371.74</v>
      </c>
    </row>
    <row r="271" spans="1:14" x14ac:dyDescent="0.3">
      <c r="A271" t="s">
        <v>14</v>
      </c>
      <c r="B271" t="s">
        <v>183</v>
      </c>
      <c r="C271" t="s">
        <v>37</v>
      </c>
      <c r="D271" t="s">
        <v>17</v>
      </c>
      <c r="E271" t="s">
        <v>54</v>
      </c>
      <c r="F271" t="s">
        <v>572</v>
      </c>
      <c r="G271">
        <v>516994559</v>
      </c>
      <c r="H271" t="s">
        <v>573</v>
      </c>
      <c r="I271">
        <v>9034</v>
      </c>
      <c r="J271">
        <v>9.33</v>
      </c>
      <c r="K271">
        <v>6.92</v>
      </c>
      <c r="L271">
        <v>84287.22</v>
      </c>
      <c r="M271">
        <v>62515.28</v>
      </c>
      <c r="N271">
        <v>21771.94</v>
      </c>
    </row>
    <row r="272" spans="1:14" x14ac:dyDescent="0.3">
      <c r="A272" t="s">
        <v>14</v>
      </c>
      <c r="B272" t="s">
        <v>97</v>
      </c>
      <c r="C272" t="s">
        <v>32</v>
      </c>
      <c r="D272" t="s">
        <v>23</v>
      </c>
      <c r="E272" t="s">
        <v>54</v>
      </c>
      <c r="F272" t="s">
        <v>574</v>
      </c>
      <c r="G272">
        <v>483981502</v>
      </c>
      <c r="H272" t="s">
        <v>575</v>
      </c>
      <c r="I272">
        <v>9736</v>
      </c>
      <c r="J272">
        <v>651.21</v>
      </c>
      <c r="K272">
        <v>524.96</v>
      </c>
      <c r="L272">
        <v>6340180.5599999996</v>
      </c>
      <c r="M272">
        <v>5111010.5599999996</v>
      </c>
      <c r="N272">
        <v>1229170</v>
      </c>
    </row>
    <row r="273" spans="1:14" x14ac:dyDescent="0.3">
      <c r="A273" t="s">
        <v>14</v>
      </c>
      <c r="B273" t="s">
        <v>243</v>
      </c>
      <c r="C273" t="s">
        <v>75</v>
      </c>
      <c r="D273" t="s">
        <v>23</v>
      </c>
      <c r="E273" t="s">
        <v>54</v>
      </c>
      <c r="F273" t="s">
        <v>576</v>
      </c>
      <c r="G273">
        <v>549187934</v>
      </c>
      <c r="H273" t="s">
        <v>577</v>
      </c>
      <c r="I273">
        <v>5769</v>
      </c>
      <c r="J273">
        <v>437.2</v>
      </c>
      <c r="K273">
        <v>263.33</v>
      </c>
      <c r="L273">
        <v>2522206.7999999998</v>
      </c>
      <c r="M273">
        <v>1519150.77</v>
      </c>
      <c r="N273">
        <v>1003056.03</v>
      </c>
    </row>
    <row r="274" spans="1:14" x14ac:dyDescent="0.3">
      <c r="A274" t="s">
        <v>14</v>
      </c>
      <c r="B274" t="s">
        <v>181</v>
      </c>
      <c r="C274" t="s">
        <v>22</v>
      </c>
      <c r="D274" t="s">
        <v>23</v>
      </c>
      <c r="E274" t="s">
        <v>24</v>
      </c>
      <c r="F274" t="s">
        <v>578</v>
      </c>
      <c r="G274">
        <v>989403665</v>
      </c>
      <c r="H274" t="s">
        <v>579</v>
      </c>
      <c r="I274">
        <v>5386</v>
      </c>
      <c r="J274">
        <v>109.28</v>
      </c>
      <c r="K274">
        <v>35.840000000000003</v>
      </c>
      <c r="L274">
        <v>588582.07999999996</v>
      </c>
      <c r="M274">
        <v>193034.23999999999</v>
      </c>
      <c r="N274">
        <v>395547.84</v>
      </c>
    </row>
    <row r="275" spans="1:14" x14ac:dyDescent="0.3">
      <c r="A275" t="s">
        <v>14</v>
      </c>
      <c r="B275" t="s">
        <v>138</v>
      </c>
      <c r="C275" t="s">
        <v>71</v>
      </c>
      <c r="D275" t="s">
        <v>23</v>
      </c>
      <c r="E275" t="s">
        <v>54</v>
      </c>
      <c r="F275" t="s">
        <v>580</v>
      </c>
      <c r="G275">
        <v>516635358</v>
      </c>
      <c r="H275" t="s">
        <v>564</v>
      </c>
      <c r="I275">
        <v>2738</v>
      </c>
      <c r="J275">
        <v>668.27</v>
      </c>
      <c r="K275">
        <v>502.54</v>
      </c>
      <c r="L275">
        <v>1829723.26</v>
      </c>
      <c r="M275">
        <v>1375954.52</v>
      </c>
      <c r="N275">
        <v>453768.74</v>
      </c>
    </row>
    <row r="276" spans="1:14" x14ac:dyDescent="0.3">
      <c r="A276" t="s">
        <v>14</v>
      </c>
      <c r="B276" t="s">
        <v>264</v>
      </c>
      <c r="C276" t="s">
        <v>22</v>
      </c>
      <c r="D276" t="s">
        <v>17</v>
      </c>
      <c r="E276" t="s">
        <v>24</v>
      </c>
      <c r="F276" t="s">
        <v>581</v>
      </c>
      <c r="G276">
        <v>173122918</v>
      </c>
      <c r="H276" t="s">
        <v>582</v>
      </c>
      <c r="I276">
        <v>9773</v>
      </c>
      <c r="J276">
        <v>109.28</v>
      </c>
      <c r="K276">
        <v>35.840000000000003</v>
      </c>
      <c r="L276">
        <v>1067993.44</v>
      </c>
      <c r="M276">
        <v>350264.32000000001</v>
      </c>
      <c r="N276">
        <v>717729.12</v>
      </c>
    </row>
    <row r="277" spans="1:14" x14ac:dyDescent="0.3">
      <c r="A277" t="s">
        <v>14</v>
      </c>
      <c r="B277" t="s">
        <v>271</v>
      </c>
      <c r="C277" t="s">
        <v>16</v>
      </c>
      <c r="D277" t="s">
        <v>23</v>
      </c>
      <c r="E277" t="s">
        <v>18</v>
      </c>
      <c r="F277" t="s">
        <v>583</v>
      </c>
      <c r="G277">
        <v>357482516</v>
      </c>
      <c r="H277" t="s">
        <v>423</v>
      </c>
      <c r="I277">
        <v>5875</v>
      </c>
      <c r="J277">
        <v>47.45</v>
      </c>
      <c r="K277">
        <v>31.79</v>
      </c>
      <c r="L277">
        <v>278768.75</v>
      </c>
      <c r="M277">
        <v>186766.25</v>
      </c>
      <c r="N277">
        <v>92002.5</v>
      </c>
    </row>
    <row r="278" spans="1:14" x14ac:dyDescent="0.3">
      <c r="A278" t="s">
        <v>14</v>
      </c>
      <c r="B278" t="s">
        <v>97</v>
      </c>
      <c r="C278" t="s">
        <v>37</v>
      </c>
      <c r="D278" t="s">
        <v>23</v>
      </c>
      <c r="E278" t="s">
        <v>33</v>
      </c>
      <c r="F278" t="s">
        <v>519</v>
      </c>
      <c r="G278">
        <v>756252324</v>
      </c>
      <c r="H278" t="s">
        <v>584</v>
      </c>
      <c r="I278">
        <v>723</v>
      </c>
      <c r="J278">
        <v>9.33</v>
      </c>
      <c r="K278">
        <v>6.92</v>
      </c>
      <c r="L278">
        <v>6745.59</v>
      </c>
      <c r="M278">
        <v>5003.16</v>
      </c>
      <c r="N278">
        <v>1742.43</v>
      </c>
    </row>
    <row r="279" spans="1:14" x14ac:dyDescent="0.3">
      <c r="A279" t="s">
        <v>14</v>
      </c>
      <c r="B279" t="s">
        <v>110</v>
      </c>
      <c r="C279" t="s">
        <v>22</v>
      </c>
      <c r="D279" t="s">
        <v>17</v>
      </c>
      <c r="E279" t="s">
        <v>54</v>
      </c>
      <c r="F279" t="s">
        <v>585</v>
      </c>
      <c r="G279">
        <v>926763570</v>
      </c>
      <c r="H279" t="s">
        <v>586</v>
      </c>
      <c r="I279">
        <v>8790</v>
      </c>
      <c r="J279">
        <v>109.28</v>
      </c>
      <c r="K279">
        <v>35.840000000000003</v>
      </c>
      <c r="L279">
        <v>960571.2</v>
      </c>
      <c r="M279">
        <v>315033.59999999998</v>
      </c>
      <c r="N279">
        <v>645537.6</v>
      </c>
    </row>
    <row r="280" spans="1:14" x14ac:dyDescent="0.3">
      <c r="A280" t="s">
        <v>14</v>
      </c>
      <c r="B280" t="s">
        <v>232</v>
      </c>
      <c r="C280" t="s">
        <v>71</v>
      </c>
      <c r="D280" t="s">
        <v>23</v>
      </c>
      <c r="E280" t="s">
        <v>24</v>
      </c>
      <c r="F280" t="s">
        <v>587</v>
      </c>
      <c r="G280">
        <v>107651269</v>
      </c>
      <c r="H280" t="s">
        <v>588</v>
      </c>
      <c r="I280">
        <v>5258</v>
      </c>
      <c r="J280">
        <v>668.27</v>
      </c>
      <c r="K280">
        <v>502.54</v>
      </c>
      <c r="L280">
        <v>3513763.66</v>
      </c>
      <c r="M280">
        <v>2642355.3199999998</v>
      </c>
      <c r="N280">
        <v>871408.34</v>
      </c>
    </row>
    <row r="281" spans="1:14" x14ac:dyDescent="0.3">
      <c r="A281" t="s">
        <v>14</v>
      </c>
      <c r="B281" t="s">
        <v>220</v>
      </c>
      <c r="C281" t="s">
        <v>16</v>
      </c>
      <c r="D281" t="s">
        <v>23</v>
      </c>
      <c r="E281" t="s">
        <v>54</v>
      </c>
      <c r="F281" t="s">
        <v>589</v>
      </c>
      <c r="G281">
        <v>425547969</v>
      </c>
      <c r="H281" t="s">
        <v>590</v>
      </c>
      <c r="I281">
        <v>7955</v>
      </c>
      <c r="J281">
        <v>47.45</v>
      </c>
      <c r="K281">
        <v>31.79</v>
      </c>
      <c r="L281">
        <v>377464.75</v>
      </c>
      <c r="M281">
        <v>252889.45</v>
      </c>
      <c r="N281">
        <v>124575.3</v>
      </c>
    </row>
    <row r="282" spans="1:14" x14ac:dyDescent="0.3">
      <c r="A282" t="s">
        <v>14</v>
      </c>
      <c r="B282" t="s">
        <v>36</v>
      </c>
      <c r="C282" t="s">
        <v>22</v>
      </c>
      <c r="D282" t="s">
        <v>17</v>
      </c>
      <c r="E282" t="s">
        <v>33</v>
      </c>
      <c r="F282" t="s">
        <v>591</v>
      </c>
      <c r="G282">
        <v>264928710</v>
      </c>
      <c r="H282" t="s">
        <v>592</v>
      </c>
      <c r="I282">
        <v>7147</v>
      </c>
      <c r="J282">
        <v>109.28</v>
      </c>
      <c r="K282">
        <v>35.840000000000003</v>
      </c>
      <c r="L282">
        <v>781024.16</v>
      </c>
      <c r="M282">
        <v>256148.48000000001</v>
      </c>
      <c r="N282">
        <v>524875.68000000005</v>
      </c>
    </row>
    <row r="283" spans="1:14" x14ac:dyDescent="0.3">
      <c r="A283" t="s">
        <v>14</v>
      </c>
      <c r="B283" t="s">
        <v>220</v>
      </c>
      <c r="C283" t="s">
        <v>16</v>
      </c>
      <c r="D283" t="s">
        <v>17</v>
      </c>
      <c r="E283" t="s">
        <v>33</v>
      </c>
      <c r="F283" t="s">
        <v>593</v>
      </c>
      <c r="G283">
        <v>861180341</v>
      </c>
      <c r="H283" t="s">
        <v>244</v>
      </c>
      <c r="I283">
        <v>1255</v>
      </c>
      <c r="J283">
        <v>47.45</v>
      </c>
      <c r="K283">
        <v>31.79</v>
      </c>
      <c r="L283">
        <v>59549.75</v>
      </c>
      <c r="M283">
        <v>39896.449999999997</v>
      </c>
      <c r="N283">
        <v>19653.3</v>
      </c>
    </row>
    <row r="284" spans="1:14" x14ac:dyDescent="0.3">
      <c r="A284" t="s">
        <v>14</v>
      </c>
      <c r="B284" t="s">
        <v>271</v>
      </c>
      <c r="C284" t="s">
        <v>16</v>
      </c>
      <c r="D284" t="s">
        <v>17</v>
      </c>
      <c r="E284" t="s">
        <v>24</v>
      </c>
      <c r="F284" t="s">
        <v>594</v>
      </c>
      <c r="G284">
        <v>580569350</v>
      </c>
      <c r="H284" t="s">
        <v>595</v>
      </c>
      <c r="I284">
        <v>2227</v>
      </c>
      <c r="J284">
        <v>47.45</v>
      </c>
      <c r="K284">
        <v>31.79</v>
      </c>
      <c r="L284">
        <v>105671.15</v>
      </c>
      <c r="M284">
        <v>70796.33</v>
      </c>
      <c r="N284">
        <v>34874.82</v>
      </c>
    </row>
    <row r="285" spans="1:14" x14ac:dyDescent="0.3">
      <c r="A285" t="s">
        <v>14</v>
      </c>
      <c r="B285" t="s">
        <v>83</v>
      </c>
      <c r="C285" t="s">
        <v>46</v>
      </c>
      <c r="D285" t="s">
        <v>17</v>
      </c>
      <c r="E285" t="s">
        <v>24</v>
      </c>
      <c r="F285" t="s">
        <v>596</v>
      </c>
      <c r="G285">
        <v>559417665</v>
      </c>
      <c r="H285" t="s">
        <v>597</v>
      </c>
      <c r="I285">
        <v>2973</v>
      </c>
      <c r="J285">
        <v>154.06</v>
      </c>
      <c r="K285">
        <v>90.93</v>
      </c>
      <c r="L285">
        <v>458020.38</v>
      </c>
      <c r="M285">
        <v>270334.89</v>
      </c>
      <c r="N285">
        <v>187685.49</v>
      </c>
    </row>
    <row r="286" spans="1:14" x14ac:dyDescent="0.3">
      <c r="A286" t="s">
        <v>14</v>
      </c>
      <c r="B286" t="s">
        <v>92</v>
      </c>
      <c r="C286" t="s">
        <v>71</v>
      </c>
      <c r="D286" t="s">
        <v>23</v>
      </c>
      <c r="E286" t="s">
        <v>18</v>
      </c>
      <c r="F286" t="s">
        <v>598</v>
      </c>
      <c r="G286">
        <v>184976994</v>
      </c>
      <c r="H286" t="s">
        <v>599</v>
      </c>
      <c r="I286">
        <v>7658</v>
      </c>
      <c r="J286">
        <v>668.27</v>
      </c>
      <c r="K286">
        <v>502.54</v>
      </c>
      <c r="L286">
        <v>5117611.66</v>
      </c>
      <c r="M286">
        <v>3848451.32</v>
      </c>
      <c r="N286">
        <v>1269160.3400000001</v>
      </c>
    </row>
    <row r="287" spans="1:14" x14ac:dyDescent="0.3">
      <c r="A287" t="s">
        <v>14</v>
      </c>
      <c r="B287" t="s">
        <v>105</v>
      </c>
      <c r="C287" t="s">
        <v>16</v>
      </c>
      <c r="D287" t="s">
        <v>23</v>
      </c>
      <c r="E287" t="s">
        <v>24</v>
      </c>
      <c r="F287" t="s">
        <v>600</v>
      </c>
      <c r="G287">
        <v>874349772</v>
      </c>
      <c r="H287" t="s">
        <v>601</v>
      </c>
      <c r="I287">
        <v>8383</v>
      </c>
      <c r="J287">
        <v>47.45</v>
      </c>
      <c r="K287">
        <v>31.79</v>
      </c>
      <c r="L287">
        <v>397773.35</v>
      </c>
      <c r="M287">
        <v>266495.57</v>
      </c>
      <c r="N287">
        <v>131277.78</v>
      </c>
    </row>
    <row r="288" spans="1:14" x14ac:dyDescent="0.3">
      <c r="A288" t="s">
        <v>14</v>
      </c>
      <c r="B288" t="s">
        <v>220</v>
      </c>
      <c r="C288" t="s">
        <v>71</v>
      </c>
      <c r="D288" t="s">
        <v>23</v>
      </c>
      <c r="E288" t="s">
        <v>54</v>
      </c>
      <c r="F288" t="s">
        <v>602</v>
      </c>
      <c r="G288">
        <v>713009965</v>
      </c>
      <c r="H288" t="s">
        <v>603</v>
      </c>
      <c r="I288">
        <v>4348</v>
      </c>
      <c r="J288">
        <v>668.27</v>
      </c>
      <c r="K288">
        <v>502.54</v>
      </c>
      <c r="L288">
        <v>2905637.96</v>
      </c>
      <c r="M288">
        <v>2185043.92</v>
      </c>
      <c r="N288">
        <v>720594.04</v>
      </c>
    </row>
    <row r="289" spans="1:14" x14ac:dyDescent="0.3">
      <c r="A289" t="s">
        <v>14</v>
      </c>
      <c r="B289" t="s">
        <v>220</v>
      </c>
      <c r="C289" t="s">
        <v>64</v>
      </c>
      <c r="D289" t="s">
        <v>23</v>
      </c>
      <c r="E289" t="s">
        <v>24</v>
      </c>
      <c r="F289" t="s">
        <v>604</v>
      </c>
      <c r="G289">
        <v>569941365</v>
      </c>
      <c r="H289" t="s">
        <v>605</v>
      </c>
      <c r="I289">
        <v>7170</v>
      </c>
      <c r="J289">
        <v>255.28</v>
      </c>
      <c r="K289">
        <v>159.41999999999999</v>
      </c>
      <c r="L289">
        <v>1830357.6</v>
      </c>
      <c r="M289">
        <v>1143041.3999999999</v>
      </c>
      <c r="N289">
        <v>687316.2</v>
      </c>
    </row>
    <row r="290" spans="1:14" x14ac:dyDescent="0.3">
      <c r="A290" t="s">
        <v>14</v>
      </c>
      <c r="B290" t="s">
        <v>100</v>
      </c>
      <c r="C290" t="s">
        <v>71</v>
      </c>
      <c r="D290" t="s">
        <v>23</v>
      </c>
      <c r="E290" t="s">
        <v>54</v>
      </c>
      <c r="F290" t="s">
        <v>606</v>
      </c>
      <c r="G290">
        <v>845067346</v>
      </c>
      <c r="H290" t="s">
        <v>607</v>
      </c>
      <c r="I290">
        <v>3062</v>
      </c>
      <c r="J290">
        <v>668.27</v>
      </c>
      <c r="K290">
        <v>502.54</v>
      </c>
      <c r="L290">
        <v>2046242.74</v>
      </c>
      <c r="M290">
        <v>1538777.48</v>
      </c>
      <c r="N290">
        <v>507465.26</v>
      </c>
    </row>
    <row r="291" spans="1:14" x14ac:dyDescent="0.3">
      <c r="A291" t="s">
        <v>14</v>
      </c>
      <c r="B291" t="s">
        <v>15</v>
      </c>
      <c r="C291" t="s">
        <v>37</v>
      </c>
      <c r="D291" t="s">
        <v>17</v>
      </c>
      <c r="E291" t="s">
        <v>24</v>
      </c>
      <c r="F291" t="s">
        <v>608</v>
      </c>
      <c r="G291">
        <v>774926936</v>
      </c>
      <c r="H291" t="s">
        <v>609</v>
      </c>
      <c r="I291">
        <v>6956</v>
      </c>
      <c r="J291">
        <v>9.33</v>
      </c>
      <c r="K291">
        <v>6.92</v>
      </c>
      <c r="L291">
        <v>64899.48</v>
      </c>
      <c r="M291">
        <v>48135.519999999997</v>
      </c>
      <c r="N291">
        <v>16763.96</v>
      </c>
    </row>
    <row r="292" spans="1:14" x14ac:dyDescent="0.3">
      <c r="A292" t="s">
        <v>14</v>
      </c>
      <c r="B292" t="s">
        <v>135</v>
      </c>
      <c r="C292" t="s">
        <v>64</v>
      </c>
      <c r="D292" t="s">
        <v>23</v>
      </c>
      <c r="E292" t="s">
        <v>54</v>
      </c>
      <c r="F292" t="s">
        <v>610</v>
      </c>
      <c r="G292">
        <v>217920958</v>
      </c>
      <c r="H292" t="s">
        <v>401</v>
      </c>
      <c r="I292">
        <v>6509</v>
      </c>
      <c r="J292">
        <v>255.28</v>
      </c>
      <c r="K292">
        <v>159.41999999999999</v>
      </c>
      <c r="L292">
        <v>1661617.52</v>
      </c>
      <c r="M292">
        <v>1037664.78</v>
      </c>
      <c r="N292">
        <v>623952.74</v>
      </c>
    </row>
    <row r="293" spans="1:14" x14ac:dyDescent="0.3">
      <c r="A293" t="s">
        <v>14</v>
      </c>
      <c r="B293" t="s">
        <v>138</v>
      </c>
      <c r="C293" t="s">
        <v>22</v>
      </c>
      <c r="D293" t="s">
        <v>23</v>
      </c>
      <c r="E293" t="s">
        <v>18</v>
      </c>
      <c r="F293" t="s">
        <v>611</v>
      </c>
      <c r="G293">
        <v>523836123</v>
      </c>
      <c r="H293" t="s">
        <v>612</v>
      </c>
      <c r="I293">
        <v>3605</v>
      </c>
      <c r="J293">
        <v>109.28</v>
      </c>
      <c r="K293">
        <v>35.840000000000003</v>
      </c>
      <c r="L293">
        <v>393954.4</v>
      </c>
      <c r="M293">
        <v>129203.2</v>
      </c>
      <c r="N293">
        <v>264751.2</v>
      </c>
    </row>
    <row r="294" spans="1:14" x14ac:dyDescent="0.3">
      <c r="A294" t="s">
        <v>14</v>
      </c>
      <c r="B294" t="s">
        <v>74</v>
      </c>
      <c r="C294" t="s">
        <v>46</v>
      </c>
      <c r="D294" t="s">
        <v>23</v>
      </c>
      <c r="E294" t="s">
        <v>18</v>
      </c>
      <c r="F294" t="s">
        <v>613</v>
      </c>
      <c r="G294">
        <v>446019017</v>
      </c>
      <c r="H294" t="s">
        <v>534</v>
      </c>
      <c r="I294">
        <v>5794</v>
      </c>
      <c r="J294">
        <v>154.06</v>
      </c>
      <c r="K294">
        <v>90.93</v>
      </c>
      <c r="L294">
        <v>892623.64</v>
      </c>
      <c r="M294">
        <v>526848.42000000004</v>
      </c>
      <c r="N294">
        <v>365775.22</v>
      </c>
    </row>
    <row r="295" spans="1:14" x14ac:dyDescent="0.3">
      <c r="A295" t="s">
        <v>14</v>
      </c>
      <c r="B295" t="s">
        <v>45</v>
      </c>
      <c r="C295" t="s">
        <v>22</v>
      </c>
      <c r="D295" t="s">
        <v>23</v>
      </c>
      <c r="E295" t="s">
        <v>54</v>
      </c>
      <c r="F295" t="s">
        <v>614</v>
      </c>
      <c r="G295">
        <v>475992381</v>
      </c>
      <c r="H295" t="s">
        <v>521</v>
      </c>
      <c r="I295">
        <v>5578</v>
      </c>
      <c r="J295">
        <v>109.28</v>
      </c>
      <c r="K295">
        <v>35.840000000000003</v>
      </c>
      <c r="L295">
        <v>609563.84</v>
      </c>
      <c r="M295">
        <v>199915.51999999999</v>
      </c>
      <c r="N295">
        <v>409648.32</v>
      </c>
    </row>
    <row r="296" spans="1:14" x14ac:dyDescent="0.3">
      <c r="A296" t="s">
        <v>14</v>
      </c>
      <c r="B296" t="s">
        <v>83</v>
      </c>
      <c r="C296" t="s">
        <v>32</v>
      </c>
      <c r="D296" t="s">
        <v>17</v>
      </c>
      <c r="E296" t="s">
        <v>18</v>
      </c>
      <c r="F296" t="s">
        <v>615</v>
      </c>
      <c r="G296">
        <v>410514724</v>
      </c>
      <c r="H296" t="s">
        <v>616</v>
      </c>
      <c r="I296">
        <v>9284</v>
      </c>
      <c r="J296">
        <v>651.21</v>
      </c>
      <c r="K296">
        <v>524.96</v>
      </c>
      <c r="L296">
        <v>6045833.6399999997</v>
      </c>
      <c r="M296">
        <v>4873728.6399999997</v>
      </c>
      <c r="N296">
        <v>1172105</v>
      </c>
    </row>
    <row r="297" spans="1:14" x14ac:dyDescent="0.3">
      <c r="A297" t="s">
        <v>14</v>
      </c>
      <c r="B297" t="s">
        <v>196</v>
      </c>
      <c r="C297" t="s">
        <v>102</v>
      </c>
      <c r="D297" t="s">
        <v>17</v>
      </c>
      <c r="E297" t="s">
        <v>18</v>
      </c>
      <c r="F297" t="s">
        <v>617</v>
      </c>
      <c r="G297">
        <v>938209950</v>
      </c>
      <c r="H297" t="s">
        <v>618</v>
      </c>
      <c r="I297">
        <v>6028</v>
      </c>
      <c r="J297">
        <v>81.73</v>
      </c>
      <c r="K297">
        <v>56.67</v>
      </c>
      <c r="L297">
        <v>492668.44</v>
      </c>
      <c r="M297">
        <v>341606.76</v>
      </c>
      <c r="N297">
        <v>151061.68</v>
      </c>
    </row>
    <row r="298" spans="1:14" x14ac:dyDescent="0.3">
      <c r="A298" t="s">
        <v>14</v>
      </c>
      <c r="B298" t="s">
        <v>74</v>
      </c>
      <c r="C298" t="s">
        <v>22</v>
      </c>
      <c r="D298" t="s">
        <v>17</v>
      </c>
      <c r="E298" t="s">
        <v>54</v>
      </c>
      <c r="F298" t="s">
        <v>619</v>
      </c>
      <c r="G298">
        <v>747955071</v>
      </c>
      <c r="H298" t="s">
        <v>620</v>
      </c>
      <c r="I298">
        <v>5382</v>
      </c>
      <c r="J298">
        <v>109.28</v>
      </c>
      <c r="K298">
        <v>35.840000000000003</v>
      </c>
      <c r="L298">
        <v>588144.96</v>
      </c>
      <c r="M298">
        <v>192890.88</v>
      </c>
      <c r="N298">
        <v>395254.08</v>
      </c>
    </row>
    <row r="299" spans="1:14" x14ac:dyDescent="0.3">
      <c r="A299" t="s">
        <v>14</v>
      </c>
      <c r="B299" t="s">
        <v>220</v>
      </c>
      <c r="C299" t="s">
        <v>22</v>
      </c>
      <c r="D299" t="s">
        <v>17</v>
      </c>
      <c r="E299" t="s">
        <v>33</v>
      </c>
      <c r="F299" t="s">
        <v>404</v>
      </c>
      <c r="G299">
        <v>923160398</v>
      </c>
      <c r="H299" t="s">
        <v>621</v>
      </c>
      <c r="I299">
        <v>2531</v>
      </c>
      <c r="J299">
        <v>109.28</v>
      </c>
      <c r="K299">
        <v>35.840000000000003</v>
      </c>
      <c r="L299">
        <v>276587.68</v>
      </c>
      <c r="M299">
        <v>90711.039999999994</v>
      </c>
      <c r="N299">
        <v>185876.64</v>
      </c>
    </row>
    <row r="300" spans="1:14" x14ac:dyDescent="0.3">
      <c r="A300" t="s">
        <v>14</v>
      </c>
      <c r="B300" t="s">
        <v>110</v>
      </c>
      <c r="C300" t="s">
        <v>32</v>
      </c>
      <c r="D300" t="s">
        <v>23</v>
      </c>
      <c r="E300" t="s">
        <v>54</v>
      </c>
      <c r="F300" t="s">
        <v>286</v>
      </c>
      <c r="G300">
        <v>754227149</v>
      </c>
      <c r="H300" t="s">
        <v>249</v>
      </c>
      <c r="I300">
        <v>1429</v>
      </c>
      <c r="J300">
        <v>651.21</v>
      </c>
      <c r="K300">
        <v>524.96</v>
      </c>
      <c r="L300">
        <v>930579.09</v>
      </c>
      <c r="M300">
        <v>750167.84</v>
      </c>
      <c r="N300">
        <v>180411.25</v>
      </c>
    </row>
    <row r="301" spans="1:14" x14ac:dyDescent="0.3">
      <c r="A301" t="s">
        <v>14</v>
      </c>
      <c r="B301" t="s">
        <v>115</v>
      </c>
      <c r="C301" t="s">
        <v>64</v>
      </c>
      <c r="D301" t="s">
        <v>17</v>
      </c>
      <c r="E301" t="s">
        <v>33</v>
      </c>
      <c r="F301" t="s">
        <v>622</v>
      </c>
      <c r="G301">
        <v>357943856</v>
      </c>
      <c r="H301" t="s">
        <v>623</v>
      </c>
      <c r="I301">
        <v>2396</v>
      </c>
      <c r="J301">
        <v>255.28</v>
      </c>
      <c r="K301">
        <v>159.41999999999999</v>
      </c>
      <c r="L301">
        <v>611650.88</v>
      </c>
      <c r="M301">
        <v>381970.32</v>
      </c>
      <c r="N301">
        <v>229680.56</v>
      </c>
    </row>
    <row r="302" spans="1:14" x14ac:dyDescent="0.3">
      <c r="A302" t="s">
        <v>14</v>
      </c>
      <c r="B302" t="s">
        <v>271</v>
      </c>
      <c r="C302" t="s">
        <v>75</v>
      </c>
      <c r="D302" t="s">
        <v>23</v>
      </c>
      <c r="E302" t="s">
        <v>24</v>
      </c>
      <c r="F302" t="s">
        <v>77</v>
      </c>
      <c r="G302">
        <v>815917098</v>
      </c>
      <c r="H302" t="s">
        <v>624</v>
      </c>
      <c r="I302">
        <v>6856</v>
      </c>
      <c r="J302">
        <v>437.2</v>
      </c>
      <c r="K302">
        <v>263.33</v>
      </c>
      <c r="L302">
        <v>2997443.2</v>
      </c>
      <c r="M302">
        <v>1805390.48</v>
      </c>
      <c r="N302">
        <v>1192052.72</v>
      </c>
    </row>
    <row r="303" spans="1:14" x14ac:dyDescent="0.3">
      <c r="A303" t="s">
        <v>14</v>
      </c>
      <c r="B303" t="s">
        <v>110</v>
      </c>
      <c r="C303" t="s">
        <v>22</v>
      </c>
      <c r="D303" t="s">
        <v>17</v>
      </c>
      <c r="E303" t="s">
        <v>33</v>
      </c>
      <c r="F303" t="s">
        <v>625</v>
      </c>
      <c r="G303">
        <v>626011979</v>
      </c>
      <c r="H303" t="s">
        <v>626</v>
      </c>
      <c r="I303">
        <v>9711</v>
      </c>
      <c r="J303">
        <v>109.28</v>
      </c>
      <c r="K303">
        <v>35.840000000000003</v>
      </c>
      <c r="L303">
        <v>1061218.08</v>
      </c>
      <c r="M303">
        <v>348042.23999999999</v>
      </c>
      <c r="N303">
        <v>713175.84</v>
      </c>
    </row>
    <row r="304" spans="1:14" x14ac:dyDescent="0.3">
      <c r="A304" t="s">
        <v>14</v>
      </c>
      <c r="B304" t="s">
        <v>21</v>
      </c>
      <c r="C304" t="s">
        <v>64</v>
      </c>
      <c r="D304" t="s">
        <v>23</v>
      </c>
      <c r="E304" t="s">
        <v>24</v>
      </c>
      <c r="F304" t="s">
        <v>627</v>
      </c>
      <c r="G304">
        <v>640295922</v>
      </c>
      <c r="H304" t="s">
        <v>628</v>
      </c>
      <c r="I304">
        <v>6647</v>
      </c>
      <c r="J304">
        <v>255.28</v>
      </c>
      <c r="K304">
        <v>159.41999999999999</v>
      </c>
      <c r="L304">
        <v>1696846.16</v>
      </c>
      <c r="M304">
        <v>1059664.74</v>
      </c>
      <c r="N304">
        <v>637181.42000000004</v>
      </c>
    </row>
    <row r="305" spans="1:14" x14ac:dyDescent="0.3">
      <c r="A305" t="s">
        <v>14</v>
      </c>
      <c r="B305" t="s">
        <v>342</v>
      </c>
      <c r="C305" t="s">
        <v>58</v>
      </c>
      <c r="D305" t="s">
        <v>23</v>
      </c>
      <c r="E305" t="s">
        <v>18</v>
      </c>
      <c r="F305" t="s">
        <v>629</v>
      </c>
      <c r="G305">
        <v>653920686</v>
      </c>
      <c r="H305" t="s">
        <v>519</v>
      </c>
      <c r="I305">
        <v>8517</v>
      </c>
      <c r="J305">
        <v>152.58000000000001</v>
      </c>
      <c r="K305">
        <v>97.44</v>
      </c>
      <c r="L305">
        <v>1299523.8600000001</v>
      </c>
      <c r="M305">
        <v>829896.48</v>
      </c>
      <c r="N305">
        <v>469627.38</v>
      </c>
    </row>
    <row r="306" spans="1:14" x14ac:dyDescent="0.3">
      <c r="A306" t="s">
        <v>14</v>
      </c>
      <c r="B306" t="s">
        <v>169</v>
      </c>
      <c r="C306" t="s">
        <v>37</v>
      </c>
      <c r="D306" t="s">
        <v>23</v>
      </c>
      <c r="E306" t="s">
        <v>24</v>
      </c>
      <c r="F306" t="s">
        <v>630</v>
      </c>
      <c r="G306">
        <v>994504153</v>
      </c>
      <c r="H306" t="s">
        <v>631</v>
      </c>
      <c r="I306">
        <v>4734</v>
      </c>
      <c r="J306">
        <v>9.33</v>
      </c>
      <c r="K306">
        <v>6.92</v>
      </c>
      <c r="L306">
        <v>44168.22</v>
      </c>
      <c r="M306">
        <v>32759.279999999999</v>
      </c>
      <c r="N306">
        <v>11408.94</v>
      </c>
    </row>
    <row r="307" spans="1:14" x14ac:dyDescent="0.3">
      <c r="A307" t="s">
        <v>14</v>
      </c>
      <c r="B307" t="s">
        <v>15</v>
      </c>
      <c r="C307" t="s">
        <v>50</v>
      </c>
      <c r="D307" t="s">
        <v>17</v>
      </c>
      <c r="E307" t="s">
        <v>24</v>
      </c>
      <c r="F307" t="s">
        <v>632</v>
      </c>
      <c r="G307">
        <v>920011270</v>
      </c>
      <c r="H307" t="s">
        <v>633</v>
      </c>
      <c r="I307">
        <v>634</v>
      </c>
      <c r="J307">
        <v>421.89</v>
      </c>
      <c r="K307">
        <v>364.69</v>
      </c>
      <c r="L307">
        <v>267478.26</v>
      </c>
      <c r="M307">
        <v>231213.46</v>
      </c>
      <c r="N307">
        <v>36264.800000000003</v>
      </c>
    </row>
    <row r="308" spans="1:14" x14ac:dyDescent="0.3">
      <c r="A308" t="s">
        <v>14</v>
      </c>
      <c r="B308" t="s">
        <v>21</v>
      </c>
      <c r="C308" t="s">
        <v>46</v>
      </c>
      <c r="D308" t="s">
        <v>23</v>
      </c>
      <c r="E308" t="s">
        <v>24</v>
      </c>
      <c r="F308" t="s">
        <v>634</v>
      </c>
      <c r="G308">
        <v>523707807</v>
      </c>
      <c r="H308" t="s">
        <v>635</v>
      </c>
      <c r="I308">
        <v>5633</v>
      </c>
      <c r="J308">
        <v>154.06</v>
      </c>
      <c r="K308">
        <v>90.93</v>
      </c>
      <c r="L308">
        <v>867819.98</v>
      </c>
      <c r="M308">
        <v>512208.69</v>
      </c>
      <c r="N308">
        <v>355611.29</v>
      </c>
    </row>
    <row r="309" spans="1:14" x14ac:dyDescent="0.3">
      <c r="A309" t="s">
        <v>14</v>
      </c>
      <c r="B309" t="s">
        <v>57</v>
      </c>
      <c r="C309" t="s">
        <v>37</v>
      </c>
      <c r="D309" t="s">
        <v>23</v>
      </c>
      <c r="E309" t="s">
        <v>33</v>
      </c>
      <c r="F309" t="s">
        <v>636</v>
      </c>
      <c r="G309">
        <v>791692674</v>
      </c>
      <c r="H309" t="s">
        <v>637</v>
      </c>
      <c r="I309">
        <v>8310</v>
      </c>
      <c r="J309">
        <v>9.33</v>
      </c>
      <c r="K309">
        <v>6.92</v>
      </c>
      <c r="L309">
        <v>77532.3</v>
      </c>
      <c r="M309">
        <v>57505.2</v>
      </c>
      <c r="N309">
        <v>20027.099999999999</v>
      </c>
    </row>
    <row r="310" spans="1:14" x14ac:dyDescent="0.3">
      <c r="A310" t="s">
        <v>14</v>
      </c>
      <c r="B310" t="s">
        <v>169</v>
      </c>
      <c r="C310" t="s">
        <v>46</v>
      </c>
      <c r="D310" t="s">
        <v>23</v>
      </c>
      <c r="E310" t="s">
        <v>18</v>
      </c>
      <c r="F310" t="s">
        <v>425</v>
      </c>
      <c r="G310">
        <v>715863835</v>
      </c>
      <c r="H310" t="s">
        <v>638</v>
      </c>
      <c r="I310">
        <v>8872</v>
      </c>
      <c r="J310">
        <v>154.06</v>
      </c>
      <c r="K310">
        <v>90.93</v>
      </c>
      <c r="L310">
        <v>1366820.32</v>
      </c>
      <c r="M310">
        <v>806730.96</v>
      </c>
      <c r="N310">
        <v>560089.36</v>
      </c>
    </row>
    <row r="311" spans="1:14" x14ac:dyDescent="0.3">
      <c r="A311" t="s">
        <v>14</v>
      </c>
      <c r="B311" t="s">
        <v>141</v>
      </c>
      <c r="C311" t="s">
        <v>75</v>
      </c>
      <c r="D311" t="s">
        <v>17</v>
      </c>
      <c r="E311" t="s">
        <v>18</v>
      </c>
      <c r="F311" t="s">
        <v>639</v>
      </c>
      <c r="G311">
        <v>694914710</v>
      </c>
      <c r="H311" t="s">
        <v>640</v>
      </c>
      <c r="I311">
        <v>9560</v>
      </c>
      <c r="J311">
        <v>437.2</v>
      </c>
      <c r="K311">
        <v>263.33</v>
      </c>
      <c r="L311">
        <v>4179632</v>
      </c>
      <c r="M311">
        <v>2517434.7999999998</v>
      </c>
      <c r="N311">
        <v>1662197.2</v>
      </c>
    </row>
    <row r="312" spans="1:14" x14ac:dyDescent="0.3">
      <c r="A312" t="s">
        <v>14</v>
      </c>
      <c r="B312" t="s">
        <v>181</v>
      </c>
      <c r="C312" t="s">
        <v>64</v>
      </c>
      <c r="D312" t="s">
        <v>23</v>
      </c>
      <c r="E312" t="s">
        <v>24</v>
      </c>
      <c r="F312" t="s">
        <v>641</v>
      </c>
      <c r="G312">
        <v>525472486</v>
      </c>
      <c r="H312" t="s">
        <v>642</v>
      </c>
      <c r="I312">
        <v>7840</v>
      </c>
      <c r="J312">
        <v>255.28</v>
      </c>
      <c r="K312">
        <v>159.41999999999999</v>
      </c>
      <c r="L312">
        <v>2001395.2</v>
      </c>
      <c r="M312">
        <v>1249852.8</v>
      </c>
      <c r="N312">
        <v>751542.4</v>
      </c>
    </row>
    <row r="313" spans="1:14" x14ac:dyDescent="0.3">
      <c r="A313" t="s">
        <v>14</v>
      </c>
      <c r="B313" t="s">
        <v>364</v>
      </c>
      <c r="C313" t="s">
        <v>37</v>
      </c>
      <c r="D313" t="s">
        <v>23</v>
      </c>
      <c r="E313" t="s">
        <v>33</v>
      </c>
      <c r="F313" t="s">
        <v>643</v>
      </c>
      <c r="G313">
        <v>496826493</v>
      </c>
      <c r="H313" t="s">
        <v>514</v>
      </c>
      <c r="I313">
        <v>855</v>
      </c>
      <c r="J313">
        <v>9.33</v>
      </c>
      <c r="K313">
        <v>6.92</v>
      </c>
      <c r="L313">
        <v>7977.15</v>
      </c>
      <c r="M313">
        <v>5916.6</v>
      </c>
      <c r="N313">
        <v>2060.5500000000002</v>
      </c>
    </row>
    <row r="314" spans="1:14" x14ac:dyDescent="0.3">
      <c r="A314" t="s">
        <v>14</v>
      </c>
      <c r="B314" t="s">
        <v>92</v>
      </c>
      <c r="C314" t="s">
        <v>28</v>
      </c>
      <c r="D314" t="s">
        <v>23</v>
      </c>
      <c r="E314" t="s">
        <v>33</v>
      </c>
      <c r="F314" t="s">
        <v>644</v>
      </c>
      <c r="G314">
        <v>940682303</v>
      </c>
      <c r="H314" t="s">
        <v>584</v>
      </c>
      <c r="I314">
        <v>7652</v>
      </c>
      <c r="J314">
        <v>205.7</v>
      </c>
      <c r="K314">
        <v>117.11</v>
      </c>
      <c r="L314">
        <v>1574016.4</v>
      </c>
      <c r="M314">
        <v>896125.72</v>
      </c>
      <c r="N314">
        <v>677890.68</v>
      </c>
    </row>
    <row r="315" spans="1:14" x14ac:dyDescent="0.3">
      <c r="A315" t="s">
        <v>14</v>
      </c>
      <c r="B315" t="s">
        <v>115</v>
      </c>
      <c r="C315" t="s">
        <v>37</v>
      </c>
      <c r="D315" t="s">
        <v>17</v>
      </c>
      <c r="E315" t="s">
        <v>18</v>
      </c>
      <c r="F315" t="s">
        <v>645</v>
      </c>
      <c r="G315">
        <v>381774747</v>
      </c>
      <c r="H315" t="s">
        <v>646</v>
      </c>
      <c r="I315">
        <v>4486</v>
      </c>
      <c r="J315">
        <v>9.33</v>
      </c>
      <c r="K315">
        <v>6.92</v>
      </c>
      <c r="L315">
        <v>41854.379999999997</v>
      </c>
      <c r="M315">
        <v>31043.119999999999</v>
      </c>
      <c r="N315">
        <v>10811.26</v>
      </c>
    </row>
    <row r="316" spans="1:14" x14ac:dyDescent="0.3">
      <c r="A316" t="s">
        <v>14</v>
      </c>
      <c r="B316" t="s">
        <v>271</v>
      </c>
      <c r="C316" t="s">
        <v>46</v>
      </c>
      <c r="D316" t="s">
        <v>23</v>
      </c>
      <c r="E316" t="s">
        <v>54</v>
      </c>
      <c r="F316" t="s">
        <v>647</v>
      </c>
      <c r="G316">
        <v>934718358</v>
      </c>
      <c r="H316" t="s">
        <v>648</v>
      </c>
      <c r="I316">
        <v>2789</v>
      </c>
      <c r="J316">
        <v>154.06</v>
      </c>
      <c r="K316">
        <v>90.93</v>
      </c>
      <c r="L316">
        <v>429673.34</v>
      </c>
      <c r="M316">
        <v>253603.77</v>
      </c>
      <c r="N316">
        <v>176069.57</v>
      </c>
    </row>
    <row r="317" spans="1:14" x14ac:dyDescent="0.3">
      <c r="A317" t="s">
        <v>14</v>
      </c>
      <c r="B317" t="s">
        <v>342</v>
      </c>
      <c r="C317" t="s">
        <v>50</v>
      </c>
      <c r="D317" t="s">
        <v>17</v>
      </c>
      <c r="E317" t="s">
        <v>18</v>
      </c>
      <c r="F317" t="s">
        <v>56</v>
      </c>
      <c r="G317">
        <v>741690289</v>
      </c>
      <c r="H317" t="s">
        <v>649</v>
      </c>
      <c r="I317">
        <v>1494</v>
      </c>
      <c r="J317">
        <v>421.89</v>
      </c>
      <c r="K317">
        <v>364.69</v>
      </c>
      <c r="L317">
        <v>630303.66</v>
      </c>
      <c r="M317">
        <v>544846.86</v>
      </c>
      <c r="N317">
        <v>85456.8</v>
      </c>
    </row>
    <row r="318" spans="1:14" x14ac:dyDescent="0.3">
      <c r="A318" t="s">
        <v>14</v>
      </c>
      <c r="B318" t="s">
        <v>83</v>
      </c>
      <c r="C318" t="s">
        <v>22</v>
      </c>
      <c r="D318" t="s">
        <v>17</v>
      </c>
      <c r="E318" t="s">
        <v>33</v>
      </c>
      <c r="F318" t="s">
        <v>650</v>
      </c>
      <c r="G318">
        <v>393842971</v>
      </c>
      <c r="H318" t="s">
        <v>651</v>
      </c>
      <c r="I318">
        <v>5742</v>
      </c>
      <c r="J318">
        <v>109.28</v>
      </c>
      <c r="K318">
        <v>35.840000000000003</v>
      </c>
      <c r="L318">
        <v>627485.76</v>
      </c>
      <c r="M318">
        <v>205793.28</v>
      </c>
      <c r="N318">
        <v>421692.48</v>
      </c>
    </row>
    <row r="319" spans="1:14" x14ac:dyDescent="0.3">
      <c r="A319" t="s">
        <v>14</v>
      </c>
      <c r="B319" t="s">
        <v>271</v>
      </c>
      <c r="C319" t="s">
        <v>71</v>
      </c>
      <c r="D319" t="s">
        <v>17</v>
      </c>
      <c r="E319" t="s">
        <v>54</v>
      </c>
      <c r="F319" t="s">
        <v>652</v>
      </c>
      <c r="G319">
        <v>143414771</v>
      </c>
      <c r="H319" t="s">
        <v>566</v>
      </c>
      <c r="I319">
        <v>8473</v>
      </c>
      <c r="J319">
        <v>668.27</v>
      </c>
      <c r="K319">
        <v>502.54</v>
      </c>
      <c r="L319">
        <v>5662251.71</v>
      </c>
      <c r="M319">
        <v>4258021.42</v>
      </c>
      <c r="N319">
        <v>1404230.29</v>
      </c>
    </row>
    <row r="320" spans="1:14" x14ac:dyDescent="0.3">
      <c r="A320" t="s">
        <v>14</v>
      </c>
      <c r="B320" t="s">
        <v>86</v>
      </c>
      <c r="C320" t="s">
        <v>58</v>
      </c>
      <c r="D320" t="s">
        <v>17</v>
      </c>
      <c r="E320" t="s">
        <v>18</v>
      </c>
      <c r="F320" t="s">
        <v>236</v>
      </c>
      <c r="G320">
        <v>272361218</v>
      </c>
      <c r="H320" t="s">
        <v>653</v>
      </c>
      <c r="I320">
        <v>6592</v>
      </c>
      <c r="J320">
        <v>152.58000000000001</v>
      </c>
      <c r="K320">
        <v>97.44</v>
      </c>
      <c r="L320">
        <v>1005807.36</v>
      </c>
      <c r="M320">
        <v>642324.47999999998</v>
      </c>
      <c r="N320">
        <v>363482.88</v>
      </c>
    </row>
    <row r="321" spans="1:14" x14ac:dyDescent="0.3">
      <c r="A321" t="s">
        <v>14</v>
      </c>
      <c r="B321" t="s">
        <v>138</v>
      </c>
      <c r="C321" t="s">
        <v>46</v>
      </c>
      <c r="D321" t="s">
        <v>23</v>
      </c>
      <c r="E321" t="s">
        <v>24</v>
      </c>
      <c r="F321" t="s">
        <v>654</v>
      </c>
      <c r="G321">
        <v>146349751</v>
      </c>
      <c r="H321" t="s">
        <v>655</v>
      </c>
      <c r="I321">
        <v>6999</v>
      </c>
      <c r="J321">
        <v>154.06</v>
      </c>
      <c r="K321">
        <v>90.93</v>
      </c>
      <c r="L321">
        <v>1078265.94</v>
      </c>
      <c r="M321">
        <v>636419.06999999995</v>
      </c>
      <c r="N321">
        <v>441846.87</v>
      </c>
    </row>
    <row r="322" spans="1:14" x14ac:dyDescent="0.3">
      <c r="A322" t="s">
        <v>14</v>
      </c>
      <c r="B322" t="s">
        <v>364</v>
      </c>
      <c r="C322" t="s">
        <v>50</v>
      </c>
      <c r="D322" t="s">
        <v>17</v>
      </c>
      <c r="E322" t="s">
        <v>18</v>
      </c>
      <c r="F322" t="s">
        <v>656</v>
      </c>
      <c r="G322">
        <v>104190576</v>
      </c>
      <c r="H322" t="s">
        <v>657</v>
      </c>
      <c r="I322">
        <v>1162</v>
      </c>
      <c r="J322">
        <v>421.89</v>
      </c>
      <c r="K322">
        <v>364.69</v>
      </c>
      <c r="L322">
        <v>490236.18</v>
      </c>
      <c r="M322">
        <v>423769.78</v>
      </c>
      <c r="N322">
        <v>66466.399999999994</v>
      </c>
    </row>
    <row r="323" spans="1:14" x14ac:dyDescent="0.3">
      <c r="A323" t="s">
        <v>14</v>
      </c>
      <c r="B323" t="s">
        <v>89</v>
      </c>
      <c r="C323" t="s">
        <v>28</v>
      </c>
      <c r="D323" t="s">
        <v>23</v>
      </c>
      <c r="E323" t="s">
        <v>18</v>
      </c>
      <c r="F323" t="s">
        <v>658</v>
      </c>
      <c r="G323">
        <v>332268464</v>
      </c>
      <c r="H323" t="s">
        <v>659</v>
      </c>
      <c r="I323">
        <v>4477</v>
      </c>
      <c r="J323">
        <v>205.7</v>
      </c>
      <c r="K323">
        <v>117.11</v>
      </c>
      <c r="L323">
        <v>920918.9</v>
      </c>
      <c r="M323">
        <v>524301.47</v>
      </c>
      <c r="N323">
        <v>396617.43</v>
      </c>
    </row>
    <row r="324" spans="1:14" x14ac:dyDescent="0.3">
      <c r="A324" t="s">
        <v>14</v>
      </c>
      <c r="B324" t="s">
        <v>166</v>
      </c>
      <c r="C324" t="s">
        <v>50</v>
      </c>
      <c r="D324" t="s">
        <v>23</v>
      </c>
      <c r="E324" t="s">
        <v>24</v>
      </c>
      <c r="F324" t="s">
        <v>660</v>
      </c>
      <c r="G324">
        <v>459277713</v>
      </c>
      <c r="H324" t="s">
        <v>661</v>
      </c>
      <c r="I324">
        <v>9336</v>
      </c>
      <c r="J324">
        <v>421.89</v>
      </c>
      <c r="K324">
        <v>364.69</v>
      </c>
      <c r="L324">
        <v>3938765.04</v>
      </c>
      <c r="M324">
        <v>3404745.84</v>
      </c>
      <c r="N324">
        <v>534019.19999999995</v>
      </c>
    </row>
    <row r="325" spans="1:14" x14ac:dyDescent="0.3">
      <c r="A325" t="s">
        <v>14</v>
      </c>
      <c r="B325" t="s">
        <v>342</v>
      </c>
      <c r="C325" t="s">
        <v>37</v>
      </c>
      <c r="D325" t="s">
        <v>17</v>
      </c>
      <c r="E325" t="s">
        <v>33</v>
      </c>
      <c r="F325" t="s">
        <v>662</v>
      </c>
      <c r="G325">
        <v>665786778</v>
      </c>
      <c r="H325" t="s">
        <v>663</v>
      </c>
      <c r="I325">
        <v>9958</v>
      </c>
      <c r="J325">
        <v>9.33</v>
      </c>
      <c r="K325">
        <v>6.92</v>
      </c>
      <c r="L325">
        <v>92908.14</v>
      </c>
      <c r="M325">
        <v>68909.36</v>
      </c>
      <c r="N325">
        <v>23998.78</v>
      </c>
    </row>
    <row r="326" spans="1:14" x14ac:dyDescent="0.3">
      <c r="A326" t="s">
        <v>14</v>
      </c>
      <c r="B326" t="s">
        <v>80</v>
      </c>
      <c r="C326" t="s">
        <v>64</v>
      </c>
      <c r="D326" t="s">
        <v>23</v>
      </c>
      <c r="E326" t="s">
        <v>33</v>
      </c>
      <c r="F326" t="s">
        <v>664</v>
      </c>
      <c r="G326">
        <v>917485272</v>
      </c>
      <c r="H326" t="s">
        <v>665</v>
      </c>
      <c r="I326">
        <v>3136</v>
      </c>
      <c r="J326">
        <v>255.28</v>
      </c>
      <c r="K326">
        <v>159.41999999999999</v>
      </c>
      <c r="L326">
        <v>800558.07999999996</v>
      </c>
      <c r="M326">
        <v>499941.12</v>
      </c>
      <c r="N326">
        <v>300616.96000000002</v>
      </c>
    </row>
    <row r="327" spans="1:14" x14ac:dyDescent="0.3">
      <c r="A327" t="s">
        <v>14</v>
      </c>
      <c r="B327" t="s">
        <v>271</v>
      </c>
      <c r="C327" t="s">
        <v>102</v>
      </c>
      <c r="D327" t="s">
        <v>17</v>
      </c>
      <c r="E327" t="s">
        <v>33</v>
      </c>
      <c r="F327" t="s">
        <v>666</v>
      </c>
      <c r="G327">
        <v>547225844</v>
      </c>
      <c r="H327" t="s">
        <v>667</v>
      </c>
      <c r="I327">
        <v>5143</v>
      </c>
      <c r="J327">
        <v>81.73</v>
      </c>
      <c r="K327">
        <v>56.67</v>
      </c>
      <c r="L327">
        <v>420337.39</v>
      </c>
      <c r="M327">
        <v>291453.81</v>
      </c>
      <c r="N327">
        <v>128883.58</v>
      </c>
    </row>
    <row r="328" spans="1:14" x14ac:dyDescent="0.3">
      <c r="A328" t="s">
        <v>14</v>
      </c>
      <c r="B328" t="s">
        <v>49</v>
      </c>
      <c r="C328" t="s">
        <v>71</v>
      </c>
      <c r="D328" t="s">
        <v>17</v>
      </c>
      <c r="E328" t="s">
        <v>33</v>
      </c>
      <c r="F328" t="s">
        <v>668</v>
      </c>
      <c r="G328">
        <v>869291770</v>
      </c>
      <c r="H328" t="s">
        <v>598</v>
      </c>
      <c r="I328">
        <v>1607</v>
      </c>
      <c r="J328">
        <v>668.27</v>
      </c>
      <c r="K328">
        <v>502.54</v>
      </c>
      <c r="L328">
        <v>1073909.8899999999</v>
      </c>
      <c r="M328">
        <v>807581.78</v>
      </c>
      <c r="N328">
        <v>266328.11</v>
      </c>
    </row>
    <row r="329" spans="1:14" x14ac:dyDescent="0.3">
      <c r="A329" t="s">
        <v>14</v>
      </c>
      <c r="B329" t="s">
        <v>342</v>
      </c>
      <c r="C329" t="s">
        <v>22</v>
      </c>
      <c r="D329" t="s">
        <v>17</v>
      </c>
      <c r="E329" t="s">
        <v>33</v>
      </c>
      <c r="F329" t="s">
        <v>669</v>
      </c>
      <c r="G329">
        <v>709276759</v>
      </c>
      <c r="H329" t="s">
        <v>615</v>
      </c>
      <c r="I329">
        <v>9610</v>
      </c>
      <c r="J329">
        <v>109.28</v>
      </c>
      <c r="K329">
        <v>35.840000000000003</v>
      </c>
      <c r="L329">
        <v>1050180.8</v>
      </c>
      <c r="M329">
        <v>344422.40000000002</v>
      </c>
      <c r="N329">
        <v>705758.4</v>
      </c>
    </row>
    <row r="330" spans="1:14" x14ac:dyDescent="0.3">
      <c r="A330" t="s">
        <v>14</v>
      </c>
      <c r="B330" t="s">
        <v>141</v>
      </c>
      <c r="C330" t="s">
        <v>16</v>
      </c>
      <c r="D330" t="s">
        <v>23</v>
      </c>
      <c r="E330" t="s">
        <v>18</v>
      </c>
      <c r="F330" t="s">
        <v>670</v>
      </c>
      <c r="G330">
        <v>877062451</v>
      </c>
      <c r="H330" t="s">
        <v>671</v>
      </c>
      <c r="I330">
        <v>1124</v>
      </c>
      <c r="J330">
        <v>47.45</v>
      </c>
      <c r="K330">
        <v>31.79</v>
      </c>
      <c r="L330">
        <v>53333.8</v>
      </c>
      <c r="M330">
        <v>35731.96</v>
      </c>
      <c r="N330">
        <v>17601.84</v>
      </c>
    </row>
    <row r="331" spans="1:14" x14ac:dyDescent="0.3">
      <c r="A331" t="s">
        <v>14</v>
      </c>
      <c r="B331" t="s">
        <v>97</v>
      </c>
      <c r="C331" t="s">
        <v>64</v>
      </c>
      <c r="D331" t="s">
        <v>23</v>
      </c>
      <c r="E331" t="s">
        <v>33</v>
      </c>
      <c r="F331" t="s">
        <v>672</v>
      </c>
      <c r="G331">
        <v>111893022</v>
      </c>
      <c r="H331" t="s">
        <v>673</v>
      </c>
      <c r="I331">
        <v>486</v>
      </c>
      <c r="J331">
        <v>255.28</v>
      </c>
      <c r="K331">
        <v>159.41999999999999</v>
      </c>
      <c r="L331">
        <v>124066.08</v>
      </c>
      <c r="M331">
        <v>77478.12</v>
      </c>
      <c r="N331">
        <v>46587.96</v>
      </c>
    </row>
    <row r="332" spans="1:14" x14ac:dyDescent="0.3">
      <c r="A332" t="s">
        <v>14</v>
      </c>
      <c r="B332" t="s">
        <v>243</v>
      </c>
      <c r="C332" t="s">
        <v>16</v>
      </c>
      <c r="D332" t="s">
        <v>23</v>
      </c>
      <c r="E332" t="s">
        <v>24</v>
      </c>
      <c r="F332" t="s">
        <v>674</v>
      </c>
      <c r="G332">
        <v>397874438</v>
      </c>
      <c r="H332" t="s">
        <v>675</v>
      </c>
      <c r="I332">
        <v>8743</v>
      </c>
      <c r="J332">
        <v>47.45</v>
      </c>
      <c r="K332">
        <v>31.79</v>
      </c>
      <c r="L332">
        <v>414855.35</v>
      </c>
      <c r="M332">
        <v>277939.96999999997</v>
      </c>
      <c r="N332">
        <v>136915.38</v>
      </c>
    </row>
    <row r="333" spans="1:14" x14ac:dyDescent="0.3">
      <c r="A333" t="s">
        <v>14</v>
      </c>
      <c r="B333" t="s">
        <v>31</v>
      </c>
      <c r="C333" t="s">
        <v>22</v>
      </c>
      <c r="D333" t="s">
        <v>17</v>
      </c>
      <c r="E333" t="s">
        <v>18</v>
      </c>
      <c r="F333" t="s">
        <v>256</v>
      </c>
      <c r="G333">
        <v>520777547</v>
      </c>
      <c r="H333" t="s">
        <v>676</v>
      </c>
      <c r="I333">
        <v>8504</v>
      </c>
      <c r="J333">
        <v>109.28</v>
      </c>
      <c r="K333">
        <v>35.840000000000003</v>
      </c>
      <c r="L333">
        <v>929317.12</v>
      </c>
      <c r="M333">
        <v>304783.35999999999</v>
      </c>
      <c r="N333">
        <v>624533.76000000001</v>
      </c>
    </row>
    <row r="334" spans="1:14" x14ac:dyDescent="0.3">
      <c r="A334" t="s">
        <v>14</v>
      </c>
      <c r="B334" t="s">
        <v>257</v>
      </c>
      <c r="C334" t="s">
        <v>71</v>
      </c>
      <c r="D334" t="s">
        <v>23</v>
      </c>
      <c r="E334" t="s">
        <v>18</v>
      </c>
      <c r="F334" t="s">
        <v>422</v>
      </c>
      <c r="G334">
        <v>672856652</v>
      </c>
      <c r="H334" t="s">
        <v>677</v>
      </c>
      <c r="I334">
        <v>2091</v>
      </c>
      <c r="J334">
        <v>668.27</v>
      </c>
      <c r="K334">
        <v>502.54</v>
      </c>
      <c r="L334">
        <v>1397352.57</v>
      </c>
      <c r="M334">
        <v>1050811.1399999999</v>
      </c>
      <c r="N334">
        <v>346541.43</v>
      </c>
    </row>
    <row r="335" spans="1:14" x14ac:dyDescent="0.3">
      <c r="A335" t="s">
        <v>14</v>
      </c>
      <c r="B335" t="s">
        <v>132</v>
      </c>
      <c r="C335" t="s">
        <v>32</v>
      </c>
      <c r="D335" t="s">
        <v>23</v>
      </c>
      <c r="E335" t="s">
        <v>33</v>
      </c>
      <c r="F335" t="s">
        <v>678</v>
      </c>
      <c r="G335">
        <v>353383243</v>
      </c>
      <c r="H335" t="s">
        <v>372</v>
      </c>
      <c r="I335">
        <v>2809</v>
      </c>
      <c r="J335">
        <v>651.21</v>
      </c>
      <c r="K335">
        <v>524.96</v>
      </c>
      <c r="L335">
        <v>1829248.89</v>
      </c>
      <c r="M335">
        <v>1474612.64</v>
      </c>
      <c r="N335">
        <v>354636.25</v>
      </c>
    </row>
    <row r="336" spans="1:14" x14ac:dyDescent="0.3">
      <c r="A336" t="s">
        <v>14</v>
      </c>
      <c r="B336" t="s">
        <v>232</v>
      </c>
      <c r="C336" t="s">
        <v>32</v>
      </c>
      <c r="D336" t="s">
        <v>17</v>
      </c>
      <c r="E336" t="s">
        <v>33</v>
      </c>
      <c r="F336" t="s">
        <v>563</v>
      </c>
      <c r="G336">
        <v>354667699</v>
      </c>
      <c r="H336" t="s">
        <v>679</v>
      </c>
      <c r="I336">
        <v>2908</v>
      </c>
      <c r="J336">
        <v>651.21</v>
      </c>
      <c r="K336">
        <v>524.96</v>
      </c>
      <c r="L336">
        <v>1893718.68</v>
      </c>
      <c r="M336">
        <v>1526583.68</v>
      </c>
      <c r="N336">
        <v>367135</v>
      </c>
    </row>
    <row r="337" spans="1:14" x14ac:dyDescent="0.3">
      <c r="A337" t="s">
        <v>14</v>
      </c>
      <c r="B337" t="s">
        <v>49</v>
      </c>
      <c r="C337" t="s">
        <v>58</v>
      </c>
      <c r="D337" t="s">
        <v>23</v>
      </c>
      <c r="E337" t="s">
        <v>33</v>
      </c>
      <c r="F337" t="s">
        <v>680</v>
      </c>
      <c r="G337">
        <v>214292466</v>
      </c>
      <c r="H337" t="s">
        <v>681</v>
      </c>
      <c r="I337">
        <v>2758</v>
      </c>
      <c r="J337">
        <v>152.58000000000001</v>
      </c>
      <c r="K337">
        <v>97.44</v>
      </c>
      <c r="L337">
        <v>420815.64</v>
      </c>
      <c r="M337">
        <v>268739.52</v>
      </c>
      <c r="N337">
        <v>152076.12</v>
      </c>
    </row>
    <row r="338" spans="1:14" x14ac:dyDescent="0.3">
      <c r="A338" t="s">
        <v>14</v>
      </c>
      <c r="B338" t="s">
        <v>86</v>
      </c>
      <c r="C338" t="s">
        <v>71</v>
      </c>
      <c r="D338" t="s">
        <v>17</v>
      </c>
      <c r="E338" t="s">
        <v>54</v>
      </c>
      <c r="F338" t="s">
        <v>682</v>
      </c>
      <c r="G338">
        <v>655287110</v>
      </c>
      <c r="H338" t="s">
        <v>555</v>
      </c>
      <c r="I338">
        <v>2873</v>
      </c>
      <c r="J338">
        <v>668.27</v>
      </c>
      <c r="K338">
        <v>502.54</v>
      </c>
      <c r="L338">
        <v>1919939.71</v>
      </c>
      <c r="M338">
        <v>1443797.42</v>
      </c>
      <c r="N338">
        <v>476142.29</v>
      </c>
    </row>
    <row r="339" spans="1:14" x14ac:dyDescent="0.3">
      <c r="A339" t="s">
        <v>14</v>
      </c>
      <c r="B339" t="s">
        <v>92</v>
      </c>
      <c r="C339" t="s">
        <v>64</v>
      </c>
      <c r="D339" t="s">
        <v>23</v>
      </c>
      <c r="E339" t="s">
        <v>54</v>
      </c>
      <c r="F339" t="s">
        <v>683</v>
      </c>
      <c r="G339">
        <v>295787847</v>
      </c>
      <c r="H339" t="s">
        <v>684</v>
      </c>
      <c r="I339">
        <v>9052</v>
      </c>
      <c r="J339">
        <v>255.28</v>
      </c>
      <c r="K339">
        <v>159.41999999999999</v>
      </c>
      <c r="L339">
        <v>2310794.56</v>
      </c>
      <c r="M339">
        <v>1443069.84</v>
      </c>
      <c r="N339">
        <v>867724.72</v>
      </c>
    </row>
    <row r="340" spans="1:14" x14ac:dyDescent="0.3">
      <c r="A340" t="s">
        <v>14</v>
      </c>
      <c r="B340" t="s">
        <v>132</v>
      </c>
      <c r="C340" t="s">
        <v>64</v>
      </c>
      <c r="D340" t="s">
        <v>17</v>
      </c>
      <c r="E340" t="s">
        <v>33</v>
      </c>
      <c r="F340" t="s">
        <v>685</v>
      </c>
      <c r="G340">
        <v>263852393</v>
      </c>
      <c r="H340" t="s">
        <v>686</v>
      </c>
      <c r="I340">
        <v>8641</v>
      </c>
      <c r="J340">
        <v>255.28</v>
      </c>
      <c r="K340">
        <v>159.41999999999999</v>
      </c>
      <c r="L340">
        <v>2205874.48</v>
      </c>
      <c r="M340">
        <v>1377548.22</v>
      </c>
      <c r="N340">
        <v>828326.26</v>
      </c>
    </row>
    <row r="341" spans="1:14" x14ac:dyDescent="0.3">
      <c r="A341" t="s">
        <v>14</v>
      </c>
      <c r="B341" t="s">
        <v>70</v>
      </c>
      <c r="C341" t="s">
        <v>37</v>
      </c>
      <c r="D341" t="s">
        <v>17</v>
      </c>
      <c r="E341" t="s">
        <v>54</v>
      </c>
      <c r="F341" t="s">
        <v>687</v>
      </c>
      <c r="G341">
        <v>578666484</v>
      </c>
      <c r="H341" t="s">
        <v>688</v>
      </c>
      <c r="I341">
        <v>9127</v>
      </c>
      <c r="J341">
        <v>9.33</v>
      </c>
      <c r="K341">
        <v>6.92</v>
      </c>
      <c r="L341">
        <v>85154.91</v>
      </c>
      <c r="M341">
        <v>63158.84</v>
      </c>
      <c r="N341">
        <v>21996.07</v>
      </c>
    </row>
    <row r="342" spans="1:14" x14ac:dyDescent="0.3">
      <c r="A342" t="s">
        <v>14</v>
      </c>
      <c r="B342" t="s">
        <v>127</v>
      </c>
      <c r="C342" t="s">
        <v>102</v>
      </c>
      <c r="D342" t="s">
        <v>17</v>
      </c>
      <c r="E342" t="s">
        <v>18</v>
      </c>
      <c r="F342" t="s">
        <v>689</v>
      </c>
      <c r="G342">
        <v>597839343</v>
      </c>
      <c r="H342" t="s">
        <v>690</v>
      </c>
      <c r="I342">
        <v>2802</v>
      </c>
      <c r="J342">
        <v>81.73</v>
      </c>
      <c r="K342">
        <v>56.67</v>
      </c>
      <c r="L342">
        <v>229007.46</v>
      </c>
      <c r="M342">
        <v>158789.34</v>
      </c>
      <c r="N342">
        <v>70218.12</v>
      </c>
    </row>
    <row r="343" spans="1:14" x14ac:dyDescent="0.3">
      <c r="A343" t="s">
        <v>14</v>
      </c>
      <c r="B343" t="s">
        <v>342</v>
      </c>
      <c r="C343" t="s">
        <v>75</v>
      </c>
      <c r="D343" t="s">
        <v>17</v>
      </c>
      <c r="E343" t="s">
        <v>24</v>
      </c>
      <c r="F343" t="s">
        <v>691</v>
      </c>
      <c r="G343">
        <v>299335229</v>
      </c>
      <c r="H343" t="s">
        <v>692</v>
      </c>
      <c r="I343">
        <v>8801</v>
      </c>
      <c r="J343">
        <v>437.2</v>
      </c>
      <c r="K343">
        <v>263.33</v>
      </c>
      <c r="L343">
        <v>3847797.2</v>
      </c>
      <c r="M343">
        <v>2317567.33</v>
      </c>
      <c r="N343">
        <v>1530229.87</v>
      </c>
    </row>
    <row r="344" spans="1:14" x14ac:dyDescent="0.3">
      <c r="A344" t="s">
        <v>14</v>
      </c>
      <c r="B344" t="s">
        <v>257</v>
      </c>
      <c r="C344" t="s">
        <v>46</v>
      </c>
      <c r="D344" t="s">
        <v>17</v>
      </c>
      <c r="E344" t="s">
        <v>33</v>
      </c>
      <c r="F344" t="s">
        <v>693</v>
      </c>
      <c r="G344">
        <v>700069701</v>
      </c>
      <c r="H344" t="s">
        <v>694</v>
      </c>
      <c r="I344">
        <v>5037</v>
      </c>
      <c r="J344">
        <v>154.06</v>
      </c>
      <c r="K344">
        <v>90.93</v>
      </c>
      <c r="L344">
        <v>776000.22</v>
      </c>
      <c r="M344">
        <v>458014.41</v>
      </c>
      <c r="N344">
        <v>317985.81</v>
      </c>
    </row>
    <row r="345" spans="1:14" x14ac:dyDescent="0.3">
      <c r="A345" t="s">
        <v>14</v>
      </c>
      <c r="B345" t="s">
        <v>74</v>
      </c>
      <c r="C345" t="s">
        <v>71</v>
      </c>
      <c r="D345" t="s">
        <v>23</v>
      </c>
      <c r="E345" t="s">
        <v>54</v>
      </c>
      <c r="F345" t="s">
        <v>695</v>
      </c>
      <c r="G345">
        <v>741866242</v>
      </c>
      <c r="H345" t="s">
        <v>607</v>
      </c>
      <c r="I345">
        <v>3562</v>
      </c>
      <c r="J345">
        <v>668.27</v>
      </c>
      <c r="K345">
        <v>502.54</v>
      </c>
      <c r="L345">
        <v>2380377.7400000002</v>
      </c>
      <c r="M345">
        <v>1790047.48</v>
      </c>
      <c r="N345">
        <v>590330.26</v>
      </c>
    </row>
    <row r="346" spans="1:14" x14ac:dyDescent="0.3">
      <c r="A346" t="s">
        <v>14</v>
      </c>
      <c r="B346" t="s">
        <v>31</v>
      </c>
      <c r="C346" t="s">
        <v>58</v>
      </c>
      <c r="D346" t="s">
        <v>17</v>
      </c>
      <c r="E346" t="s">
        <v>33</v>
      </c>
      <c r="F346" t="s">
        <v>696</v>
      </c>
      <c r="G346">
        <v>211344611</v>
      </c>
      <c r="H346" t="s">
        <v>697</v>
      </c>
      <c r="I346">
        <v>422</v>
      </c>
      <c r="J346">
        <v>152.58000000000001</v>
      </c>
      <c r="K346">
        <v>97.44</v>
      </c>
      <c r="L346">
        <v>64388.76</v>
      </c>
      <c r="M346">
        <v>41119.68</v>
      </c>
      <c r="N346">
        <v>23269.08</v>
      </c>
    </row>
    <row r="347" spans="1:14" x14ac:dyDescent="0.3">
      <c r="A347" t="s">
        <v>14</v>
      </c>
      <c r="B347" t="s">
        <v>61</v>
      </c>
      <c r="C347" t="s">
        <v>102</v>
      </c>
      <c r="D347" t="s">
        <v>17</v>
      </c>
      <c r="E347" t="s">
        <v>54</v>
      </c>
      <c r="F347" t="s">
        <v>698</v>
      </c>
      <c r="G347">
        <v>625751483</v>
      </c>
      <c r="H347" t="s">
        <v>699</v>
      </c>
      <c r="I347">
        <v>2624</v>
      </c>
      <c r="J347">
        <v>81.73</v>
      </c>
      <c r="K347">
        <v>56.67</v>
      </c>
      <c r="L347">
        <v>214459.51999999999</v>
      </c>
      <c r="M347">
        <v>148702.07999999999</v>
      </c>
      <c r="N347">
        <v>65757.440000000002</v>
      </c>
    </row>
    <row r="348" spans="1:14" x14ac:dyDescent="0.3">
      <c r="A348" t="s">
        <v>14</v>
      </c>
      <c r="B348" t="s">
        <v>83</v>
      </c>
      <c r="C348" t="s">
        <v>37</v>
      </c>
      <c r="D348" t="s">
        <v>23</v>
      </c>
      <c r="E348" t="s">
        <v>18</v>
      </c>
      <c r="F348" t="s">
        <v>700</v>
      </c>
      <c r="G348">
        <v>665817677</v>
      </c>
      <c r="H348" t="s">
        <v>701</v>
      </c>
      <c r="I348">
        <v>9102</v>
      </c>
      <c r="J348">
        <v>9.33</v>
      </c>
      <c r="K348">
        <v>6.92</v>
      </c>
      <c r="L348">
        <v>84921.66</v>
      </c>
      <c r="M348">
        <v>62985.84</v>
      </c>
      <c r="N348">
        <v>21935.82</v>
      </c>
    </row>
    <row r="349" spans="1:14" x14ac:dyDescent="0.3">
      <c r="A349" t="s">
        <v>14</v>
      </c>
      <c r="B349" t="s">
        <v>70</v>
      </c>
      <c r="C349" t="s">
        <v>64</v>
      </c>
      <c r="D349" t="s">
        <v>17</v>
      </c>
      <c r="E349" t="s">
        <v>33</v>
      </c>
      <c r="F349" t="s">
        <v>170</v>
      </c>
      <c r="G349">
        <v>996754205</v>
      </c>
      <c r="H349" t="s">
        <v>702</v>
      </c>
      <c r="I349">
        <v>574</v>
      </c>
      <c r="J349">
        <v>255.28</v>
      </c>
      <c r="K349">
        <v>159.41999999999999</v>
      </c>
      <c r="L349">
        <v>146530.72</v>
      </c>
      <c r="M349">
        <v>91507.08</v>
      </c>
      <c r="N349">
        <v>55023.64</v>
      </c>
    </row>
    <row r="350" spans="1:14" x14ac:dyDescent="0.3">
      <c r="A350" t="s">
        <v>14</v>
      </c>
      <c r="B350" t="s">
        <v>196</v>
      </c>
      <c r="C350" t="s">
        <v>28</v>
      </c>
      <c r="D350" t="s">
        <v>23</v>
      </c>
      <c r="E350" t="s">
        <v>54</v>
      </c>
      <c r="F350" t="s">
        <v>703</v>
      </c>
      <c r="G350">
        <v>734189975</v>
      </c>
      <c r="H350" t="s">
        <v>704</v>
      </c>
      <c r="I350">
        <v>1984</v>
      </c>
      <c r="J350">
        <v>205.7</v>
      </c>
      <c r="K350">
        <v>117.11</v>
      </c>
      <c r="L350">
        <v>408108.79999999999</v>
      </c>
      <c r="M350">
        <v>232346.23999999999</v>
      </c>
      <c r="N350">
        <v>175762.56</v>
      </c>
    </row>
    <row r="351" spans="1:14" x14ac:dyDescent="0.3">
      <c r="A351" t="s">
        <v>14</v>
      </c>
      <c r="B351" t="s">
        <v>264</v>
      </c>
      <c r="C351" t="s">
        <v>16</v>
      </c>
      <c r="D351" t="s">
        <v>23</v>
      </c>
      <c r="E351" t="s">
        <v>33</v>
      </c>
      <c r="F351" t="s">
        <v>665</v>
      </c>
      <c r="G351">
        <v>935789954</v>
      </c>
      <c r="H351" t="s">
        <v>705</v>
      </c>
      <c r="I351">
        <v>9898</v>
      </c>
      <c r="J351">
        <v>47.45</v>
      </c>
      <c r="K351">
        <v>31.79</v>
      </c>
      <c r="L351">
        <v>469660.1</v>
      </c>
      <c r="M351">
        <v>314657.42</v>
      </c>
      <c r="N351">
        <v>155002.68</v>
      </c>
    </row>
    <row r="352" spans="1:14" x14ac:dyDescent="0.3">
      <c r="A352" t="s">
        <v>14</v>
      </c>
      <c r="B352" t="s">
        <v>196</v>
      </c>
      <c r="C352" t="s">
        <v>28</v>
      </c>
      <c r="D352" t="s">
        <v>23</v>
      </c>
      <c r="E352" t="s">
        <v>24</v>
      </c>
      <c r="F352" t="s">
        <v>706</v>
      </c>
      <c r="G352">
        <v>104008615</v>
      </c>
      <c r="H352" t="s">
        <v>707</v>
      </c>
      <c r="I352">
        <v>7315</v>
      </c>
      <c r="J352">
        <v>205.7</v>
      </c>
      <c r="K352">
        <v>117.11</v>
      </c>
      <c r="L352">
        <v>1504695.5</v>
      </c>
      <c r="M352">
        <v>856659.65</v>
      </c>
      <c r="N352">
        <v>648035.85</v>
      </c>
    </row>
    <row r="353" spans="1:14" x14ac:dyDescent="0.3">
      <c r="A353" t="s">
        <v>14</v>
      </c>
      <c r="B353" t="s">
        <v>264</v>
      </c>
      <c r="C353" t="s">
        <v>16</v>
      </c>
      <c r="D353" t="s">
        <v>23</v>
      </c>
      <c r="E353" t="s">
        <v>54</v>
      </c>
      <c r="F353" t="s">
        <v>708</v>
      </c>
      <c r="G353">
        <v>122967326</v>
      </c>
      <c r="H353" t="s">
        <v>709</v>
      </c>
      <c r="I353">
        <v>7619</v>
      </c>
      <c r="J353">
        <v>47.45</v>
      </c>
      <c r="K353">
        <v>31.79</v>
      </c>
      <c r="L353">
        <v>361521.55</v>
      </c>
      <c r="M353">
        <v>242208.01</v>
      </c>
      <c r="N353">
        <v>119313.54</v>
      </c>
    </row>
    <row r="354" spans="1:14" x14ac:dyDescent="0.3">
      <c r="A354" t="s">
        <v>14</v>
      </c>
      <c r="B354" t="s">
        <v>40</v>
      </c>
      <c r="C354" t="s">
        <v>28</v>
      </c>
      <c r="D354" t="s">
        <v>17</v>
      </c>
      <c r="E354" t="s">
        <v>24</v>
      </c>
      <c r="F354" t="s">
        <v>134</v>
      </c>
      <c r="G354">
        <v>305616748</v>
      </c>
      <c r="H354" t="s">
        <v>710</v>
      </c>
      <c r="I354">
        <v>7642</v>
      </c>
      <c r="J354">
        <v>205.7</v>
      </c>
      <c r="K354">
        <v>117.11</v>
      </c>
      <c r="L354">
        <v>1571959.4</v>
      </c>
      <c r="M354">
        <v>894954.62</v>
      </c>
      <c r="N354">
        <v>677004.78</v>
      </c>
    </row>
    <row r="355" spans="1:14" x14ac:dyDescent="0.3">
      <c r="A355" t="s">
        <v>14</v>
      </c>
      <c r="B355" t="s">
        <v>100</v>
      </c>
      <c r="C355" t="s">
        <v>32</v>
      </c>
      <c r="D355" t="s">
        <v>17</v>
      </c>
      <c r="E355" t="s">
        <v>24</v>
      </c>
      <c r="F355" t="s">
        <v>711</v>
      </c>
      <c r="G355">
        <v>243070638</v>
      </c>
      <c r="H355" t="s">
        <v>712</v>
      </c>
      <c r="I355">
        <v>8858</v>
      </c>
      <c r="J355">
        <v>651.21</v>
      </c>
      <c r="K355">
        <v>524.96</v>
      </c>
      <c r="L355">
        <v>5768418.1799999997</v>
      </c>
      <c r="M355">
        <v>4650095.68</v>
      </c>
      <c r="N355">
        <v>1118322.5</v>
      </c>
    </row>
    <row r="356" spans="1:14" x14ac:dyDescent="0.3">
      <c r="A356" t="s">
        <v>14</v>
      </c>
      <c r="B356" t="s">
        <v>31</v>
      </c>
      <c r="C356" t="s">
        <v>22</v>
      </c>
      <c r="D356" t="s">
        <v>17</v>
      </c>
      <c r="E356" t="s">
        <v>33</v>
      </c>
      <c r="F356" t="s">
        <v>575</v>
      </c>
      <c r="G356">
        <v>505867040</v>
      </c>
      <c r="H356" t="s">
        <v>713</v>
      </c>
      <c r="I356">
        <v>6153</v>
      </c>
      <c r="J356">
        <v>109.28</v>
      </c>
      <c r="K356">
        <v>35.840000000000003</v>
      </c>
      <c r="L356">
        <v>672399.84</v>
      </c>
      <c r="M356">
        <v>220523.51999999999</v>
      </c>
      <c r="N356">
        <v>451876.32</v>
      </c>
    </row>
    <row r="357" spans="1:14" x14ac:dyDescent="0.3">
      <c r="A357" t="s">
        <v>14</v>
      </c>
      <c r="B357" t="s">
        <v>163</v>
      </c>
      <c r="C357" t="s">
        <v>75</v>
      </c>
      <c r="D357" t="s">
        <v>23</v>
      </c>
      <c r="E357" t="s">
        <v>18</v>
      </c>
      <c r="F357" t="s">
        <v>282</v>
      </c>
      <c r="G357">
        <v>637188422</v>
      </c>
      <c r="H357" t="s">
        <v>714</v>
      </c>
      <c r="I357">
        <v>7069</v>
      </c>
      <c r="J357">
        <v>437.2</v>
      </c>
      <c r="K357">
        <v>263.33</v>
      </c>
      <c r="L357">
        <v>3090566.8</v>
      </c>
      <c r="M357">
        <v>1861479.77</v>
      </c>
      <c r="N357">
        <v>1229087.03</v>
      </c>
    </row>
    <row r="358" spans="1:14" x14ac:dyDescent="0.3">
      <c r="A358" t="s">
        <v>14</v>
      </c>
      <c r="B358" t="s">
        <v>61</v>
      </c>
      <c r="C358" t="s">
        <v>28</v>
      </c>
      <c r="D358" t="s">
        <v>23</v>
      </c>
      <c r="E358" t="s">
        <v>54</v>
      </c>
      <c r="F358" t="s">
        <v>715</v>
      </c>
      <c r="G358">
        <v>518421494</v>
      </c>
      <c r="H358" t="s">
        <v>715</v>
      </c>
      <c r="I358">
        <v>1296</v>
      </c>
      <c r="J358">
        <v>205.7</v>
      </c>
      <c r="K358">
        <v>117.11</v>
      </c>
      <c r="L358">
        <v>266587.2</v>
      </c>
      <c r="M358">
        <v>151774.56</v>
      </c>
      <c r="N358">
        <v>114812.64</v>
      </c>
    </row>
    <row r="359" spans="1:14" x14ac:dyDescent="0.3">
      <c r="A359" t="s">
        <v>14</v>
      </c>
      <c r="B359" t="s">
        <v>94</v>
      </c>
      <c r="C359" t="s">
        <v>37</v>
      </c>
      <c r="D359" t="s">
        <v>17</v>
      </c>
      <c r="E359" t="s">
        <v>24</v>
      </c>
      <c r="F359" t="s">
        <v>716</v>
      </c>
      <c r="G359">
        <v>104245078</v>
      </c>
      <c r="H359" t="s">
        <v>717</v>
      </c>
      <c r="I359">
        <v>7290</v>
      </c>
      <c r="J359">
        <v>9.33</v>
      </c>
      <c r="K359">
        <v>6.92</v>
      </c>
      <c r="L359">
        <v>68015.7</v>
      </c>
      <c r="M359">
        <v>50446.8</v>
      </c>
      <c r="N359">
        <v>17568.900000000001</v>
      </c>
    </row>
    <row r="360" spans="1:14" x14ac:dyDescent="0.3">
      <c r="A360" t="s">
        <v>14</v>
      </c>
      <c r="B360" t="s">
        <v>166</v>
      </c>
      <c r="C360" t="s">
        <v>46</v>
      </c>
      <c r="D360" t="s">
        <v>23</v>
      </c>
      <c r="E360" t="s">
        <v>18</v>
      </c>
      <c r="F360" t="s">
        <v>718</v>
      </c>
      <c r="G360">
        <v>386319911</v>
      </c>
      <c r="H360" t="s">
        <v>625</v>
      </c>
      <c r="I360">
        <v>9501</v>
      </c>
      <c r="J360">
        <v>154.06</v>
      </c>
      <c r="K360">
        <v>90.93</v>
      </c>
      <c r="L360">
        <v>1463724.06</v>
      </c>
      <c r="M360">
        <v>863925.93</v>
      </c>
      <c r="N360">
        <v>599798.13</v>
      </c>
    </row>
    <row r="361" spans="1:14" x14ac:dyDescent="0.3">
      <c r="A361" t="s">
        <v>14</v>
      </c>
      <c r="B361" t="s">
        <v>105</v>
      </c>
      <c r="C361" t="s">
        <v>64</v>
      </c>
      <c r="D361" t="s">
        <v>23</v>
      </c>
      <c r="E361" t="s">
        <v>24</v>
      </c>
      <c r="F361" t="s">
        <v>719</v>
      </c>
      <c r="G361">
        <v>740300261</v>
      </c>
      <c r="H361" t="s">
        <v>720</v>
      </c>
      <c r="I361">
        <v>153</v>
      </c>
      <c r="J361">
        <v>255.28</v>
      </c>
      <c r="K361">
        <v>159.41999999999999</v>
      </c>
      <c r="L361">
        <v>39057.839999999997</v>
      </c>
      <c r="M361">
        <v>24391.26</v>
      </c>
      <c r="N361">
        <v>14666.58</v>
      </c>
    </row>
    <row r="362" spans="1:14" x14ac:dyDescent="0.3">
      <c r="A362" t="s">
        <v>14</v>
      </c>
      <c r="B362" t="s">
        <v>181</v>
      </c>
      <c r="C362" t="s">
        <v>32</v>
      </c>
      <c r="D362" t="s">
        <v>17</v>
      </c>
      <c r="E362" t="s">
        <v>18</v>
      </c>
      <c r="F362" t="s">
        <v>721</v>
      </c>
      <c r="G362">
        <v>747826755</v>
      </c>
      <c r="H362" t="s">
        <v>722</v>
      </c>
      <c r="I362">
        <v>7410</v>
      </c>
      <c r="J362">
        <v>651.21</v>
      </c>
      <c r="K362">
        <v>524.96</v>
      </c>
      <c r="L362">
        <v>4825466.0999999996</v>
      </c>
      <c r="M362">
        <v>3889953.6</v>
      </c>
      <c r="N362">
        <v>935512.5</v>
      </c>
    </row>
    <row r="363" spans="1:14" x14ac:dyDescent="0.3">
      <c r="A363" t="s">
        <v>14</v>
      </c>
      <c r="B363" t="s">
        <v>342</v>
      </c>
      <c r="C363" t="s">
        <v>102</v>
      </c>
      <c r="D363" t="s">
        <v>17</v>
      </c>
      <c r="E363" t="s">
        <v>24</v>
      </c>
      <c r="F363" t="s">
        <v>158</v>
      </c>
      <c r="G363">
        <v>215540015</v>
      </c>
      <c r="H363" t="s">
        <v>723</v>
      </c>
      <c r="I363">
        <v>1935</v>
      </c>
      <c r="J363">
        <v>81.73</v>
      </c>
      <c r="K363">
        <v>56.67</v>
      </c>
      <c r="L363">
        <v>158147.54999999999</v>
      </c>
      <c r="M363">
        <v>109656.45</v>
      </c>
      <c r="N363">
        <v>48491.1</v>
      </c>
    </row>
    <row r="364" spans="1:14" x14ac:dyDescent="0.3">
      <c r="A364" t="s">
        <v>14</v>
      </c>
      <c r="B364" t="s">
        <v>132</v>
      </c>
      <c r="C364" t="s">
        <v>46</v>
      </c>
      <c r="D364" t="s">
        <v>17</v>
      </c>
      <c r="E364" t="s">
        <v>18</v>
      </c>
      <c r="F364" t="s">
        <v>724</v>
      </c>
      <c r="G364">
        <v>975080668</v>
      </c>
      <c r="H364" t="s">
        <v>73</v>
      </c>
      <c r="I364">
        <v>6893</v>
      </c>
      <c r="J364">
        <v>154.06</v>
      </c>
      <c r="K364">
        <v>90.93</v>
      </c>
      <c r="L364">
        <v>1061935.58</v>
      </c>
      <c r="M364">
        <v>626780.49</v>
      </c>
      <c r="N364">
        <v>435155.09</v>
      </c>
    </row>
    <row r="365" spans="1:14" x14ac:dyDescent="0.3">
      <c r="A365" t="s">
        <v>14</v>
      </c>
      <c r="B365" t="s">
        <v>21</v>
      </c>
      <c r="C365" t="s">
        <v>64</v>
      </c>
      <c r="D365" t="s">
        <v>23</v>
      </c>
      <c r="E365" t="s">
        <v>33</v>
      </c>
      <c r="F365" t="s">
        <v>670</v>
      </c>
      <c r="G365">
        <v>638041150</v>
      </c>
      <c r="H365" t="s">
        <v>725</v>
      </c>
      <c r="I365">
        <v>9410</v>
      </c>
      <c r="J365">
        <v>255.28</v>
      </c>
      <c r="K365">
        <v>159.41999999999999</v>
      </c>
      <c r="L365">
        <v>2402184.7999999998</v>
      </c>
      <c r="M365">
        <v>1500142.2</v>
      </c>
      <c r="N365">
        <v>902042.6</v>
      </c>
    </row>
    <row r="366" spans="1:14" x14ac:dyDescent="0.3">
      <c r="A366" t="s">
        <v>14</v>
      </c>
      <c r="B366" t="s">
        <v>183</v>
      </c>
      <c r="C366" t="s">
        <v>75</v>
      </c>
      <c r="D366" t="s">
        <v>23</v>
      </c>
      <c r="E366" t="s">
        <v>18</v>
      </c>
      <c r="F366" t="s">
        <v>726</v>
      </c>
      <c r="G366">
        <v>583089339</v>
      </c>
      <c r="H366" t="s">
        <v>236</v>
      </c>
      <c r="I366">
        <v>7948</v>
      </c>
      <c r="J366">
        <v>437.2</v>
      </c>
      <c r="K366">
        <v>263.33</v>
      </c>
      <c r="L366">
        <v>3474865.6</v>
      </c>
      <c r="M366">
        <v>2092946.84</v>
      </c>
      <c r="N366">
        <v>1381918.76</v>
      </c>
    </row>
    <row r="367" spans="1:14" x14ac:dyDescent="0.3">
      <c r="A367" t="s">
        <v>14</v>
      </c>
      <c r="B367" t="s">
        <v>115</v>
      </c>
      <c r="C367" t="s">
        <v>58</v>
      </c>
      <c r="D367" t="s">
        <v>23</v>
      </c>
      <c r="E367" t="s">
        <v>24</v>
      </c>
      <c r="F367" t="s">
        <v>727</v>
      </c>
      <c r="G367">
        <v>118086564</v>
      </c>
      <c r="H367" t="s">
        <v>728</v>
      </c>
      <c r="I367">
        <v>3293</v>
      </c>
      <c r="J367">
        <v>152.58000000000001</v>
      </c>
      <c r="K367">
        <v>97.44</v>
      </c>
      <c r="L367">
        <v>502445.94</v>
      </c>
      <c r="M367">
        <v>320869.92</v>
      </c>
      <c r="N367">
        <v>181576.02</v>
      </c>
    </row>
    <row r="368" spans="1:14" x14ac:dyDescent="0.3">
      <c r="A368" t="s">
        <v>14</v>
      </c>
      <c r="B368" t="s">
        <v>100</v>
      </c>
      <c r="C368" t="s">
        <v>64</v>
      </c>
      <c r="D368" t="s">
        <v>17</v>
      </c>
      <c r="E368" t="s">
        <v>18</v>
      </c>
      <c r="F368" t="s">
        <v>729</v>
      </c>
      <c r="G368">
        <v>296073234</v>
      </c>
      <c r="H368" t="s">
        <v>730</v>
      </c>
      <c r="I368">
        <v>3504</v>
      </c>
      <c r="J368">
        <v>255.28</v>
      </c>
      <c r="K368">
        <v>159.41999999999999</v>
      </c>
      <c r="L368">
        <v>894501.12</v>
      </c>
      <c r="M368">
        <v>558607.68000000005</v>
      </c>
      <c r="N368">
        <v>335893.44</v>
      </c>
    </row>
    <row r="369" spans="1:14" x14ac:dyDescent="0.3">
      <c r="A369" t="s">
        <v>14</v>
      </c>
      <c r="B369" t="s">
        <v>89</v>
      </c>
      <c r="C369" t="s">
        <v>58</v>
      </c>
      <c r="D369" t="s">
        <v>23</v>
      </c>
      <c r="E369" t="s">
        <v>24</v>
      </c>
      <c r="F369" t="s">
        <v>407</v>
      </c>
      <c r="G369">
        <v>968185460</v>
      </c>
      <c r="H369" t="s">
        <v>731</v>
      </c>
      <c r="I369">
        <v>6448</v>
      </c>
      <c r="J369">
        <v>152.58000000000001</v>
      </c>
      <c r="K369">
        <v>97.44</v>
      </c>
      <c r="L369">
        <v>983835.84</v>
      </c>
      <c r="M369">
        <v>628293.12</v>
      </c>
      <c r="N369">
        <v>355542.72</v>
      </c>
    </row>
    <row r="370" spans="1:14" x14ac:dyDescent="0.3">
      <c r="A370" t="s">
        <v>14</v>
      </c>
      <c r="B370" t="s">
        <v>132</v>
      </c>
      <c r="C370" t="s">
        <v>64</v>
      </c>
      <c r="D370" t="s">
        <v>17</v>
      </c>
      <c r="E370" t="s">
        <v>24</v>
      </c>
      <c r="F370" t="s">
        <v>732</v>
      </c>
      <c r="G370">
        <v>364854514</v>
      </c>
      <c r="H370" t="s">
        <v>733</v>
      </c>
      <c r="I370">
        <v>7413</v>
      </c>
      <c r="J370">
        <v>255.28</v>
      </c>
      <c r="K370">
        <v>159.41999999999999</v>
      </c>
      <c r="L370">
        <v>1892390.64</v>
      </c>
      <c r="M370">
        <v>1181780.46</v>
      </c>
      <c r="N370">
        <v>710610.18</v>
      </c>
    </row>
    <row r="371" spans="1:14" x14ac:dyDescent="0.3">
      <c r="A371" t="s">
        <v>14</v>
      </c>
      <c r="B371" t="s">
        <v>45</v>
      </c>
      <c r="C371" t="s">
        <v>75</v>
      </c>
      <c r="D371" t="s">
        <v>23</v>
      </c>
      <c r="E371" t="s">
        <v>18</v>
      </c>
      <c r="F371" t="s">
        <v>734</v>
      </c>
      <c r="G371">
        <v>980961358</v>
      </c>
      <c r="H371" t="s">
        <v>735</v>
      </c>
      <c r="I371">
        <v>7120</v>
      </c>
      <c r="J371">
        <v>437.2</v>
      </c>
      <c r="K371">
        <v>263.33</v>
      </c>
      <c r="L371">
        <v>3112864</v>
      </c>
      <c r="M371">
        <v>1874909.6</v>
      </c>
      <c r="N371">
        <v>1237954.3999999999</v>
      </c>
    </row>
    <row r="372" spans="1:14" x14ac:dyDescent="0.3">
      <c r="A372" t="s">
        <v>14</v>
      </c>
      <c r="B372" t="s">
        <v>163</v>
      </c>
      <c r="C372" t="s">
        <v>37</v>
      </c>
      <c r="D372" t="s">
        <v>17</v>
      </c>
      <c r="E372" t="s">
        <v>18</v>
      </c>
      <c r="F372" t="s">
        <v>736</v>
      </c>
      <c r="G372">
        <v>601886260</v>
      </c>
      <c r="H372" t="s">
        <v>491</v>
      </c>
      <c r="I372">
        <v>374</v>
      </c>
      <c r="J372">
        <v>9.33</v>
      </c>
      <c r="K372">
        <v>6.92</v>
      </c>
      <c r="L372">
        <v>3489.42</v>
      </c>
      <c r="M372">
        <v>2588.08</v>
      </c>
      <c r="N372">
        <v>901.34</v>
      </c>
    </row>
    <row r="373" spans="1:14" x14ac:dyDescent="0.3">
      <c r="A373" t="s">
        <v>14</v>
      </c>
      <c r="B373" t="s">
        <v>89</v>
      </c>
      <c r="C373" t="s">
        <v>71</v>
      </c>
      <c r="D373" t="s">
        <v>23</v>
      </c>
      <c r="E373" t="s">
        <v>33</v>
      </c>
      <c r="F373" t="s">
        <v>737</v>
      </c>
      <c r="G373">
        <v>321628463</v>
      </c>
      <c r="H373" t="s">
        <v>614</v>
      </c>
      <c r="I373">
        <v>5864</v>
      </c>
      <c r="J373">
        <v>668.27</v>
      </c>
      <c r="K373">
        <v>502.54</v>
      </c>
      <c r="L373">
        <v>3918735.28</v>
      </c>
      <c r="M373">
        <v>2946894.56</v>
      </c>
      <c r="N373">
        <v>971840.72</v>
      </c>
    </row>
    <row r="374" spans="1:14" x14ac:dyDescent="0.3">
      <c r="A374" t="s">
        <v>14</v>
      </c>
      <c r="B374" t="s">
        <v>86</v>
      </c>
      <c r="C374" t="s">
        <v>50</v>
      </c>
      <c r="D374" t="s">
        <v>23</v>
      </c>
      <c r="E374" t="s">
        <v>33</v>
      </c>
      <c r="F374" t="s">
        <v>738</v>
      </c>
      <c r="G374">
        <v>944609057</v>
      </c>
      <c r="H374" t="s">
        <v>739</v>
      </c>
      <c r="I374">
        <v>9666</v>
      </c>
      <c r="J374">
        <v>421.89</v>
      </c>
      <c r="K374">
        <v>364.69</v>
      </c>
      <c r="L374">
        <v>4077988.74</v>
      </c>
      <c r="M374">
        <v>3525093.54</v>
      </c>
      <c r="N374">
        <v>552895.19999999995</v>
      </c>
    </row>
    <row r="375" spans="1:14" x14ac:dyDescent="0.3">
      <c r="A375" t="s">
        <v>14</v>
      </c>
      <c r="B375" t="s">
        <v>100</v>
      </c>
      <c r="C375" t="s">
        <v>75</v>
      </c>
      <c r="D375" t="s">
        <v>17</v>
      </c>
      <c r="E375" t="s">
        <v>54</v>
      </c>
      <c r="F375" t="s">
        <v>740</v>
      </c>
      <c r="G375">
        <v>310588920</v>
      </c>
      <c r="H375" t="s">
        <v>204</v>
      </c>
      <c r="I375">
        <v>9018</v>
      </c>
      <c r="J375">
        <v>437.2</v>
      </c>
      <c r="K375">
        <v>263.33</v>
      </c>
      <c r="L375">
        <v>3942669.6</v>
      </c>
      <c r="M375">
        <v>2374709.94</v>
      </c>
      <c r="N375">
        <v>1567959.66</v>
      </c>
    </row>
    <row r="376" spans="1:14" x14ac:dyDescent="0.3">
      <c r="A376" t="s">
        <v>14</v>
      </c>
      <c r="B376" t="s">
        <v>122</v>
      </c>
      <c r="C376" t="s">
        <v>50</v>
      </c>
      <c r="D376" t="s">
        <v>17</v>
      </c>
      <c r="E376" t="s">
        <v>24</v>
      </c>
      <c r="F376" t="s">
        <v>741</v>
      </c>
      <c r="G376">
        <v>251208674</v>
      </c>
      <c r="H376" t="s">
        <v>668</v>
      </c>
      <c r="I376">
        <v>7084</v>
      </c>
      <c r="J376">
        <v>421.89</v>
      </c>
      <c r="K376">
        <v>364.69</v>
      </c>
      <c r="L376">
        <v>2988668.76</v>
      </c>
      <c r="M376">
        <v>2583463.96</v>
      </c>
      <c r="N376">
        <v>405204.8</v>
      </c>
    </row>
    <row r="377" spans="1:14" x14ac:dyDescent="0.3">
      <c r="A377" t="s">
        <v>14</v>
      </c>
      <c r="B377" t="s">
        <v>183</v>
      </c>
      <c r="C377" t="s">
        <v>37</v>
      </c>
      <c r="D377" t="s">
        <v>23</v>
      </c>
      <c r="E377" t="s">
        <v>33</v>
      </c>
      <c r="F377" t="s">
        <v>742</v>
      </c>
      <c r="G377">
        <v>488316380</v>
      </c>
      <c r="H377" t="s">
        <v>743</v>
      </c>
      <c r="I377">
        <v>2523</v>
      </c>
      <c r="J377">
        <v>9.33</v>
      </c>
      <c r="K377">
        <v>6.92</v>
      </c>
      <c r="L377">
        <v>23539.59</v>
      </c>
      <c r="M377">
        <v>17459.16</v>
      </c>
      <c r="N377">
        <v>6080.43</v>
      </c>
    </row>
    <row r="378" spans="1:14" x14ac:dyDescent="0.3">
      <c r="A378" t="s">
        <v>14</v>
      </c>
      <c r="B378" t="s">
        <v>257</v>
      </c>
      <c r="C378" t="s">
        <v>22</v>
      </c>
      <c r="D378" t="s">
        <v>23</v>
      </c>
      <c r="E378" t="s">
        <v>24</v>
      </c>
      <c r="F378" t="s">
        <v>56</v>
      </c>
      <c r="G378">
        <v>263647687</v>
      </c>
      <c r="H378" t="s">
        <v>744</v>
      </c>
      <c r="I378">
        <v>8064</v>
      </c>
      <c r="J378">
        <v>109.28</v>
      </c>
      <c r="K378">
        <v>35.840000000000003</v>
      </c>
      <c r="L378">
        <v>881233.92000000004</v>
      </c>
      <c r="M378">
        <v>289013.76000000001</v>
      </c>
      <c r="N378">
        <v>592220.16000000003</v>
      </c>
    </row>
    <row r="379" spans="1:14" x14ac:dyDescent="0.3">
      <c r="A379" t="s">
        <v>14</v>
      </c>
      <c r="B379" t="s">
        <v>49</v>
      </c>
      <c r="C379" t="s">
        <v>102</v>
      </c>
      <c r="D379" t="s">
        <v>17</v>
      </c>
      <c r="E379" t="s">
        <v>54</v>
      </c>
      <c r="F379" t="s">
        <v>745</v>
      </c>
      <c r="G379">
        <v>653800523</v>
      </c>
      <c r="H379" t="s">
        <v>746</v>
      </c>
      <c r="I379">
        <v>2958</v>
      </c>
      <c r="J379">
        <v>81.73</v>
      </c>
      <c r="K379">
        <v>56.67</v>
      </c>
      <c r="L379">
        <v>241757.34</v>
      </c>
      <c r="M379">
        <v>167629.85999999999</v>
      </c>
      <c r="N379">
        <v>74127.48</v>
      </c>
    </row>
    <row r="380" spans="1:14" x14ac:dyDescent="0.3">
      <c r="A380" t="s">
        <v>14</v>
      </c>
      <c r="B380" t="s">
        <v>169</v>
      </c>
      <c r="C380" t="s">
        <v>75</v>
      </c>
      <c r="D380" t="s">
        <v>23</v>
      </c>
      <c r="E380" t="s">
        <v>33</v>
      </c>
      <c r="F380" t="s">
        <v>747</v>
      </c>
      <c r="G380">
        <v>684239947</v>
      </c>
      <c r="H380" t="s">
        <v>748</v>
      </c>
      <c r="I380">
        <v>661</v>
      </c>
      <c r="J380">
        <v>437.2</v>
      </c>
      <c r="K380">
        <v>263.33</v>
      </c>
      <c r="L380">
        <v>288989.2</v>
      </c>
      <c r="M380">
        <v>174061.13</v>
      </c>
      <c r="N380">
        <v>114928.07</v>
      </c>
    </row>
    <row r="381" spans="1:14" x14ac:dyDescent="0.3">
      <c r="A381" t="s">
        <v>14</v>
      </c>
      <c r="B381" t="s">
        <v>257</v>
      </c>
      <c r="C381" t="s">
        <v>102</v>
      </c>
      <c r="D381" t="s">
        <v>23</v>
      </c>
      <c r="E381" t="s">
        <v>54</v>
      </c>
      <c r="F381" t="s">
        <v>592</v>
      </c>
      <c r="G381">
        <v>133276450</v>
      </c>
      <c r="H381" t="s">
        <v>749</v>
      </c>
      <c r="I381">
        <v>8318</v>
      </c>
      <c r="J381">
        <v>81.73</v>
      </c>
      <c r="K381">
        <v>56.67</v>
      </c>
      <c r="L381">
        <v>679830.14</v>
      </c>
      <c r="M381">
        <v>471381.06</v>
      </c>
      <c r="N381">
        <v>208449.08</v>
      </c>
    </row>
    <row r="382" spans="1:14" x14ac:dyDescent="0.3">
      <c r="A382" t="s">
        <v>14</v>
      </c>
      <c r="B382" t="s">
        <v>146</v>
      </c>
      <c r="C382" t="s">
        <v>102</v>
      </c>
      <c r="D382" t="s">
        <v>17</v>
      </c>
      <c r="E382" t="s">
        <v>33</v>
      </c>
      <c r="F382" t="s">
        <v>750</v>
      </c>
      <c r="G382">
        <v>838895261</v>
      </c>
      <c r="H382" t="s">
        <v>287</v>
      </c>
      <c r="I382">
        <v>6605</v>
      </c>
      <c r="J382">
        <v>81.73</v>
      </c>
      <c r="K382">
        <v>56.67</v>
      </c>
      <c r="L382">
        <v>539826.65</v>
      </c>
      <c r="M382">
        <v>374305.35</v>
      </c>
      <c r="N382">
        <v>165521.29999999999</v>
      </c>
    </row>
    <row r="383" spans="1:14" x14ac:dyDescent="0.3">
      <c r="A383" t="s">
        <v>14</v>
      </c>
      <c r="B383" t="s">
        <v>127</v>
      </c>
      <c r="C383" t="s">
        <v>50</v>
      </c>
      <c r="D383" t="s">
        <v>23</v>
      </c>
      <c r="E383" t="s">
        <v>18</v>
      </c>
      <c r="F383" t="s">
        <v>270</v>
      </c>
      <c r="G383">
        <v>198537814</v>
      </c>
      <c r="H383" t="s">
        <v>751</v>
      </c>
      <c r="I383">
        <v>606</v>
      </c>
      <c r="J383">
        <v>421.89</v>
      </c>
      <c r="K383">
        <v>364.69</v>
      </c>
      <c r="L383">
        <v>255665.34</v>
      </c>
      <c r="M383">
        <v>221002.14</v>
      </c>
      <c r="N383">
        <v>34663.199999999997</v>
      </c>
    </row>
    <row r="384" spans="1:14" x14ac:dyDescent="0.3">
      <c r="A384" t="s">
        <v>14</v>
      </c>
      <c r="B384" t="s">
        <v>97</v>
      </c>
      <c r="C384" t="s">
        <v>50</v>
      </c>
      <c r="D384" t="s">
        <v>23</v>
      </c>
      <c r="E384" t="s">
        <v>24</v>
      </c>
      <c r="F384" t="s">
        <v>701</v>
      </c>
      <c r="G384">
        <v>885397469</v>
      </c>
      <c r="H384" t="s">
        <v>743</v>
      </c>
      <c r="I384">
        <v>7642</v>
      </c>
      <c r="J384">
        <v>421.89</v>
      </c>
      <c r="K384">
        <v>364.69</v>
      </c>
      <c r="L384">
        <v>3224083.38</v>
      </c>
      <c r="M384">
        <v>2786960.98</v>
      </c>
      <c r="N384">
        <v>437122.4</v>
      </c>
    </row>
    <row r="385" spans="1:14" x14ac:dyDescent="0.3">
      <c r="A385" t="s">
        <v>14</v>
      </c>
      <c r="B385" t="s">
        <v>135</v>
      </c>
      <c r="C385" t="s">
        <v>102</v>
      </c>
      <c r="D385" t="s">
        <v>17</v>
      </c>
      <c r="E385" t="s">
        <v>54</v>
      </c>
      <c r="F385" t="s">
        <v>752</v>
      </c>
      <c r="G385">
        <v>302744853</v>
      </c>
      <c r="H385" t="s">
        <v>753</v>
      </c>
      <c r="I385">
        <v>7785</v>
      </c>
      <c r="J385">
        <v>81.73</v>
      </c>
      <c r="K385">
        <v>56.67</v>
      </c>
      <c r="L385">
        <v>636268.05000000005</v>
      </c>
      <c r="M385">
        <v>441175.95</v>
      </c>
      <c r="N385">
        <v>195092.1</v>
      </c>
    </row>
    <row r="386" spans="1:14" x14ac:dyDescent="0.3">
      <c r="A386" t="s">
        <v>14</v>
      </c>
      <c r="B386" t="s">
        <v>183</v>
      </c>
      <c r="C386" t="s">
        <v>32</v>
      </c>
      <c r="D386" t="s">
        <v>23</v>
      </c>
      <c r="E386" t="s">
        <v>33</v>
      </c>
      <c r="F386" t="s">
        <v>101</v>
      </c>
      <c r="G386">
        <v>975823962</v>
      </c>
      <c r="H386" t="s">
        <v>754</v>
      </c>
      <c r="I386">
        <v>6850</v>
      </c>
      <c r="J386">
        <v>651.21</v>
      </c>
      <c r="K386">
        <v>524.96</v>
      </c>
      <c r="L386">
        <v>4460788.5</v>
      </c>
      <c r="M386">
        <v>3595976</v>
      </c>
      <c r="N386">
        <v>864812.5</v>
      </c>
    </row>
    <row r="387" spans="1:14" x14ac:dyDescent="0.3">
      <c r="A387" t="s">
        <v>14</v>
      </c>
      <c r="B387" t="s">
        <v>127</v>
      </c>
      <c r="C387" t="s">
        <v>75</v>
      </c>
      <c r="D387" t="s">
        <v>17</v>
      </c>
      <c r="E387" t="s">
        <v>24</v>
      </c>
      <c r="F387" t="s">
        <v>755</v>
      </c>
      <c r="G387">
        <v>860104024</v>
      </c>
      <c r="H387" t="s">
        <v>756</v>
      </c>
      <c r="I387">
        <v>2749</v>
      </c>
      <c r="J387">
        <v>437.2</v>
      </c>
      <c r="K387">
        <v>263.33</v>
      </c>
      <c r="L387">
        <v>1201862.8</v>
      </c>
      <c r="M387">
        <v>723894.17</v>
      </c>
      <c r="N387">
        <v>477968.63</v>
      </c>
    </row>
    <row r="388" spans="1:14" x14ac:dyDescent="0.3">
      <c r="A388" t="s">
        <v>14</v>
      </c>
      <c r="B388" t="s">
        <v>40</v>
      </c>
      <c r="C388" t="s">
        <v>75</v>
      </c>
      <c r="D388" t="s">
        <v>17</v>
      </c>
      <c r="E388" t="s">
        <v>24</v>
      </c>
      <c r="F388" t="s">
        <v>757</v>
      </c>
      <c r="G388">
        <v>378714883</v>
      </c>
      <c r="H388" t="s">
        <v>758</v>
      </c>
      <c r="I388">
        <v>9005</v>
      </c>
      <c r="J388">
        <v>437.2</v>
      </c>
      <c r="K388">
        <v>263.33</v>
      </c>
      <c r="L388">
        <v>3936986</v>
      </c>
      <c r="M388">
        <v>2371286.65</v>
      </c>
      <c r="N388">
        <v>1565699.35</v>
      </c>
    </row>
    <row r="389" spans="1:14" x14ac:dyDescent="0.3">
      <c r="A389" t="s">
        <v>14</v>
      </c>
      <c r="B389" t="s">
        <v>163</v>
      </c>
      <c r="C389" t="s">
        <v>102</v>
      </c>
      <c r="D389" t="s">
        <v>17</v>
      </c>
      <c r="E389" t="s">
        <v>18</v>
      </c>
      <c r="F389" t="s">
        <v>759</v>
      </c>
      <c r="G389">
        <v>131585586</v>
      </c>
      <c r="H389" t="s">
        <v>760</v>
      </c>
      <c r="I389">
        <v>7954</v>
      </c>
      <c r="J389">
        <v>81.73</v>
      </c>
      <c r="K389">
        <v>56.67</v>
      </c>
      <c r="L389">
        <v>650080.42000000004</v>
      </c>
      <c r="M389">
        <v>450753.18</v>
      </c>
      <c r="N389">
        <v>199327.24</v>
      </c>
    </row>
    <row r="390" spans="1:14" x14ac:dyDescent="0.3">
      <c r="A390" t="s">
        <v>14</v>
      </c>
      <c r="B390" t="s">
        <v>183</v>
      </c>
      <c r="C390" t="s">
        <v>102</v>
      </c>
      <c r="D390" t="s">
        <v>23</v>
      </c>
      <c r="E390" t="s">
        <v>33</v>
      </c>
      <c r="F390" t="s">
        <v>761</v>
      </c>
      <c r="G390">
        <v>588528859</v>
      </c>
      <c r="H390" t="s">
        <v>762</v>
      </c>
      <c r="I390">
        <v>7623</v>
      </c>
      <c r="J390">
        <v>81.73</v>
      </c>
      <c r="K390">
        <v>56.67</v>
      </c>
      <c r="L390">
        <v>623027.79</v>
      </c>
      <c r="M390">
        <v>431995.41</v>
      </c>
      <c r="N390">
        <v>191032.38</v>
      </c>
    </row>
    <row r="391" spans="1:14" x14ac:dyDescent="0.3">
      <c r="A391" t="s">
        <v>14</v>
      </c>
      <c r="B391" t="s">
        <v>181</v>
      </c>
      <c r="C391" t="s">
        <v>50</v>
      </c>
      <c r="D391" t="s">
        <v>23</v>
      </c>
      <c r="E391" t="s">
        <v>33</v>
      </c>
      <c r="F391" t="s">
        <v>763</v>
      </c>
      <c r="G391">
        <v>796418511</v>
      </c>
      <c r="H391" t="s">
        <v>764</v>
      </c>
      <c r="I391">
        <v>6791</v>
      </c>
      <c r="J391">
        <v>421.89</v>
      </c>
      <c r="K391">
        <v>364.69</v>
      </c>
      <c r="L391">
        <v>2865054.99</v>
      </c>
      <c r="M391">
        <v>2476609.79</v>
      </c>
      <c r="N391">
        <v>388445.2</v>
      </c>
    </row>
    <row r="392" spans="1:14" x14ac:dyDescent="0.3">
      <c r="A392" t="s">
        <v>14</v>
      </c>
      <c r="B392" t="s">
        <v>132</v>
      </c>
      <c r="C392" t="s">
        <v>75</v>
      </c>
      <c r="D392" t="s">
        <v>23</v>
      </c>
      <c r="E392" t="s">
        <v>24</v>
      </c>
      <c r="F392" t="s">
        <v>765</v>
      </c>
      <c r="G392">
        <v>526018369</v>
      </c>
      <c r="H392" t="s">
        <v>766</v>
      </c>
      <c r="I392">
        <v>9379</v>
      </c>
      <c r="J392">
        <v>437.2</v>
      </c>
      <c r="K392">
        <v>263.33</v>
      </c>
      <c r="L392">
        <v>4100498.8</v>
      </c>
      <c r="M392">
        <v>2469772.0699999998</v>
      </c>
      <c r="N392">
        <v>1630726.73</v>
      </c>
    </row>
    <row r="393" spans="1:14" x14ac:dyDescent="0.3">
      <c r="A393" t="s">
        <v>14</v>
      </c>
      <c r="B393" t="s">
        <v>40</v>
      </c>
      <c r="C393" t="s">
        <v>16</v>
      </c>
      <c r="D393" t="s">
        <v>17</v>
      </c>
      <c r="E393" t="s">
        <v>18</v>
      </c>
      <c r="F393" t="s">
        <v>767</v>
      </c>
      <c r="G393">
        <v>122144210</v>
      </c>
      <c r="H393" t="s">
        <v>768</v>
      </c>
      <c r="I393">
        <v>4041</v>
      </c>
      <c r="J393">
        <v>47.45</v>
      </c>
      <c r="K393">
        <v>31.79</v>
      </c>
      <c r="L393">
        <v>191745.45</v>
      </c>
      <c r="M393">
        <v>128463.39</v>
      </c>
      <c r="N393">
        <v>63282.06</v>
      </c>
    </row>
    <row r="394" spans="1:14" x14ac:dyDescent="0.3">
      <c r="A394" t="s">
        <v>14</v>
      </c>
      <c r="B394" t="s">
        <v>264</v>
      </c>
      <c r="C394" t="s">
        <v>32</v>
      </c>
      <c r="D394" t="s">
        <v>17</v>
      </c>
      <c r="E394" t="s">
        <v>54</v>
      </c>
      <c r="F394" t="s">
        <v>769</v>
      </c>
      <c r="G394">
        <v>644592607</v>
      </c>
      <c r="H394" t="s">
        <v>770</v>
      </c>
      <c r="I394">
        <v>8131</v>
      </c>
      <c r="J394">
        <v>651.21</v>
      </c>
      <c r="K394">
        <v>524.96</v>
      </c>
      <c r="L394">
        <v>5294988.51</v>
      </c>
      <c r="M394">
        <v>4268449.76</v>
      </c>
      <c r="N394">
        <v>1026538.75</v>
      </c>
    </row>
    <row r="395" spans="1:14" x14ac:dyDescent="0.3">
      <c r="A395" t="s">
        <v>14</v>
      </c>
      <c r="B395" t="s">
        <v>146</v>
      </c>
      <c r="C395" t="s">
        <v>37</v>
      </c>
      <c r="D395" t="s">
        <v>23</v>
      </c>
      <c r="E395" t="s">
        <v>54</v>
      </c>
      <c r="F395" t="s">
        <v>771</v>
      </c>
      <c r="G395">
        <v>598404109</v>
      </c>
      <c r="H395" t="s">
        <v>772</v>
      </c>
      <c r="I395">
        <v>9929</v>
      </c>
      <c r="J395">
        <v>9.33</v>
      </c>
      <c r="K395">
        <v>6.92</v>
      </c>
      <c r="L395">
        <v>92637.57</v>
      </c>
      <c r="M395">
        <v>68708.679999999993</v>
      </c>
      <c r="N395">
        <v>23928.89</v>
      </c>
    </row>
    <row r="396" spans="1:14" x14ac:dyDescent="0.3">
      <c r="A396" t="s">
        <v>14</v>
      </c>
      <c r="B396" t="s">
        <v>15</v>
      </c>
      <c r="C396" t="s">
        <v>102</v>
      </c>
      <c r="D396" t="s">
        <v>23</v>
      </c>
      <c r="E396" t="s">
        <v>18</v>
      </c>
      <c r="F396" t="s">
        <v>773</v>
      </c>
      <c r="G396">
        <v>577530944</v>
      </c>
      <c r="H396" t="s">
        <v>774</v>
      </c>
      <c r="I396">
        <v>3095</v>
      </c>
      <c r="J396">
        <v>81.73</v>
      </c>
      <c r="K396">
        <v>56.67</v>
      </c>
      <c r="L396">
        <v>252954.35</v>
      </c>
      <c r="M396">
        <v>175393.65</v>
      </c>
      <c r="N396">
        <v>77560.7</v>
      </c>
    </row>
    <row r="397" spans="1:14" x14ac:dyDescent="0.3">
      <c r="A397" t="s">
        <v>14</v>
      </c>
      <c r="B397" t="s">
        <v>53</v>
      </c>
      <c r="C397" t="s">
        <v>37</v>
      </c>
      <c r="D397" t="s">
        <v>17</v>
      </c>
      <c r="E397" t="s">
        <v>54</v>
      </c>
      <c r="F397" t="s">
        <v>775</v>
      </c>
      <c r="G397">
        <v>182078921</v>
      </c>
      <c r="H397" t="s">
        <v>776</v>
      </c>
      <c r="I397">
        <v>54</v>
      </c>
      <c r="J397">
        <v>9.33</v>
      </c>
      <c r="K397">
        <v>6.92</v>
      </c>
      <c r="L397">
        <v>503.82</v>
      </c>
      <c r="M397">
        <v>373.68</v>
      </c>
      <c r="N397">
        <v>130.13999999999999</v>
      </c>
    </row>
    <row r="398" spans="1:14" x14ac:dyDescent="0.3">
      <c r="A398" t="s">
        <v>14</v>
      </c>
      <c r="B398" t="s">
        <v>83</v>
      </c>
      <c r="C398" t="s">
        <v>64</v>
      </c>
      <c r="D398" t="s">
        <v>23</v>
      </c>
      <c r="E398" t="s">
        <v>54</v>
      </c>
      <c r="F398" t="s">
        <v>330</v>
      </c>
      <c r="G398">
        <v>302015721</v>
      </c>
      <c r="H398" t="s">
        <v>777</v>
      </c>
      <c r="I398">
        <v>2018</v>
      </c>
      <c r="J398">
        <v>255.28</v>
      </c>
      <c r="K398">
        <v>159.41999999999999</v>
      </c>
      <c r="L398">
        <v>515155.04</v>
      </c>
      <c r="M398">
        <v>321709.56</v>
      </c>
      <c r="N398">
        <v>193445.48</v>
      </c>
    </row>
    <row r="399" spans="1:14" x14ac:dyDescent="0.3">
      <c r="A399" t="s">
        <v>14</v>
      </c>
      <c r="B399" t="s">
        <v>80</v>
      </c>
      <c r="C399" t="s">
        <v>22</v>
      </c>
      <c r="D399" t="s">
        <v>17</v>
      </c>
      <c r="E399" t="s">
        <v>24</v>
      </c>
      <c r="F399" t="s">
        <v>778</v>
      </c>
      <c r="G399">
        <v>233709084</v>
      </c>
      <c r="H399" t="s">
        <v>752</v>
      </c>
      <c r="I399">
        <v>8566</v>
      </c>
      <c r="J399">
        <v>109.28</v>
      </c>
      <c r="K399">
        <v>35.840000000000003</v>
      </c>
      <c r="L399">
        <v>936092.48</v>
      </c>
      <c r="M399">
        <v>307005.44</v>
      </c>
      <c r="N399">
        <v>629087.04</v>
      </c>
    </row>
    <row r="400" spans="1:14" x14ac:dyDescent="0.3">
      <c r="A400" t="s">
        <v>14</v>
      </c>
      <c r="B400" t="s">
        <v>36</v>
      </c>
      <c r="C400" t="s">
        <v>50</v>
      </c>
      <c r="D400" t="s">
        <v>17</v>
      </c>
      <c r="E400" t="s">
        <v>24</v>
      </c>
      <c r="F400" t="s">
        <v>779</v>
      </c>
      <c r="G400">
        <v>966800153</v>
      </c>
      <c r="H400" t="s">
        <v>780</v>
      </c>
      <c r="I400">
        <v>6505</v>
      </c>
      <c r="J400">
        <v>421.89</v>
      </c>
      <c r="K400">
        <v>364.69</v>
      </c>
      <c r="L400">
        <v>2744394.45</v>
      </c>
      <c r="M400">
        <v>2372308.4500000002</v>
      </c>
      <c r="N400">
        <v>372086</v>
      </c>
    </row>
    <row r="401" spans="1:14" x14ac:dyDescent="0.3">
      <c r="A401" t="s">
        <v>14</v>
      </c>
      <c r="B401" t="s">
        <v>31</v>
      </c>
      <c r="C401" t="s">
        <v>22</v>
      </c>
      <c r="D401" t="s">
        <v>23</v>
      </c>
      <c r="E401" t="s">
        <v>54</v>
      </c>
      <c r="F401" t="s">
        <v>558</v>
      </c>
      <c r="G401">
        <v>380498874</v>
      </c>
      <c r="H401" t="s">
        <v>781</v>
      </c>
      <c r="I401">
        <v>6927</v>
      </c>
      <c r="J401">
        <v>109.28</v>
      </c>
      <c r="K401">
        <v>35.840000000000003</v>
      </c>
      <c r="L401">
        <v>756982.56</v>
      </c>
      <c r="M401">
        <v>248263.67999999999</v>
      </c>
      <c r="N401">
        <v>508718.88</v>
      </c>
    </row>
    <row r="402" spans="1:14" x14ac:dyDescent="0.3">
      <c r="A402" t="s">
        <v>14</v>
      </c>
      <c r="B402" t="s">
        <v>45</v>
      </c>
      <c r="C402" t="s">
        <v>102</v>
      </c>
      <c r="D402" t="s">
        <v>17</v>
      </c>
      <c r="E402" t="s">
        <v>24</v>
      </c>
      <c r="F402" t="s">
        <v>782</v>
      </c>
      <c r="G402">
        <v>595385873</v>
      </c>
      <c r="H402" t="s">
        <v>354</v>
      </c>
      <c r="I402">
        <v>6765</v>
      </c>
      <c r="J402">
        <v>81.73</v>
      </c>
      <c r="K402">
        <v>56.67</v>
      </c>
      <c r="L402">
        <v>552903.44999999995</v>
      </c>
      <c r="M402">
        <v>383372.55</v>
      </c>
      <c r="N402">
        <v>169530.9</v>
      </c>
    </row>
    <row r="403" spans="1:14" x14ac:dyDescent="0.3">
      <c r="A403" t="s">
        <v>14</v>
      </c>
      <c r="B403" t="s">
        <v>45</v>
      </c>
      <c r="C403" t="s">
        <v>28</v>
      </c>
      <c r="D403" t="s">
        <v>23</v>
      </c>
      <c r="E403" t="s">
        <v>33</v>
      </c>
      <c r="F403" t="s">
        <v>328</v>
      </c>
      <c r="G403">
        <v>361659038</v>
      </c>
      <c r="H403" t="s">
        <v>783</v>
      </c>
      <c r="I403">
        <v>1801</v>
      </c>
      <c r="J403">
        <v>205.7</v>
      </c>
      <c r="K403">
        <v>117.11</v>
      </c>
      <c r="L403">
        <v>370465.7</v>
      </c>
      <c r="M403">
        <v>210915.11</v>
      </c>
      <c r="N403">
        <v>159550.59</v>
      </c>
    </row>
    <row r="404" spans="1:14" x14ac:dyDescent="0.3">
      <c r="A404" t="s">
        <v>14</v>
      </c>
      <c r="B404" t="s">
        <v>132</v>
      </c>
      <c r="C404" t="s">
        <v>64</v>
      </c>
      <c r="D404" t="s">
        <v>23</v>
      </c>
      <c r="E404" t="s">
        <v>33</v>
      </c>
      <c r="F404" t="s">
        <v>784</v>
      </c>
      <c r="G404">
        <v>328721082</v>
      </c>
      <c r="H404" t="s">
        <v>785</v>
      </c>
      <c r="I404">
        <v>4728</v>
      </c>
      <c r="J404">
        <v>255.28</v>
      </c>
      <c r="K404">
        <v>159.41999999999999</v>
      </c>
      <c r="L404">
        <v>1206963.8400000001</v>
      </c>
      <c r="M404">
        <v>753737.76</v>
      </c>
      <c r="N404">
        <v>453226.08</v>
      </c>
    </row>
    <row r="405" spans="1:14" x14ac:dyDescent="0.3">
      <c r="A405" t="s">
        <v>14</v>
      </c>
      <c r="B405" t="s">
        <v>127</v>
      </c>
      <c r="C405" t="s">
        <v>22</v>
      </c>
      <c r="D405" t="s">
        <v>17</v>
      </c>
      <c r="E405" t="s">
        <v>54</v>
      </c>
      <c r="F405" t="s">
        <v>786</v>
      </c>
      <c r="G405">
        <v>184120833</v>
      </c>
      <c r="H405" t="s">
        <v>787</v>
      </c>
      <c r="I405">
        <v>4301</v>
      </c>
      <c r="J405">
        <v>109.28</v>
      </c>
      <c r="K405">
        <v>35.840000000000003</v>
      </c>
      <c r="L405">
        <v>470013.28</v>
      </c>
      <c r="M405">
        <v>154147.84</v>
      </c>
      <c r="N405">
        <v>315865.44</v>
      </c>
    </row>
    <row r="406" spans="1:14" x14ac:dyDescent="0.3">
      <c r="A406" t="s">
        <v>14</v>
      </c>
      <c r="B406" t="s">
        <v>92</v>
      </c>
      <c r="C406" t="s">
        <v>46</v>
      </c>
      <c r="D406" t="s">
        <v>17</v>
      </c>
      <c r="E406" t="s">
        <v>54</v>
      </c>
      <c r="F406" t="s">
        <v>507</v>
      </c>
      <c r="G406">
        <v>933720576</v>
      </c>
      <c r="H406" t="s">
        <v>788</v>
      </c>
      <c r="I406">
        <v>7523</v>
      </c>
      <c r="J406">
        <v>154.06</v>
      </c>
      <c r="K406">
        <v>90.93</v>
      </c>
      <c r="L406">
        <v>1158993.3799999999</v>
      </c>
      <c r="M406">
        <v>684066.39</v>
      </c>
      <c r="N406">
        <v>474926.99</v>
      </c>
    </row>
    <row r="407" spans="1:14" x14ac:dyDescent="0.3">
      <c r="A407" t="s">
        <v>14</v>
      </c>
      <c r="B407" t="s">
        <v>80</v>
      </c>
      <c r="C407" t="s">
        <v>75</v>
      </c>
      <c r="D407" t="s">
        <v>23</v>
      </c>
      <c r="E407" t="s">
        <v>54</v>
      </c>
      <c r="F407" t="s">
        <v>556</v>
      </c>
      <c r="G407">
        <v>765101468</v>
      </c>
      <c r="H407" t="s">
        <v>789</v>
      </c>
      <c r="I407">
        <v>9382</v>
      </c>
      <c r="J407">
        <v>437.2</v>
      </c>
      <c r="K407">
        <v>263.33</v>
      </c>
      <c r="L407">
        <v>4101810.4</v>
      </c>
      <c r="M407">
        <v>2470562.06</v>
      </c>
      <c r="N407">
        <v>1631248.34</v>
      </c>
    </row>
    <row r="408" spans="1:14" x14ac:dyDescent="0.3">
      <c r="A408" t="s">
        <v>14</v>
      </c>
      <c r="B408" t="s">
        <v>122</v>
      </c>
      <c r="C408" t="s">
        <v>71</v>
      </c>
      <c r="D408" t="s">
        <v>17</v>
      </c>
      <c r="E408" t="s">
        <v>24</v>
      </c>
      <c r="F408" t="s">
        <v>84</v>
      </c>
      <c r="G408">
        <v>516460692</v>
      </c>
      <c r="H408" t="s">
        <v>790</v>
      </c>
      <c r="I408">
        <v>1051</v>
      </c>
      <c r="J408">
        <v>668.27</v>
      </c>
      <c r="K408">
        <v>502.54</v>
      </c>
      <c r="L408">
        <v>702351.77</v>
      </c>
      <c r="M408">
        <v>528169.54</v>
      </c>
      <c r="N408">
        <v>174182.23</v>
      </c>
    </row>
    <row r="409" spans="1:14" x14ac:dyDescent="0.3">
      <c r="A409" t="s">
        <v>14</v>
      </c>
      <c r="B409" t="s">
        <v>74</v>
      </c>
      <c r="C409" t="s">
        <v>50</v>
      </c>
      <c r="D409" t="s">
        <v>17</v>
      </c>
      <c r="E409" t="s">
        <v>54</v>
      </c>
      <c r="F409" t="s">
        <v>709</v>
      </c>
      <c r="G409">
        <v>783594977</v>
      </c>
      <c r="H409" t="s">
        <v>654</v>
      </c>
      <c r="I409">
        <v>2022</v>
      </c>
      <c r="J409">
        <v>421.89</v>
      </c>
      <c r="K409">
        <v>364.69</v>
      </c>
      <c r="L409">
        <v>853061.58</v>
      </c>
      <c r="M409">
        <v>737403.18</v>
      </c>
      <c r="N409">
        <v>115658.4</v>
      </c>
    </row>
    <row r="410" spans="1:14" x14ac:dyDescent="0.3">
      <c r="A410" t="s">
        <v>14</v>
      </c>
      <c r="B410" t="s">
        <v>342</v>
      </c>
      <c r="C410" t="s">
        <v>58</v>
      </c>
      <c r="D410" t="s">
        <v>23</v>
      </c>
      <c r="E410" t="s">
        <v>33</v>
      </c>
      <c r="F410" t="s">
        <v>791</v>
      </c>
      <c r="G410">
        <v>406270396</v>
      </c>
      <c r="H410" t="s">
        <v>792</v>
      </c>
      <c r="I410">
        <v>3293</v>
      </c>
      <c r="J410">
        <v>152.58000000000001</v>
      </c>
      <c r="K410">
        <v>97.44</v>
      </c>
      <c r="L410">
        <v>502445.94</v>
      </c>
      <c r="M410">
        <v>320869.92</v>
      </c>
      <c r="N410">
        <v>181576.02</v>
      </c>
    </row>
    <row r="411" spans="1:14" x14ac:dyDescent="0.3">
      <c r="A411" t="s">
        <v>14</v>
      </c>
      <c r="B411" t="s">
        <v>132</v>
      </c>
      <c r="C411" t="s">
        <v>46</v>
      </c>
      <c r="D411" t="s">
        <v>23</v>
      </c>
      <c r="E411" t="s">
        <v>33</v>
      </c>
      <c r="F411" t="s">
        <v>593</v>
      </c>
      <c r="G411">
        <v>805095136</v>
      </c>
      <c r="H411" t="s">
        <v>793</v>
      </c>
      <c r="I411">
        <v>4396</v>
      </c>
      <c r="J411">
        <v>154.06</v>
      </c>
      <c r="K411">
        <v>90.93</v>
      </c>
      <c r="L411">
        <v>677247.76</v>
      </c>
      <c r="M411">
        <v>399728.28</v>
      </c>
      <c r="N411">
        <v>277519.48</v>
      </c>
    </row>
    <row r="412" spans="1:14" x14ac:dyDescent="0.3">
      <c r="A412" t="s">
        <v>14</v>
      </c>
      <c r="B412" t="s">
        <v>94</v>
      </c>
      <c r="C412" t="s">
        <v>28</v>
      </c>
      <c r="D412" t="s">
        <v>23</v>
      </c>
      <c r="E412" t="s">
        <v>24</v>
      </c>
      <c r="F412" t="s">
        <v>794</v>
      </c>
      <c r="G412">
        <v>985417258</v>
      </c>
      <c r="H412" t="s">
        <v>499</v>
      </c>
      <c r="I412">
        <v>5720</v>
      </c>
      <c r="J412">
        <v>205.7</v>
      </c>
      <c r="K412">
        <v>117.11</v>
      </c>
      <c r="L412">
        <v>1176604</v>
      </c>
      <c r="M412">
        <v>669869.19999999995</v>
      </c>
      <c r="N412">
        <v>506734.8</v>
      </c>
    </row>
    <row r="413" spans="1:14" x14ac:dyDescent="0.3">
      <c r="A413" t="s">
        <v>14</v>
      </c>
      <c r="B413" t="s">
        <v>83</v>
      </c>
      <c r="C413" t="s">
        <v>28</v>
      </c>
      <c r="D413" t="s">
        <v>17</v>
      </c>
      <c r="E413" t="s">
        <v>24</v>
      </c>
      <c r="F413" t="s">
        <v>795</v>
      </c>
      <c r="G413">
        <v>443125665</v>
      </c>
      <c r="H413" t="s">
        <v>796</v>
      </c>
      <c r="I413">
        <v>9586</v>
      </c>
      <c r="J413">
        <v>205.7</v>
      </c>
      <c r="K413">
        <v>117.11</v>
      </c>
      <c r="L413">
        <v>1971840.2</v>
      </c>
      <c r="M413">
        <v>1122616.46</v>
      </c>
      <c r="N413">
        <v>849223.74</v>
      </c>
    </row>
    <row r="414" spans="1:14" x14ac:dyDescent="0.3">
      <c r="A414" t="s">
        <v>14</v>
      </c>
      <c r="B414" t="s">
        <v>57</v>
      </c>
      <c r="C414" t="s">
        <v>16</v>
      </c>
      <c r="D414" t="s">
        <v>23</v>
      </c>
      <c r="E414" t="s">
        <v>33</v>
      </c>
      <c r="F414" t="s">
        <v>797</v>
      </c>
      <c r="G414">
        <v>931477820</v>
      </c>
      <c r="H414" t="s">
        <v>145</v>
      </c>
      <c r="I414">
        <v>3841</v>
      </c>
      <c r="J414">
        <v>47.45</v>
      </c>
      <c r="K414">
        <v>31.79</v>
      </c>
      <c r="L414">
        <v>182255.45</v>
      </c>
      <c r="M414">
        <v>122105.39</v>
      </c>
      <c r="N414">
        <v>60150.06</v>
      </c>
    </row>
    <row r="415" spans="1:14" x14ac:dyDescent="0.3">
      <c r="A415" t="s">
        <v>14</v>
      </c>
      <c r="B415" t="s">
        <v>94</v>
      </c>
      <c r="C415" t="s">
        <v>102</v>
      </c>
      <c r="D415" t="s">
        <v>17</v>
      </c>
      <c r="E415" t="s">
        <v>54</v>
      </c>
      <c r="F415" t="s">
        <v>798</v>
      </c>
      <c r="G415">
        <v>387098824</v>
      </c>
      <c r="H415" t="s">
        <v>601</v>
      </c>
      <c r="I415">
        <v>9999</v>
      </c>
      <c r="J415">
        <v>81.73</v>
      </c>
      <c r="K415">
        <v>56.67</v>
      </c>
      <c r="L415">
        <v>817218.27</v>
      </c>
      <c r="M415">
        <v>566643.32999999996</v>
      </c>
      <c r="N415">
        <v>250574.94</v>
      </c>
    </row>
    <row r="416" spans="1:14" x14ac:dyDescent="0.3">
      <c r="A416" t="s">
        <v>14</v>
      </c>
      <c r="B416" t="s">
        <v>127</v>
      </c>
      <c r="C416" t="s">
        <v>50</v>
      </c>
      <c r="D416" t="s">
        <v>17</v>
      </c>
      <c r="E416" t="s">
        <v>24</v>
      </c>
      <c r="F416" t="s">
        <v>799</v>
      </c>
      <c r="G416">
        <v>595922315</v>
      </c>
      <c r="H416" t="s">
        <v>800</v>
      </c>
      <c r="I416">
        <v>5510</v>
      </c>
      <c r="J416">
        <v>421.89</v>
      </c>
      <c r="K416">
        <v>364.69</v>
      </c>
      <c r="L416">
        <v>2324613.9</v>
      </c>
      <c r="M416">
        <v>2009441.9</v>
      </c>
      <c r="N416">
        <v>315172</v>
      </c>
    </row>
    <row r="417" spans="1:14" x14ac:dyDescent="0.3">
      <c r="A417" t="s">
        <v>14</v>
      </c>
      <c r="B417" t="s">
        <v>243</v>
      </c>
      <c r="C417" t="s">
        <v>32</v>
      </c>
      <c r="D417" t="s">
        <v>23</v>
      </c>
      <c r="E417" t="s">
        <v>24</v>
      </c>
      <c r="F417" t="s">
        <v>801</v>
      </c>
      <c r="G417">
        <v>653909957</v>
      </c>
      <c r="H417" t="s">
        <v>802</v>
      </c>
      <c r="I417">
        <v>5342</v>
      </c>
      <c r="J417">
        <v>651.21</v>
      </c>
      <c r="K417">
        <v>524.96</v>
      </c>
      <c r="L417">
        <v>3478763.82</v>
      </c>
      <c r="M417">
        <v>2804336.32</v>
      </c>
      <c r="N417">
        <v>674427.5</v>
      </c>
    </row>
    <row r="418" spans="1:14" x14ac:dyDescent="0.3">
      <c r="A418" t="s">
        <v>14</v>
      </c>
      <c r="B418" t="s">
        <v>83</v>
      </c>
      <c r="C418" t="s">
        <v>16</v>
      </c>
      <c r="D418" t="s">
        <v>17</v>
      </c>
      <c r="E418" t="s">
        <v>54</v>
      </c>
      <c r="F418" t="s">
        <v>803</v>
      </c>
      <c r="G418">
        <v>103435266</v>
      </c>
      <c r="H418" t="s">
        <v>804</v>
      </c>
      <c r="I418">
        <v>7648</v>
      </c>
      <c r="J418">
        <v>47.45</v>
      </c>
      <c r="K418">
        <v>31.79</v>
      </c>
      <c r="L418">
        <v>362897.6</v>
      </c>
      <c r="M418">
        <v>243129.92</v>
      </c>
      <c r="N418">
        <v>119767.67999999999</v>
      </c>
    </row>
    <row r="419" spans="1:14" x14ac:dyDescent="0.3">
      <c r="A419" t="s">
        <v>14</v>
      </c>
      <c r="B419" t="s">
        <v>169</v>
      </c>
      <c r="C419" t="s">
        <v>50</v>
      </c>
      <c r="D419" t="s">
        <v>17</v>
      </c>
      <c r="E419" t="s">
        <v>33</v>
      </c>
      <c r="F419" t="s">
        <v>805</v>
      </c>
      <c r="G419">
        <v>863202941</v>
      </c>
      <c r="H419" t="s">
        <v>806</v>
      </c>
      <c r="I419">
        <v>9787</v>
      </c>
      <c r="J419">
        <v>421.89</v>
      </c>
      <c r="K419">
        <v>364.69</v>
      </c>
      <c r="L419">
        <v>4129037.43</v>
      </c>
      <c r="M419">
        <v>3569221.03</v>
      </c>
      <c r="N419">
        <v>559816.4</v>
      </c>
    </row>
    <row r="420" spans="1:14" x14ac:dyDescent="0.3">
      <c r="A420" t="s">
        <v>14</v>
      </c>
      <c r="B420" t="s">
        <v>105</v>
      </c>
      <c r="C420" t="s">
        <v>22</v>
      </c>
      <c r="D420" t="s">
        <v>17</v>
      </c>
      <c r="E420" t="s">
        <v>24</v>
      </c>
      <c r="F420" t="s">
        <v>366</v>
      </c>
      <c r="G420">
        <v>396552217</v>
      </c>
      <c r="H420" t="s">
        <v>558</v>
      </c>
      <c r="I420">
        <v>7468</v>
      </c>
      <c r="J420">
        <v>109.28</v>
      </c>
      <c r="K420">
        <v>35.840000000000003</v>
      </c>
      <c r="L420">
        <v>816103.04</v>
      </c>
      <c r="M420">
        <v>267653.12</v>
      </c>
      <c r="N420">
        <v>548449.92000000004</v>
      </c>
    </row>
    <row r="421" spans="1:14" x14ac:dyDescent="0.3">
      <c r="A421" t="s">
        <v>14</v>
      </c>
      <c r="B421" t="s">
        <v>94</v>
      </c>
      <c r="C421" t="s">
        <v>75</v>
      </c>
      <c r="D421" t="s">
        <v>17</v>
      </c>
      <c r="E421" t="s">
        <v>24</v>
      </c>
      <c r="F421" t="s">
        <v>807</v>
      </c>
      <c r="G421">
        <v>801352488</v>
      </c>
      <c r="H421" t="s">
        <v>808</v>
      </c>
      <c r="I421">
        <v>6864</v>
      </c>
      <c r="J421">
        <v>437.2</v>
      </c>
      <c r="K421">
        <v>263.33</v>
      </c>
      <c r="L421">
        <v>3000940.8</v>
      </c>
      <c r="M421">
        <v>1807497.12</v>
      </c>
      <c r="N421">
        <v>1193443.68</v>
      </c>
    </row>
    <row r="422" spans="1:14" x14ac:dyDescent="0.3">
      <c r="A422" t="s">
        <v>14</v>
      </c>
      <c r="B422" t="s">
        <v>45</v>
      </c>
      <c r="C422" t="s">
        <v>37</v>
      </c>
      <c r="D422" t="s">
        <v>23</v>
      </c>
      <c r="E422" t="s">
        <v>54</v>
      </c>
      <c r="F422" t="s">
        <v>809</v>
      </c>
      <c r="G422">
        <v>479234206</v>
      </c>
      <c r="H422" t="s">
        <v>168</v>
      </c>
      <c r="I422">
        <v>4906</v>
      </c>
      <c r="J422">
        <v>9.33</v>
      </c>
      <c r="K422">
        <v>6.92</v>
      </c>
      <c r="L422">
        <v>45772.98</v>
      </c>
      <c r="M422">
        <v>33949.519999999997</v>
      </c>
      <c r="N422">
        <v>11823.46</v>
      </c>
    </row>
    <row r="423" spans="1:14" x14ac:dyDescent="0.3">
      <c r="A423" t="s">
        <v>14</v>
      </c>
      <c r="B423" t="s">
        <v>342</v>
      </c>
      <c r="C423" t="s">
        <v>50</v>
      </c>
      <c r="D423" t="s">
        <v>17</v>
      </c>
      <c r="E423" t="s">
        <v>24</v>
      </c>
      <c r="F423" t="s">
        <v>255</v>
      </c>
      <c r="G423">
        <v>627003753</v>
      </c>
      <c r="H423" t="s">
        <v>222</v>
      </c>
      <c r="I423">
        <v>3199</v>
      </c>
      <c r="J423">
        <v>421.89</v>
      </c>
      <c r="K423">
        <v>364.69</v>
      </c>
      <c r="L423">
        <v>1349626.11</v>
      </c>
      <c r="M423">
        <v>1166643.31</v>
      </c>
      <c r="N423">
        <v>182982.8</v>
      </c>
    </row>
    <row r="424" spans="1:14" x14ac:dyDescent="0.3">
      <c r="A424" t="s">
        <v>14</v>
      </c>
      <c r="B424" t="s">
        <v>163</v>
      </c>
      <c r="C424" t="s">
        <v>37</v>
      </c>
      <c r="D424" t="s">
        <v>17</v>
      </c>
      <c r="E424" t="s">
        <v>18</v>
      </c>
      <c r="F424" t="s">
        <v>657</v>
      </c>
      <c r="G424">
        <v>393709933</v>
      </c>
      <c r="H424" t="s">
        <v>709</v>
      </c>
      <c r="I424">
        <v>6373</v>
      </c>
      <c r="J424">
        <v>9.33</v>
      </c>
      <c r="K424">
        <v>6.92</v>
      </c>
      <c r="L424">
        <v>59460.09</v>
      </c>
      <c r="M424">
        <v>44101.16</v>
      </c>
      <c r="N424">
        <v>15358.93</v>
      </c>
    </row>
    <row r="425" spans="1:14" x14ac:dyDescent="0.3">
      <c r="A425" t="s">
        <v>14</v>
      </c>
      <c r="B425" t="s">
        <v>80</v>
      </c>
      <c r="C425" t="s">
        <v>16</v>
      </c>
      <c r="D425" t="s">
        <v>17</v>
      </c>
      <c r="E425" t="s">
        <v>33</v>
      </c>
      <c r="F425" t="s">
        <v>810</v>
      </c>
      <c r="G425">
        <v>136624276</v>
      </c>
      <c r="H425" t="s">
        <v>811</v>
      </c>
      <c r="I425">
        <v>9014</v>
      </c>
      <c r="J425">
        <v>47.45</v>
      </c>
      <c r="K425">
        <v>31.79</v>
      </c>
      <c r="L425">
        <v>427714.3</v>
      </c>
      <c r="M425">
        <v>286555.06</v>
      </c>
      <c r="N425">
        <v>141159.24</v>
      </c>
    </row>
    <row r="426" spans="1:14" x14ac:dyDescent="0.3">
      <c r="A426" t="s">
        <v>14</v>
      </c>
      <c r="B426" t="s">
        <v>94</v>
      </c>
      <c r="C426" t="s">
        <v>22</v>
      </c>
      <c r="D426" t="s">
        <v>23</v>
      </c>
      <c r="E426" t="s">
        <v>33</v>
      </c>
      <c r="F426" t="s">
        <v>812</v>
      </c>
      <c r="G426">
        <v>251823222</v>
      </c>
      <c r="H426" t="s">
        <v>813</v>
      </c>
      <c r="I426">
        <v>8942</v>
      </c>
      <c r="J426">
        <v>109.28</v>
      </c>
      <c r="K426">
        <v>35.840000000000003</v>
      </c>
      <c r="L426">
        <v>977181.76</v>
      </c>
      <c r="M426">
        <v>320481.28000000003</v>
      </c>
      <c r="N426">
        <v>656700.48</v>
      </c>
    </row>
    <row r="427" spans="1:14" x14ac:dyDescent="0.3">
      <c r="A427" t="s">
        <v>14</v>
      </c>
      <c r="B427" t="s">
        <v>181</v>
      </c>
      <c r="C427" t="s">
        <v>64</v>
      </c>
      <c r="D427" t="s">
        <v>17</v>
      </c>
      <c r="E427" t="s">
        <v>54</v>
      </c>
      <c r="F427" t="s">
        <v>814</v>
      </c>
      <c r="G427">
        <v>200354850</v>
      </c>
      <c r="H427" t="s">
        <v>63</v>
      </c>
      <c r="I427">
        <v>8307</v>
      </c>
      <c r="J427">
        <v>255.28</v>
      </c>
      <c r="K427">
        <v>159.41999999999999</v>
      </c>
      <c r="L427">
        <v>2120610.96</v>
      </c>
      <c r="M427">
        <v>1324301.94</v>
      </c>
      <c r="N427">
        <v>796309.02</v>
      </c>
    </row>
    <row r="428" spans="1:14" x14ac:dyDescent="0.3">
      <c r="A428" t="s">
        <v>14</v>
      </c>
      <c r="B428" t="s">
        <v>196</v>
      </c>
      <c r="C428" t="s">
        <v>50</v>
      </c>
      <c r="D428" t="s">
        <v>17</v>
      </c>
      <c r="E428" t="s">
        <v>54</v>
      </c>
      <c r="F428" t="s">
        <v>815</v>
      </c>
      <c r="G428">
        <v>692757356</v>
      </c>
      <c r="H428" t="s">
        <v>816</v>
      </c>
      <c r="I428">
        <v>1151</v>
      </c>
      <c r="J428">
        <v>421.89</v>
      </c>
      <c r="K428">
        <v>364.69</v>
      </c>
      <c r="L428">
        <v>485595.39</v>
      </c>
      <c r="M428">
        <v>419758.19</v>
      </c>
      <c r="N428">
        <v>65837.2</v>
      </c>
    </row>
    <row r="429" spans="1:14" x14ac:dyDescent="0.3">
      <c r="A429" t="s">
        <v>14</v>
      </c>
      <c r="B429" t="s">
        <v>92</v>
      </c>
      <c r="C429" t="s">
        <v>64</v>
      </c>
      <c r="D429" t="s">
        <v>17</v>
      </c>
      <c r="E429" t="s">
        <v>33</v>
      </c>
      <c r="F429" t="s">
        <v>817</v>
      </c>
      <c r="G429">
        <v>651895511</v>
      </c>
      <c r="H429" t="s">
        <v>149</v>
      </c>
      <c r="I429">
        <v>9223</v>
      </c>
      <c r="J429">
        <v>255.28</v>
      </c>
      <c r="K429">
        <v>159.41999999999999</v>
      </c>
      <c r="L429">
        <v>2354447.44</v>
      </c>
      <c r="M429">
        <v>1470330.66</v>
      </c>
      <c r="N429">
        <v>884116.78</v>
      </c>
    </row>
    <row r="430" spans="1:14" x14ac:dyDescent="0.3">
      <c r="A430" t="s">
        <v>14</v>
      </c>
      <c r="B430" t="s">
        <v>138</v>
      </c>
      <c r="C430" t="s">
        <v>22</v>
      </c>
      <c r="D430" t="s">
        <v>17</v>
      </c>
      <c r="E430" t="s">
        <v>18</v>
      </c>
      <c r="F430" t="s">
        <v>129</v>
      </c>
      <c r="G430">
        <v>156158483</v>
      </c>
      <c r="H430" t="s">
        <v>818</v>
      </c>
      <c r="I430">
        <v>9620</v>
      </c>
      <c r="J430">
        <v>109.28</v>
      </c>
      <c r="K430">
        <v>35.840000000000003</v>
      </c>
      <c r="L430">
        <v>1051273.6000000001</v>
      </c>
      <c r="M430">
        <v>344780.79999999999</v>
      </c>
      <c r="N430">
        <v>706492.8</v>
      </c>
    </row>
    <row r="431" spans="1:14" x14ac:dyDescent="0.3">
      <c r="A431" t="s">
        <v>14</v>
      </c>
      <c r="B431" t="s">
        <v>83</v>
      </c>
      <c r="C431" t="s">
        <v>58</v>
      </c>
      <c r="D431" t="s">
        <v>17</v>
      </c>
      <c r="E431" t="s">
        <v>18</v>
      </c>
      <c r="F431" t="s">
        <v>819</v>
      </c>
      <c r="G431">
        <v>703966844</v>
      </c>
      <c r="H431" t="s">
        <v>820</v>
      </c>
      <c r="I431">
        <v>8288</v>
      </c>
      <c r="J431">
        <v>152.58000000000001</v>
      </c>
      <c r="K431">
        <v>97.44</v>
      </c>
      <c r="L431">
        <v>1264583.04</v>
      </c>
      <c r="M431">
        <v>807582.71999999997</v>
      </c>
      <c r="N431">
        <v>457000.32</v>
      </c>
    </row>
    <row r="432" spans="1:14" x14ac:dyDescent="0.3">
      <c r="A432" t="s">
        <v>14</v>
      </c>
      <c r="B432" t="s">
        <v>97</v>
      </c>
      <c r="C432" t="s">
        <v>71</v>
      </c>
      <c r="D432" t="s">
        <v>17</v>
      </c>
      <c r="E432" t="s">
        <v>33</v>
      </c>
      <c r="F432" t="s">
        <v>821</v>
      </c>
      <c r="G432">
        <v>736240041</v>
      </c>
      <c r="H432" t="s">
        <v>822</v>
      </c>
      <c r="I432">
        <v>8644</v>
      </c>
      <c r="J432">
        <v>668.27</v>
      </c>
      <c r="K432">
        <v>502.54</v>
      </c>
      <c r="L432">
        <v>5776525.8799999999</v>
      </c>
      <c r="M432">
        <v>4343955.76</v>
      </c>
      <c r="N432">
        <v>1432570.12</v>
      </c>
    </row>
    <row r="433" spans="1:14" x14ac:dyDescent="0.3">
      <c r="A433" t="s">
        <v>14</v>
      </c>
      <c r="B433" t="s">
        <v>40</v>
      </c>
      <c r="C433" t="s">
        <v>75</v>
      </c>
      <c r="D433" t="s">
        <v>23</v>
      </c>
      <c r="E433" t="s">
        <v>18</v>
      </c>
      <c r="F433" t="s">
        <v>823</v>
      </c>
      <c r="G433">
        <v>357434880</v>
      </c>
      <c r="H433" t="s">
        <v>824</v>
      </c>
      <c r="I433">
        <v>1779</v>
      </c>
      <c r="J433">
        <v>437.2</v>
      </c>
      <c r="K433">
        <v>263.33</v>
      </c>
      <c r="L433">
        <v>777778.8</v>
      </c>
      <c r="M433">
        <v>468464.07</v>
      </c>
      <c r="N433">
        <v>309314.73</v>
      </c>
    </row>
    <row r="434" spans="1:14" x14ac:dyDescent="0.3">
      <c r="A434" t="s">
        <v>14</v>
      </c>
      <c r="B434" t="s">
        <v>70</v>
      </c>
      <c r="C434" t="s">
        <v>22</v>
      </c>
      <c r="D434" t="s">
        <v>17</v>
      </c>
      <c r="E434" t="s">
        <v>54</v>
      </c>
      <c r="F434" t="s">
        <v>825</v>
      </c>
      <c r="G434">
        <v>358624064</v>
      </c>
      <c r="H434" t="s">
        <v>826</v>
      </c>
      <c r="I434">
        <v>3685</v>
      </c>
      <c r="J434">
        <v>109.28</v>
      </c>
      <c r="K434">
        <v>35.840000000000003</v>
      </c>
      <c r="L434">
        <v>402696.8</v>
      </c>
      <c r="M434">
        <v>132070.39999999999</v>
      </c>
      <c r="N434">
        <v>270626.40000000002</v>
      </c>
    </row>
    <row r="435" spans="1:14" x14ac:dyDescent="0.3">
      <c r="A435" t="s">
        <v>14</v>
      </c>
      <c r="B435" t="s">
        <v>166</v>
      </c>
      <c r="C435" t="s">
        <v>46</v>
      </c>
      <c r="D435" t="s">
        <v>23</v>
      </c>
      <c r="E435" t="s">
        <v>24</v>
      </c>
      <c r="F435" t="s">
        <v>827</v>
      </c>
      <c r="G435">
        <v>103762280</v>
      </c>
      <c r="H435" t="s">
        <v>828</v>
      </c>
      <c r="I435">
        <v>4419</v>
      </c>
      <c r="J435">
        <v>154.06</v>
      </c>
      <c r="K435">
        <v>90.93</v>
      </c>
      <c r="L435">
        <v>680791.14</v>
      </c>
      <c r="M435">
        <v>401819.67</v>
      </c>
      <c r="N435">
        <v>278971.46999999997</v>
      </c>
    </row>
    <row r="436" spans="1:14" x14ac:dyDescent="0.3">
      <c r="A436" t="s">
        <v>14</v>
      </c>
      <c r="B436" t="s">
        <v>97</v>
      </c>
      <c r="C436" t="s">
        <v>64</v>
      </c>
      <c r="D436" t="s">
        <v>17</v>
      </c>
      <c r="E436" t="s">
        <v>24</v>
      </c>
      <c r="F436" t="s">
        <v>829</v>
      </c>
      <c r="G436">
        <v>144743001</v>
      </c>
      <c r="H436" t="s">
        <v>717</v>
      </c>
      <c r="I436">
        <v>1525</v>
      </c>
      <c r="J436">
        <v>255.28</v>
      </c>
      <c r="K436">
        <v>159.41999999999999</v>
      </c>
      <c r="L436">
        <v>389302</v>
      </c>
      <c r="M436">
        <v>243115.5</v>
      </c>
      <c r="N436">
        <v>146186.5</v>
      </c>
    </row>
    <row r="437" spans="1:14" x14ac:dyDescent="0.3">
      <c r="A437" t="s">
        <v>14</v>
      </c>
      <c r="B437" t="s">
        <v>223</v>
      </c>
      <c r="C437" t="s">
        <v>16</v>
      </c>
      <c r="D437" t="s">
        <v>23</v>
      </c>
      <c r="E437" t="s">
        <v>33</v>
      </c>
      <c r="F437" t="s">
        <v>821</v>
      </c>
      <c r="G437">
        <v>439204919</v>
      </c>
      <c r="H437" t="s">
        <v>830</v>
      </c>
      <c r="I437">
        <v>9350</v>
      </c>
      <c r="J437">
        <v>47.45</v>
      </c>
      <c r="K437">
        <v>31.79</v>
      </c>
      <c r="L437">
        <v>443657.5</v>
      </c>
      <c r="M437">
        <v>297236.5</v>
      </c>
      <c r="N437">
        <v>146421</v>
      </c>
    </row>
    <row r="438" spans="1:14" x14ac:dyDescent="0.3">
      <c r="A438" t="s">
        <v>14</v>
      </c>
      <c r="B438" t="s">
        <v>100</v>
      </c>
      <c r="C438" t="s">
        <v>37</v>
      </c>
      <c r="D438" t="s">
        <v>17</v>
      </c>
      <c r="E438" t="s">
        <v>18</v>
      </c>
      <c r="F438" t="s">
        <v>831</v>
      </c>
      <c r="G438">
        <v>114954173</v>
      </c>
      <c r="H438" t="s">
        <v>832</v>
      </c>
      <c r="I438">
        <v>6349</v>
      </c>
      <c r="J438">
        <v>9.33</v>
      </c>
      <c r="K438">
        <v>6.92</v>
      </c>
      <c r="L438">
        <v>59236.17</v>
      </c>
      <c r="M438">
        <v>43935.08</v>
      </c>
      <c r="N438">
        <v>15301.09</v>
      </c>
    </row>
    <row r="439" spans="1:14" x14ac:dyDescent="0.3">
      <c r="A439" t="s">
        <v>14</v>
      </c>
      <c r="B439" t="s">
        <v>115</v>
      </c>
      <c r="C439" t="s">
        <v>16</v>
      </c>
      <c r="D439" t="s">
        <v>17</v>
      </c>
      <c r="E439" t="s">
        <v>33</v>
      </c>
      <c r="F439" t="s">
        <v>451</v>
      </c>
      <c r="G439">
        <v>238170993</v>
      </c>
      <c r="H439" t="s">
        <v>833</v>
      </c>
      <c r="I439">
        <v>8944</v>
      </c>
      <c r="J439">
        <v>47.45</v>
      </c>
      <c r="K439">
        <v>31.79</v>
      </c>
      <c r="L439">
        <v>424392.8</v>
      </c>
      <c r="M439">
        <v>284329.76</v>
      </c>
      <c r="N439">
        <v>140063.04000000001</v>
      </c>
    </row>
    <row r="440" spans="1:14" x14ac:dyDescent="0.3">
      <c r="A440" t="s">
        <v>14</v>
      </c>
      <c r="B440" t="s">
        <v>185</v>
      </c>
      <c r="C440" t="s">
        <v>22</v>
      </c>
      <c r="D440" t="s">
        <v>23</v>
      </c>
      <c r="E440" t="s">
        <v>24</v>
      </c>
      <c r="F440" t="s">
        <v>376</v>
      </c>
      <c r="G440">
        <v>134790503</v>
      </c>
      <c r="H440" t="s">
        <v>834</v>
      </c>
      <c r="I440">
        <v>6360</v>
      </c>
      <c r="J440">
        <v>109.28</v>
      </c>
      <c r="K440">
        <v>35.840000000000003</v>
      </c>
      <c r="L440">
        <v>695020.8</v>
      </c>
      <c r="M440">
        <v>227942.39999999999</v>
      </c>
      <c r="N440">
        <v>467078.40000000002</v>
      </c>
    </row>
    <row r="441" spans="1:14" x14ac:dyDescent="0.3">
      <c r="A441" t="s">
        <v>14</v>
      </c>
      <c r="B441" t="s">
        <v>40</v>
      </c>
      <c r="C441" t="s">
        <v>46</v>
      </c>
      <c r="D441" t="s">
        <v>23</v>
      </c>
      <c r="E441" t="s">
        <v>54</v>
      </c>
      <c r="F441" t="s">
        <v>835</v>
      </c>
      <c r="G441">
        <v>409112679</v>
      </c>
      <c r="H441" t="s">
        <v>836</v>
      </c>
      <c r="I441">
        <v>4388</v>
      </c>
      <c r="J441">
        <v>154.06</v>
      </c>
      <c r="K441">
        <v>90.93</v>
      </c>
      <c r="L441">
        <v>676015.28</v>
      </c>
      <c r="M441">
        <v>399000.84</v>
      </c>
      <c r="N441">
        <v>277014.44</v>
      </c>
    </row>
    <row r="442" spans="1:14" x14ac:dyDescent="0.3">
      <c r="A442" t="s">
        <v>14</v>
      </c>
      <c r="B442" t="s">
        <v>185</v>
      </c>
      <c r="C442" t="s">
        <v>50</v>
      </c>
      <c r="D442" t="s">
        <v>17</v>
      </c>
      <c r="E442" t="s">
        <v>54</v>
      </c>
      <c r="F442" t="s">
        <v>837</v>
      </c>
      <c r="G442">
        <v>727175891</v>
      </c>
      <c r="H442" t="s">
        <v>838</v>
      </c>
      <c r="I442">
        <v>6360</v>
      </c>
      <c r="J442">
        <v>421.89</v>
      </c>
      <c r="K442">
        <v>364.69</v>
      </c>
      <c r="L442">
        <v>2683220.4</v>
      </c>
      <c r="M442">
        <v>2319428.4</v>
      </c>
      <c r="N442">
        <v>363792</v>
      </c>
    </row>
    <row r="443" spans="1:14" x14ac:dyDescent="0.3">
      <c r="A443" t="s">
        <v>14</v>
      </c>
      <c r="B443" t="s">
        <v>169</v>
      </c>
      <c r="C443" t="s">
        <v>75</v>
      </c>
      <c r="D443" t="s">
        <v>23</v>
      </c>
      <c r="E443" t="s">
        <v>33</v>
      </c>
      <c r="F443" t="s">
        <v>839</v>
      </c>
      <c r="G443">
        <v>638593900</v>
      </c>
      <c r="H443" t="s">
        <v>840</v>
      </c>
      <c r="I443">
        <v>2981</v>
      </c>
      <c r="J443">
        <v>437.2</v>
      </c>
      <c r="K443">
        <v>263.33</v>
      </c>
      <c r="L443">
        <v>1303293.2</v>
      </c>
      <c r="M443">
        <v>784986.73</v>
      </c>
      <c r="N443">
        <v>518306.47</v>
      </c>
    </row>
    <row r="444" spans="1:14" x14ac:dyDescent="0.3">
      <c r="A444" t="s">
        <v>14</v>
      </c>
      <c r="B444" t="s">
        <v>141</v>
      </c>
      <c r="C444" t="s">
        <v>16</v>
      </c>
      <c r="D444" t="s">
        <v>17</v>
      </c>
      <c r="E444" t="s">
        <v>54</v>
      </c>
      <c r="F444" t="s">
        <v>841</v>
      </c>
      <c r="G444">
        <v>833473765</v>
      </c>
      <c r="H444" t="s">
        <v>842</v>
      </c>
      <c r="I444">
        <v>2264</v>
      </c>
      <c r="J444">
        <v>47.45</v>
      </c>
      <c r="K444">
        <v>31.79</v>
      </c>
      <c r="L444">
        <v>107426.8</v>
      </c>
      <c r="M444">
        <v>71972.56</v>
      </c>
      <c r="N444">
        <v>35454.239999999998</v>
      </c>
    </row>
    <row r="445" spans="1:14" x14ac:dyDescent="0.3">
      <c r="A445" t="s">
        <v>14</v>
      </c>
      <c r="B445" t="s">
        <v>127</v>
      </c>
      <c r="C445" t="s">
        <v>75</v>
      </c>
      <c r="D445" t="s">
        <v>17</v>
      </c>
      <c r="E445" t="s">
        <v>24</v>
      </c>
      <c r="F445" t="s">
        <v>843</v>
      </c>
      <c r="G445">
        <v>606224572</v>
      </c>
      <c r="H445" t="s">
        <v>844</v>
      </c>
      <c r="I445">
        <v>4177</v>
      </c>
      <c r="J445">
        <v>437.2</v>
      </c>
      <c r="K445">
        <v>263.33</v>
      </c>
      <c r="L445">
        <v>1826184.4</v>
      </c>
      <c r="M445">
        <v>1099929.4099999999</v>
      </c>
      <c r="N445">
        <v>726254.99</v>
      </c>
    </row>
    <row r="446" spans="1:14" x14ac:dyDescent="0.3">
      <c r="A446" t="s">
        <v>14</v>
      </c>
      <c r="B446" t="s">
        <v>105</v>
      </c>
      <c r="C446" t="s">
        <v>22</v>
      </c>
      <c r="D446" t="s">
        <v>23</v>
      </c>
      <c r="E446" t="s">
        <v>54</v>
      </c>
      <c r="F446" t="s">
        <v>139</v>
      </c>
      <c r="G446">
        <v>325314033</v>
      </c>
      <c r="H446" t="s">
        <v>845</v>
      </c>
      <c r="I446">
        <v>6506</v>
      </c>
      <c r="J446">
        <v>109.28</v>
      </c>
      <c r="K446">
        <v>35.840000000000003</v>
      </c>
      <c r="L446">
        <v>710975.68</v>
      </c>
      <c r="M446">
        <v>233175.04000000001</v>
      </c>
      <c r="N446">
        <v>477800.64</v>
      </c>
    </row>
    <row r="447" spans="1:14" x14ac:dyDescent="0.3">
      <c r="A447" t="s">
        <v>14</v>
      </c>
      <c r="B447" t="s">
        <v>132</v>
      </c>
      <c r="C447" t="s">
        <v>50</v>
      </c>
      <c r="D447" t="s">
        <v>17</v>
      </c>
      <c r="E447" t="s">
        <v>24</v>
      </c>
      <c r="F447" t="s">
        <v>846</v>
      </c>
      <c r="G447">
        <v>159805858</v>
      </c>
      <c r="H447" t="s">
        <v>847</v>
      </c>
      <c r="I447">
        <v>8959</v>
      </c>
      <c r="J447">
        <v>421.89</v>
      </c>
      <c r="K447">
        <v>364.69</v>
      </c>
      <c r="L447">
        <v>3779712.51</v>
      </c>
      <c r="M447">
        <v>3267257.71</v>
      </c>
      <c r="N447">
        <v>512454.8</v>
      </c>
    </row>
    <row r="448" spans="1:14" x14ac:dyDescent="0.3">
      <c r="A448" t="s">
        <v>14</v>
      </c>
      <c r="B448" t="s">
        <v>49</v>
      </c>
      <c r="C448" t="s">
        <v>58</v>
      </c>
      <c r="D448" t="s">
        <v>23</v>
      </c>
      <c r="E448" t="s">
        <v>54</v>
      </c>
      <c r="F448" t="s">
        <v>848</v>
      </c>
      <c r="G448">
        <v>722248780</v>
      </c>
      <c r="H448" t="s">
        <v>849</v>
      </c>
      <c r="I448">
        <v>8319</v>
      </c>
      <c r="J448">
        <v>152.58000000000001</v>
      </c>
      <c r="K448">
        <v>97.44</v>
      </c>
      <c r="L448">
        <v>1269313.02</v>
      </c>
      <c r="M448">
        <v>810603.36</v>
      </c>
      <c r="N448">
        <v>458709.66</v>
      </c>
    </row>
    <row r="449" spans="1:14" x14ac:dyDescent="0.3">
      <c r="A449" t="s">
        <v>14</v>
      </c>
      <c r="B449" t="s">
        <v>166</v>
      </c>
      <c r="C449" t="s">
        <v>46</v>
      </c>
      <c r="D449" t="s">
        <v>23</v>
      </c>
      <c r="E449" t="s">
        <v>54</v>
      </c>
      <c r="F449" t="s">
        <v>850</v>
      </c>
      <c r="G449">
        <v>399115979</v>
      </c>
      <c r="H449" t="s">
        <v>386</v>
      </c>
      <c r="I449">
        <v>6142</v>
      </c>
      <c r="J449">
        <v>154.06</v>
      </c>
      <c r="K449">
        <v>90.93</v>
      </c>
      <c r="L449">
        <v>946236.52</v>
      </c>
      <c r="M449">
        <v>558492.06000000006</v>
      </c>
      <c r="N449">
        <v>387744.46</v>
      </c>
    </row>
    <row r="450" spans="1:14" x14ac:dyDescent="0.3">
      <c r="A450" t="s">
        <v>14</v>
      </c>
      <c r="B450" t="s">
        <v>132</v>
      </c>
      <c r="C450" t="s">
        <v>71</v>
      </c>
      <c r="D450" t="s">
        <v>17</v>
      </c>
      <c r="E450" t="s">
        <v>24</v>
      </c>
      <c r="F450" t="s">
        <v>851</v>
      </c>
      <c r="G450">
        <v>792792594</v>
      </c>
      <c r="H450" t="s">
        <v>852</v>
      </c>
      <c r="I450">
        <v>3801</v>
      </c>
      <c r="J450">
        <v>668.27</v>
      </c>
      <c r="K450">
        <v>502.54</v>
      </c>
      <c r="L450">
        <v>2540094.27</v>
      </c>
      <c r="M450">
        <v>1910154.54</v>
      </c>
      <c r="N450">
        <v>629939.73</v>
      </c>
    </row>
    <row r="451" spans="1:14" x14ac:dyDescent="0.3">
      <c r="A451" t="s">
        <v>14</v>
      </c>
      <c r="B451" t="s">
        <v>86</v>
      </c>
      <c r="C451" t="s">
        <v>75</v>
      </c>
      <c r="D451" t="s">
        <v>17</v>
      </c>
      <c r="E451" t="s">
        <v>18</v>
      </c>
      <c r="F451" t="s">
        <v>853</v>
      </c>
      <c r="G451">
        <v>626453149</v>
      </c>
      <c r="H451" t="s">
        <v>854</v>
      </c>
      <c r="I451">
        <v>263</v>
      </c>
      <c r="J451">
        <v>437.2</v>
      </c>
      <c r="K451">
        <v>263.33</v>
      </c>
      <c r="L451">
        <v>114983.6</v>
      </c>
      <c r="M451">
        <v>69255.789999999994</v>
      </c>
      <c r="N451">
        <v>45727.81</v>
      </c>
    </row>
    <row r="452" spans="1:14" x14ac:dyDescent="0.3">
      <c r="A452" t="s">
        <v>14</v>
      </c>
      <c r="B452" t="s">
        <v>122</v>
      </c>
      <c r="C452" t="s">
        <v>58</v>
      </c>
      <c r="D452" t="s">
        <v>17</v>
      </c>
      <c r="E452" t="s">
        <v>33</v>
      </c>
      <c r="F452" t="s">
        <v>855</v>
      </c>
      <c r="G452">
        <v>737095344</v>
      </c>
      <c r="H452" t="s">
        <v>856</v>
      </c>
      <c r="I452">
        <v>1747</v>
      </c>
      <c r="J452">
        <v>152.58000000000001</v>
      </c>
      <c r="K452">
        <v>97.44</v>
      </c>
      <c r="L452">
        <v>266557.26</v>
      </c>
      <c r="M452">
        <v>170227.68</v>
      </c>
      <c r="N452">
        <v>96329.58</v>
      </c>
    </row>
    <row r="453" spans="1:14" x14ac:dyDescent="0.3">
      <c r="A453" t="s">
        <v>14</v>
      </c>
      <c r="B453" t="s">
        <v>61</v>
      </c>
      <c r="C453" t="s">
        <v>37</v>
      </c>
      <c r="D453" t="s">
        <v>17</v>
      </c>
      <c r="E453" t="s">
        <v>33</v>
      </c>
      <c r="F453" t="s">
        <v>857</v>
      </c>
      <c r="G453">
        <v>708320605</v>
      </c>
      <c r="H453" t="s">
        <v>858</v>
      </c>
      <c r="I453">
        <v>6662</v>
      </c>
      <c r="J453">
        <v>9.33</v>
      </c>
      <c r="K453">
        <v>6.92</v>
      </c>
      <c r="L453">
        <v>62156.46</v>
      </c>
      <c r="M453">
        <v>46101.04</v>
      </c>
      <c r="N453">
        <v>16055.42</v>
      </c>
    </row>
    <row r="454" spans="1:14" x14ac:dyDescent="0.3">
      <c r="A454" t="s">
        <v>14</v>
      </c>
      <c r="B454" t="s">
        <v>138</v>
      </c>
      <c r="C454" t="s">
        <v>32</v>
      </c>
      <c r="D454" t="s">
        <v>17</v>
      </c>
      <c r="E454" t="s">
        <v>24</v>
      </c>
      <c r="F454" t="s">
        <v>859</v>
      </c>
      <c r="G454">
        <v>433079183</v>
      </c>
      <c r="H454" t="s">
        <v>860</v>
      </c>
      <c r="I454">
        <v>6609</v>
      </c>
      <c r="J454">
        <v>651.21</v>
      </c>
      <c r="K454">
        <v>524.96</v>
      </c>
      <c r="L454">
        <v>4303846.8899999997</v>
      </c>
      <c r="M454">
        <v>3469460.64</v>
      </c>
      <c r="N454">
        <v>834386.25</v>
      </c>
    </row>
    <row r="455" spans="1:14" x14ac:dyDescent="0.3">
      <c r="A455" t="s">
        <v>14</v>
      </c>
      <c r="B455" t="s">
        <v>364</v>
      </c>
      <c r="C455" t="s">
        <v>102</v>
      </c>
      <c r="D455" t="s">
        <v>17</v>
      </c>
      <c r="E455" t="s">
        <v>33</v>
      </c>
      <c r="F455" t="s">
        <v>861</v>
      </c>
      <c r="G455">
        <v>604494225</v>
      </c>
      <c r="H455" t="s">
        <v>338</v>
      </c>
      <c r="I455">
        <v>2129</v>
      </c>
      <c r="J455">
        <v>81.73</v>
      </c>
      <c r="K455">
        <v>56.67</v>
      </c>
      <c r="L455">
        <v>174003.17</v>
      </c>
      <c r="M455">
        <v>120650.43</v>
      </c>
      <c r="N455">
        <v>53352.74</v>
      </c>
    </row>
    <row r="456" spans="1:14" x14ac:dyDescent="0.3">
      <c r="A456" t="s">
        <v>14</v>
      </c>
      <c r="B456" t="s">
        <v>181</v>
      </c>
      <c r="C456" t="s">
        <v>37</v>
      </c>
      <c r="D456" t="s">
        <v>23</v>
      </c>
      <c r="E456" t="s">
        <v>24</v>
      </c>
      <c r="F456" t="s">
        <v>862</v>
      </c>
      <c r="G456">
        <v>707718932</v>
      </c>
      <c r="H456" t="s">
        <v>863</v>
      </c>
      <c r="I456">
        <v>8614</v>
      </c>
      <c r="J456">
        <v>9.33</v>
      </c>
      <c r="K456">
        <v>6.92</v>
      </c>
      <c r="L456">
        <v>80368.62</v>
      </c>
      <c r="M456">
        <v>59608.88</v>
      </c>
      <c r="N456">
        <v>20759.740000000002</v>
      </c>
    </row>
    <row r="457" spans="1:14" x14ac:dyDescent="0.3">
      <c r="A457" t="s">
        <v>14</v>
      </c>
      <c r="B457" t="s">
        <v>169</v>
      </c>
      <c r="C457" t="s">
        <v>71</v>
      </c>
      <c r="D457" t="s">
        <v>17</v>
      </c>
      <c r="E457" t="s">
        <v>18</v>
      </c>
      <c r="F457" t="s">
        <v>864</v>
      </c>
      <c r="G457">
        <v>656689155</v>
      </c>
      <c r="H457" t="s">
        <v>865</v>
      </c>
      <c r="I457">
        <v>7769</v>
      </c>
      <c r="J457">
        <v>668.27</v>
      </c>
      <c r="K457">
        <v>502.54</v>
      </c>
      <c r="L457">
        <v>5191789.63</v>
      </c>
      <c r="M457">
        <v>3904233.26</v>
      </c>
      <c r="N457">
        <v>1287556.3700000001</v>
      </c>
    </row>
    <row r="458" spans="1:14" x14ac:dyDescent="0.3">
      <c r="A458" t="s">
        <v>14</v>
      </c>
      <c r="B458" t="s">
        <v>181</v>
      </c>
      <c r="C458" t="s">
        <v>16</v>
      </c>
      <c r="D458" t="s">
        <v>17</v>
      </c>
      <c r="E458" t="s">
        <v>24</v>
      </c>
      <c r="F458" t="s">
        <v>866</v>
      </c>
      <c r="G458">
        <v>935907542</v>
      </c>
      <c r="H458" t="s">
        <v>867</v>
      </c>
      <c r="I458">
        <v>4695</v>
      </c>
      <c r="J458">
        <v>47.45</v>
      </c>
      <c r="K458">
        <v>31.79</v>
      </c>
      <c r="L458">
        <v>222777.75</v>
      </c>
      <c r="M458">
        <v>149254.04999999999</v>
      </c>
      <c r="N458">
        <v>73523.7</v>
      </c>
    </row>
    <row r="459" spans="1:14" x14ac:dyDescent="0.3">
      <c r="A459" t="s">
        <v>14</v>
      </c>
      <c r="B459" t="s">
        <v>271</v>
      </c>
      <c r="C459" t="s">
        <v>71</v>
      </c>
      <c r="D459" t="s">
        <v>17</v>
      </c>
      <c r="E459" t="s">
        <v>18</v>
      </c>
      <c r="F459" t="s">
        <v>868</v>
      </c>
      <c r="G459">
        <v>421660268</v>
      </c>
      <c r="H459" t="s">
        <v>869</v>
      </c>
      <c r="I459">
        <v>7498</v>
      </c>
      <c r="J459">
        <v>668.27</v>
      </c>
      <c r="K459">
        <v>502.54</v>
      </c>
      <c r="L459">
        <v>5010688.46</v>
      </c>
      <c r="M459">
        <v>3768044.92</v>
      </c>
      <c r="N459">
        <v>1242643.54</v>
      </c>
    </row>
    <row r="460" spans="1:14" x14ac:dyDescent="0.3">
      <c r="A460" t="s">
        <v>14</v>
      </c>
      <c r="B460" t="s">
        <v>61</v>
      </c>
      <c r="C460" t="s">
        <v>75</v>
      </c>
      <c r="D460" t="s">
        <v>17</v>
      </c>
      <c r="E460" t="s">
        <v>18</v>
      </c>
      <c r="F460" t="s">
        <v>870</v>
      </c>
      <c r="G460">
        <v>447183310</v>
      </c>
      <c r="H460" t="s">
        <v>871</v>
      </c>
      <c r="I460">
        <v>334</v>
      </c>
      <c r="J460">
        <v>437.2</v>
      </c>
      <c r="K460">
        <v>263.33</v>
      </c>
      <c r="L460">
        <v>146024.79999999999</v>
      </c>
      <c r="M460">
        <v>87952.22</v>
      </c>
      <c r="N460">
        <v>58072.58</v>
      </c>
    </row>
    <row r="461" spans="1:14" x14ac:dyDescent="0.3">
      <c r="A461" t="s">
        <v>14</v>
      </c>
      <c r="B461" t="s">
        <v>36</v>
      </c>
      <c r="C461" t="s">
        <v>46</v>
      </c>
      <c r="D461" t="s">
        <v>17</v>
      </c>
      <c r="E461" t="s">
        <v>33</v>
      </c>
      <c r="F461" t="s">
        <v>782</v>
      </c>
      <c r="G461">
        <v>127694451</v>
      </c>
      <c r="H461" t="s">
        <v>872</v>
      </c>
      <c r="I461">
        <v>6481</v>
      </c>
      <c r="J461">
        <v>154.06</v>
      </c>
      <c r="K461">
        <v>90.93</v>
      </c>
      <c r="L461">
        <v>998462.86</v>
      </c>
      <c r="M461">
        <v>589317.32999999996</v>
      </c>
      <c r="N461">
        <v>409145.53</v>
      </c>
    </row>
    <row r="462" spans="1:14" x14ac:dyDescent="0.3">
      <c r="A462" t="s">
        <v>14</v>
      </c>
      <c r="B462" t="s">
        <v>257</v>
      </c>
      <c r="C462" t="s">
        <v>50</v>
      </c>
      <c r="D462" t="s">
        <v>17</v>
      </c>
      <c r="E462" t="s">
        <v>24</v>
      </c>
      <c r="F462" t="s">
        <v>873</v>
      </c>
      <c r="G462">
        <v>697617518</v>
      </c>
      <c r="H462" t="s">
        <v>874</v>
      </c>
      <c r="I462">
        <v>9381</v>
      </c>
      <c r="J462">
        <v>421.89</v>
      </c>
      <c r="K462">
        <v>364.69</v>
      </c>
      <c r="L462">
        <v>3957750.09</v>
      </c>
      <c r="M462">
        <v>3421156.89</v>
      </c>
      <c r="N462">
        <v>536593.19999999995</v>
      </c>
    </row>
    <row r="463" spans="1:14" x14ac:dyDescent="0.3">
      <c r="A463" t="s">
        <v>14</v>
      </c>
      <c r="B463" t="s">
        <v>94</v>
      </c>
      <c r="C463" t="s">
        <v>102</v>
      </c>
      <c r="D463" t="s">
        <v>17</v>
      </c>
      <c r="E463" t="s">
        <v>33</v>
      </c>
      <c r="F463" t="s">
        <v>875</v>
      </c>
      <c r="G463">
        <v>311688840</v>
      </c>
      <c r="H463" t="s">
        <v>876</v>
      </c>
      <c r="I463">
        <v>4509</v>
      </c>
      <c r="J463">
        <v>81.73</v>
      </c>
      <c r="K463">
        <v>56.67</v>
      </c>
      <c r="L463">
        <v>368520.57</v>
      </c>
      <c r="M463">
        <v>255525.03</v>
      </c>
      <c r="N463">
        <v>112995.54</v>
      </c>
    </row>
    <row r="464" spans="1:14" x14ac:dyDescent="0.3">
      <c r="A464" t="s">
        <v>14</v>
      </c>
      <c r="B464" t="s">
        <v>105</v>
      </c>
      <c r="C464" t="s">
        <v>75</v>
      </c>
      <c r="D464" t="s">
        <v>17</v>
      </c>
      <c r="E464" t="s">
        <v>24</v>
      </c>
      <c r="F464" t="s">
        <v>877</v>
      </c>
      <c r="G464">
        <v>385080945</v>
      </c>
      <c r="H464" t="s">
        <v>878</v>
      </c>
      <c r="I464">
        <v>2864</v>
      </c>
      <c r="J464">
        <v>437.2</v>
      </c>
      <c r="K464">
        <v>263.33</v>
      </c>
      <c r="L464">
        <v>1252140.8</v>
      </c>
      <c r="M464">
        <v>754177.12</v>
      </c>
      <c r="N464">
        <v>497963.68</v>
      </c>
    </row>
    <row r="465" spans="1:14" x14ac:dyDescent="0.3">
      <c r="A465" t="s">
        <v>14</v>
      </c>
      <c r="B465" t="s">
        <v>166</v>
      </c>
      <c r="C465" t="s">
        <v>71</v>
      </c>
      <c r="D465" t="s">
        <v>17</v>
      </c>
      <c r="E465" t="s">
        <v>24</v>
      </c>
      <c r="F465" t="s">
        <v>879</v>
      </c>
      <c r="G465">
        <v>309148681</v>
      </c>
      <c r="H465" t="s">
        <v>201</v>
      </c>
      <c r="I465">
        <v>2819</v>
      </c>
      <c r="J465">
        <v>668.27</v>
      </c>
      <c r="K465">
        <v>502.54</v>
      </c>
      <c r="L465">
        <v>1883853.13</v>
      </c>
      <c r="M465">
        <v>1416660.26</v>
      </c>
      <c r="N465">
        <v>467192.87</v>
      </c>
    </row>
    <row r="466" spans="1:14" x14ac:dyDescent="0.3">
      <c r="A466" t="s">
        <v>14</v>
      </c>
      <c r="B466" t="s">
        <v>83</v>
      </c>
      <c r="C466" t="s">
        <v>64</v>
      </c>
      <c r="D466" t="s">
        <v>17</v>
      </c>
      <c r="E466" t="s">
        <v>33</v>
      </c>
      <c r="F466" t="s">
        <v>880</v>
      </c>
      <c r="G466">
        <v>630219399</v>
      </c>
      <c r="H466" t="s">
        <v>556</v>
      </c>
      <c r="I466">
        <v>4780</v>
      </c>
      <c r="J466">
        <v>255.28</v>
      </c>
      <c r="K466">
        <v>159.41999999999999</v>
      </c>
      <c r="L466">
        <v>1220238.3999999999</v>
      </c>
      <c r="M466">
        <v>762027.6</v>
      </c>
      <c r="N466">
        <v>458210.8</v>
      </c>
    </row>
    <row r="467" spans="1:14" x14ac:dyDescent="0.3">
      <c r="A467" t="s">
        <v>14</v>
      </c>
      <c r="B467" t="s">
        <v>127</v>
      </c>
      <c r="C467" t="s">
        <v>58</v>
      </c>
      <c r="D467" t="s">
        <v>23</v>
      </c>
      <c r="E467" t="s">
        <v>54</v>
      </c>
      <c r="F467" t="s">
        <v>681</v>
      </c>
      <c r="G467">
        <v>585677134</v>
      </c>
      <c r="H467" t="s">
        <v>881</v>
      </c>
      <c r="I467">
        <v>3734</v>
      </c>
      <c r="J467">
        <v>152.58000000000001</v>
      </c>
      <c r="K467">
        <v>97.44</v>
      </c>
      <c r="L467">
        <v>569733.72</v>
      </c>
      <c r="M467">
        <v>363840.96</v>
      </c>
      <c r="N467">
        <v>205892.76</v>
      </c>
    </row>
    <row r="468" spans="1:14" x14ac:dyDescent="0.3">
      <c r="A468" t="s">
        <v>14</v>
      </c>
      <c r="B468" t="s">
        <v>185</v>
      </c>
      <c r="C468" t="s">
        <v>71</v>
      </c>
      <c r="D468" t="s">
        <v>23</v>
      </c>
      <c r="E468" t="s">
        <v>18</v>
      </c>
      <c r="F468" t="s">
        <v>882</v>
      </c>
      <c r="G468">
        <v>692704999</v>
      </c>
      <c r="H468" t="s">
        <v>883</v>
      </c>
      <c r="I468">
        <v>5657</v>
      </c>
      <c r="J468">
        <v>668.27</v>
      </c>
      <c r="K468">
        <v>502.54</v>
      </c>
      <c r="L468">
        <v>3780403.39</v>
      </c>
      <c r="M468">
        <v>2842868.78</v>
      </c>
      <c r="N468">
        <v>937534.61</v>
      </c>
    </row>
    <row r="469" spans="1:14" x14ac:dyDescent="0.3">
      <c r="A469" t="s">
        <v>14</v>
      </c>
      <c r="B469" t="s">
        <v>223</v>
      </c>
      <c r="C469" t="s">
        <v>75</v>
      </c>
      <c r="D469" t="s">
        <v>23</v>
      </c>
      <c r="E469" t="s">
        <v>24</v>
      </c>
      <c r="F469" t="s">
        <v>884</v>
      </c>
      <c r="G469">
        <v>942454278</v>
      </c>
      <c r="H469" t="s">
        <v>885</v>
      </c>
      <c r="I469">
        <v>2019</v>
      </c>
      <c r="J469">
        <v>437.2</v>
      </c>
      <c r="K469">
        <v>263.33</v>
      </c>
      <c r="L469">
        <v>882706.8</v>
      </c>
      <c r="M469">
        <v>531663.27</v>
      </c>
      <c r="N469">
        <v>351043.53</v>
      </c>
    </row>
    <row r="470" spans="1:14" x14ac:dyDescent="0.3">
      <c r="A470" t="s">
        <v>14</v>
      </c>
      <c r="B470" t="s">
        <v>132</v>
      </c>
      <c r="C470" t="s">
        <v>32</v>
      </c>
      <c r="D470" t="s">
        <v>17</v>
      </c>
      <c r="E470" t="s">
        <v>54</v>
      </c>
      <c r="F470" t="s">
        <v>886</v>
      </c>
      <c r="G470">
        <v>150293242</v>
      </c>
      <c r="H470" t="s">
        <v>887</v>
      </c>
      <c r="I470">
        <v>3965</v>
      </c>
      <c r="J470">
        <v>651.21</v>
      </c>
      <c r="K470">
        <v>524.96</v>
      </c>
      <c r="L470">
        <v>2582047.65</v>
      </c>
      <c r="M470">
        <v>2081466.4</v>
      </c>
      <c r="N470">
        <v>500581.25</v>
      </c>
    </row>
    <row r="471" spans="1:14" x14ac:dyDescent="0.3">
      <c r="A471" t="s">
        <v>14</v>
      </c>
      <c r="B471" t="s">
        <v>196</v>
      </c>
      <c r="C471" t="s">
        <v>32</v>
      </c>
      <c r="D471" t="s">
        <v>17</v>
      </c>
      <c r="E471" t="s">
        <v>54</v>
      </c>
      <c r="F471" t="s">
        <v>888</v>
      </c>
      <c r="G471">
        <v>236042392</v>
      </c>
      <c r="H471" t="s">
        <v>365</v>
      </c>
      <c r="I471">
        <v>9044</v>
      </c>
      <c r="J471">
        <v>651.21</v>
      </c>
      <c r="K471">
        <v>524.96</v>
      </c>
      <c r="L471">
        <v>5889543.2400000002</v>
      </c>
      <c r="M471">
        <v>4747738.24</v>
      </c>
      <c r="N471">
        <v>1141805</v>
      </c>
    </row>
    <row r="472" spans="1:14" x14ac:dyDescent="0.3">
      <c r="A472" t="s">
        <v>14</v>
      </c>
      <c r="B472" t="s">
        <v>185</v>
      </c>
      <c r="C472" t="s">
        <v>64</v>
      </c>
      <c r="D472" t="s">
        <v>17</v>
      </c>
      <c r="E472" t="s">
        <v>33</v>
      </c>
      <c r="F472" t="s">
        <v>889</v>
      </c>
      <c r="G472">
        <v>314782178</v>
      </c>
      <c r="H472" t="s">
        <v>890</v>
      </c>
      <c r="I472">
        <v>9896</v>
      </c>
      <c r="J472">
        <v>255.28</v>
      </c>
      <c r="K472">
        <v>159.41999999999999</v>
      </c>
      <c r="L472">
        <v>2526250.88</v>
      </c>
      <c r="M472">
        <v>1577620.32</v>
      </c>
      <c r="N472">
        <v>948630.56</v>
      </c>
    </row>
    <row r="473" spans="1:14" x14ac:dyDescent="0.3">
      <c r="A473" t="s">
        <v>14</v>
      </c>
      <c r="B473" t="s">
        <v>57</v>
      </c>
      <c r="C473" t="s">
        <v>75</v>
      </c>
      <c r="D473" t="s">
        <v>17</v>
      </c>
      <c r="E473" t="s">
        <v>24</v>
      </c>
      <c r="F473" t="s">
        <v>437</v>
      </c>
      <c r="G473">
        <v>193472945</v>
      </c>
      <c r="H473" t="s">
        <v>891</v>
      </c>
      <c r="I473">
        <v>1799</v>
      </c>
      <c r="J473">
        <v>437.2</v>
      </c>
      <c r="K473">
        <v>263.33</v>
      </c>
      <c r="L473">
        <v>786522.8</v>
      </c>
      <c r="M473">
        <v>473730.67</v>
      </c>
      <c r="N473">
        <v>312792.13</v>
      </c>
    </row>
    <row r="474" spans="1:14" x14ac:dyDescent="0.3">
      <c r="A474" t="s">
        <v>14</v>
      </c>
      <c r="B474" t="s">
        <v>110</v>
      </c>
      <c r="C474" t="s">
        <v>75</v>
      </c>
      <c r="D474" t="s">
        <v>17</v>
      </c>
      <c r="E474" t="s">
        <v>54</v>
      </c>
      <c r="F474" t="s">
        <v>892</v>
      </c>
      <c r="G474">
        <v>434013879</v>
      </c>
      <c r="H474" t="s">
        <v>893</v>
      </c>
      <c r="I474">
        <v>3206</v>
      </c>
      <c r="J474">
        <v>437.2</v>
      </c>
      <c r="K474">
        <v>263.33</v>
      </c>
      <c r="L474">
        <v>1401663.2</v>
      </c>
      <c r="M474">
        <v>844235.98</v>
      </c>
      <c r="N474">
        <v>557427.22</v>
      </c>
    </row>
    <row r="475" spans="1:14" x14ac:dyDescent="0.3">
      <c r="A475" t="s">
        <v>14</v>
      </c>
      <c r="B475" t="s">
        <v>183</v>
      </c>
      <c r="C475" t="s">
        <v>28</v>
      </c>
      <c r="D475" t="s">
        <v>23</v>
      </c>
      <c r="E475" t="s">
        <v>33</v>
      </c>
      <c r="F475" t="s">
        <v>894</v>
      </c>
      <c r="G475">
        <v>431240689</v>
      </c>
      <c r="H475" t="s">
        <v>550</v>
      </c>
      <c r="I475">
        <v>2558</v>
      </c>
      <c r="J475">
        <v>205.7</v>
      </c>
      <c r="K475">
        <v>117.11</v>
      </c>
      <c r="L475">
        <v>526180.6</v>
      </c>
      <c r="M475">
        <v>299567.38</v>
      </c>
      <c r="N475">
        <v>226613.22</v>
      </c>
    </row>
    <row r="476" spans="1:14" x14ac:dyDescent="0.3">
      <c r="A476" t="s">
        <v>14</v>
      </c>
      <c r="B476" t="s">
        <v>49</v>
      </c>
      <c r="C476" t="s">
        <v>50</v>
      </c>
      <c r="D476" t="s">
        <v>17</v>
      </c>
      <c r="E476" t="s">
        <v>33</v>
      </c>
      <c r="F476" t="s">
        <v>834</v>
      </c>
      <c r="G476">
        <v>643259227</v>
      </c>
      <c r="H476" t="s">
        <v>834</v>
      </c>
      <c r="I476">
        <v>3555</v>
      </c>
      <c r="J476">
        <v>421.89</v>
      </c>
      <c r="K476">
        <v>364.69</v>
      </c>
      <c r="L476">
        <v>1499818.95</v>
      </c>
      <c r="M476">
        <v>1296472.95</v>
      </c>
      <c r="N476">
        <v>203346</v>
      </c>
    </row>
    <row r="477" spans="1:14" x14ac:dyDescent="0.3">
      <c r="A477" t="s">
        <v>14</v>
      </c>
      <c r="B477" t="s">
        <v>15</v>
      </c>
      <c r="C477" t="s">
        <v>75</v>
      </c>
      <c r="D477" t="s">
        <v>23</v>
      </c>
      <c r="E477" t="s">
        <v>54</v>
      </c>
      <c r="F477" t="s">
        <v>895</v>
      </c>
      <c r="G477">
        <v>151312482</v>
      </c>
      <c r="H477" t="s">
        <v>896</v>
      </c>
      <c r="I477">
        <v>5581</v>
      </c>
      <c r="J477">
        <v>437.2</v>
      </c>
      <c r="K477">
        <v>263.33</v>
      </c>
      <c r="L477">
        <v>2440013.2000000002</v>
      </c>
      <c r="M477">
        <v>1469644.73</v>
      </c>
      <c r="N477">
        <v>970368.47</v>
      </c>
    </row>
    <row r="478" spans="1:14" x14ac:dyDescent="0.3">
      <c r="A478" t="s">
        <v>14</v>
      </c>
      <c r="B478" t="s">
        <v>27</v>
      </c>
      <c r="C478" t="s">
        <v>37</v>
      </c>
      <c r="D478" t="s">
        <v>23</v>
      </c>
      <c r="E478" t="s">
        <v>24</v>
      </c>
      <c r="F478" t="s">
        <v>289</v>
      </c>
      <c r="G478">
        <v>750047194</v>
      </c>
      <c r="H478" t="s">
        <v>804</v>
      </c>
      <c r="I478">
        <v>4487</v>
      </c>
      <c r="J478">
        <v>9.33</v>
      </c>
      <c r="K478">
        <v>6.92</v>
      </c>
      <c r="L478">
        <v>41863.71</v>
      </c>
      <c r="M478">
        <v>31050.04</v>
      </c>
      <c r="N478">
        <v>10813.67</v>
      </c>
    </row>
    <row r="479" spans="1:14" x14ac:dyDescent="0.3">
      <c r="A479" t="s">
        <v>14</v>
      </c>
      <c r="B479" t="s">
        <v>49</v>
      </c>
      <c r="C479" t="s">
        <v>37</v>
      </c>
      <c r="D479" t="s">
        <v>17</v>
      </c>
      <c r="E479" t="s">
        <v>33</v>
      </c>
      <c r="F479" t="s">
        <v>897</v>
      </c>
      <c r="G479">
        <v>721318805</v>
      </c>
      <c r="H479" t="s">
        <v>527</v>
      </c>
      <c r="I479">
        <v>3118</v>
      </c>
      <c r="J479">
        <v>9.33</v>
      </c>
      <c r="K479">
        <v>6.92</v>
      </c>
      <c r="L479">
        <v>29090.94</v>
      </c>
      <c r="M479">
        <v>21576.560000000001</v>
      </c>
      <c r="N479">
        <v>7514.38</v>
      </c>
    </row>
    <row r="480" spans="1:14" x14ac:dyDescent="0.3">
      <c r="A480" t="s">
        <v>14</v>
      </c>
      <c r="B480" t="s">
        <v>257</v>
      </c>
      <c r="C480" t="s">
        <v>16</v>
      </c>
      <c r="D480" t="s">
        <v>17</v>
      </c>
      <c r="E480" t="s">
        <v>54</v>
      </c>
      <c r="F480" t="s">
        <v>898</v>
      </c>
      <c r="G480">
        <v>599997556</v>
      </c>
      <c r="H480" t="s">
        <v>899</v>
      </c>
      <c r="I480">
        <v>1465</v>
      </c>
      <c r="J480">
        <v>47.45</v>
      </c>
      <c r="K480">
        <v>31.79</v>
      </c>
      <c r="L480">
        <v>69514.25</v>
      </c>
      <c r="M480">
        <v>46572.35</v>
      </c>
      <c r="N480">
        <v>22941.9</v>
      </c>
    </row>
    <row r="481" spans="1:14" x14ac:dyDescent="0.3">
      <c r="A481" t="s">
        <v>14</v>
      </c>
      <c r="B481" t="s">
        <v>36</v>
      </c>
      <c r="C481" t="s">
        <v>16</v>
      </c>
      <c r="D481" t="s">
        <v>23</v>
      </c>
      <c r="E481" t="s">
        <v>24</v>
      </c>
      <c r="F481" t="s">
        <v>900</v>
      </c>
      <c r="G481">
        <v>826677262</v>
      </c>
      <c r="H481" t="s">
        <v>901</v>
      </c>
      <c r="I481">
        <v>1027</v>
      </c>
      <c r="J481">
        <v>47.45</v>
      </c>
      <c r="K481">
        <v>31.79</v>
      </c>
      <c r="L481">
        <v>48731.15</v>
      </c>
      <c r="M481">
        <v>32648.33</v>
      </c>
      <c r="N481">
        <v>16082.82</v>
      </c>
    </row>
    <row r="482" spans="1:14" x14ac:dyDescent="0.3">
      <c r="A482" t="s">
        <v>14</v>
      </c>
      <c r="B482" t="s">
        <v>89</v>
      </c>
      <c r="C482" t="s">
        <v>16</v>
      </c>
      <c r="D482" t="s">
        <v>17</v>
      </c>
      <c r="E482" t="s">
        <v>54</v>
      </c>
      <c r="F482" t="s">
        <v>523</v>
      </c>
      <c r="G482">
        <v>735445678</v>
      </c>
      <c r="H482" t="s">
        <v>902</v>
      </c>
      <c r="I482">
        <v>3574</v>
      </c>
      <c r="J482">
        <v>47.45</v>
      </c>
      <c r="K482">
        <v>31.79</v>
      </c>
      <c r="L482">
        <v>169586.3</v>
      </c>
      <c r="M482">
        <v>113617.46</v>
      </c>
      <c r="N482">
        <v>55968.84</v>
      </c>
    </row>
    <row r="483" spans="1:14" x14ac:dyDescent="0.3">
      <c r="A483" t="s">
        <v>14</v>
      </c>
      <c r="B483" t="s">
        <v>61</v>
      </c>
      <c r="C483" t="s">
        <v>46</v>
      </c>
      <c r="D483" t="s">
        <v>17</v>
      </c>
      <c r="E483" t="s">
        <v>33</v>
      </c>
      <c r="F483" t="s">
        <v>903</v>
      </c>
      <c r="G483">
        <v>354270303</v>
      </c>
      <c r="H483" t="s">
        <v>904</v>
      </c>
      <c r="I483">
        <v>5310</v>
      </c>
      <c r="J483">
        <v>154.06</v>
      </c>
      <c r="K483">
        <v>90.93</v>
      </c>
      <c r="L483">
        <v>818058.6</v>
      </c>
      <c r="M483">
        <v>482838.3</v>
      </c>
      <c r="N483">
        <v>335220.3</v>
      </c>
    </row>
    <row r="484" spans="1:14" x14ac:dyDescent="0.3">
      <c r="A484" t="s">
        <v>14</v>
      </c>
      <c r="B484" t="s">
        <v>166</v>
      </c>
      <c r="C484" t="s">
        <v>28</v>
      </c>
      <c r="D484" t="s">
        <v>17</v>
      </c>
      <c r="E484" t="s">
        <v>54</v>
      </c>
      <c r="F484" t="s">
        <v>218</v>
      </c>
      <c r="G484">
        <v>806662404</v>
      </c>
      <c r="H484" t="s">
        <v>208</v>
      </c>
      <c r="I484">
        <v>8186</v>
      </c>
      <c r="J484">
        <v>205.7</v>
      </c>
      <c r="K484">
        <v>117.11</v>
      </c>
      <c r="L484">
        <v>1683860.2</v>
      </c>
      <c r="M484">
        <v>958662.46</v>
      </c>
      <c r="N484">
        <v>725197.74</v>
      </c>
    </row>
    <row r="485" spans="1:14" x14ac:dyDescent="0.3">
      <c r="A485" t="s">
        <v>14</v>
      </c>
      <c r="B485" t="s">
        <v>67</v>
      </c>
      <c r="C485" t="s">
        <v>102</v>
      </c>
      <c r="D485" t="s">
        <v>17</v>
      </c>
      <c r="E485" t="s">
        <v>18</v>
      </c>
      <c r="F485" t="s">
        <v>905</v>
      </c>
      <c r="G485">
        <v>933699119</v>
      </c>
      <c r="H485" t="s">
        <v>637</v>
      </c>
      <c r="I485">
        <v>1173</v>
      </c>
      <c r="J485">
        <v>81.73</v>
      </c>
      <c r="K485">
        <v>56.67</v>
      </c>
      <c r="L485">
        <v>95869.29</v>
      </c>
      <c r="M485">
        <v>66473.91</v>
      </c>
      <c r="N485">
        <v>29395.38</v>
      </c>
    </row>
    <row r="486" spans="1:14" x14ac:dyDescent="0.3">
      <c r="A486" t="s">
        <v>14</v>
      </c>
      <c r="B486" t="s">
        <v>49</v>
      </c>
      <c r="C486" t="s">
        <v>64</v>
      </c>
      <c r="D486" t="s">
        <v>17</v>
      </c>
      <c r="E486" t="s">
        <v>18</v>
      </c>
      <c r="F486" t="s">
        <v>906</v>
      </c>
      <c r="G486">
        <v>726223170</v>
      </c>
      <c r="H486" t="s">
        <v>907</v>
      </c>
      <c r="I486">
        <v>4429</v>
      </c>
      <c r="J486">
        <v>255.28</v>
      </c>
      <c r="K486">
        <v>159.41999999999999</v>
      </c>
      <c r="L486">
        <v>1130635.1200000001</v>
      </c>
      <c r="M486">
        <v>706071.18</v>
      </c>
      <c r="N486">
        <v>424563.94</v>
      </c>
    </row>
    <row r="487" spans="1:14" x14ac:dyDescent="0.3">
      <c r="A487" t="s">
        <v>14</v>
      </c>
      <c r="B487" t="s">
        <v>15</v>
      </c>
      <c r="C487" t="s">
        <v>50</v>
      </c>
      <c r="D487" t="s">
        <v>23</v>
      </c>
      <c r="E487" t="s">
        <v>24</v>
      </c>
      <c r="F487" t="s">
        <v>908</v>
      </c>
      <c r="G487">
        <v>692555224</v>
      </c>
      <c r="H487" t="s">
        <v>909</v>
      </c>
      <c r="I487">
        <v>1336</v>
      </c>
      <c r="J487">
        <v>421.89</v>
      </c>
      <c r="K487">
        <v>364.69</v>
      </c>
      <c r="L487">
        <v>563645.04</v>
      </c>
      <c r="M487">
        <v>487225.84</v>
      </c>
      <c r="N487">
        <v>76419.199999999997</v>
      </c>
    </row>
    <row r="488" spans="1:14" x14ac:dyDescent="0.3">
      <c r="A488" t="s">
        <v>14</v>
      </c>
      <c r="B488" t="s">
        <v>36</v>
      </c>
      <c r="C488" t="s">
        <v>46</v>
      </c>
      <c r="D488" t="s">
        <v>23</v>
      </c>
      <c r="E488" t="s">
        <v>33</v>
      </c>
      <c r="F488" t="s">
        <v>910</v>
      </c>
      <c r="G488">
        <v>134121024</v>
      </c>
      <c r="H488" t="s">
        <v>911</v>
      </c>
      <c r="I488">
        <v>8246</v>
      </c>
      <c r="J488">
        <v>154.06</v>
      </c>
      <c r="K488">
        <v>90.93</v>
      </c>
      <c r="L488">
        <v>1270378.76</v>
      </c>
      <c r="M488">
        <v>749808.78</v>
      </c>
      <c r="N488">
        <v>520569.98</v>
      </c>
    </row>
    <row r="489" spans="1:14" x14ac:dyDescent="0.3">
      <c r="A489" t="s">
        <v>14</v>
      </c>
      <c r="B489" t="s">
        <v>36</v>
      </c>
      <c r="C489" t="s">
        <v>22</v>
      </c>
      <c r="D489" t="s">
        <v>17</v>
      </c>
      <c r="E489" t="s">
        <v>18</v>
      </c>
      <c r="F489" t="s">
        <v>785</v>
      </c>
      <c r="G489">
        <v>660312926</v>
      </c>
      <c r="H489" t="s">
        <v>912</v>
      </c>
      <c r="I489">
        <v>123</v>
      </c>
      <c r="J489">
        <v>109.28</v>
      </c>
      <c r="K489">
        <v>35.840000000000003</v>
      </c>
      <c r="L489">
        <v>13441.44</v>
      </c>
      <c r="M489">
        <v>4408.32</v>
      </c>
      <c r="N489">
        <v>9033.1200000000008</v>
      </c>
    </row>
    <row r="490" spans="1:14" x14ac:dyDescent="0.3">
      <c r="A490" t="s">
        <v>14</v>
      </c>
      <c r="B490" t="s">
        <v>74</v>
      </c>
      <c r="C490" t="s">
        <v>75</v>
      </c>
      <c r="D490" t="s">
        <v>23</v>
      </c>
      <c r="E490" t="s">
        <v>18</v>
      </c>
      <c r="F490" t="s">
        <v>843</v>
      </c>
      <c r="G490">
        <v>140461766</v>
      </c>
      <c r="H490" t="s">
        <v>544</v>
      </c>
      <c r="I490">
        <v>4613</v>
      </c>
      <c r="J490">
        <v>437.2</v>
      </c>
      <c r="K490">
        <v>263.33</v>
      </c>
      <c r="L490">
        <v>2016803.6</v>
      </c>
      <c r="M490">
        <v>1214741.29</v>
      </c>
      <c r="N490">
        <v>802062.31</v>
      </c>
    </row>
    <row r="491" spans="1:14" x14ac:dyDescent="0.3">
      <c r="A491" t="s">
        <v>14</v>
      </c>
      <c r="B491" t="s">
        <v>74</v>
      </c>
      <c r="C491" t="s">
        <v>28</v>
      </c>
      <c r="D491" t="s">
        <v>17</v>
      </c>
      <c r="E491" t="s">
        <v>18</v>
      </c>
      <c r="F491" t="s">
        <v>624</v>
      </c>
      <c r="G491">
        <v>741964948</v>
      </c>
      <c r="H491" t="s">
        <v>472</v>
      </c>
      <c r="I491">
        <v>2771</v>
      </c>
      <c r="J491">
        <v>205.7</v>
      </c>
      <c r="K491">
        <v>117.11</v>
      </c>
      <c r="L491">
        <v>569994.69999999995</v>
      </c>
      <c r="M491">
        <v>324511.81</v>
      </c>
      <c r="N491">
        <v>245482.89</v>
      </c>
    </row>
    <row r="492" spans="1:14" x14ac:dyDescent="0.3">
      <c r="A492" t="s">
        <v>14</v>
      </c>
      <c r="B492" t="s">
        <v>61</v>
      </c>
      <c r="C492" t="s">
        <v>58</v>
      </c>
      <c r="D492" t="s">
        <v>17</v>
      </c>
      <c r="E492" t="s">
        <v>18</v>
      </c>
      <c r="F492" t="s">
        <v>722</v>
      </c>
      <c r="G492">
        <v>476453721</v>
      </c>
      <c r="H492" t="s">
        <v>913</v>
      </c>
      <c r="I492">
        <v>2099</v>
      </c>
      <c r="J492">
        <v>152.58000000000001</v>
      </c>
      <c r="K492">
        <v>97.44</v>
      </c>
      <c r="L492">
        <v>320265.42</v>
      </c>
      <c r="M492">
        <v>204526.56</v>
      </c>
      <c r="N492">
        <v>115738.86</v>
      </c>
    </row>
    <row r="493" spans="1:14" x14ac:dyDescent="0.3">
      <c r="A493" t="s">
        <v>14</v>
      </c>
      <c r="B493" t="s">
        <v>57</v>
      </c>
      <c r="C493" t="s">
        <v>37</v>
      </c>
      <c r="D493" t="s">
        <v>23</v>
      </c>
      <c r="E493" t="s">
        <v>24</v>
      </c>
      <c r="F493" t="s">
        <v>914</v>
      </c>
      <c r="G493">
        <v>111496055</v>
      </c>
      <c r="H493" t="s">
        <v>915</v>
      </c>
      <c r="I493">
        <v>3015</v>
      </c>
      <c r="J493">
        <v>9.33</v>
      </c>
      <c r="K493">
        <v>6.92</v>
      </c>
      <c r="L493">
        <v>28129.95</v>
      </c>
      <c r="M493">
        <v>20863.8</v>
      </c>
      <c r="N493">
        <v>7266.15</v>
      </c>
    </row>
    <row r="494" spans="1:14" x14ac:dyDescent="0.3">
      <c r="A494" t="s">
        <v>14</v>
      </c>
      <c r="B494" t="s">
        <v>243</v>
      </c>
      <c r="C494" t="s">
        <v>46</v>
      </c>
      <c r="D494" t="s">
        <v>23</v>
      </c>
      <c r="E494" t="s">
        <v>33</v>
      </c>
      <c r="F494" t="s">
        <v>916</v>
      </c>
      <c r="G494">
        <v>628515231</v>
      </c>
      <c r="H494" t="s">
        <v>917</v>
      </c>
      <c r="I494">
        <v>479</v>
      </c>
      <c r="J494">
        <v>154.06</v>
      </c>
      <c r="K494">
        <v>90.93</v>
      </c>
      <c r="L494">
        <v>73794.740000000005</v>
      </c>
      <c r="M494">
        <v>43555.47</v>
      </c>
      <c r="N494">
        <v>30239.27</v>
      </c>
    </row>
    <row r="495" spans="1:14" x14ac:dyDescent="0.3">
      <c r="A495" t="s">
        <v>14</v>
      </c>
      <c r="B495" t="s">
        <v>243</v>
      </c>
      <c r="C495" t="s">
        <v>32</v>
      </c>
      <c r="D495" t="s">
        <v>17</v>
      </c>
      <c r="E495" t="s">
        <v>24</v>
      </c>
      <c r="F495" t="s">
        <v>256</v>
      </c>
      <c r="G495">
        <v>601894414</v>
      </c>
      <c r="H495" t="s">
        <v>221</v>
      </c>
      <c r="I495">
        <v>2787</v>
      </c>
      <c r="J495">
        <v>651.21</v>
      </c>
      <c r="K495">
        <v>524.96</v>
      </c>
      <c r="L495">
        <v>1814922.27</v>
      </c>
      <c r="M495">
        <v>1463063.52</v>
      </c>
      <c r="N495">
        <v>351858.75</v>
      </c>
    </row>
    <row r="496" spans="1:14" x14ac:dyDescent="0.3">
      <c r="A496" t="s">
        <v>14</v>
      </c>
      <c r="B496" t="s">
        <v>21</v>
      </c>
      <c r="C496" t="s">
        <v>58</v>
      </c>
      <c r="D496" t="s">
        <v>17</v>
      </c>
      <c r="E496" t="s">
        <v>33</v>
      </c>
      <c r="F496" t="s">
        <v>918</v>
      </c>
      <c r="G496">
        <v>954040992</v>
      </c>
      <c r="H496" t="s">
        <v>919</v>
      </c>
      <c r="I496">
        <v>785</v>
      </c>
      <c r="J496">
        <v>152.58000000000001</v>
      </c>
      <c r="K496">
        <v>97.44</v>
      </c>
      <c r="L496">
        <v>119775.3</v>
      </c>
      <c r="M496">
        <v>76490.399999999994</v>
      </c>
      <c r="N496">
        <v>43284.9</v>
      </c>
    </row>
    <row r="497" spans="1:14" x14ac:dyDescent="0.3">
      <c r="A497" t="s">
        <v>14</v>
      </c>
      <c r="B497" t="s">
        <v>15</v>
      </c>
      <c r="C497" t="s">
        <v>32</v>
      </c>
      <c r="D497" t="s">
        <v>23</v>
      </c>
      <c r="E497" t="s">
        <v>24</v>
      </c>
      <c r="F497" t="s">
        <v>920</v>
      </c>
      <c r="G497">
        <v>865824210</v>
      </c>
      <c r="H497" t="s">
        <v>921</v>
      </c>
      <c r="I497">
        <v>5479</v>
      </c>
      <c r="J497">
        <v>651.21</v>
      </c>
      <c r="K497">
        <v>524.96</v>
      </c>
      <c r="L497">
        <v>3567979.59</v>
      </c>
      <c r="M497">
        <v>2876255.84</v>
      </c>
      <c r="N497">
        <v>691723.75</v>
      </c>
    </row>
    <row r="498" spans="1:14" x14ac:dyDescent="0.3">
      <c r="A498" t="s">
        <v>14</v>
      </c>
      <c r="B498" t="s">
        <v>57</v>
      </c>
      <c r="C498" t="s">
        <v>22</v>
      </c>
      <c r="D498" t="s">
        <v>17</v>
      </c>
      <c r="E498" t="s">
        <v>24</v>
      </c>
      <c r="F498" t="s">
        <v>539</v>
      </c>
      <c r="G498">
        <v>761887109</v>
      </c>
      <c r="H498" t="s">
        <v>922</v>
      </c>
      <c r="I498">
        <v>8181</v>
      </c>
      <c r="J498">
        <v>109.28</v>
      </c>
      <c r="K498">
        <v>35.840000000000003</v>
      </c>
      <c r="L498">
        <v>894019.68</v>
      </c>
      <c r="M498">
        <v>293207.03999999998</v>
      </c>
      <c r="N498">
        <v>600812.64</v>
      </c>
    </row>
    <row r="499" spans="1:14" x14ac:dyDescent="0.3">
      <c r="A499" t="s">
        <v>14</v>
      </c>
      <c r="B499" t="s">
        <v>342</v>
      </c>
      <c r="C499" t="s">
        <v>32</v>
      </c>
      <c r="D499" t="s">
        <v>23</v>
      </c>
      <c r="E499" t="s">
        <v>33</v>
      </c>
      <c r="F499" t="s">
        <v>923</v>
      </c>
      <c r="G499">
        <v>160578763</v>
      </c>
      <c r="H499" t="s">
        <v>924</v>
      </c>
      <c r="I499">
        <v>7679</v>
      </c>
      <c r="J499">
        <v>651.21</v>
      </c>
      <c r="K499">
        <v>524.96</v>
      </c>
      <c r="L499">
        <v>5000641.59</v>
      </c>
      <c r="M499">
        <v>4031167.84</v>
      </c>
      <c r="N499">
        <v>969473.75</v>
      </c>
    </row>
    <row r="500" spans="1:14" x14ac:dyDescent="0.3">
      <c r="A500" t="s">
        <v>14</v>
      </c>
      <c r="B500" t="s">
        <v>83</v>
      </c>
      <c r="C500" t="s">
        <v>46</v>
      </c>
      <c r="D500" t="s">
        <v>17</v>
      </c>
      <c r="E500" t="s">
        <v>24</v>
      </c>
      <c r="F500" t="s">
        <v>925</v>
      </c>
      <c r="G500">
        <v>992992675</v>
      </c>
      <c r="H500" t="s">
        <v>926</v>
      </c>
      <c r="I500">
        <v>7454</v>
      </c>
      <c r="J500">
        <v>154.06</v>
      </c>
      <c r="K500">
        <v>90.93</v>
      </c>
      <c r="L500">
        <v>1148363.24</v>
      </c>
      <c r="M500">
        <v>677792.22</v>
      </c>
      <c r="N500">
        <v>470571.02</v>
      </c>
    </row>
    <row r="501" spans="1:14" x14ac:dyDescent="0.3">
      <c r="A501" t="s">
        <v>14</v>
      </c>
      <c r="B501" t="s">
        <v>243</v>
      </c>
      <c r="C501" t="s">
        <v>22</v>
      </c>
      <c r="D501" t="s">
        <v>23</v>
      </c>
      <c r="E501" t="s">
        <v>24</v>
      </c>
      <c r="F501" t="s">
        <v>927</v>
      </c>
      <c r="G501">
        <v>231369769</v>
      </c>
      <c r="H501" t="s">
        <v>928</v>
      </c>
      <c r="I501">
        <v>6311</v>
      </c>
      <c r="J501">
        <v>109.28</v>
      </c>
      <c r="K501">
        <v>35.840000000000003</v>
      </c>
      <c r="L501">
        <v>689666.08</v>
      </c>
      <c r="M501">
        <v>226186.23999999999</v>
      </c>
      <c r="N501">
        <v>463479.84</v>
      </c>
    </row>
    <row r="502" spans="1:14" x14ac:dyDescent="0.3">
      <c r="A502" t="s">
        <v>14</v>
      </c>
      <c r="B502" t="s">
        <v>138</v>
      </c>
      <c r="C502" t="s">
        <v>75</v>
      </c>
      <c r="D502" t="s">
        <v>23</v>
      </c>
      <c r="E502" t="s">
        <v>24</v>
      </c>
      <c r="F502" t="s">
        <v>315</v>
      </c>
      <c r="G502">
        <v>852392995</v>
      </c>
      <c r="H502" t="s">
        <v>484</v>
      </c>
      <c r="I502">
        <v>884</v>
      </c>
      <c r="J502">
        <v>437.2</v>
      </c>
      <c r="K502">
        <v>263.33</v>
      </c>
      <c r="L502">
        <v>386484.8</v>
      </c>
      <c r="M502">
        <v>232783.72</v>
      </c>
      <c r="N502">
        <v>153701.07999999999</v>
      </c>
    </row>
    <row r="503" spans="1:14" x14ac:dyDescent="0.3">
      <c r="A503" t="s">
        <v>14</v>
      </c>
      <c r="B503" t="s">
        <v>181</v>
      </c>
      <c r="C503" t="s">
        <v>58</v>
      </c>
      <c r="D503" t="s">
        <v>17</v>
      </c>
      <c r="E503" t="s">
        <v>24</v>
      </c>
      <c r="F503" t="s">
        <v>929</v>
      </c>
      <c r="G503">
        <v>597105491</v>
      </c>
      <c r="H503" t="s">
        <v>286</v>
      </c>
      <c r="I503">
        <v>5639</v>
      </c>
      <c r="J503">
        <v>152.58000000000001</v>
      </c>
      <c r="K503">
        <v>97.44</v>
      </c>
      <c r="L503">
        <v>860398.62</v>
      </c>
      <c r="M503">
        <v>549464.16</v>
      </c>
      <c r="N503">
        <v>310934.46000000002</v>
      </c>
    </row>
    <row r="504" spans="1:14" x14ac:dyDescent="0.3">
      <c r="A504" t="s">
        <v>14</v>
      </c>
      <c r="B504" t="s">
        <v>220</v>
      </c>
      <c r="C504" t="s">
        <v>37</v>
      </c>
      <c r="D504" t="s">
        <v>17</v>
      </c>
      <c r="E504" t="s">
        <v>33</v>
      </c>
      <c r="F504" t="s">
        <v>930</v>
      </c>
      <c r="G504">
        <v>716054379</v>
      </c>
      <c r="H504" t="s">
        <v>931</v>
      </c>
      <c r="I504">
        <v>5258</v>
      </c>
      <c r="J504">
        <v>9.33</v>
      </c>
      <c r="K504">
        <v>6.92</v>
      </c>
      <c r="L504">
        <v>49057.14</v>
      </c>
      <c r="M504">
        <v>36385.360000000001</v>
      </c>
      <c r="N504">
        <v>12671.78</v>
      </c>
    </row>
    <row r="505" spans="1:14" x14ac:dyDescent="0.3">
      <c r="A505" t="s">
        <v>14</v>
      </c>
      <c r="B505" t="s">
        <v>27</v>
      </c>
      <c r="C505" t="s">
        <v>32</v>
      </c>
      <c r="D505" t="s">
        <v>17</v>
      </c>
      <c r="E505" t="s">
        <v>18</v>
      </c>
      <c r="F505" t="s">
        <v>932</v>
      </c>
      <c r="G505">
        <v>511712110</v>
      </c>
      <c r="H505" t="s">
        <v>933</v>
      </c>
      <c r="I505">
        <v>5839</v>
      </c>
      <c r="J505">
        <v>651.21</v>
      </c>
      <c r="K505">
        <v>524.96</v>
      </c>
      <c r="L505">
        <v>3802415.19</v>
      </c>
      <c r="M505">
        <v>3065241.44</v>
      </c>
      <c r="N505">
        <v>737173.75</v>
      </c>
    </row>
    <row r="506" spans="1:14" x14ac:dyDescent="0.3">
      <c r="A506" t="s">
        <v>14</v>
      </c>
      <c r="B506" t="s">
        <v>53</v>
      </c>
      <c r="C506" t="s">
        <v>64</v>
      </c>
      <c r="D506" t="s">
        <v>17</v>
      </c>
      <c r="E506" t="s">
        <v>18</v>
      </c>
      <c r="F506" t="s">
        <v>934</v>
      </c>
      <c r="G506">
        <v>481308305</v>
      </c>
      <c r="H506" t="s">
        <v>752</v>
      </c>
      <c r="I506">
        <v>8678</v>
      </c>
      <c r="J506">
        <v>255.28</v>
      </c>
      <c r="K506">
        <v>159.41999999999999</v>
      </c>
      <c r="L506">
        <v>2215319.84</v>
      </c>
      <c r="M506">
        <v>1383446.76</v>
      </c>
      <c r="N506">
        <v>831873.08</v>
      </c>
    </row>
    <row r="507" spans="1:14" x14ac:dyDescent="0.3">
      <c r="A507" t="s">
        <v>14</v>
      </c>
      <c r="B507" t="s">
        <v>220</v>
      </c>
      <c r="C507" t="s">
        <v>71</v>
      </c>
      <c r="D507" t="s">
        <v>23</v>
      </c>
      <c r="E507" t="s">
        <v>18</v>
      </c>
      <c r="F507" t="s">
        <v>935</v>
      </c>
      <c r="G507">
        <v>266638886</v>
      </c>
      <c r="H507" t="s">
        <v>936</v>
      </c>
      <c r="I507">
        <v>3227</v>
      </c>
      <c r="J507">
        <v>668.27</v>
      </c>
      <c r="K507">
        <v>502.54</v>
      </c>
      <c r="L507">
        <v>2156507.29</v>
      </c>
      <c r="M507">
        <v>1621696.58</v>
      </c>
      <c r="N507">
        <v>534810.71</v>
      </c>
    </row>
    <row r="508" spans="1:14" x14ac:dyDescent="0.3">
      <c r="A508" t="s">
        <v>14</v>
      </c>
      <c r="B508" t="s">
        <v>146</v>
      </c>
      <c r="C508" t="s">
        <v>50</v>
      </c>
      <c r="D508" t="s">
        <v>23</v>
      </c>
      <c r="E508" t="s">
        <v>54</v>
      </c>
      <c r="F508" t="s">
        <v>937</v>
      </c>
      <c r="G508">
        <v>638314521</v>
      </c>
      <c r="H508" t="s">
        <v>938</v>
      </c>
      <c r="I508">
        <v>306</v>
      </c>
      <c r="J508">
        <v>421.89</v>
      </c>
      <c r="K508">
        <v>364.69</v>
      </c>
      <c r="L508">
        <v>129098.34</v>
      </c>
      <c r="M508">
        <v>111595.14</v>
      </c>
      <c r="N508">
        <v>17503.2</v>
      </c>
    </row>
    <row r="509" spans="1:14" x14ac:dyDescent="0.3">
      <c r="A509" t="s">
        <v>14</v>
      </c>
      <c r="B509" t="s">
        <v>49</v>
      </c>
      <c r="C509" t="s">
        <v>75</v>
      </c>
      <c r="D509" t="s">
        <v>23</v>
      </c>
      <c r="E509" t="s">
        <v>24</v>
      </c>
      <c r="F509" t="s">
        <v>939</v>
      </c>
      <c r="G509">
        <v>811977040</v>
      </c>
      <c r="H509" t="s">
        <v>940</v>
      </c>
      <c r="I509">
        <v>905</v>
      </c>
      <c r="J509">
        <v>437.2</v>
      </c>
      <c r="K509">
        <v>263.33</v>
      </c>
      <c r="L509">
        <v>395666</v>
      </c>
      <c r="M509">
        <v>238313.65</v>
      </c>
      <c r="N509">
        <v>157352.35</v>
      </c>
    </row>
    <row r="510" spans="1:14" x14ac:dyDescent="0.3">
      <c r="A510" t="s">
        <v>14</v>
      </c>
      <c r="B510" t="s">
        <v>67</v>
      </c>
      <c r="C510" t="s">
        <v>50</v>
      </c>
      <c r="D510" t="s">
        <v>23</v>
      </c>
      <c r="E510" t="s">
        <v>24</v>
      </c>
      <c r="F510" t="s">
        <v>941</v>
      </c>
      <c r="G510">
        <v>344160735</v>
      </c>
      <c r="H510" t="s">
        <v>942</v>
      </c>
      <c r="I510">
        <v>3664</v>
      </c>
      <c r="J510">
        <v>421.89</v>
      </c>
      <c r="K510">
        <v>364.69</v>
      </c>
      <c r="L510">
        <v>1545804.96</v>
      </c>
      <c r="M510">
        <v>1336224.1599999999</v>
      </c>
      <c r="N510">
        <v>209580.79999999999</v>
      </c>
    </row>
    <row r="511" spans="1:14" x14ac:dyDescent="0.3">
      <c r="A511" t="s">
        <v>14</v>
      </c>
      <c r="B511" t="s">
        <v>70</v>
      </c>
      <c r="C511" t="s">
        <v>71</v>
      </c>
      <c r="D511" t="s">
        <v>23</v>
      </c>
      <c r="E511" t="s">
        <v>54</v>
      </c>
      <c r="F511" t="s">
        <v>69</v>
      </c>
      <c r="G511">
        <v>549058330</v>
      </c>
      <c r="H511" t="s">
        <v>943</v>
      </c>
      <c r="I511">
        <v>7416</v>
      </c>
      <c r="J511">
        <v>668.27</v>
      </c>
      <c r="K511">
        <v>502.54</v>
      </c>
      <c r="L511">
        <v>4955890.32</v>
      </c>
      <c r="M511">
        <v>3726836.64</v>
      </c>
      <c r="N511">
        <v>1229053.68</v>
      </c>
    </row>
    <row r="512" spans="1:14" x14ac:dyDescent="0.3">
      <c r="A512" t="s">
        <v>14</v>
      </c>
      <c r="B512" t="s">
        <v>183</v>
      </c>
      <c r="C512" t="s">
        <v>50</v>
      </c>
      <c r="D512" t="s">
        <v>23</v>
      </c>
      <c r="E512" t="s">
        <v>54</v>
      </c>
      <c r="F512" t="s">
        <v>944</v>
      </c>
      <c r="G512">
        <v>969199979</v>
      </c>
      <c r="H512" t="s">
        <v>945</v>
      </c>
      <c r="I512">
        <v>6666</v>
      </c>
      <c r="J512">
        <v>421.89</v>
      </c>
      <c r="K512">
        <v>364.69</v>
      </c>
      <c r="L512">
        <v>2812318.74</v>
      </c>
      <c r="M512">
        <v>2431023.54</v>
      </c>
      <c r="N512">
        <v>381295.2</v>
      </c>
    </row>
    <row r="513" spans="1:14" x14ac:dyDescent="0.3">
      <c r="A513" t="s">
        <v>14</v>
      </c>
      <c r="B513" t="s">
        <v>166</v>
      </c>
      <c r="C513" t="s">
        <v>64</v>
      </c>
      <c r="D513" t="s">
        <v>17</v>
      </c>
      <c r="E513" t="s">
        <v>33</v>
      </c>
      <c r="F513" t="s">
        <v>712</v>
      </c>
      <c r="G513">
        <v>956594026</v>
      </c>
      <c r="H513" t="s">
        <v>946</v>
      </c>
      <c r="I513">
        <v>6285</v>
      </c>
      <c r="J513">
        <v>255.28</v>
      </c>
      <c r="K513">
        <v>159.41999999999999</v>
      </c>
      <c r="L513">
        <v>1604434.8</v>
      </c>
      <c r="M513">
        <v>1001954.7</v>
      </c>
      <c r="N513">
        <v>602480.1</v>
      </c>
    </row>
    <row r="514" spans="1:14" x14ac:dyDescent="0.3">
      <c r="A514" t="s">
        <v>14</v>
      </c>
      <c r="B514" t="s">
        <v>74</v>
      </c>
      <c r="C514" t="s">
        <v>16</v>
      </c>
      <c r="D514" t="s">
        <v>23</v>
      </c>
      <c r="E514" t="s">
        <v>54</v>
      </c>
      <c r="F514" t="s">
        <v>947</v>
      </c>
      <c r="G514">
        <v>712595832</v>
      </c>
      <c r="H514" t="s">
        <v>948</v>
      </c>
      <c r="I514">
        <v>1797</v>
      </c>
      <c r="J514">
        <v>47.45</v>
      </c>
      <c r="K514">
        <v>31.79</v>
      </c>
      <c r="L514">
        <v>85267.65</v>
      </c>
      <c r="M514">
        <v>57126.63</v>
      </c>
      <c r="N514">
        <v>28141.02</v>
      </c>
    </row>
    <row r="515" spans="1:14" x14ac:dyDescent="0.3">
      <c r="A515" t="s">
        <v>14</v>
      </c>
      <c r="B515" t="s">
        <v>185</v>
      </c>
      <c r="C515" t="s">
        <v>64</v>
      </c>
      <c r="D515" t="s">
        <v>17</v>
      </c>
      <c r="E515" t="s">
        <v>18</v>
      </c>
      <c r="F515" t="s">
        <v>236</v>
      </c>
      <c r="G515">
        <v>748357188</v>
      </c>
      <c r="H515" t="s">
        <v>949</v>
      </c>
      <c r="I515">
        <v>4377</v>
      </c>
      <c r="J515">
        <v>255.28</v>
      </c>
      <c r="K515">
        <v>159.41999999999999</v>
      </c>
      <c r="L515">
        <v>1117360.56</v>
      </c>
      <c r="M515">
        <v>697781.34</v>
      </c>
      <c r="N515">
        <v>419579.22</v>
      </c>
    </row>
    <row r="516" spans="1:14" x14ac:dyDescent="0.3">
      <c r="A516" t="s">
        <v>14</v>
      </c>
      <c r="B516" t="s">
        <v>36</v>
      </c>
      <c r="C516" t="s">
        <v>37</v>
      </c>
      <c r="D516" t="s">
        <v>17</v>
      </c>
      <c r="E516" t="s">
        <v>33</v>
      </c>
      <c r="F516" t="s">
        <v>596</v>
      </c>
      <c r="G516">
        <v>898211562</v>
      </c>
      <c r="H516" t="s">
        <v>829</v>
      </c>
      <c r="I516">
        <v>9616</v>
      </c>
      <c r="J516">
        <v>9.33</v>
      </c>
      <c r="K516">
        <v>6.92</v>
      </c>
      <c r="L516">
        <v>89717.28</v>
      </c>
      <c r="M516">
        <v>66542.720000000001</v>
      </c>
      <c r="N516">
        <v>23174.560000000001</v>
      </c>
    </row>
    <row r="517" spans="1:14" x14ac:dyDescent="0.3">
      <c r="A517" t="s">
        <v>14</v>
      </c>
      <c r="B517" t="s">
        <v>271</v>
      </c>
      <c r="C517" t="s">
        <v>32</v>
      </c>
      <c r="D517" t="s">
        <v>17</v>
      </c>
      <c r="E517" t="s">
        <v>18</v>
      </c>
      <c r="F517" t="s">
        <v>492</v>
      </c>
      <c r="G517">
        <v>729373586</v>
      </c>
      <c r="H517" t="s">
        <v>950</v>
      </c>
      <c r="I517">
        <v>6707</v>
      </c>
      <c r="J517">
        <v>651.21</v>
      </c>
      <c r="K517">
        <v>524.96</v>
      </c>
      <c r="L517">
        <v>4367665.47</v>
      </c>
      <c r="M517">
        <v>3520906.72</v>
      </c>
      <c r="N517">
        <v>846758.75</v>
      </c>
    </row>
    <row r="518" spans="1:14" x14ac:dyDescent="0.3">
      <c r="A518" t="s">
        <v>14</v>
      </c>
      <c r="B518" t="s">
        <v>115</v>
      </c>
      <c r="C518" t="s">
        <v>37</v>
      </c>
      <c r="D518" t="s">
        <v>17</v>
      </c>
      <c r="E518" t="s">
        <v>24</v>
      </c>
      <c r="F518" t="s">
        <v>380</v>
      </c>
      <c r="G518">
        <v>991761863</v>
      </c>
      <c r="H518" t="s">
        <v>692</v>
      </c>
      <c r="I518">
        <v>3229</v>
      </c>
      <c r="J518">
        <v>9.33</v>
      </c>
      <c r="K518">
        <v>6.92</v>
      </c>
      <c r="L518">
        <v>30126.57</v>
      </c>
      <c r="M518">
        <v>22344.68</v>
      </c>
      <c r="N518">
        <v>7781.89</v>
      </c>
    </row>
    <row r="519" spans="1:14" x14ac:dyDescent="0.3">
      <c r="A519" t="s">
        <v>14</v>
      </c>
      <c r="B519" t="s">
        <v>80</v>
      </c>
      <c r="C519" t="s">
        <v>102</v>
      </c>
      <c r="D519" t="s">
        <v>17</v>
      </c>
      <c r="E519" t="s">
        <v>18</v>
      </c>
      <c r="F519" t="s">
        <v>951</v>
      </c>
      <c r="G519">
        <v>160751283</v>
      </c>
      <c r="H519" t="s">
        <v>952</v>
      </c>
      <c r="I519">
        <v>8732</v>
      </c>
      <c r="J519">
        <v>81.73</v>
      </c>
      <c r="K519">
        <v>56.67</v>
      </c>
      <c r="L519">
        <v>713666.36</v>
      </c>
      <c r="M519">
        <v>494842.44</v>
      </c>
      <c r="N519">
        <v>218823.92</v>
      </c>
    </row>
    <row r="520" spans="1:14" x14ac:dyDescent="0.3">
      <c r="A520" t="s">
        <v>14</v>
      </c>
      <c r="B520" t="s">
        <v>181</v>
      </c>
      <c r="C520" t="s">
        <v>71</v>
      </c>
      <c r="D520" t="s">
        <v>23</v>
      </c>
      <c r="E520" t="s">
        <v>54</v>
      </c>
      <c r="F520" t="s">
        <v>656</v>
      </c>
      <c r="G520">
        <v>241392648</v>
      </c>
      <c r="H520" t="s">
        <v>953</v>
      </c>
      <c r="I520">
        <v>2304</v>
      </c>
      <c r="J520">
        <v>668.27</v>
      </c>
      <c r="K520">
        <v>502.54</v>
      </c>
      <c r="L520">
        <v>1539694.08</v>
      </c>
      <c r="M520">
        <v>1157852.1599999999</v>
      </c>
      <c r="N520">
        <v>381841.91999999998</v>
      </c>
    </row>
    <row r="521" spans="1:14" x14ac:dyDescent="0.3">
      <c r="A521" t="s">
        <v>14</v>
      </c>
      <c r="B521" t="s">
        <v>100</v>
      </c>
      <c r="C521" t="s">
        <v>50</v>
      </c>
      <c r="D521" t="s">
        <v>23</v>
      </c>
      <c r="E521" t="s">
        <v>54</v>
      </c>
      <c r="F521" t="s">
        <v>947</v>
      </c>
      <c r="G521">
        <v>901789844</v>
      </c>
      <c r="H521" t="s">
        <v>206</v>
      </c>
      <c r="I521">
        <v>8509</v>
      </c>
      <c r="J521">
        <v>421.89</v>
      </c>
      <c r="K521">
        <v>364.69</v>
      </c>
      <c r="L521">
        <v>3589862.01</v>
      </c>
      <c r="M521">
        <v>3103147.21</v>
      </c>
      <c r="N521">
        <v>486714.8</v>
      </c>
    </row>
    <row r="522" spans="1:14" x14ac:dyDescent="0.3">
      <c r="A522" t="s">
        <v>14</v>
      </c>
      <c r="B522" t="s">
        <v>86</v>
      </c>
      <c r="C522" t="s">
        <v>32</v>
      </c>
      <c r="D522" t="s">
        <v>23</v>
      </c>
      <c r="E522" t="s">
        <v>24</v>
      </c>
      <c r="F522" t="s">
        <v>954</v>
      </c>
      <c r="G522">
        <v>410229337</v>
      </c>
      <c r="H522" t="s">
        <v>955</v>
      </c>
      <c r="I522">
        <v>4832</v>
      </c>
      <c r="J522">
        <v>651.21</v>
      </c>
      <c r="K522">
        <v>524.96</v>
      </c>
      <c r="L522">
        <v>3146646.72</v>
      </c>
      <c r="M522">
        <v>2536606.7200000002</v>
      </c>
      <c r="N522">
        <v>610040</v>
      </c>
    </row>
    <row r="523" spans="1:14" x14ac:dyDescent="0.3">
      <c r="A523" t="s">
        <v>14</v>
      </c>
      <c r="B523" t="s">
        <v>49</v>
      </c>
      <c r="C523" t="s">
        <v>16</v>
      </c>
      <c r="D523" t="s">
        <v>23</v>
      </c>
      <c r="E523" t="s">
        <v>33</v>
      </c>
      <c r="F523" t="s">
        <v>956</v>
      </c>
      <c r="G523">
        <v>837906920</v>
      </c>
      <c r="H523" t="s">
        <v>957</v>
      </c>
      <c r="I523">
        <v>4133</v>
      </c>
      <c r="J523">
        <v>47.45</v>
      </c>
      <c r="K523">
        <v>31.79</v>
      </c>
      <c r="L523">
        <v>196110.85</v>
      </c>
      <c r="M523">
        <v>131388.07</v>
      </c>
      <c r="N523">
        <v>64722.78</v>
      </c>
    </row>
    <row r="524" spans="1:14" x14ac:dyDescent="0.3">
      <c r="A524" t="s">
        <v>14</v>
      </c>
      <c r="B524" t="s">
        <v>243</v>
      </c>
      <c r="C524" t="s">
        <v>71</v>
      </c>
      <c r="D524" t="s">
        <v>23</v>
      </c>
      <c r="E524" t="s">
        <v>18</v>
      </c>
      <c r="F524" t="s">
        <v>958</v>
      </c>
      <c r="G524">
        <v>704361665</v>
      </c>
      <c r="H524" t="s">
        <v>959</v>
      </c>
      <c r="I524">
        <v>5124</v>
      </c>
      <c r="J524">
        <v>668.27</v>
      </c>
      <c r="K524">
        <v>502.54</v>
      </c>
      <c r="L524">
        <v>3424215.48</v>
      </c>
      <c r="M524">
        <v>2575014.96</v>
      </c>
      <c r="N524">
        <v>849200.52</v>
      </c>
    </row>
    <row r="525" spans="1:14" x14ac:dyDescent="0.3">
      <c r="A525" t="s">
        <v>14</v>
      </c>
      <c r="B525" t="s">
        <v>27</v>
      </c>
      <c r="C525" t="s">
        <v>58</v>
      </c>
      <c r="D525" t="s">
        <v>17</v>
      </c>
      <c r="E525" t="s">
        <v>24</v>
      </c>
      <c r="F525" t="s">
        <v>960</v>
      </c>
      <c r="G525">
        <v>400267398</v>
      </c>
      <c r="H525" t="s">
        <v>961</v>
      </c>
      <c r="I525">
        <v>6873</v>
      </c>
      <c r="J525">
        <v>152.58000000000001</v>
      </c>
      <c r="K525">
        <v>97.44</v>
      </c>
      <c r="L525">
        <v>1048682.3400000001</v>
      </c>
      <c r="M525">
        <v>669705.12</v>
      </c>
      <c r="N525">
        <v>378977.22</v>
      </c>
    </row>
    <row r="526" spans="1:14" x14ac:dyDescent="0.3">
      <c r="A526" t="s">
        <v>14</v>
      </c>
      <c r="B526" t="s">
        <v>163</v>
      </c>
      <c r="C526" t="s">
        <v>50</v>
      </c>
      <c r="D526" t="s">
        <v>23</v>
      </c>
      <c r="E526" t="s">
        <v>18</v>
      </c>
      <c r="F526" t="s">
        <v>962</v>
      </c>
      <c r="G526">
        <v>531281936</v>
      </c>
      <c r="H526" t="s">
        <v>543</v>
      </c>
      <c r="I526">
        <v>6986</v>
      </c>
      <c r="J526">
        <v>421.89</v>
      </c>
      <c r="K526">
        <v>364.69</v>
      </c>
      <c r="L526">
        <v>2947323.54</v>
      </c>
      <c r="M526">
        <v>2547724.34</v>
      </c>
      <c r="N526">
        <v>399599.2</v>
      </c>
    </row>
    <row r="527" spans="1:14" x14ac:dyDescent="0.3">
      <c r="A527" t="s">
        <v>14</v>
      </c>
      <c r="B527" t="s">
        <v>183</v>
      </c>
      <c r="C527" t="s">
        <v>75</v>
      </c>
      <c r="D527" t="s">
        <v>23</v>
      </c>
      <c r="E527" t="s">
        <v>18</v>
      </c>
      <c r="F527" t="s">
        <v>963</v>
      </c>
      <c r="G527">
        <v>900808799</v>
      </c>
      <c r="H527" t="s">
        <v>964</v>
      </c>
      <c r="I527">
        <v>8196</v>
      </c>
      <c r="J527">
        <v>437.2</v>
      </c>
      <c r="K527">
        <v>263.33</v>
      </c>
      <c r="L527">
        <v>3583291.2</v>
      </c>
      <c r="M527">
        <v>2158252.6800000002</v>
      </c>
      <c r="N527">
        <v>1425038.52</v>
      </c>
    </row>
    <row r="528" spans="1:14" x14ac:dyDescent="0.3">
      <c r="A528" t="s">
        <v>14</v>
      </c>
      <c r="B528" t="s">
        <v>15</v>
      </c>
      <c r="C528" t="s">
        <v>50</v>
      </c>
      <c r="D528" t="s">
        <v>23</v>
      </c>
      <c r="E528" t="s">
        <v>54</v>
      </c>
      <c r="F528" t="s">
        <v>875</v>
      </c>
      <c r="G528">
        <v>756395232</v>
      </c>
      <c r="H528" t="s">
        <v>965</v>
      </c>
      <c r="I528">
        <v>3013</v>
      </c>
      <c r="J528">
        <v>421.89</v>
      </c>
      <c r="K528">
        <v>364.69</v>
      </c>
      <c r="L528">
        <v>1271154.57</v>
      </c>
      <c r="M528">
        <v>1098810.97</v>
      </c>
      <c r="N528">
        <v>172343.6</v>
      </c>
    </row>
    <row r="529" spans="1:14" x14ac:dyDescent="0.3">
      <c r="A529" t="s">
        <v>14</v>
      </c>
      <c r="B529" t="s">
        <v>271</v>
      </c>
      <c r="C529" t="s">
        <v>22</v>
      </c>
      <c r="D529" t="s">
        <v>23</v>
      </c>
      <c r="E529" t="s">
        <v>18</v>
      </c>
      <c r="F529" t="s">
        <v>966</v>
      </c>
      <c r="G529">
        <v>261187350</v>
      </c>
      <c r="H529" t="s">
        <v>733</v>
      </c>
      <c r="I529">
        <v>9996</v>
      </c>
      <c r="J529">
        <v>109.28</v>
      </c>
      <c r="K529">
        <v>35.840000000000003</v>
      </c>
      <c r="L529">
        <v>1092362.8799999999</v>
      </c>
      <c r="M529">
        <v>358256.64000000001</v>
      </c>
      <c r="N529">
        <v>734106.24</v>
      </c>
    </row>
    <row r="530" spans="1:14" x14ac:dyDescent="0.3">
      <c r="A530" t="s">
        <v>14</v>
      </c>
      <c r="B530" t="s">
        <v>97</v>
      </c>
      <c r="C530" t="s">
        <v>22</v>
      </c>
      <c r="D530" t="s">
        <v>17</v>
      </c>
      <c r="E530" t="s">
        <v>33</v>
      </c>
      <c r="F530" t="s">
        <v>967</v>
      </c>
      <c r="G530">
        <v>188866841</v>
      </c>
      <c r="H530" t="s">
        <v>199</v>
      </c>
      <c r="I530">
        <v>8750</v>
      </c>
      <c r="J530">
        <v>109.28</v>
      </c>
      <c r="K530">
        <v>35.840000000000003</v>
      </c>
      <c r="L530">
        <v>956200</v>
      </c>
      <c r="M530">
        <v>313600</v>
      </c>
      <c r="N530">
        <v>642600</v>
      </c>
    </row>
    <row r="531" spans="1:14" x14ac:dyDescent="0.3">
      <c r="A531" t="s">
        <v>14</v>
      </c>
      <c r="B531" t="s">
        <v>105</v>
      </c>
      <c r="C531" t="s">
        <v>71</v>
      </c>
      <c r="D531" t="s">
        <v>23</v>
      </c>
      <c r="E531" t="s">
        <v>18</v>
      </c>
      <c r="F531" t="s">
        <v>968</v>
      </c>
      <c r="G531">
        <v>709071195</v>
      </c>
      <c r="H531" t="s">
        <v>969</v>
      </c>
      <c r="I531">
        <v>8778</v>
      </c>
      <c r="J531">
        <v>668.27</v>
      </c>
      <c r="K531">
        <v>502.54</v>
      </c>
      <c r="L531">
        <v>5866074.0599999996</v>
      </c>
      <c r="M531">
        <v>4411296.12</v>
      </c>
      <c r="N531">
        <v>1454777.94</v>
      </c>
    </row>
    <row r="532" spans="1:14" x14ac:dyDescent="0.3">
      <c r="A532" t="s">
        <v>14</v>
      </c>
      <c r="B532" t="s">
        <v>264</v>
      </c>
      <c r="C532" t="s">
        <v>28</v>
      </c>
      <c r="D532" t="s">
        <v>23</v>
      </c>
      <c r="E532" t="s">
        <v>33</v>
      </c>
      <c r="F532" t="s">
        <v>970</v>
      </c>
      <c r="G532">
        <v>674060428</v>
      </c>
      <c r="H532" t="s">
        <v>847</v>
      </c>
      <c r="I532">
        <v>8315</v>
      </c>
      <c r="J532">
        <v>205.7</v>
      </c>
      <c r="K532">
        <v>117.11</v>
      </c>
      <c r="L532">
        <v>1710395.5</v>
      </c>
      <c r="M532">
        <v>973769.65</v>
      </c>
      <c r="N532">
        <v>736625.85</v>
      </c>
    </row>
    <row r="533" spans="1:14" x14ac:dyDescent="0.3">
      <c r="A533" t="s">
        <v>14</v>
      </c>
      <c r="B533" t="s">
        <v>61</v>
      </c>
      <c r="C533" t="s">
        <v>75</v>
      </c>
      <c r="D533" t="s">
        <v>17</v>
      </c>
      <c r="E533" t="s">
        <v>18</v>
      </c>
      <c r="F533" t="s">
        <v>971</v>
      </c>
      <c r="G533">
        <v>284595954</v>
      </c>
      <c r="H533" t="s">
        <v>540</v>
      </c>
      <c r="I533">
        <v>7122</v>
      </c>
      <c r="J533">
        <v>437.2</v>
      </c>
      <c r="K533">
        <v>263.33</v>
      </c>
      <c r="L533">
        <v>3113738.4</v>
      </c>
      <c r="M533">
        <v>1875436.26</v>
      </c>
      <c r="N533">
        <v>1238302.1399999999</v>
      </c>
    </row>
    <row r="534" spans="1:14" x14ac:dyDescent="0.3">
      <c r="A534" t="s">
        <v>14</v>
      </c>
      <c r="B534" t="s">
        <v>223</v>
      </c>
      <c r="C534" t="s">
        <v>64</v>
      </c>
      <c r="D534" t="s">
        <v>17</v>
      </c>
      <c r="E534" t="s">
        <v>18</v>
      </c>
      <c r="F534" t="s">
        <v>972</v>
      </c>
      <c r="G534">
        <v>580314862</v>
      </c>
      <c r="H534" t="s">
        <v>973</v>
      </c>
      <c r="I534">
        <v>6918</v>
      </c>
      <c r="J534">
        <v>255.28</v>
      </c>
      <c r="K534">
        <v>159.41999999999999</v>
      </c>
      <c r="L534">
        <v>1766027.04</v>
      </c>
      <c r="M534">
        <v>1102867.56</v>
      </c>
      <c r="N534">
        <v>663159.48</v>
      </c>
    </row>
    <row r="535" spans="1:14" x14ac:dyDescent="0.3">
      <c r="A535" t="s">
        <v>14</v>
      </c>
      <c r="B535" t="s">
        <v>45</v>
      </c>
      <c r="C535" t="s">
        <v>58</v>
      </c>
      <c r="D535" t="s">
        <v>23</v>
      </c>
      <c r="E535" t="s">
        <v>33</v>
      </c>
      <c r="F535" t="s">
        <v>974</v>
      </c>
      <c r="G535">
        <v>437604176</v>
      </c>
      <c r="H535" t="s">
        <v>975</v>
      </c>
      <c r="I535">
        <v>5655</v>
      </c>
      <c r="J535">
        <v>152.58000000000001</v>
      </c>
      <c r="K535">
        <v>97.44</v>
      </c>
      <c r="L535">
        <v>862839.9</v>
      </c>
      <c r="M535">
        <v>551023.19999999995</v>
      </c>
      <c r="N535">
        <v>311816.7</v>
      </c>
    </row>
    <row r="536" spans="1:14" x14ac:dyDescent="0.3">
      <c r="A536" t="s">
        <v>14</v>
      </c>
      <c r="B536" t="s">
        <v>185</v>
      </c>
      <c r="C536" t="s">
        <v>16</v>
      </c>
      <c r="D536" t="s">
        <v>17</v>
      </c>
      <c r="E536" t="s">
        <v>54</v>
      </c>
      <c r="F536" t="s">
        <v>976</v>
      </c>
      <c r="G536">
        <v>994978797</v>
      </c>
      <c r="H536" t="s">
        <v>351</v>
      </c>
      <c r="I536">
        <v>5192</v>
      </c>
      <c r="J536">
        <v>47.45</v>
      </c>
      <c r="K536">
        <v>31.79</v>
      </c>
      <c r="L536">
        <v>246360.4</v>
      </c>
      <c r="M536">
        <v>165053.68</v>
      </c>
      <c r="N536">
        <v>81306.720000000001</v>
      </c>
    </row>
    <row r="537" spans="1:14" x14ac:dyDescent="0.3">
      <c r="A537" t="s">
        <v>14</v>
      </c>
      <c r="B537" t="s">
        <v>183</v>
      </c>
      <c r="C537" t="s">
        <v>16</v>
      </c>
      <c r="D537" t="s">
        <v>17</v>
      </c>
      <c r="E537" t="s">
        <v>54</v>
      </c>
      <c r="F537" t="s">
        <v>977</v>
      </c>
      <c r="G537">
        <v>317006051</v>
      </c>
      <c r="H537" t="s">
        <v>978</v>
      </c>
      <c r="I537">
        <v>7990</v>
      </c>
      <c r="J537">
        <v>47.45</v>
      </c>
      <c r="K537">
        <v>31.79</v>
      </c>
      <c r="L537">
        <v>379125.5</v>
      </c>
      <c r="M537">
        <v>254002.1</v>
      </c>
      <c r="N537">
        <v>125123.4</v>
      </c>
    </row>
    <row r="538" spans="1:14" x14ac:dyDescent="0.3">
      <c r="A538" t="s">
        <v>14</v>
      </c>
      <c r="B538" t="s">
        <v>40</v>
      </c>
      <c r="C538" t="s">
        <v>102</v>
      </c>
      <c r="D538" t="s">
        <v>23</v>
      </c>
      <c r="E538" t="s">
        <v>54</v>
      </c>
      <c r="F538" t="s">
        <v>979</v>
      </c>
      <c r="G538">
        <v>933642041</v>
      </c>
      <c r="H538" t="s">
        <v>385</v>
      </c>
      <c r="I538">
        <v>4282</v>
      </c>
      <c r="J538">
        <v>81.73</v>
      </c>
      <c r="K538">
        <v>56.67</v>
      </c>
      <c r="L538">
        <v>349967.86</v>
      </c>
      <c r="M538">
        <v>242660.94</v>
      </c>
      <c r="N538">
        <v>107306.92</v>
      </c>
    </row>
    <row r="539" spans="1:14" x14ac:dyDescent="0.3">
      <c r="A539" t="s">
        <v>14</v>
      </c>
      <c r="B539" t="s">
        <v>185</v>
      </c>
      <c r="C539" t="s">
        <v>32</v>
      </c>
      <c r="D539" t="s">
        <v>17</v>
      </c>
      <c r="E539" t="s">
        <v>24</v>
      </c>
      <c r="F539" t="s">
        <v>980</v>
      </c>
      <c r="G539">
        <v>764592492</v>
      </c>
      <c r="H539" t="s">
        <v>981</v>
      </c>
      <c r="I539">
        <v>8764</v>
      </c>
      <c r="J539">
        <v>651.21</v>
      </c>
      <c r="K539">
        <v>524.96</v>
      </c>
      <c r="L539">
        <v>5707204.4400000004</v>
      </c>
      <c r="M539">
        <v>4600749.4400000004</v>
      </c>
      <c r="N539">
        <v>1106455</v>
      </c>
    </row>
    <row r="540" spans="1:14" x14ac:dyDescent="0.3">
      <c r="A540" t="s">
        <v>14</v>
      </c>
      <c r="B540" t="s">
        <v>135</v>
      </c>
      <c r="C540" t="s">
        <v>22</v>
      </c>
      <c r="D540" t="s">
        <v>17</v>
      </c>
      <c r="E540" t="s">
        <v>18</v>
      </c>
      <c r="F540" t="s">
        <v>982</v>
      </c>
      <c r="G540">
        <v>931559789</v>
      </c>
      <c r="H540" t="s">
        <v>983</v>
      </c>
      <c r="I540">
        <v>8098</v>
      </c>
      <c r="J540">
        <v>109.28</v>
      </c>
      <c r="K540">
        <v>35.840000000000003</v>
      </c>
      <c r="L540">
        <v>884949.44</v>
      </c>
      <c r="M540">
        <v>290232.32000000001</v>
      </c>
      <c r="N540">
        <v>594717.12</v>
      </c>
    </row>
    <row r="541" spans="1:14" x14ac:dyDescent="0.3">
      <c r="A541" t="s">
        <v>14</v>
      </c>
      <c r="B541" t="s">
        <v>196</v>
      </c>
      <c r="C541" t="s">
        <v>16</v>
      </c>
      <c r="D541" t="s">
        <v>17</v>
      </c>
      <c r="E541" t="s">
        <v>33</v>
      </c>
      <c r="F541" t="s">
        <v>984</v>
      </c>
      <c r="G541">
        <v>682314765</v>
      </c>
      <c r="H541" t="s">
        <v>985</v>
      </c>
      <c r="I541">
        <v>956</v>
      </c>
      <c r="J541">
        <v>47.45</v>
      </c>
      <c r="K541">
        <v>31.79</v>
      </c>
      <c r="L541">
        <v>45362.2</v>
      </c>
      <c r="M541">
        <v>30391.24</v>
      </c>
      <c r="N541">
        <v>14970.96</v>
      </c>
    </row>
    <row r="542" spans="1:14" x14ac:dyDescent="0.3">
      <c r="A542" t="s">
        <v>14</v>
      </c>
      <c r="B542" t="s">
        <v>166</v>
      </c>
      <c r="C542" t="s">
        <v>58</v>
      </c>
      <c r="D542" t="s">
        <v>23</v>
      </c>
      <c r="E542" t="s">
        <v>18</v>
      </c>
      <c r="F542" t="s">
        <v>986</v>
      </c>
      <c r="G542">
        <v>485165965</v>
      </c>
      <c r="H542" t="s">
        <v>784</v>
      </c>
      <c r="I542">
        <v>245</v>
      </c>
      <c r="J542">
        <v>152.58000000000001</v>
      </c>
      <c r="K542">
        <v>97.44</v>
      </c>
      <c r="L542">
        <v>37382.1</v>
      </c>
      <c r="M542">
        <v>23872.799999999999</v>
      </c>
      <c r="N542">
        <v>13509.3</v>
      </c>
    </row>
    <row r="543" spans="1:14" x14ac:dyDescent="0.3">
      <c r="A543" t="s">
        <v>14</v>
      </c>
      <c r="B543" t="s">
        <v>67</v>
      </c>
      <c r="C543" t="s">
        <v>16</v>
      </c>
      <c r="D543" t="s">
        <v>23</v>
      </c>
      <c r="E543" t="s">
        <v>18</v>
      </c>
      <c r="F543" t="s">
        <v>987</v>
      </c>
      <c r="G543">
        <v>601422345</v>
      </c>
      <c r="H543" t="s">
        <v>188</v>
      </c>
      <c r="I543">
        <v>3092</v>
      </c>
      <c r="J543">
        <v>47.45</v>
      </c>
      <c r="K543">
        <v>31.79</v>
      </c>
      <c r="L543">
        <v>146715.4</v>
      </c>
      <c r="M543">
        <v>98294.68</v>
      </c>
      <c r="N543">
        <v>48420.72</v>
      </c>
    </row>
    <row r="544" spans="1:14" x14ac:dyDescent="0.3">
      <c r="A544" t="s">
        <v>14</v>
      </c>
      <c r="B544" t="s">
        <v>141</v>
      </c>
      <c r="C544" t="s">
        <v>71</v>
      </c>
      <c r="D544" t="s">
        <v>17</v>
      </c>
      <c r="E544" t="s">
        <v>24</v>
      </c>
      <c r="F544" t="s">
        <v>988</v>
      </c>
      <c r="G544">
        <v>999879729</v>
      </c>
      <c r="H544" t="s">
        <v>989</v>
      </c>
      <c r="I544">
        <v>5486</v>
      </c>
      <c r="J544">
        <v>668.27</v>
      </c>
      <c r="K544">
        <v>502.54</v>
      </c>
      <c r="L544">
        <v>3666129.22</v>
      </c>
      <c r="M544">
        <v>2756934.44</v>
      </c>
      <c r="N544">
        <v>909194.78</v>
      </c>
    </row>
    <row r="545" spans="1:14" x14ac:dyDescent="0.3">
      <c r="A545" t="s">
        <v>14</v>
      </c>
      <c r="B545" t="s">
        <v>80</v>
      </c>
      <c r="C545" t="s">
        <v>75</v>
      </c>
      <c r="D545" t="s">
        <v>17</v>
      </c>
      <c r="E545" t="s">
        <v>54</v>
      </c>
      <c r="F545" t="s">
        <v>990</v>
      </c>
      <c r="G545">
        <v>246603858</v>
      </c>
      <c r="H545" t="s">
        <v>991</v>
      </c>
      <c r="I545">
        <v>4417</v>
      </c>
      <c r="J545">
        <v>437.2</v>
      </c>
      <c r="K545">
        <v>263.33</v>
      </c>
      <c r="L545">
        <v>1931112.4</v>
      </c>
      <c r="M545">
        <v>1163128.6100000001</v>
      </c>
      <c r="N545">
        <v>767983.79</v>
      </c>
    </row>
    <row r="546" spans="1:14" x14ac:dyDescent="0.3">
      <c r="A546" t="s">
        <v>14</v>
      </c>
      <c r="B546" t="s">
        <v>243</v>
      </c>
      <c r="C546" t="s">
        <v>16</v>
      </c>
      <c r="D546" t="s">
        <v>23</v>
      </c>
      <c r="E546" t="s">
        <v>33</v>
      </c>
      <c r="F546" t="s">
        <v>992</v>
      </c>
      <c r="G546">
        <v>291531503</v>
      </c>
      <c r="H546" t="s">
        <v>993</v>
      </c>
      <c r="I546">
        <v>9505</v>
      </c>
      <c r="J546">
        <v>47.45</v>
      </c>
      <c r="K546">
        <v>31.79</v>
      </c>
      <c r="L546">
        <v>451012.25</v>
      </c>
      <c r="M546">
        <v>302163.95</v>
      </c>
      <c r="N546">
        <v>148848.29999999999</v>
      </c>
    </row>
    <row r="547" spans="1:14" x14ac:dyDescent="0.3">
      <c r="A547" t="s">
        <v>14</v>
      </c>
      <c r="B547" t="s">
        <v>132</v>
      </c>
      <c r="C547" t="s">
        <v>28</v>
      </c>
      <c r="D547" t="s">
        <v>17</v>
      </c>
      <c r="E547" t="s">
        <v>54</v>
      </c>
      <c r="F547" t="s">
        <v>994</v>
      </c>
      <c r="G547">
        <v>483655774</v>
      </c>
      <c r="H547" t="s">
        <v>995</v>
      </c>
      <c r="I547">
        <v>3346</v>
      </c>
      <c r="J547">
        <v>205.7</v>
      </c>
      <c r="K547">
        <v>117.11</v>
      </c>
      <c r="L547">
        <v>688272.2</v>
      </c>
      <c r="M547">
        <v>391850.06</v>
      </c>
      <c r="N547">
        <v>296422.14</v>
      </c>
    </row>
    <row r="548" spans="1:14" x14ac:dyDescent="0.3">
      <c r="A548" t="s">
        <v>14</v>
      </c>
      <c r="B548" t="s">
        <v>122</v>
      </c>
      <c r="C548" t="s">
        <v>102</v>
      </c>
      <c r="D548" t="s">
        <v>23</v>
      </c>
      <c r="E548" t="s">
        <v>18</v>
      </c>
      <c r="F548" t="s">
        <v>996</v>
      </c>
      <c r="G548">
        <v>840747058</v>
      </c>
      <c r="H548" t="s">
        <v>182</v>
      </c>
      <c r="I548">
        <v>4593</v>
      </c>
      <c r="J548">
        <v>81.73</v>
      </c>
      <c r="K548">
        <v>56.67</v>
      </c>
      <c r="L548">
        <v>375385.89</v>
      </c>
      <c r="M548">
        <v>260285.31</v>
      </c>
      <c r="N548">
        <v>115100.58</v>
      </c>
    </row>
    <row r="549" spans="1:14" x14ac:dyDescent="0.3">
      <c r="A549" t="s">
        <v>14</v>
      </c>
      <c r="B549" t="s">
        <v>21</v>
      </c>
      <c r="C549" t="s">
        <v>75</v>
      </c>
      <c r="D549" t="s">
        <v>17</v>
      </c>
      <c r="E549" t="s">
        <v>54</v>
      </c>
      <c r="F549" t="s">
        <v>997</v>
      </c>
      <c r="G549">
        <v>205354487</v>
      </c>
      <c r="H549" t="s">
        <v>998</v>
      </c>
      <c r="I549">
        <v>7811</v>
      </c>
      <c r="J549">
        <v>437.2</v>
      </c>
      <c r="K549">
        <v>263.33</v>
      </c>
      <c r="L549">
        <v>3414969.2</v>
      </c>
      <c r="M549">
        <v>2056870.63</v>
      </c>
      <c r="N549">
        <v>1358098.57</v>
      </c>
    </row>
    <row r="550" spans="1:14" x14ac:dyDescent="0.3">
      <c r="A550" t="s">
        <v>14</v>
      </c>
      <c r="B550" t="s">
        <v>53</v>
      </c>
      <c r="C550" t="s">
        <v>28</v>
      </c>
      <c r="D550" t="s">
        <v>23</v>
      </c>
      <c r="E550" t="s">
        <v>54</v>
      </c>
      <c r="F550" t="s">
        <v>999</v>
      </c>
      <c r="G550">
        <v>280192410</v>
      </c>
      <c r="H550" t="s">
        <v>1000</v>
      </c>
      <c r="I550">
        <v>4016</v>
      </c>
      <c r="J550">
        <v>205.7</v>
      </c>
      <c r="K550">
        <v>117.11</v>
      </c>
      <c r="L550">
        <v>826091.2</v>
      </c>
      <c r="M550">
        <v>470313.76</v>
      </c>
      <c r="N550">
        <v>355777.44</v>
      </c>
    </row>
    <row r="551" spans="1:14" x14ac:dyDescent="0.3">
      <c r="A551" t="s">
        <v>14</v>
      </c>
      <c r="B551" t="s">
        <v>196</v>
      </c>
      <c r="C551" t="s">
        <v>46</v>
      </c>
      <c r="D551" t="s">
        <v>17</v>
      </c>
      <c r="E551" t="s">
        <v>18</v>
      </c>
      <c r="F551" t="s">
        <v>1001</v>
      </c>
      <c r="G551">
        <v>465753209</v>
      </c>
      <c r="H551" t="s">
        <v>1001</v>
      </c>
      <c r="I551">
        <v>5579</v>
      </c>
      <c r="J551">
        <v>154.06</v>
      </c>
      <c r="K551">
        <v>90.93</v>
      </c>
      <c r="L551">
        <v>859500.74</v>
      </c>
      <c r="M551">
        <v>507298.47</v>
      </c>
      <c r="N551">
        <v>352202.27</v>
      </c>
    </row>
    <row r="552" spans="1:14" x14ac:dyDescent="0.3">
      <c r="A552" t="s">
        <v>14</v>
      </c>
      <c r="B552" t="s">
        <v>169</v>
      </c>
      <c r="C552" t="s">
        <v>102</v>
      </c>
      <c r="D552" t="s">
        <v>23</v>
      </c>
      <c r="E552" t="s">
        <v>18</v>
      </c>
      <c r="F552" t="s">
        <v>530</v>
      </c>
      <c r="G552">
        <v>587846076</v>
      </c>
      <c r="H552" t="s">
        <v>1002</v>
      </c>
      <c r="I552">
        <v>5572</v>
      </c>
      <c r="J552">
        <v>81.73</v>
      </c>
      <c r="K552">
        <v>56.67</v>
      </c>
      <c r="L552">
        <v>455399.56</v>
      </c>
      <c r="M552">
        <v>315765.24</v>
      </c>
      <c r="N552">
        <v>139634.32</v>
      </c>
    </row>
    <row r="553" spans="1:14" x14ac:dyDescent="0.3">
      <c r="A553" t="s">
        <v>14</v>
      </c>
      <c r="B553" t="s">
        <v>122</v>
      </c>
      <c r="C553" t="s">
        <v>28</v>
      </c>
      <c r="D553" t="s">
        <v>17</v>
      </c>
      <c r="E553" t="s">
        <v>54</v>
      </c>
      <c r="F553" t="s">
        <v>1003</v>
      </c>
      <c r="G553">
        <v>580342328</v>
      </c>
      <c r="H553" t="s">
        <v>1004</v>
      </c>
      <c r="I553">
        <v>5046</v>
      </c>
      <c r="J553">
        <v>205.7</v>
      </c>
      <c r="K553">
        <v>117.11</v>
      </c>
      <c r="L553">
        <v>1037962.2</v>
      </c>
      <c r="M553">
        <v>590937.06000000006</v>
      </c>
      <c r="N553">
        <v>447025.14</v>
      </c>
    </row>
    <row r="554" spans="1:14" x14ac:dyDescent="0.3">
      <c r="A554" t="s">
        <v>14</v>
      </c>
      <c r="B554" t="s">
        <v>49</v>
      </c>
      <c r="C554" t="s">
        <v>50</v>
      </c>
      <c r="D554" t="s">
        <v>23</v>
      </c>
      <c r="E554" t="s">
        <v>18</v>
      </c>
      <c r="F554" t="s">
        <v>1005</v>
      </c>
      <c r="G554">
        <v>877084767</v>
      </c>
      <c r="H554" t="s">
        <v>1006</v>
      </c>
      <c r="I554">
        <v>7728</v>
      </c>
      <c r="J554">
        <v>421.89</v>
      </c>
      <c r="K554">
        <v>364.69</v>
      </c>
      <c r="L554">
        <v>3260365.92</v>
      </c>
      <c r="M554">
        <v>2818324.32</v>
      </c>
      <c r="N554">
        <v>442041.59999999998</v>
      </c>
    </row>
    <row r="555" spans="1:14" x14ac:dyDescent="0.3">
      <c r="A555" t="s">
        <v>14</v>
      </c>
      <c r="B555" t="s">
        <v>115</v>
      </c>
      <c r="C555" t="s">
        <v>22</v>
      </c>
      <c r="D555" t="s">
        <v>23</v>
      </c>
      <c r="E555" t="s">
        <v>18</v>
      </c>
      <c r="F555" t="s">
        <v>1007</v>
      </c>
      <c r="G555">
        <v>709105527</v>
      </c>
      <c r="H555" t="s">
        <v>377</v>
      </c>
      <c r="I555">
        <v>8938</v>
      </c>
      <c r="J555">
        <v>109.28</v>
      </c>
      <c r="K555">
        <v>35.840000000000003</v>
      </c>
      <c r="L555">
        <v>976744.64</v>
      </c>
      <c r="M555">
        <v>320337.91999999998</v>
      </c>
      <c r="N555">
        <v>656406.72</v>
      </c>
    </row>
    <row r="556" spans="1:14" x14ac:dyDescent="0.3">
      <c r="A556" t="s">
        <v>14</v>
      </c>
      <c r="B556" t="s">
        <v>61</v>
      </c>
      <c r="C556" t="s">
        <v>50</v>
      </c>
      <c r="D556" t="s">
        <v>23</v>
      </c>
      <c r="E556" t="s">
        <v>54</v>
      </c>
      <c r="F556" t="s">
        <v>1008</v>
      </c>
      <c r="G556">
        <v>614321839</v>
      </c>
      <c r="H556" t="s">
        <v>1009</v>
      </c>
      <c r="I556">
        <v>339</v>
      </c>
      <c r="J556">
        <v>421.89</v>
      </c>
      <c r="K556">
        <v>364.69</v>
      </c>
      <c r="L556">
        <v>143020.71</v>
      </c>
      <c r="M556">
        <v>123629.91</v>
      </c>
      <c r="N556">
        <v>19390.8</v>
      </c>
    </row>
    <row r="557" spans="1:14" x14ac:dyDescent="0.3">
      <c r="A557" t="s">
        <v>14</v>
      </c>
      <c r="B557" t="s">
        <v>74</v>
      </c>
      <c r="C557" t="s">
        <v>75</v>
      </c>
      <c r="D557" t="s">
        <v>23</v>
      </c>
      <c r="E557" t="s">
        <v>33</v>
      </c>
      <c r="F557" t="s">
        <v>1010</v>
      </c>
      <c r="G557">
        <v>329529607</v>
      </c>
      <c r="H557" t="s">
        <v>706</v>
      </c>
      <c r="I557">
        <v>3988</v>
      </c>
      <c r="J557">
        <v>437.2</v>
      </c>
      <c r="K557">
        <v>263.33</v>
      </c>
      <c r="L557">
        <v>1743553.6</v>
      </c>
      <c r="M557">
        <v>1050160.04</v>
      </c>
      <c r="N557">
        <v>693393.56</v>
      </c>
    </row>
    <row r="558" spans="1:14" x14ac:dyDescent="0.3">
      <c r="A558" t="s">
        <v>14</v>
      </c>
      <c r="B558" t="s">
        <v>271</v>
      </c>
      <c r="C558" t="s">
        <v>37</v>
      </c>
      <c r="D558" t="s">
        <v>23</v>
      </c>
      <c r="E558" t="s">
        <v>33</v>
      </c>
      <c r="F558" t="s">
        <v>311</v>
      </c>
      <c r="G558">
        <v>223869454</v>
      </c>
      <c r="H558" t="s">
        <v>1011</v>
      </c>
      <c r="I558">
        <v>6801</v>
      </c>
      <c r="J558">
        <v>9.33</v>
      </c>
      <c r="K558">
        <v>6.92</v>
      </c>
      <c r="L558">
        <v>63453.33</v>
      </c>
      <c r="M558">
        <v>47062.92</v>
      </c>
      <c r="N558">
        <v>16390.41</v>
      </c>
    </row>
    <row r="559" spans="1:14" x14ac:dyDescent="0.3">
      <c r="A559" t="s">
        <v>14</v>
      </c>
      <c r="B559" t="s">
        <v>15</v>
      </c>
      <c r="C559" t="s">
        <v>32</v>
      </c>
      <c r="D559" t="s">
        <v>17</v>
      </c>
      <c r="E559" t="s">
        <v>54</v>
      </c>
      <c r="F559" t="s">
        <v>1012</v>
      </c>
      <c r="G559">
        <v>189108455</v>
      </c>
      <c r="H559" t="s">
        <v>328</v>
      </c>
      <c r="I559">
        <v>249</v>
      </c>
      <c r="J559">
        <v>651.21</v>
      </c>
      <c r="K559">
        <v>524.96</v>
      </c>
      <c r="L559">
        <v>162151.29</v>
      </c>
      <c r="M559">
        <v>130715.04</v>
      </c>
      <c r="N559">
        <v>31436.25</v>
      </c>
    </row>
    <row r="560" spans="1:14" x14ac:dyDescent="0.3">
      <c r="A560" t="s">
        <v>14</v>
      </c>
      <c r="B560" t="s">
        <v>169</v>
      </c>
      <c r="C560" t="s">
        <v>37</v>
      </c>
      <c r="D560" t="s">
        <v>17</v>
      </c>
      <c r="E560" t="s">
        <v>33</v>
      </c>
      <c r="F560" t="s">
        <v>1013</v>
      </c>
      <c r="G560">
        <v>452471768</v>
      </c>
      <c r="H560" t="s">
        <v>1014</v>
      </c>
      <c r="I560">
        <v>5306</v>
      </c>
      <c r="J560">
        <v>9.33</v>
      </c>
      <c r="K560">
        <v>6.92</v>
      </c>
      <c r="L560">
        <v>49504.98</v>
      </c>
      <c r="M560">
        <v>36717.519999999997</v>
      </c>
      <c r="N560">
        <v>12787.46</v>
      </c>
    </row>
    <row r="561" spans="1:14" x14ac:dyDescent="0.3">
      <c r="A561" t="s">
        <v>14</v>
      </c>
      <c r="B561" t="s">
        <v>196</v>
      </c>
      <c r="C561" t="s">
        <v>28</v>
      </c>
      <c r="D561" t="s">
        <v>17</v>
      </c>
      <c r="E561" t="s">
        <v>24</v>
      </c>
      <c r="F561" t="s">
        <v>1015</v>
      </c>
      <c r="G561">
        <v>174218118</v>
      </c>
      <c r="H561" t="s">
        <v>1016</v>
      </c>
      <c r="I561">
        <v>3867</v>
      </c>
      <c r="J561">
        <v>205.7</v>
      </c>
      <c r="K561">
        <v>117.11</v>
      </c>
      <c r="L561">
        <v>795441.9</v>
      </c>
      <c r="M561">
        <v>452864.37</v>
      </c>
      <c r="N561">
        <v>342577.53</v>
      </c>
    </row>
    <row r="562" spans="1:14" x14ac:dyDescent="0.3">
      <c r="A562" t="s">
        <v>14</v>
      </c>
      <c r="B562" t="s">
        <v>196</v>
      </c>
      <c r="C562" t="s">
        <v>50</v>
      </c>
      <c r="D562" t="s">
        <v>23</v>
      </c>
      <c r="E562" t="s">
        <v>54</v>
      </c>
      <c r="F562" t="s">
        <v>1017</v>
      </c>
      <c r="G562">
        <v>820437371</v>
      </c>
      <c r="H562" t="s">
        <v>1018</v>
      </c>
      <c r="I562">
        <v>4505</v>
      </c>
      <c r="J562">
        <v>421.89</v>
      </c>
      <c r="K562">
        <v>364.69</v>
      </c>
      <c r="L562">
        <v>1900614.45</v>
      </c>
      <c r="M562">
        <v>1642928.45</v>
      </c>
      <c r="N562">
        <v>257686</v>
      </c>
    </row>
    <row r="563" spans="1:14" x14ac:dyDescent="0.3">
      <c r="A563" t="s">
        <v>14</v>
      </c>
      <c r="B563" t="s">
        <v>97</v>
      </c>
      <c r="C563" t="s">
        <v>102</v>
      </c>
      <c r="D563" t="s">
        <v>17</v>
      </c>
      <c r="E563" t="s">
        <v>33</v>
      </c>
      <c r="F563" t="s">
        <v>1019</v>
      </c>
      <c r="G563">
        <v>410291135</v>
      </c>
      <c r="H563" t="s">
        <v>1020</v>
      </c>
      <c r="I563">
        <v>3119</v>
      </c>
      <c r="J563">
        <v>81.73</v>
      </c>
      <c r="K563">
        <v>56.67</v>
      </c>
      <c r="L563">
        <v>254915.87</v>
      </c>
      <c r="M563">
        <v>176753.73</v>
      </c>
      <c r="N563">
        <v>78162.14</v>
      </c>
    </row>
    <row r="564" spans="1:14" x14ac:dyDescent="0.3">
      <c r="A564" t="s">
        <v>14</v>
      </c>
      <c r="B564" t="s">
        <v>220</v>
      </c>
      <c r="C564" t="s">
        <v>64</v>
      </c>
      <c r="D564" t="s">
        <v>17</v>
      </c>
      <c r="E564" t="s">
        <v>18</v>
      </c>
      <c r="F564" t="s">
        <v>1021</v>
      </c>
      <c r="G564">
        <v>174614226</v>
      </c>
      <c r="H564" t="s">
        <v>1022</v>
      </c>
      <c r="I564">
        <v>1085</v>
      </c>
      <c r="J564">
        <v>255.28</v>
      </c>
      <c r="K564">
        <v>159.41999999999999</v>
      </c>
      <c r="L564">
        <v>276978.8</v>
      </c>
      <c r="M564">
        <v>172970.7</v>
      </c>
      <c r="N564">
        <v>104008.1</v>
      </c>
    </row>
    <row r="565" spans="1:14" x14ac:dyDescent="0.3">
      <c r="A565" t="s">
        <v>14</v>
      </c>
      <c r="B565" t="s">
        <v>257</v>
      </c>
      <c r="C565" t="s">
        <v>58</v>
      </c>
      <c r="D565" t="s">
        <v>17</v>
      </c>
      <c r="E565" t="s">
        <v>33</v>
      </c>
      <c r="F565" t="s">
        <v>1023</v>
      </c>
      <c r="G565">
        <v>118859469</v>
      </c>
      <c r="H565" t="s">
        <v>1024</v>
      </c>
      <c r="I565">
        <v>2013</v>
      </c>
      <c r="J565">
        <v>152.58000000000001</v>
      </c>
      <c r="K565">
        <v>97.44</v>
      </c>
      <c r="L565">
        <v>307143.53999999998</v>
      </c>
      <c r="M565">
        <v>196146.72</v>
      </c>
      <c r="N565">
        <v>110996.82</v>
      </c>
    </row>
    <row r="566" spans="1:14" x14ac:dyDescent="0.3">
      <c r="A566" t="s">
        <v>14</v>
      </c>
      <c r="B566" t="s">
        <v>264</v>
      </c>
      <c r="C566" t="s">
        <v>75</v>
      </c>
      <c r="D566" t="s">
        <v>17</v>
      </c>
      <c r="E566" t="s">
        <v>54</v>
      </c>
      <c r="F566" t="s">
        <v>1025</v>
      </c>
      <c r="G566">
        <v>669550883</v>
      </c>
      <c r="H566" t="s">
        <v>1026</v>
      </c>
      <c r="I566">
        <v>3840</v>
      </c>
      <c r="J566">
        <v>437.2</v>
      </c>
      <c r="K566">
        <v>263.33</v>
      </c>
      <c r="L566">
        <v>1678848</v>
      </c>
      <c r="M566">
        <v>1011187.2</v>
      </c>
      <c r="N566">
        <v>667660.80000000005</v>
      </c>
    </row>
    <row r="567" spans="1:14" x14ac:dyDescent="0.3">
      <c r="A567" t="s">
        <v>14</v>
      </c>
      <c r="B567" t="s">
        <v>94</v>
      </c>
      <c r="C567" t="s">
        <v>102</v>
      </c>
      <c r="D567" t="s">
        <v>23</v>
      </c>
      <c r="E567" t="s">
        <v>24</v>
      </c>
      <c r="F567" t="s">
        <v>175</v>
      </c>
      <c r="G567">
        <v>439114367</v>
      </c>
      <c r="H567" t="s">
        <v>1027</v>
      </c>
      <c r="I567">
        <v>2554</v>
      </c>
      <c r="J567">
        <v>81.73</v>
      </c>
      <c r="K567">
        <v>56.67</v>
      </c>
      <c r="L567">
        <v>208738.42</v>
      </c>
      <c r="M567">
        <v>144735.18</v>
      </c>
      <c r="N567">
        <v>64003.24</v>
      </c>
    </row>
    <row r="568" spans="1:14" x14ac:dyDescent="0.3">
      <c r="A568" t="s">
        <v>14</v>
      </c>
      <c r="B568" t="s">
        <v>146</v>
      </c>
      <c r="C568" t="s">
        <v>71</v>
      </c>
      <c r="D568" t="s">
        <v>23</v>
      </c>
      <c r="E568" t="s">
        <v>24</v>
      </c>
      <c r="F568" t="s">
        <v>1028</v>
      </c>
      <c r="G568">
        <v>582563626</v>
      </c>
      <c r="H568" t="s">
        <v>1029</v>
      </c>
      <c r="I568">
        <v>2378</v>
      </c>
      <c r="J568">
        <v>668.27</v>
      </c>
      <c r="K568">
        <v>502.54</v>
      </c>
      <c r="L568">
        <v>1589146.06</v>
      </c>
      <c r="M568">
        <v>1195040.1200000001</v>
      </c>
      <c r="N568">
        <v>394105.94</v>
      </c>
    </row>
    <row r="569" spans="1:14" x14ac:dyDescent="0.3">
      <c r="A569" t="s">
        <v>14</v>
      </c>
      <c r="B569" t="s">
        <v>80</v>
      </c>
      <c r="C569" t="s">
        <v>58</v>
      </c>
      <c r="D569" t="s">
        <v>23</v>
      </c>
      <c r="E569" t="s">
        <v>24</v>
      </c>
      <c r="F569" t="s">
        <v>1030</v>
      </c>
      <c r="G569">
        <v>943274819</v>
      </c>
      <c r="H569" t="s">
        <v>1031</v>
      </c>
      <c r="I569">
        <v>4836</v>
      </c>
      <c r="J569">
        <v>152.58000000000001</v>
      </c>
      <c r="K569">
        <v>97.44</v>
      </c>
      <c r="L569">
        <v>737876.88</v>
      </c>
      <c r="M569">
        <v>471219.84</v>
      </c>
      <c r="N569">
        <v>266657.03999999998</v>
      </c>
    </row>
    <row r="570" spans="1:14" x14ac:dyDescent="0.3">
      <c r="A570" t="s">
        <v>14</v>
      </c>
      <c r="B570" t="s">
        <v>135</v>
      </c>
      <c r="C570" t="s">
        <v>32</v>
      </c>
      <c r="D570" t="s">
        <v>23</v>
      </c>
      <c r="E570" t="s">
        <v>54</v>
      </c>
      <c r="F570" t="s">
        <v>1032</v>
      </c>
      <c r="G570">
        <v>313821303</v>
      </c>
      <c r="H570" t="s">
        <v>1033</v>
      </c>
      <c r="I570">
        <v>5552</v>
      </c>
      <c r="J570">
        <v>651.21</v>
      </c>
      <c r="K570">
        <v>524.96</v>
      </c>
      <c r="L570">
        <v>3615517.92</v>
      </c>
      <c r="M570">
        <v>2914577.92</v>
      </c>
      <c r="N570">
        <v>700940</v>
      </c>
    </row>
    <row r="571" spans="1:14" x14ac:dyDescent="0.3">
      <c r="A571" t="s">
        <v>14</v>
      </c>
      <c r="B571" t="s">
        <v>243</v>
      </c>
      <c r="C571" t="s">
        <v>16</v>
      </c>
      <c r="D571" t="s">
        <v>23</v>
      </c>
      <c r="E571" t="s">
        <v>24</v>
      </c>
      <c r="F571" t="s">
        <v>1034</v>
      </c>
      <c r="G571">
        <v>431753098</v>
      </c>
      <c r="H571" t="s">
        <v>1035</v>
      </c>
      <c r="I571">
        <v>4191</v>
      </c>
      <c r="J571">
        <v>47.45</v>
      </c>
      <c r="K571">
        <v>31.79</v>
      </c>
      <c r="L571">
        <v>198862.95</v>
      </c>
      <c r="M571">
        <v>133231.89000000001</v>
      </c>
      <c r="N571">
        <v>65631.06</v>
      </c>
    </row>
    <row r="572" spans="1:14" x14ac:dyDescent="0.3">
      <c r="A572" t="s">
        <v>14</v>
      </c>
      <c r="B572" t="s">
        <v>21</v>
      </c>
      <c r="C572" t="s">
        <v>71</v>
      </c>
      <c r="D572" t="s">
        <v>23</v>
      </c>
      <c r="E572" t="s">
        <v>18</v>
      </c>
      <c r="F572" t="s">
        <v>1036</v>
      </c>
      <c r="G572">
        <v>969289243</v>
      </c>
      <c r="H572" t="s">
        <v>356</v>
      </c>
      <c r="I572">
        <v>3082</v>
      </c>
      <c r="J572">
        <v>668.27</v>
      </c>
      <c r="K572">
        <v>502.54</v>
      </c>
      <c r="L572">
        <v>2059608.14</v>
      </c>
      <c r="M572">
        <v>1548828.28</v>
      </c>
      <c r="N572">
        <v>510779.86</v>
      </c>
    </row>
    <row r="573" spans="1:14" x14ac:dyDescent="0.3">
      <c r="A573" t="s">
        <v>14</v>
      </c>
      <c r="B573" t="s">
        <v>115</v>
      </c>
      <c r="C573" t="s">
        <v>58</v>
      </c>
      <c r="D573" t="s">
        <v>17</v>
      </c>
      <c r="E573" t="s">
        <v>24</v>
      </c>
      <c r="F573" t="s">
        <v>1037</v>
      </c>
      <c r="G573">
        <v>861982858</v>
      </c>
      <c r="H573" t="s">
        <v>1038</v>
      </c>
      <c r="I573">
        <v>8738</v>
      </c>
      <c r="J573">
        <v>152.58000000000001</v>
      </c>
      <c r="K573">
        <v>97.44</v>
      </c>
      <c r="L573">
        <v>1333244.04</v>
      </c>
      <c r="M573">
        <v>851430.72</v>
      </c>
      <c r="N573">
        <v>481813.32</v>
      </c>
    </row>
    <row r="574" spans="1:14" x14ac:dyDescent="0.3">
      <c r="A574" t="s">
        <v>14</v>
      </c>
      <c r="B574" t="s">
        <v>185</v>
      </c>
      <c r="C574" t="s">
        <v>50</v>
      </c>
      <c r="D574" t="s">
        <v>23</v>
      </c>
      <c r="E574" t="s">
        <v>24</v>
      </c>
      <c r="F574" t="s">
        <v>1039</v>
      </c>
      <c r="G574">
        <v>290317428</v>
      </c>
      <c r="H574" t="s">
        <v>1040</v>
      </c>
      <c r="I574">
        <v>233</v>
      </c>
      <c r="J574">
        <v>421.89</v>
      </c>
      <c r="K574">
        <v>364.69</v>
      </c>
      <c r="L574">
        <v>98300.37</v>
      </c>
      <c r="M574">
        <v>84972.77</v>
      </c>
      <c r="N574">
        <v>13327.6</v>
      </c>
    </row>
    <row r="575" spans="1:14" x14ac:dyDescent="0.3">
      <c r="A575" t="s">
        <v>14</v>
      </c>
      <c r="B575" t="s">
        <v>97</v>
      </c>
      <c r="C575" t="s">
        <v>22</v>
      </c>
      <c r="D575" t="s">
        <v>17</v>
      </c>
      <c r="E575" t="s">
        <v>18</v>
      </c>
      <c r="F575" t="s">
        <v>1041</v>
      </c>
      <c r="G575">
        <v>105030000</v>
      </c>
      <c r="H575" t="s">
        <v>1016</v>
      </c>
      <c r="I575">
        <v>9566</v>
      </c>
      <c r="J575">
        <v>109.28</v>
      </c>
      <c r="K575">
        <v>35.840000000000003</v>
      </c>
      <c r="L575">
        <v>1045372.48</v>
      </c>
      <c r="M575">
        <v>342845.44</v>
      </c>
      <c r="N575">
        <v>702527.04</v>
      </c>
    </row>
    <row r="576" spans="1:14" x14ac:dyDescent="0.3">
      <c r="A576" t="s">
        <v>14</v>
      </c>
      <c r="B576" t="s">
        <v>57</v>
      </c>
      <c r="C576" t="s">
        <v>16</v>
      </c>
      <c r="D576" t="s">
        <v>23</v>
      </c>
      <c r="E576" t="s">
        <v>54</v>
      </c>
      <c r="F576" t="s">
        <v>1042</v>
      </c>
      <c r="G576">
        <v>960213077</v>
      </c>
      <c r="H576" t="s">
        <v>1043</v>
      </c>
      <c r="I576">
        <v>7242</v>
      </c>
      <c r="J576">
        <v>47.45</v>
      </c>
      <c r="K576">
        <v>31.79</v>
      </c>
      <c r="L576">
        <v>343632.9</v>
      </c>
      <c r="M576">
        <v>230223.18</v>
      </c>
      <c r="N576">
        <v>113409.72</v>
      </c>
    </row>
    <row r="577" spans="1:14" x14ac:dyDescent="0.3">
      <c r="A577" t="s">
        <v>14</v>
      </c>
      <c r="B577" t="s">
        <v>135</v>
      </c>
      <c r="C577" t="s">
        <v>75</v>
      </c>
      <c r="D577" t="s">
        <v>17</v>
      </c>
      <c r="E577" t="s">
        <v>33</v>
      </c>
      <c r="F577" t="s">
        <v>491</v>
      </c>
      <c r="G577">
        <v>743619334</v>
      </c>
      <c r="H577" t="s">
        <v>1044</v>
      </c>
      <c r="I577">
        <v>2341</v>
      </c>
      <c r="J577">
        <v>437.2</v>
      </c>
      <c r="K577">
        <v>263.33</v>
      </c>
      <c r="L577">
        <v>1023485.2</v>
      </c>
      <c r="M577">
        <v>616455.53</v>
      </c>
      <c r="N577">
        <v>407029.67</v>
      </c>
    </row>
    <row r="578" spans="1:14" x14ac:dyDescent="0.3">
      <c r="A578" t="s">
        <v>14</v>
      </c>
      <c r="B578" t="s">
        <v>271</v>
      </c>
      <c r="C578" t="s">
        <v>32</v>
      </c>
      <c r="D578" t="s">
        <v>17</v>
      </c>
      <c r="E578" t="s">
        <v>54</v>
      </c>
      <c r="F578" t="s">
        <v>160</v>
      </c>
      <c r="G578">
        <v>263977277</v>
      </c>
      <c r="H578" t="s">
        <v>630</v>
      </c>
      <c r="I578">
        <v>5597</v>
      </c>
      <c r="J578">
        <v>651.21</v>
      </c>
      <c r="K578">
        <v>524.96</v>
      </c>
      <c r="L578">
        <v>3644822.37</v>
      </c>
      <c r="M578">
        <v>2938201.12</v>
      </c>
      <c r="N578">
        <v>706621.25</v>
      </c>
    </row>
    <row r="579" spans="1:14" x14ac:dyDescent="0.3">
      <c r="A579" t="s">
        <v>14</v>
      </c>
      <c r="B579" t="s">
        <v>40</v>
      </c>
      <c r="C579" t="s">
        <v>32</v>
      </c>
      <c r="D579" t="s">
        <v>17</v>
      </c>
      <c r="E579" t="s">
        <v>54</v>
      </c>
      <c r="F579" t="s">
        <v>1045</v>
      </c>
      <c r="G579">
        <v>819152915</v>
      </c>
      <c r="H579" t="s">
        <v>1046</v>
      </c>
      <c r="I579">
        <v>4406</v>
      </c>
      <c r="J579">
        <v>651.21</v>
      </c>
      <c r="K579">
        <v>524.96</v>
      </c>
      <c r="L579">
        <v>2869231.26</v>
      </c>
      <c r="M579">
        <v>2312973.7599999998</v>
      </c>
      <c r="N579">
        <v>556257.5</v>
      </c>
    </row>
    <row r="580" spans="1:14" x14ac:dyDescent="0.3">
      <c r="A580" t="s">
        <v>14</v>
      </c>
      <c r="B580" t="s">
        <v>163</v>
      </c>
      <c r="C580" t="s">
        <v>102</v>
      </c>
      <c r="D580" t="s">
        <v>17</v>
      </c>
      <c r="E580" t="s">
        <v>18</v>
      </c>
      <c r="F580" t="s">
        <v>1047</v>
      </c>
      <c r="G580">
        <v>980598723</v>
      </c>
      <c r="H580" t="s">
        <v>1048</v>
      </c>
      <c r="I580">
        <v>9808</v>
      </c>
      <c r="J580">
        <v>81.73</v>
      </c>
      <c r="K580">
        <v>56.67</v>
      </c>
      <c r="L580">
        <v>801607.84</v>
      </c>
      <c r="M580">
        <v>555819.36</v>
      </c>
      <c r="N580">
        <v>245788.48</v>
      </c>
    </row>
    <row r="581" spans="1:14" x14ac:dyDescent="0.3">
      <c r="A581" t="s">
        <v>14</v>
      </c>
      <c r="B581" t="s">
        <v>220</v>
      </c>
      <c r="C581" t="s">
        <v>22</v>
      </c>
      <c r="D581" t="s">
        <v>17</v>
      </c>
      <c r="E581" t="s">
        <v>33</v>
      </c>
      <c r="F581" t="s">
        <v>1049</v>
      </c>
      <c r="G581">
        <v>974147260</v>
      </c>
      <c r="H581" t="s">
        <v>1050</v>
      </c>
      <c r="I581">
        <v>677</v>
      </c>
      <c r="J581">
        <v>109.28</v>
      </c>
      <c r="K581">
        <v>35.840000000000003</v>
      </c>
      <c r="L581">
        <v>73982.559999999998</v>
      </c>
      <c r="M581">
        <v>24263.68</v>
      </c>
      <c r="N581">
        <v>49718.879999999997</v>
      </c>
    </row>
    <row r="582" spans="1:14" x14ac:dyDescent="0.3">
      <c r="A582" t="s">
        <v>14</v>
      </c>
      <c r="B582" t="s">
        <v>53</v>
      </c>
      <c r="C582" t="s">
        <v>32</v>
      </c>
      <c r="D582" t="s">
        <v>23</v>
      </c>
      <c r="E582" t="s">
        <v>54</v>
      </c>
      <c r="F582" t="s">
        <v>354</v>
      </c>
      <c r="G582">
        <v>719404351</v>
      </c>
      <c r="H582" t="s">
        <v>485</v>
      </c>
      <c r="I582">
        <v>6589</v>
      </c>
      <c r="J582">
        <v>651.21</v>
      </c>
      <c r="K582">
        <v>524.96</v>
      </c>
      <c r="L582">
        <v>4290822.6900000004</v>
      </c>
      <c r="M582">
        <v>3458961.44</v>
      </c>
      <c r="N582">
        <v>831861.25</v>
      </c>
    </row>
    <row r="583" spans="1:14" x14ac:dyDescent="0.3">
      <c r="A583" t="s">
        <v>14</v>
      </c>
      <c r="B583" t="s">
        <v>364</v>
      </c>
      <c r="C583" t="s">
        <v>102</v>
      </c>
      <c r="D583" t="s">
        <v>17</v>
      </c>
      <c r="E583" t="s">
        <v>33</v>
      </c>
      <c r="F583" t="s">
        <v>1051</v>
      </c>
      <c r="G583">
        <v>643770778</v>
      </c>
      <c r="H583" t="s">
        <v>907</v>
      </c>
      <c r="I583">
        <v>4934</v>
      </c>
      <c r="J583">
        <v>81.73</v>
      </c>
      <c r="K583">
        <v>56.67</v>
      </c>
      <c r="L583">
        <v>403255.82</v>
      </c>
      <c r="M583">
        <v>279609.78000000003</v>
      </c>
      <c r="N583">
        <v>123646.04</v>
      </c>
    </row>
    <row r="584" spans="1:14" x14ac:dyDescent="0.3">
      <c r="A584" t="s">
        <v>14</v>
      </c>
      <c r="B584" t="s">
        <v>122</v>
      </c>
      <c r="C584" t="s">
        <v>50</v>
      </c>
      <c r="D584" t="s">
        <v>17</v>
      </c>
      <c r="E584" t="s">
        <v>18</v>
      </c>
      <c r="F584" t="s">
        <v>788</v>
      </c>
      <c r="G584">
        <v>645309722</v>
      </c>
      <c r="H584" t="s">
        <v>1052</v>
      </c>
      <c r="I584">
        <v>342</v>
      </c>
      <c r="J584">
        <v>421.89</v>
      </c>
      <c r="K584">
        <v>364.69</v>
      </c>
      <c r="L584">
        <v>144286.38</v>
      </c>
      <c r="M584">
        <v>124723.98</v>
      </c>
      <c r="N584">
        <v>19562.400000000001</v>
      </c>
    </row>
    <row r="585" spans="1:14" x14ac:dyDescent="0.3">
      <c r="A585" t="s">
        <v>14</v>
      </c>
      <c r="B585" t="s">
        <v>100</v>
      </c>
      <c r="C585" t="s">
        <v>28</v>
      </c>
      <c r="D585" t="s">
        <v>17</v>
      </c>
      <c r="E585" t="s">
        <v>24</v>
      </c>
      <c r="F585" t="s">
        <v>961</v>
      </c>
      <c r="G585">
        <v>469144809</v>
      </c>
      <c r="H585" t="s">
        <v>747</v>
      </c>
      <c r="I585">
        <v>9229</v>
      </c>
      <c r="J585">
        <v>205.7</v>
      </c>
      <c r="K585">
        <v>117.11</v>
      </c>
      <c r="L585">
        <v>1898405.3</v>
      </c>
      <c r="M585">
        <v>1080808.19</v>
      </c>
      <c r="N585">
        <v>817597.11</v>
      </c>
    </row>
    <row r="586" spans="1:14" x14ac:dyDescent="0.3">
      <c r="A586" t="s">
        <v>14</v>
      </c>
      <c r="B586" t="s">
        <v>115</v>
      </c>
      <c r="C586" t="s">
        <v>75</v>
      </c>
      <c r="D586" t="s">
        <v>23</v>
      </c>
      <c r="E586" t="s">
        <v>33</v>
      </c>
      <c r="F586" t="s">
        <v>1053</v>
      </c>
      <c r="G586">
        <v>821916663</v>
      </c>
      <c r="H586" t="s">
        <v>1054</v>
      </c>
      <c r="I586">
        <v>2260</v>
      </c>
      <c r="J586">
        <v>437.2</v>
      </c>
      <c r="K586">
        <v>263.33</v>
      </c>
      <c r="L586">
        <v>988072</v>
      </c>
      <c r="M586">
        <v>595125.80000000005</v>
      </c>
      <c r="N586">
        <v>392946.2</v>
      </c>
    </row>
    <row r="587" spans="1:14" x14ac:dyDescent="0.3">
      <c r="A587" t="s">
        <v>14</v>
      </c>
      <c r="B587" t="s">
        <v>27</v>
      </c>
      <c r="C587" t="s">
        <v>71</v>
      </c>
      <c r="D587" t="s">
        <v>17</v>
      </c>
      <c r="E587" t="s">
        <v>24</v>
      </c>
      <c r="F587" t="s">
        <v>104</v>
      </c>
      <c r="G587">
        <v>835265910</v>
      </c>
      <c r="H587" t="s">
        <v>813</v>
      </c>
      <c r="I587">
        <v>2599</v>
      </c>
      <c r="J587">
        <v>668.27</v>
      </c>
      <c r="K587">
        <v>502.54</v>
      </c>
      <c r="L587">
        <v>1736833.73</v>
      </c>
      <c r="M587">
        <v>1306101.46</v>
      </c>
      <c r="N587">
        <v>430732.27</v>
      </c>
    </row>
    <row r="588" spans="1:14" x14ac:dyDescent="0.3">
      <c r="A588" t="s">
        <v>14</v>
      </c>
      <c r="B588" t="s">
        <v>183</v>
      </c>
      <c r="C588" t="s">
        <v>71</v>
      </c>
      <c r="D588" t="s">
        <v>23</v>
      </c>
      <c r="E588" t="s">
        <v>33</v>
      </c>
      <c r="F588" t="s">
        <v>1055</v>
      </c>
      <c r="G588">
        <v>195259082</v>
      </c>
      <c r="H588" t="s">
        <v>1056</v>
      </c>
      <c r="I588">
        <v>356</v>
      </c>
      <c r="J588">
        <v>668.27</v>
      </c>
      <c r="K588">
        <v>502.54</v>
      </c>
      <c r="L588">
        <v>237904.12</v>
      </c>
      <c r="M588">
        <v>178904.24</v>
      </c>
      <c r="N588">
        <v>58999.88</v>
      </c>
    </row>
    <row r="589" spans="1:14" x14ac:dyDescent="0.3">
      <c r="A589" t="s">
        <v>14</v>
      </c>
      <c r="B589" t="s">
        <v>105</v>
      </c>
      <c r="C589" t="s">
        <v>22</v>
      </c>
      <c r="D589" t="s">
        <v>23</v>
      </c>
      <c r="E589" t="s">
        <v>18</v>
      </c>
      <c r="F589" t="s">
        <v>1057</v>
      </c>
      <c r="G589">
        <v>593158566</v>
      </c>
      <c r="H589" t="s">
        <v>338</v>
      </c>
      <c r="I589">
        <v>7656</v>
      </c>
      <c r="J589">
        <v>109.28</v>
      </c>
      <c r="K589">
        <v>35.840000000000003</v>
      </c>
      <c r="L589">
        <v>836647.68</v>
      </c>
      <c r="M589">
        <v>274391.03999999998</v>
      </c>
      <c r="N589">
        <v>562256.64000000001</v>
      </c>
    </row>
    <row r="590" spans="1:14" x14ac:dyDescent="0.3">
      <c r="A590" t="s">
        <v>14</v>
      </c>
      <c r="B590" t="s">
        <v>83</v>
      </c>
      <c r="C590" t="s">
        <v>46</v>
      </c>
      <c r="D590" t="s">
        <v>17</v>
      </c>
      <c r="E590" t="s">
        <v>18</v>
      </c>
      <c r="F590" t="s">
        <v>330</v>
      </c>
      <c r="G590">
        <v>717833220</v>
      </c>
      <c r="H590" t="s">
        <v>1058</v>
      </c>
      <c r="I590">
        <v>1657</v>
      </c>
      <c r="J590">
        <v>154.06</v>
      </c>
      <c r="K590">
        <v>90.93</v>
      </c>
      <c r="L590">
        <v>255277.42</v>
      </c>
      <c r="M590">
        <v>150671.01</v>
      </c>
      <c r="N590">
        <v>104606.41</v>
      </c>
    </row>
    <row r="591" spans="1:14" x14ac:dyDescent="0.3">
      <c r="A591" t="s">
        <v>14</v>
      </c>
      <c r="B591" t="s">
        <v>57</v>
      </c>
      <c r="C591" t="s">
        <v>46</v>
      </c>
      <c r="D591" t="s">
        <v>23</v>
      </c>
      <c r="E591" t="s">
        <v>54</v>
      </c>
      <c r="F591" t="s">
        <v>1059</v>
      </c>
      <c r="G591">
        <v>682066285</v>
      </c>
      <c r="H591" t="s">
        <v>417</v>
      </c>
      <c r="I591">
        <v>7426</v>
      </c>
      <c r="J591">
        <v>154.06</v>
      </c>
      <c r="K591">
        <v>90.93</v>
      </c>
      <c r="L591">
        <v>1144049.56</v>
      </c>
      <c r="M591">
        <v>675246.18</v>
      </c>
      <c r="N591">
        <v>468803.38</v>
      </c>
    </row>
    <row r="592" spans="1:14" x14ac:dyDescent="0.3">
      <c r="A592" t="s">
        <v>14</v>
      </c>
      <c r="B592" t="s">
        <v>183</v>
      </c>
      <c r="C592" t="s">
        <v>28</v>
      </c>
      <c r="D592" t="s">
        <v>23</v>
      </c>
      <c r="E592" t="s">
        <v>54</v>
      </c>
      <c r="F592" t="s">
        <v>1060</v>
      </c>
      <c r="G592">
        <v>412215459</v>
      </c>
      <c r="H592" t="s">
        <v>212</v>
      </c>
      <c r="I592">
        <v>2569</v>
      </c>
      <c r="J592">
        <v>205.7</v>
      </c>
      <c r="K592">
        <v>117.11</v>
      </c>
      <c r="L592">
        <v>528443.30000000005</v>
      </c>
      <c r="M592">
        <v>300855.59000000003</v>
      </c>
      <c r="N592">
        <v>227587.71</v>
      </c>
    </row>
    <row r="593" spans="1:14" x14ac:dyDescent="0.3">
      <c r="A593" t="s">
        <v>14</v>
      </c>
      <c r="B593" t="s">
        <v>21</v>
      </c>
      <c r="C593" t="s">
        <v>32</v>
      </c>
      <c r="D593" t="s">
        <v>17</v>
      </c>
      <c r="E593" t="s">
        <v>18</v>
      </c>
      <c r="F593" t="s">
        <v>133</v>
      </c>
      <c r="G593">
        <v>152746713</v>
      </c>
      <c r="H593" t="s">
        <v>1061</v>
      </c>
      <c r="I593">
        <v>2</v>
      </c>
      <c r="J593">
        <v>651.21</v>
      </c>
      <c r="K593">
        <v>524.96</v>
      </c>
      <c r="L593">
        <v>1302.42</v>
      </c>
      <c r="M593">
        <v>1049.92</v>
      </c>
      <c r="N593">
        <v>252.5</v>
      </c>
    </row>
    <row r="594" spans="1:14" x14ac:dyDescent="0.3">
      <c r="A594" t="s">
        <v>14</v>
      </c>
      <c r="B594" t="s">
        <v>185</v>
      </c>
      <c r="C594" t="s">
        <v>28</v>
      </c>
      <c r="D594" t="s">
        <v>23</v>
      </c>
      <c r="E594" t="s">
        <v>24</v>
      </c>
      <c r="F594" t="s">
        <v>204</v>
      </c>
      <c r="G594">
        <v>715309798</v>
      </c>
      <c r="H594" t="s">
        <v>1062</v>
      </c>
      <c r="I594">
        <v>4920</v>
      </c>
      <c r="J594">
        <v>205.7</v>
      </c>
      <c r="K594">
        <v>117.11</v>
      </c>
      <c r="L594">
        <v>1012044</v>
      </c>
      <c r="M594">
        <v>576181.19999999995</v>
      </c>
      <c r="N594">
        <v>435862.8</v>
      </c>
    </row>
    <row r="595" spans="1:14" x14ac:dyDescent="0.3">
      <c r="A595" t="s">
        <v>14</v>
      </c>
      <c r="B595" t="s">
        <v>264</v>
      </c>
      <c r="C595" t="s">
        <v>37</v>
      </c>
      <c r="D595" t="s">
        <v>23</v>
      </c>
      <c r="E595" t="s">
        <v>33</v>
      </c>
      <c r="F595" t="s">
        <v>1063</v>
      </c>
      <c r="G595">
        <v>466517961</v>
      </c>
      <c r="H595" t="s">
        <v>120</v>
      </c>
      <c r="I595">
        <v>1886</v>
      </c>
      <c r="J595">
        <v>9.33</v>
      </c>
      <c r="K595">
        <v>6.92</v>
      </c>
      <c r="L595">
        <v>17596.38</v>
      </c>
      <c r="M595">
        <v>13051.12</v>
      </c>
      <c r="N595">
        <v>4545.26</v>
      </c>
    </row>
    <row r="596" spans="1:14" x14ac:dyDescent="0.3">
      <c r="A596" t="s">
        <v>14</v>
      </c>
      <c r="B596" t="s">
        <v>80</v>
      </c>
      <c r="C596" t="s">
        <v>50</v>
      </c>
      <c r="D596" t="s">
        <v>17</v>
      </c>
      <c r="E596" t="s">
        <v>18</v>
      </c>
      <c r="F596" t="s">
        <v>1064</v>
      </c>
      <c r="G596">
        <v>825065791</v>
      </c>
      <c r="H596" t="s">
        <v>1000</v>
      </c>
      <c r="I596">
        <v>4157</v>
      </c>
      <c r="J596">
        <v>421.89</v>
      </c>
      <c r="K596">
        <v>364.69</v>
      </c>
      <c r="L596">
        <v>1753796.73</v>
      </c>
      <c r="M596">
        <v>1516016.33</v>
      </c>
      <c r="N596">
        <v>237780.4</v>
      </c>
    </row>
    <row r="597" spans="1:14" x14ac:dyDescent="0.3">
      <c r="A597" t="s">
        <v>14</v>
      </c>
      <c r="B597" t="s">
        <v>223</v>
      </c>
      <c r="C597" t="s">
        <v>32</v>
      </c>
      <c r="D597" t="s">
        <v>23</v>
      </c>
      <c r="E597" t="s">
        <v>33</v>
      </c>
      <c r="F597" t="s">
        <v>682</v>
      </c>
      <c r="G597">
        <v>384976232</v>
      </c>
      <c r="H597" t="s">
        <v>628</v>
      </c>
      <c r="I597">
        <v>1877</v>
      </c>
      <c r="J597">
        <v>651.21</v>
      </c>
      <c r="K597">
        <v>524.96</v>
      </c>
      <c r="L597">
        <v>1222321.17</v>
      </c>
      <c r="M597">
        <v>985349.92</v>
      </c>
      <c r="N597">
        <v>236971.25</v>
      </c>
    </row>
    <row r="598" spans="1:14" x14ac:dyDescent="0.3">
      <c r="A598" t="s">
        <v>14</v>
      </c>
      <c r="B598" t="s">
        <v>135</v>
      </c>
      <c r="C598" t="s">
        <v>32</v>
      </c>
      <c r="D598" t="s">
        <v>17</v>
      </c>
      <c r="E598" t="s">
        <v>18</v>
      </c>
      <c r="F598" t="s">
        <v>1065</v>
      </c>
      <c r="G598">
        <v>467924726</v>
      </c>
      <c r="H598" t="s">
        <v>551</v>
      </c>
      <c r="I598">
        <v>8179</v>
      </c>
      <c r="J598">
        <v>651.21</v>
      </c>
      <c r="K598">
        <v>524.96</v>
      </c>
      <c r="L598">
        <v>5326246.59</v>
      </c>
      <c r="M598">
        <v>4293647.84</v>
      </c>
      <c r="N598">
        <v>1032598.75</v>
      </c>
    </row>
    <row r="599" spans="1:14" x14ac:dyDescent="0.3">
      <c r="A599" t="s">
        <v>14</v>
      </c>
      <c r="B599" t="s">
        <v>183</v>
      </c>
      <c r="C599" t="s">
        <v>28</v>
      </c>
      <c r="D599" t="s">
        <v>17</v>
      </c>
      <c r="E599" t="s">
        <v>33</v>
      </c>
      <c r="F599" t="s">
        <v>1066</v>
      </c>
      <c r="G599">
        <v>280477797</v>
      </c>
      <c r="H599" t="s">
        <v>1067</v>
      </c>
      <c r="I599">
        <v>8468</v>
      </c>
      <c r="J599">
        <v>205.7</v>
      </c>
      <c r="K599">
        <v>117.11</v>
      </c>
      <c r="L599">
        <v>1741867.6</v>
      </c>
      <c r="M599">
        <v>991687.48</v>
      </c>
      <c r="N599">
        <v>750180.12</v>
      </c>
    </row>
    <row r="600" spans="1:14" x14ac:dyDescent="0.3">
      <c r="A600" t="s">
        <v>14</v>
      </c>
      <c r="B600" t="s">
        <v>31</v>
      </c>
      <c r="C600" t="s">
        <v>37</v>
      </c>
      <c r="D600" t="s">
        <v>23</v>
      </c>
      <c r="E600" t="s">
        <v>33</v>
      </c>
      <c r="F600" t="s">
        <v>1068</v>
      </c>
      <c r="G600">
        <v>774698626</v>
      </c>
      <c r="H600" t="s">
        <v>1069</v>
      </c>
      <c r="I600">
        <v>9394</v>
      </c>
      <c r="J600">
        <v>9.33</v>
      </c>
      <c r="K600">
        <v>6.92</v>
      </c>
      <c r="L600">
        <v>87646.02</v>
      </c>
      <c r="M600">
        <v>65006.48</v>
      </c>
      <c r="N600">
        <v>22639.54</v>
      </c>
    </row>
    <row r="601" spans="1:14" x14ac:dyDescent="0.3">
      <c r="A601" t="s">
        <v>14</v>
      </c>
      <c r="B601" t="s">
        <v>97</v>
      </c>
      <c r="C601" t="s">
        <v>28</v>
      </c>
      <c r="D601" t="s">
        <v>23</v>
      </c>
      <c r="E601" t="s">
        <v>24</v>
      </c>
      <c r="F601" t="s">
        <v>1070</v>
      </c>
      <c r="G601">
        <v>652501904</v>
      </c>
      <c r="H601" t="s">
        <v>497</v>
      </c>
      <c r="I601">
        <v>8668</v>
      </c>
      <c r="J601">
        <v>205.7</v>
      </c>
      <c r="K601">
        <v>117.11</v>
      </c>
      <c r="L601">
        <v>1783007.6</v>
      </c>
      <c r="M601">
        <v>1015109.48</v>
      </c>
      <c r="N601">
        <v>767898.12</v>
      </c>
    </row>
    <row r="602" spans="1:14" x14ac:dyDescent="0.3">
      <c r="A602" t="s">
        <v>14</v>
      </c>
      <c r="B602" t="s">
        <v>31</v>
      </c>
      <c r="C602" t="s">
        <v>71</v>
      </c>
      <c r="D602" t="s">
        <v>23</v>
      </c>
      <c r="E602" t="s">
        <v>24</v>
      </c>
      <c r="F602" t="s">
        <v>1071</v>
      </c>
      <c r="G602">
        <v>688903129</v>
      </c>
      <c r="H602" t="s">
        <v>1072</v>
      </c>
      <c r="I602">
        <v>600</v>
      </c>
      <c r="J602">
        <v>668.27</v>
      </c>
      <c r="K602">
        <v>502.54</v>
      </c>
      <c r="L602">
        <v>400962</v>
      </c>
      <c r="M602">
        <v>301524</v>
      </c>
      <c r="N602">
        <v>99438</v>
      </c>
    </row>
    <row r="603" spans="1:14" x14ac:dyDescent="0.3">
      <c r="A603" t="s">
        <v>14</v>
      </c>
      <c r="B603" t="s">
        <v>53</v>
      </c>
      <c r="C603" t="s">
        <v>102</v>
      </c>
      <c r="D603" t="s">
        <v>23</v>
      </c>
      <c r="E603" t="s">
        <v>24</v>
      </c>
      <c r="F603" t="s">
        <v>1073</v>
      </c>
      <c r="G603">
        <v>195171105</v>
      </c>
      <c r="H603" t="s">
        <v>1074</v>
      </c>
      <c r="I603">
        <v>4322</v>
      </c>
      <c r="J603">
        <v>81.73</v>
      </c>
      <c r="K603">
        <v>56.67</v>
      </c>
      <c r="L603">
        <v>353237.06</v>
      </c>
      <c r="M603">
        <v>244927.74</v>
      </c>
      <c r="N603">
        <v>108309.32</v>
      </c>
    </row>
    <row r="604" spans="1:14" x14ac:dyDescent="0.3">
      <c r="A604" t="s">
        <v>14</v>
      </c>
      <c r="B604" t="s">
        <v>257</v>
      </c>
      <c r="C604" t="s">
        <v>71</v>
      </c>
      <c r="D604" t="s">
        <v>17</v>
      </c>
      <c r="E604" t="s">
        <v>18</v>
      </c>
      <c r="F604" t="s">
        <v>624</v>
      </c>
      <c r="G604">
        <v>128766906</v>
      </c>
      <c r="H604" t="s">
        <v>187</v>
      </c>
      <c r="I604">
        <v>3844</v>
      </c>
      <c r="J604">
        <v>668.27</v>
      </c>
      <c r="K604">
        <v>502.54</v>
      </c>
      <c r="L604">
        <v>2568829.88</v>
      </c>
      <c r="M604">
        <v>1931763.76</v>
      </c>
      <c r="N604">
        <v>637066.12</v>
      </c>
    </row>
    <row r="605" spans="1:14" x14ac:dyDescent="0.3">
      <c r="A605" t="s">
        <v>14</v>
      </c>
      <c r="B605" t="s">
        <v>61</v>
      </c>
      <c r="C605" t="s">
        <v>46</v>
      </c>
      <c r="D605" t="s">
        <v>17</v>
      </c>
      <c r="E605" t="s">
        <v>33</v>
      </c>
      <c r="F605" t="s">
        <v>1075</v>
      </c>
      <c r="G605">
        <v>361725556</v>
      </c>
      <c r="H605" t="s">
        <v>1076</v>
      </c>
      <c r="I605">
        <v>1485</v>
      </c>
      <c r="J605">
        <v>154.06</v>
      </c>
      <c r="K605">
        <v>90.93</v>
      </c>
      <c r="L605">
        <v>228779.1</v>
      </c>
      <c r="M605">
        <v>135031.04999999999</v>
      </c>
      <c r="N605">
        <v>93748.05</v>
      </c>
    </row>
    <row r="606" spans="1:14" x14ac:dyDescent="0.3">
      <c r="A606" t="s">
        <v>14</v>
      </c>
      <c r="B606" t="s">
        <v>122</v>
      </c>
      <c r="C606" t="s">
        <v>102</v>
      </c>
      <c r="D606" t="s">
        <v>23</v>
      </c>
      <c r="E606" t="s">
        <v>18</v>
      </c>
      <c r="F606" t="s">
        <v>1077</v>
      </c>
      <c r="G606">
        <v>789760196</v>
      </c>
      <c r="H606" t="s">
        <v>1078</v>
      </c>
      <c r="I606">
        <v>6447</v>
      </c>
      <c r="J606">
        <v>81.73</v>
      </c>
      <c r="K606">
        <v>56.67</v>
      </c>
      <c r="L606">
        <v>526913.31000000006</v>
      </c>
      <c r="M606">
        <v>365351.49</v>
      </c>
      <c r="N606">
        <v>161561.82</v>
      </c>
    </row>
    <row r="607" spans="1:14" x14ac:dyDescent="0.3">
      <c r="A607" t="s">
        <v>14</v>
      </c>
      <c r="B607" t="s">
        <v>243</v>
      </c>
      <c r="C607" t="s">
        <v>75</v>
      </c>
      <c r="D607" t="s">
        <v>23</v>
      </c>
      <c r="E607" t="s">
        <v>18</v>
      </c>
      <c r="F607" t="s">
        <v>1079</v>
      </c>
      <c r="G607">
        <v>327072703</v>
      </c>
      <c r="H607" t="s">
        <v>1080</v>
      </c>
      <c r="I607">
        <v>6936</v>
      </c>
      <c r="J607">
        <v>437.2</v>
      </c>
      <c r="K607">
        <v>263.33</v>
      </c>
      <c r="L607">
        <v>3032419.2</v>
      </c>
      <c r="M607">
        <v>1826456.88</v>
      </c>
      <c r="N607">
        <v>1205962.32</v>
      </c>
    </row>
    <row r="608" spans="1:14" x14ac:dyDescent="0.3">
      <c r="A608" t="s">
        <v>14</v>
      </c>
      <c r="B608" t="s">
        <v>49</v>
      </c>
      <c r="C608" t="s">
        <v>46</v>
      </c>
      <c r="D608" t="s">
        <v>23</v>
      </c>
      <c r="E608" t="s">
        <v>54</v>
      </c>
      <c r="F608" t="s">
        <v>1081</v>
      </c>
      <c r="G608">
        <v>130356919</v>
      </c>
      <c r="H608" t="s">
        <v>261</v>
      </c>
      <c r="I608">
        <v>4364</v>
      </c>
      <c r="J608">
        <v>154.06</v>
      </c>
      <c r="K608">
        <v>90.93</v>
      </c>
      <c r="L608">
        <v>672317.84</v>
      </c>
      <c r="M608">
        <v>396818.52</v>
      </c>
      <c r="N608">
        <v>275499.32</v>
      </c>
    </row>
    <row r="609" spans="1:14" x14ac:dyDescent="0.3">
      <c r="A609" t="s">
        <v>14</v>
      </c>
      <c r="B609" t="s">
        <v>86</v>
      </c>
      <c r="C609" t="s">
        <v>28</v>
      </c>
      <c r="D609" t="s">
        <v>17</v>
      </c>
      <c r="E609" t="s">
        <v>54</v>
      </c>
      <c r="F609" t="s">
        <v>296</v>
      </c>
      <c r="G609">
        <v>636360585</v>
      </c>
      <c r="H609" t="s">
        <v>1031</v>
      </c>
      <c r="I609">
        <v>2093</v>
      </c>
      <c r="J609">
        <v>205.7</v>
      </c>
      <c r="K609">
        <v>117.11</v>
      </c>
      <c r="L609">
        <v>430530.1</v>
      </c>
      <c r="M609">
        <v>245111.23</v>
      </c>
      <c r="N609">
        <v>185418.87</v>
      </c>
    </row>
    <row r="610" spans="1:14" x14ac:dyDescent="0.3">
      <c r="A610" t="s">
        <v>14</v>
      </c>
      <c r="B610" t="s">
        <v>264</v>
      </c>
      <c r="C610" t="s">
        <v>16</v>
      </c>
      <c r="D610" t="s">
        <v>23</v>
      </c>
      <c r="E610" t="s">
        <v>24</v>
      </c>
      <c r="F610" t="s">
        <v>78</v>
      </c>
      <c r="G610">
        <v>123938930</v>
      </c>
      <c r="H610" t="s">
        <v>969</v>
      </c>
      <c r="I610">
        <v>5138</v>
      </c>
      <c r="J610">
        <v>47.45</v>
      </c>
      <c r="K610">
        <v>31.79</v>
      </c>
      <c r="L610">
        <v>243798.1</v>
      </c>
      <c r="M610">
        <v>163337.01999999999</v>
      </c>
      <c r="N610">
        <v>80461.08</v>
      </c>
    </row>
    <row r="611" spans="1:14" x14ac:dyDescent="0.3">
      <c r="A611" t="s">
        <v>14</v>
      </c>
      <c r="B611" t="s">
        <v>132</v>
      </c>
      <c r="C611" t="s">
        <v>32</v>
      </c>
      <c r="D611" t="s">
        <v>17</v>
      </c>
      <c r="E611" t="s">
        <v>18</v>
      </c>
      <c r="F611" t="s">
        <v>690</v>
      </c>
      <c r="G611">
        <v>770821654</v>
      </c>
      <c r="H611" t="s">
        <v>1082</v>
      </c>
      <c r="I611">
        <v>2112</v>
      </c>
      <c r="J611">
        <v>651.21</v>
      </c>
      <c r="K611">
        <v>524.96</v>
      </c>
      <c r="L611">
        <v>1375355.52</v>
      </c>
      <c r="M611">
        <v>1108715.52</v>
      </c>
      <c r="N611">
        <v>266640</v>
      </c>
    </row>
    <row r="612" spans="1:14" x14ac:dyDescent="0.3">
      <c r="A612" t="s">
        <v>14</v>
      </c>
      <c r="B612" t="s">
        <v>94</v>
      </c>
      <c r="C612" t="s">
        <v>75</v>
      </c>
      <c r="D612" t="s">
        <v>23</v>
      </c>
      <c r="E612" t="s">
        <v>24</v>
      </c>
      <c r="F612" t="s">
        <v>740</v>
      </c>
      <c r="G612">
        <v>692952191</v>
      </c>
      <c r="H612" t="s">
        <v>1083</v>
      </c>
      <c r="I612">
        <v>8807</v>
      </c>
      <c r="J612">
        <v>437.2</v>
      </c>
      <c r="K612">
        <v>263.33</v>
      </c>
      <c r="L612">
        <v>3850420.4</v>
      </c>
      <c r="M612">
        <v>2319147.31</v>
      </c>
      <c r="N612">
        <v>1531273.09</v>
      </c>
    </row>
    <row r="613" spans="1:14" x14ac:dyDescent="0.3">
      <c r="A613" t="s">
        <v>14</v>
      </c>
      <c r="B613" t="s">
        <v>74</v>
      </c>
      <c r="C613" t="s">
        <v>16</v>
      </c>
      <c r="D613" t="s">
        <v>17</v>
      </c>
      <c r="E613" t="s">
        <v>33</v>
      </c>
      <c r="F613" t="s">
        <v>838</v>
      </c>
      <c r="G613">
        <v>947507131</v>
      </c>
      <c r="H613" t="s">
        <v>1084</v>
      </c>
      <c r="I613">
        <v>7271</v>
      </c>
      <c r="J613">
        <v>47.45</v>
      </c>
      <c r="K613">
        <v>31.79</v>
      </c>
      <c r="L613">
        <v>345008.95</v>
      </c>
      <c r="M613">
        <v>231145.09</v>
      </c>
      <c r="N613">
        <v>113863.86</v>
      </c>
    </row>
    <row r="614" spans="1:14" x14ac:dyDescent="0.3">
      <c r="A614" t="s">
        <v>14</v>
      </c>
      <c r="B614" t="s">
        <v>271</v>
      </c>
      <c r="C614" t="s">
        <v>102</v>
      </c>
      <c r="D614" t="s">
        <v>17</v>
      </c>
      <c r="E614" t="s">
        <v>33</v>
      </c>
      <c r="F614" t="s">
        <v>694</v>
      </c>
      <c r="G614">
        <v>396462953</v>
      </c>
      <c r="H614" t="s">
        <v>1085</v>
      </c>
      <c r="I614">
        <v>1053</v>
      </c>
      <c r="J614">
        <v>81.73</v>
      </c>
      <c r="K614">
        <v>56.67</v>
      </c>
      <c r="L614">
        <v>86061.69</v>
      </c>
      <c r="M614">
        <v>59673.51</v>
      </c>
      <c r="N614">
        <v>26388.18</v>
      </c>
    </row>
    <row r="615" spans="1:14" x14ac:dyDescent="0.3">
      <c r="A615" t="s">
        <v>14</v>
      </c>
      <c r="B615" t="s">
        <v>70</v>
      </c>
      <c r="C615" t="s">
        <v>16</v>
      </c>
      <c r="D615" t="s">
        <v>17</v>
      </c>
      <c r="E615" t="s">
        <v>24</v>
      </c>
      <c r="F615" t="s">
        <v>1086</v>
      </c>
      <c r="G615">
        <v>162791907</v>
      </c>
      <c r="H615" t="s">
        <v>327</v>
      </c>
      <c r="I615">
        <v>2598</v>
      </c>
      <c r="J615">
        <v>47.45</v>
      </c>
      <c r="K615">
        <v>31.79</v>
      </c>
      <c r="L615">
        <v>123275.1</v>
      </c>
      <c r="M615">
        <v>82590.42</v>
      </c>
      <c r="N615">
        <v>40684.68</v>
      </c>
    </row>
    <row r="616" spans="1:14" x14ac:dyDescent="0.3">
      <c r="A616" t="s">
        <v>14</v>
      </c>
      <c r="B616" t="s">
        <v>45</v>
      </c>
      <c r="C616" t="s">
        <v>75</v>
      </c>
      <c r="D616" t="s">
        <v>23</v>
      </c>
      <c r="E616" t="s">
        <v>24</v>
      </c>
      <c r="F616" t="s">
        <v>1087</v>
      </c>
      <c r="G616">
        <v>835341870</v>
      </c>
      <c r="H616" t="s">
        <v>1088</v>
      </c>
      <c r="I616">
        <v>5077</v>
      </c>
      <c r="J616">
        <v>437.2</v>
      </c>
      <c r="K616">
        <v>263.33</v>
      </c>
      <c r="L616">
        <v>2219664.4</v>
      </c>
      <c r="M616">
        <v>1336926.4099999999</v>
      </c>
      <c r="N616">
        <v>882737.99</v>
      </c>
    </row>
    <row r="617" spans="1:14" x14ac:dyDescent="0.3">
      <c r="A617" t="s">
        <v>14</v>
      </c>
      <c r="B617" t="s">
        <v>115</v>
      </c>
      <c r="C617" t="s">
        <v>71</v>
      </c>
      <c r="D617" t="s">
        <v>17</v>
      </c>
      <c r="E617" t="s">
        <v>18</v>
      </c>
      <c r="F617" t="s">
        <v>1089</v>
      </c>
      <c r="G617">
        <v>149274003</v>
      </c>
      <c r="H617" t="s">
        <v>1090</v>
      </c>
      <c r="I617">
        <v>2350</v>
      </c>
      <c r="J617">
        <v>668.27</v>
      </c>
      <c r="K617">
        <v>502.54</v>
      </c>
      <c r="L617">
        <v>1570434.5</v>
      </c>
      <c r="M617">
        <v>1180969</v>
      </c>
      <c r="N617">
        <v>389465.5</v>
      </c>
    </row>
    <row r="618" spans="1:14" x14ac:dyDescent="0.3">
      <c r="A618" t="s">
        <v>14</v>
      </c>
      <c r="B618" t="s">
        <v>36</v>
      </c>
      <c r="C618" t="s">
        <v>75</v>
      </c>
      <c r="D618" t="s">
        <v>17</v>
      </c>
      <c r="E618" t="s">
        <v>18</v>
      </c>
      <c r="F618" t="s">
        <v>1091</v>
      </c>
      <c r="G618">
        <v>311956632</v>
      </c>
      <c r="H618" t="s">
        <v>630</v>
      </c>
      <c r="I618">
        <v>3755</v>
      </c>
      <c r="J618">
        <v>437.2</v>
      </c>
      <c r="K618">
        <v>263.33</v>
      </c>
      <c r="L618">
        <v>1641686</v>
      </c>
      <c r="M618">
        <v>988804.15</v>
      </c>
      <c r="N618">
        <v>652881.85</v>
      </c>
    </row>
    <row r="619" spans="1:14" x14ac:dyDescent="0.3">
      <c r="A619" t="s">
        <v>14</v>
      </c>
      <c r="B619" t="s">
        <v>74</v>
      </c>
      <c r="C619" t="s">
        <v>64</v>
      </c>
      <c r="D619" t="s">
        <v>17</v>
      </c>
      <c r="E619" t="s">
        <v>33</v>
      </c>
      <c r="F619" t="s">
        <v>1092</v>
      </c>
      <c r="G619">
        <v>920688903</v>
      </c>
      <c r="H619" t="s">
        <v>1093</v>
      </c>
      <c r="I619">
        <v>1161</v>
      </c>
      <c r="J619">
        <v>255.28</v>
      </c>
      <c r="K619">
        <v>159.41999999999999</v>
      </c>
      <c r="L619">
        <v>296380.08</v>
      </c>
      <c r="M619">
        <v>185086.62</v>
      </c>
      <c r="N619">
        <v>111293.46</v>
      </c>
    </row>
    <row r="620" spans="1:14" x14ac:dyDescent="0.3">
      <c r="A620" t="s">
        <v>14</v>
      </c>
      <c r="B620" t="s">
        <v>61</v>
      </c>
      <c r="C620" t="s">
        <v>102</v>
      </c>
      <c r="D620" t="s">
        <v>23</v>
      </c>
      <c r="E620" t="s">
        <v>33</v>
      </c>
      <c r="F620" t="s">
        <v>640</v>
      </c>
      <c r="G620">
        <v>434485948</v>
      </c>
      <c r="H620" t="s">
        <v>480</v>
      </c>
      <c r="I620">
        <v>2902</v>
      </c>
      <c r="J620">
        <v>81.73</v>
      </c>
      <c r="K620">
        <v>56.67</v>
      </c>
      <c r="L620">
        <v>237180.46</v>
      </c>
      <c r="M620">
        <v>164456.34</v>
      </c>
      <c r="N620">
        <v>72724.12</v>
      </c>
    </row>
    <row r="621" spans="1:14" x14ac:dyDescent="0.3">
      <c r="A621" t="s">
        <v>14</v>
      </c>
      <c r="B621" t="s">
        <v>36</v>
      </c>
      <c r="C621" t="s">
        <v>64</v>
      </c>
      <c r="D621" t="s">
        <v>17</v>
      </c>
      <c r="E621" t="s">
        <v>54</v>
      </c>
      <c r="F621" t="s">
        <v>935</v>
      </c>
      <c r="G621">
        <v>316466176</v>
      </c>
      <c r="H621" t="s">
        <v>1094</v>
      </c>
      <c r="I621">
        <v>8229</v>
      </c>
      <c r="J621">
        <v>255.28</v>
      </c>
      <c r="K621">
        <v>159.41999999999999</v>
      </c>
      <c r="L621">
        <v>2100699.12</v>
      </c>
      <c r="M621">
        <v>1311867.18</v>
      </c>
      <c r="N621">
        <v>788831.94</v>
      </c>
    </row>
    <row r="622" spans="1:14" x14ac:dyDescent="0.3">
      <c r="A622" t="s">
        <v>14</v>
      </c>
      <c r="B622" t="s">
        <v>132</v>
      </c>
      <c r="C622" t="s">
        <v>71</v>
      </c>
      <c r="D622" t="s">
        <v>23</v>
      </c>
      <c r="E622" t="s">
        <v>24</v>
      </c>
      <c r="F622" t="s">
        <v>1095</v>
      </c>
      <c r="G622">
        <v>101025998</v>
      </c>
      <c r="H622" t="s">
        <v>1096</v>
      </c>
      <c r="I622">
        <v>4693</v>
      </c>
      <c r="J622">
        <v>668.27</v>
      </c>
      <c r="K622">
        <v>502.54</v>
      </c>
      <c r="L622">
        <v>3136191.11</v>
      </c>
      <c r="M622">
        <v>2358420.2200000002</v>
      </c>
      <c r="N622">
        <v>777770.89</v>
      </c>
    </row>
    <row r="623" spans="1:14" x14ac:dyDescent="0.3">
      <c r="A623" t="s">
        <v>14</v>
      </c>
      <c r="B623" t="s">
        <v>45</v>
      </c>
      <c r="C623" t="s">
        <v>102</v>
      </c>
      <c r="D623" t="s">
        <v>17</v>
      </c>
      <c r="E623" t="s">
        <v>54</v>
      </c>
      <c r="F623" t="s">
        <v>1097</v>
      </c>
      <c r="G623">
        <v>547625386</v>
      </c>
      <c r="H623" t="s">
        <v>698</v>
      </c>
      <c r="I623">
        <v>3376</v>
      </c>
      <c r="J623">
        <v>81.73</v>
      </c>
      <c r="K623">
        <v>56.67</v>
      </c>
      <c r="L623">
        <v>275920.48</v>
      </c>
      <c r="M623">
        <v>191317.92</v>
      </c>
      <c r="N623">
        <v>84602.559999999998</v>
      </c>
    </row>
    <row r="624" spans="1:14" x14ac:dyDescent="0.3">
      <c r="A624" t="s">
        <v>14</v>
      </c>
      <c r="B624" t="s">
        <v>40</v>
      </c>
      <c r="C624" t="s">
        <v>37</v>
      </c>
      <c r="D624" t="s">
        <v>23</v>
      </c>
      <c r="E624" t="s">
        <v>54</v>
      </c>
      <c r="F624" t="s">
        <v>1098</v>
      </c>
      <c r="G624">
        <v>394456660</v>
      </c>
      <c r="H624" t="s">
        <v>1099</v>
      </c>
      <c r="I624">
        <v>7346</v>
      </c>
      <c r="J624">
        <v>9.33</v>
      </c>
      <c r="K624">
        <v>6.92</v>
      </c>
      <c r="L624">
        <v>68538.179999999993</v>
      </c>
      <c r="M624">
        <v>50834.32</v>
      </c>
      <c r="N624">
        <v>17703.86</v>
      </c>
    </row>
    <row r="625" spans="1:14" x14ac:dyDescent="0.3">
      <c r="A625" t="s">
        <v>14</v>
      </c>
      <c r="B625" t="s">
        <v>132</v>
      </c>
      <c r="C625" t="s">
        <v>64</v>
      </c>
      <c r="D625" t="s">
        <v>23</v>
      </c>
      <c r="E625" t="s">
        <v>24</v>
      </c>
      <c r="F625" t="s">
        <v>1100</v>
      </c>
      <c r="G625">
        <v>104548490</v>
      </c>
      <c r="H625" t="s">
        <v>210</v>
      </c>
      <c r="I625">
        <v>7076</v>
      </c>
      <c r="J625">
        <v>255.28</v>
      </c>
      <c r="K625">
        <v>159.41999999999999</v>
      </c>
      <c r="L625">
        <v>1806361.28</v>
      </c>
      <c r="M625">
        <v>1128055.92</v>
      </c>
      <c r="N625">
        <v>678305.36</v>
      </c>
    </row>
    <row r="626" spans="1:14" x14ac:dyDescent="0.3">
      <c r="A626" t="s">
        <v>14</v>
      </c>
      <c r="B626" t="s">
        <v>183</v>
      </c>
      <c r="C626" t="s">
        <v>28</v>
      </c>
      <c r="D626" t="s">
        <v>23</v>
      </c>
      <c r="E626" t="s">
        <v>24</v>
      </c>
      <c r="F626" t="s">
        <v>1101</v>
      </c>
      <c r="G626">
        <v>687374913</v>
      </c>
      <c r="H626" t="s">
        <v>1102</v>
      </c>
      <c r="I626">
        <v>8367</v>
      </c>
      <c r="J626">
        <v>205.7</v>
      </c>
      <c r="K626">
        <v>117.11</v>
      </c>
      <c r="L626">
        <v>1721091.9</v>
      </c>
      <c r="M626">
        <v>979859.37</v>
      </c>
      <c r="N626">
        <v>741232.53</v>
      </c>
    </row>
    <row r="627" spans="1:14" x14ac:dyDescent="0.3">
      <c r="A627" t="s">
        <v>14</v>
      </c>
      <c r="B627" t="s">
        <v>183</v>
      </c>
      <c r="C627" t="s">
        <v>46</v>
      </c>
      <c r="D627" t="s">
        <v>23</v>
      </c>
      <c r="E627" t="s">
        <v>24</v>
      </c>
      <c r="F627" t="s">
        <v>1103</v>
      </c>
      <c r="G627">
        <v>921693980</v>
      </c>
      <c r="H627" t="s">
        <v>310</v>
      </c>
      <c r="I627">
        <v>8586</v>
      </c>
      <c r="J627">
        <v>154.06</v>
      </c>
      <c r="K627">
        <v>90.93</v>
      </c>
      <c r="L627">
        <v>1322759.1599999999</v>
      </c>
      <c r="M627">
        <v>780724.98</v>
      </c>
      <c r="N627">
        <v>542034.18000000005</v>
      </c>
    </row>
    <row r="628" spans="1:14" x14ac:dyDescent="0.3">
      <c r="A628" t="s">
        <v>14</v>
      </c>
      <c r="B628" t="s">
        <v>40</v>
      </c>
      <c r="C628" t="s">
        <v>71</v>
      </c>
      <c r="D628" t="s">
        <v>23</v>
      </c>
      <c r="E628" t="s">
        <v>33</v>
      </c>
      <c r="F628" t="s">
        <v>1104</v>
      </c>
      <c r="G628">
        <v>829356467</v>
      </c>
      <c r="H628" t="s">
        <v>177</v>
      </c>
      <c r="I628">
        <v>3864</v>
      </c>
      <c r="J628">
        <v>668.27</v>
      </c>
      <c r="K628">
        <v>502.54</v>
      </c>
      <c r="L628">
        <v>2582195.2799999998</v>
      </c>
      <c r="M628">
        <v>1941814.56</v>
      </c>
      <c r="N628">
        <v>640380.72</v>
      </c>
    </row>
    <row r="629" spans="1:14" x14ac:dyDescent="0.3">
      <c r="A629" t="s">
        <v>14</v>
      </c>
      <c r="B629" t="s">
        <v>15</v>
      </c>
      <c r="C629" t="s">
        <v>28</v>
      </c>
      <c r="D629" t="s">
        <v>17</v>
      </c>
      <c r="E629" t="s">
        <v>18</v>
      </c>
      <c r="F629" t="s">
        <v>1105</v>
      </c>
      <c r="G629">
        <v>322524106</v>
      </c>
      <c r="H629" t="s">
        <v>1105</v>
      </c>
      <c r="I629">
        <v>905</v>
      </c>
      <c r="J629">
        <v>205.7</v>
      </c>
      <c r="K629">
        <v>117.11</v>
      </c>
      <c r="L629">
        <v>186158.5</v>
      </c>
      <c r="M629">
        <v>105984.55</v>
      </c>
      <c r="N629">
        <v>80173.95</v>
      </c>
    </row>
    <row r="630" spans="1:14" x14ac:dyDescent="0.3">
      <c r="A630" t="s">
        <v>14</v>
      </c>
      <c r="B630" t="s">
        <v>86</v>
      </c>
      <c r="C630" t="s">
        <v>28</v>
      </c>
      <c r="D630" t="s">
        <v>17</v>
      </c>
      <c r="E630" t="s">
        <v>24</v>
      </c>
      <c r="F630" t="s">
        <v>1106</v>
      </c>
      <c r="G630">
        <v>897638213</v>
      </c>
      <c r="H630" t="s">
        <v>116</v>
      </c>
      <c r="I630">
        <v>9950</v>
      </c>
      <c r="J630">
        <v>205.7</v>
      </c>
      <c r="K630">
        <v>117.11</v>
      </c>
      <c r="L630">
        <v>2046715</v>
      </c>
      <c r="M630">
        <v>1165244.5</v>
      </c>
      <c r="N630">
        <v>881470.5</v>
      </c>
    </row>
    <row r="631" spans="1:14" x14ac:dyDescent="0.3">
      <c r="A631" t="s">
        <v>14</v>
      </c>
      <c r="B631" t="s">
        <v>185</v>
      </c>
      <c r="C631" t="s">
        <v>64</v>
      </c>
      <c r="D631" t="s">
        <v>17</v>
      </c>
      <c r="E631" t="s">
        <v>33</v>
      </c>
      <c r="F631" t="s">
        <v>764</v>
      </c>
      <c r="G631">
        <v>480652987</v>
      </c>
      <c r="H631" t="s">
        <v>1107</v>
      </c>
      <c r="I631">
        <v>4755</v>
      </c>
      <c r="J631">
        <v>255.28</v>
      </c>
      <c r="K631">
        <v>159.41999999999999</v>
      </c>
      <c r="L631">
        <v>1213856.3999999999</v>
      </c>
      <c r="M631">
        <v>758042.1</v>
      </c>
      <c r="N631">
        <v>455814.3</v>
      </c>
    </row>
    <row r="632" spans="1:14" x14ac:dyDescent="0.3">
      <c r="A632" t="s">
        <v>14</v>
      </c>
      <c r="B632" t="s">
        <v>163</v>
      </c>
      <c r="C632" t="s">
        <v>32</v>
      </c>
      <c r="D632" t="s">
        <v>23</v>
      </c>
      <c r="E632" t="s">
        <v>18</v>
      </c>
      <c r="F632" t="s">
        <v>1108</v>
      </c>
      <c r="G632">
        <v>340213811</v>
      </c>
      <c r="H632" t="s">
        <v>1109</v>
      </c>
      <c r="I632">
        <v>5682</v>
      </c>
      <c r="J632">
        <v>651.21</v>
      </c>
      <c r="K632">
        <v>524.96</v>
      </c>
      <c r="L632">
        <v>3700175.22</v>
      </c>
      <c r="M632">
        <v>2982822.72</v>
      </c>
      <c r="N632">
        <v>717352.5</v>
      </c>
    </row>
    <row r="633" spans="1:14" x14ac:dyDescent="0.3">
      <c r="A633" t="s">
        <v>14</v>
      </c>
      <c r="B633" t="s">
        <v>223</v>
      </c>
      <c r="C633" t="s">
        <v>64</v>
      </c>
      <c r="D633" t="s">
        <v>23</v>
      </c>
      <c r="E633" t="s">
        <v>54</v>
      </c>
      <c r="F633" t="s">
        <v>1110</v>
      </c>
      <c r="G633">
        <v>826936471</v>
      </c>
      <c r="H633" t="s">
        <v>835</v>
      </c>
      <c r="I633">
        <v>7733</v>
      </c>
      <c r="J633">
        <v>255.28</v>
      </c>
      <c r="K633">
        <v>159.41999999999999</v>
      </c>
      <c r="L633">
        <v>1974080.24</v>
      </c>
      <c r="M633">
        <v>1232794.8600000001</v>
      </c>
      <c r="N633">
        <v>741285.38</v>
      </c>
    </row>
    <row r="634" spans="1:14" x14ac:dyDescent="0.3">
      <c r="A634" t="s">
        <v>14</v>
      </c>
      <c r="B634" t="s">
        <v>115</v>
      </c>
      <c r="C634" t="s">
        <v>75</v>
      </c>
      <c r="D634" t="s">
        <v>23</v>
      </c>
      <c r="E634" t="s">
        <v>54</v>
      </c>
      <c r="F634" t="s">
        <v>1111</v>
      </c>
      <c r="G634">
        <v>477633464</v>
      </c>
      <c r="H634" t="s">
        <v>1112</v>
      </c>
      <c r="I634">
        <v>1211</v>
      </c>
      <c r="J634">
        <v>437.2</v>
      </c>
      <c r="K634">
        <v>263.33</v>
      </c>
      <c r="L634">
        <v>529449.19999999995</v>
      </c>
      <c r="M634">
        <v>318892.63</v>
      </c>
      <c r="N634">
        <v>210556.57</v>
      </c>
    </row>
    <row r="635" spans="1:14" x14ac:dyDescent="0.3">
      <c r="A635" t="s">
        <v>14</v>
      </c>
      <c r="B635" t="s">
        <v>80</v>
      </c>
      <c r="C635" t="s">
        <v>50</v>
      </c>
      <c r="D635" t="s">
        <v>23</v>
      </c>
      <c r="E635" t="s">
        <v>33</v>
      </c>
      <c r="F635" t="s">
        <v>1113</v>
      </c>
      <c r="G635">
        <v>849431836</v>
      </c>
      <c r="H635" t="s">
        <v>1114</v>
      </c>
      <c r="I635">
        <v>4611</v>
      </c>
      <c r="J635">
        <v>421.89</v>
      </c>
      <c r="K635">
        <v>364.69</v>
      </c>
      <c r="L635">
        <v>1945334.79</v>
      </c>
      <c r="M635">
        <v>1681585.59</v>
      </c>
      <c r="N635">
        <v>263749.2</v>
      </c>
    </row>
    <row r="636" spans="1:14" x14ac:dyDescent="0.3">
      <c r="A636" t="s">
        <v>14</v>
      </c>
      <c r="B636" t="s">
        <v>94</v>
      </c>
      <c r="C636" t="s">
        <v>64</v>
      </c>
      <c r="D636" t="s">
        <v>23</v>
      </c>
      <c r="E636" t="s">
        <v>54</v>
      </c>
      <c r="F636" t="s">
        <v>283</v>
      </c>
      <c r="G636">
        <v>844307315</v>
      </c>
      <c r="H636" t="s">
        <v>1115</v>
      </c>
      <c r="I636">
        <v>8152</v>
      </c>
      <c r="J636">
        <v>255.28</v>
      </c>
      <c r="K636">
        <v>159.41999999999999</v>
      </c>
      <c r="L636">
        <v>2081042.56</v>
      </c>
      <c r="M636">
        <v>1299591.8400000001</v>
      </c>
      <c r="N636">
        <v>781450.72</v>
      </c>
    </row>
    <row r="637" spans="1:14" x14ac:dyDescent="0.3">
      <c r="A637" t="s">
        <v>14</v>
      </c>
      <c r="B637" t="s">
        <v>53</v>
      </c>
      <c r="C637" t="s">
        <v>58</v>
      </c>
      <c r="D637" t="s">
        <v>23</v>
      </c>
      <c r="E637" t="s">
        <v>54</v>
      </c>
      <c r="F637" t="s">
        <v>963</v>
      </c>
      <c r="G637">
        <v>414579665</v>
      </c>
      <c r="H637" t="s">
        <v>72</v>
      </c>
      <c r="I637">
        <v>2191</v>
      </c>
      <c r="J637">
        <v>152.58000000000001</v>
      </c>
      <c r="K637">
        <v>97.44</v>
      </c>
      <c r="L637">
        <v>334302.78000000003</v>
      </c>
      <c r="M637">
        <v>213491.04</v>
      </c>
      <c r="N637">
        <v>120811.74</v>
      </c>
    </row>
    <row r="638" spans="1:14" x14ac:dyDescent="0.3">
      <c r="A638" t="s">
        <v>14</v>
      </c>
      <c r="B638" t="s">
        <v>49</v>
      </c>
      <c r="C638" t="s">
        <v>28</v>
      </c>
      <c r="D638" t="s">
        <v>17</v>
      </c>
      <c r="E638" t="s">
        <v>24</v>
      </c>
      <c r="F638" t="s">
        <v>1116</v>
      </c>
      <c r="G638">
        <v>569864976</v>
      </c>
      <c r="H638" t="s">
        <v>1117</v>
      </c>
      <c r="I638">
        <v>4565</v>
      </c>
      <c r="J638">
        <v>205.7</v>
      </c>
      <c r="K638">
        <v>117.11</v>
      </c>
      <c r="L638">
        <v>939020.5</v>
      </c>
      <c r="M638">
        <v>534607.15</v>
      </c>
      <c r="N638">
        <v>404413.35</v>
      </c>
    </row>
    <row r="639" spans="1:14" x14ac:dyDescent="0.3">
      <c r="A639" t="s">
        <v>14</v>
      </c>
      <c r="B639" t="s">
        <v>94</v>
      </c>
      <c r="C639" t="s">
        <v>22</v>
      </c>
      <c r="D639" t="s">
        <v>23</v>
      </c>
      <c r="E639" t="s">
        <v>33</v>
      </c>
      <c r="F639" t="s">
        <v>1118</v>
      </c>
      <c r="G639">
        <v>783116900</v>
      </c>
      <c r="H639" t="s">
        <v>1119</v>
      </c>
      <c r="I639">
        <v>548</v>
      </c>
      <c r="J639">
        <v>109.28</v>
      </c>
      <c r="K639">
        <v>35.840000000000003</v>
      </c>
      <c r="L639">
        <v>59885.440000000002</v>
      </c>
      <c r="M639">
        <v>19640.32</v>
      </c>
      <c r="N639">
        <v>40245.120000000003</v>
      </c>
    </row>
    <row r="640" spans="1:14" x14ac:dyDescent="0.3">
      <c r="A640" t="s">
        <v>14</v>
      </c>
      <c r="B640" t="s">
        <v>220</v>
      </c>
      <c r="C640" t="s">
        <v>75</v>
      </c>
      <c r="D640" t="s">
        <v>23</v>
      </c>
      <c r="E640" t="s">
        <v>33</v>
      </c>
      <c r="F640" t="s">
        <v>1085</v>
      </c>
      <c r="G640">
        <v>727821767</v>
      </c>
      <c r="H640" t="s">
        <v>1120</v>
      </c>
      <c r="I640">
        <v>7489</v>
      </c>
      <c r="J640">
        <v>437.2</v>
      </c>
      <c r="K640">
        <v>263.33</v>
      </c>
      <c r="L640">
        <v>3274190.8</v>
      </c>
      <c r="M640">
        <v>1972078.37</v>
      </c>
      <c r="N640">
        <v>1302112.43</v>
      </c>
    </row>
    <row r="641" spans="1:14" x14ac:dyDescent="0.3">
      <c r="A641" t="s">
        <v>14</v>
      </c>
      <c r="B641" t="s">
        <v>364</v>
      </c>
      <c r="C641" t="s">
        <v>50</v>
      </c>
      <c r="D641" t="s">
        <v>17</v>
      </c>
      <c r="E641" t="s">
        <v>18</v>
      </c>
      <c r="F641" t="s">
        <v>1121</v>
      </c>
      <c r="G641">
        <v>631172120</v>
      </c>
      <c r="H641" t="s">
        <v>1122</v>
      </c>
      <c r="I641">
        <v>6711</v>
      </c>
      <c r="J641">
        <v>421.89</v>
      </c>
      <c r="K641">
        <v>364.69</v>
      </c>
      <c r="L641">
        <v>2831303.79</v>
      </c>
      <c r="M641">
        <v>2447434.59</v>
      </c>
      <c r="N641">
        <v>383869.2</v>
      </c>
    </row>
    <row r="642" spans="1:14" x14ac:dyDescent="0.3">
      <c r="A642" t="s">
        <v>14</v>
      </c>
      <c r="B642" t="s">
        <v>61</v>
      </c>
      <c r="C642" t="s">
        <v>32</v>
      </c>
      <c r="D642" t="s">
        <v>17</v>
      </c>
      <c r="E642" t="s">
        <v>24</v>
      </c>
      <c r="F642" t="s">
        <v>406</v>
      </c>
      <c r="G642">
        <v>859914767</v>
      </c>
      <c r="H642" t="s">
        <v>1123</v>
      </c>
      <c r="I642">
        <v>6744</v>
      </c>
      <c r="J642">
        <v>651.21</v>
      </c>
      <c r="K642">
        <v>524.96</v>
      </c>
      <c r="L642">
        <v>4391760.24</v>
      </c>
      <c r="M642">
        <v>3540330.24</v>
      </c>
      <c r="N642">
        <v>851430</v>
      </c>
    </row>
    <row r="643" spans="1:14" x14ac:dyDescent="0.3">
      <c r="A643" t="s">
        <v>14</v>
      </c>
      <c r="B643" t="s">
        <v>220</v>
      </c>
      <c r="C643" t="s">
        <v>58</v>
      </c>
      <c r="D643" t="s">
        <v>23</v>
      </c>
      <c r="E643" t="s">
        <v>33</v>
      </c>
      <c r="F643" t="s">
        <v>1124</v>
      </c>
      <c r="G643">
        <v>575479590</v>
      </c>
      <c r="H643" t="s">
        <v>1125</v>
      </c>
      <c r="I643">
        <v>6054</v>
      </c>
      <c r="J643">
        <v>152.58000000000001</v>
      </c>
      <c r="K643">
        <v>97.44</v>
      </c>
      <c r="L643">
        <v>923719.32</v>
      </c>
      <c r="M643">
        <v>589901.76</v>
      </c>
      <c r="N643">
        <v>333817.56</v>
      </c>
    </row>
    <row r="644" spans="1:14" x14ac:dyDescent="0.3">
      <c r="A644" t="s">
        <v>14</v>
      </c>
      <c r="B644" t="s">
        <v>166</v>
      </c>
      <c r="C644" t="s">
        <v>58</v>
      </c>
      <c r="D644" t="s">
        <v>17</v>
      </c>
      <c r="E644" t="s">
        <v>24</v>
      </c>
      <c r="F644" t="s">
        <v>830</v>
      </c>
      <c r="G644">
        <v>352342545</v>
      </c>
      <c r="H644" t="s">
        <v>126</v>
      </c>
      <c r="I644">
        <v>4844</v>
      </c>
      <c r="J644">
        <v>152.58000000000001</v>
      </c>
      <c r="K644">
        <v>97.44</v>
      </c>
      <c r="L644">
        <v>739097.52</v>
      </c>
      <c r="M644">
        <v>471999.36</v>
      </c>
      <c r="N644">
        <v>267098.15999999997</v>
      </c>
    </row>
    <row r="645" spans="1:14" x14ac:dyDescent="0.3">
      <c r="A645" t="s">
        <v>14</v>
      </c>
      <c r="B645" t="s">
        <v>97</v>
      </c>
      <c r="C645" t="s">
        <v>28</v>
      </c>
      <c r="D645" t="s">
        <v>23</v>
      </c>
      <c r="E645" t="s">
        <v>54</v>
      </c>
      <c r="F645" t="s">
        <v>390</v>
      </c>
      <c r="G645">
        <v>972419059</v>
      </c>
      <c r="H645" t="s">
        <v>1126</v>
      </c>
      <c r="I645">
        <v>9264</v>
      </c>
      <c r="J645">
        <v>205.7</v>
      </c>
      <c r="K645">
        <v>117.11</v>
      </c>
      <c r="L645">
        <v>1905604.8</v>
      </c>
      <c r="M645">
        <v>1084907.04</v>
      </c>
      <c r="N645">
        <v>820697.76</v>
      </c>
    </row>
    <row r="646" spans="1:14" x14ac:dyDescent="0.3">
      <c r="A646" t="s">
        <v>14</v>
      </c>
      <c r="B646" t="s">
        <v>166</v>
      </c>
      <c r="C646" t="s">
        <v>50</v>
      </c>
      <c r="D646" t="s">
        <v>17</v>
      </c>
      <c r="E646" t="s">
        <v>24</v>
      </c>
      <c r="F646" t="s">
        <v>199</v>
      </c>
      <c r="G646">
        <v>217165648</v>
      </c>
      <c r="H646" t="s">
        <v>111</v>
      </c>
      <c r="I646">
        <v>2996</v>
      </c>
      <c r="J646">
        <v>421.89</v>
      </c>
      <c r="K646">
        <v>364.69</v>
      </c>
      <c r="L646">
        <v>1263982.44</v>
      </c>
      <c r="M646">
        <v>1092611.24</v>
      </c>
      <c r="N646">
        <v>171371.2</v>
      </c>
    </row>
    <row r="647" spans="1:14" x14ac:dyDescent="0.3">
      <c r="A647" t="s">
        <v>14</v>
      </c>
      <c r="B647" t="s">
        <v>127</v>
      </c>
      <c r="C647" t="s">
        <v>64</v>
      </c>
      <c r="D647" t="s">
        <v>23</v>
      </c>
      <c r="E647" t="s">
        <v>33</v>
      </c>
      <c r="F647" t="s">
        <v>371</v>
      </c>
      <c r="G647">
        <v>764837539</v>
      </c>
      <c r="H647" t="s">
        <v>371</v>
      </c>
      <c r="I647">
        <v>1279</v>
      </c>
      <c r="J647">
        <v>255.28</v>
      </c>
      <c r="K647">
        <v>159.41999999999999</v>
      </c>
      <c r="L647">
        <v>326503.12</v>
      </c>
      <c r="M647">
        <v>203898.18</v>
      </c>
      <c r="N647">
        <v>122604.94</v>
      </c>
    </row>
    <row r="648" spans="1:14" x14ac:dyDescent="0.3">
      <c r="A648" t="s">
        <v>14</v>
      </c>
      <c r="B648" t="s">
        <v>80</v>
      </c>
      <c r="C648" t="s">
        <v>37</v>
      </c>
      <c r="D648" t="s">
        <v>17</v>
      </c>
      <c r="E648" t="s">
        <v>54</v>
      </c>
      <c r="F648" t="s">
        <v>1127</v>
      </c>
      <c r="G648">
        <v>870218312</v>
      </c>
      <c r="H648" t="s">
        <v>126</v>
      </c>
      <c r="I648">
        <v>5792</v>
      </c>
      <c r="J648">
        <v>9.33</v>
      </c>
      <c r="K648">
        <v>6.92</v>
      </c>
      <c r="L648">
        <v>54039.360000000001</v>
      </c>
      <c r="M648">
        <v>40080.639999999999</v>
      </c>
      <c r="N648">
        <v>13958.72</v>
      </c>
    </row>
    <row r="649" spans="1:14" x14ac:dyDescent="0.3">
      <c r="A649" t="s">
        <v>14</v>
      </c>
      <c r="B649" t="s">
        <v>166</v>
      </c>
      <c r="C649" t="s">
        <v>32</v>
      </c>
      <c r="D649" t="s">
        <v>23</v>
      </c>
      <c r="E649" t="s">
        <v>33</v>
      </c>
      <c r="F649" t="s">
        <v>1072</v>
      </c>
      <c r="G649">
        <v>513802516</v>
      </c>
      <c r="H649" t="s">
        <v>1128</v>
      </c>
      <c r="I649">
        <v>4437</v>
      </c>
      <c r="J649">
        <v>651.21</v>
      </c>
      <c r="K649">
        <v>524.96</v>
      </c>
      <c r="L649">
        <v>2889418.77</v>
      </c>
      <c r="M649">
        <v>2329247.52</v>
      </c>
      <c r="N649">
        <v>560171.25</v>
      </c>
    </row>
    <row r="650" spans="1:14" x14ac:dyDescent="0.3">
      <c r="A650" t="s">
        <v>14</v>
      </c>
      <c r="B650" t="s">
        <v>243</v>
      </c>
      <c r="C650" t="s">
        <v>16</v>
      </c>
      <c r="D650" t="s">
        <v>23</v>
      </c>
      <c r="E650" t="s">
        <v>24</v>
      </c>
      <c r="F650" t="s">
        <v>1071</v>
      </c>
      <c r="G650">
        <v>638957822</v>
      </c>
      <c r="H650" t="s">
        <v>1021</v>
      </c>
      <c r="I650">
        <v>673</v>
      </c>
      <c r="J650">
        <v>47.45</v>
      </c>
      <c r="K650">
        <v>31.79</v>
      </c>
      <c r="L650">
        <v>31933.85</v>
      </c>
      <c r="M650">
        <v>21394.67</v>
      </c>
      <c r="N650">
        <v>10539.18</v>
      </c>
    </row>
    <row r="651" spans="1:14" x14ac:dyDescent="0.3">
      <c r="A651" t="s">
        <v>14</v>
      </c>
      <c r="B651" t="s">
        <v>31</v>
      </c>
      <c r="C651" t="s">
        <v>64</v>
      </c>
      <c r="D651" t="s">
        <v>23</v>
      </c>
      <c r="E651" t="s">
        <v>54</v>
      </c>
      <c r="F651" t="s">
        <v>430</v>
      </c>
      <c r="G651">
        <v>944247710</v>
      </c>
      <c r="H651" t="s">
        <v>1129</v>
      </c>
      <c r="I651">
        <v>2736</v>
      </c>
      <c r="J651">
        <v>255.28</v>
      </c>
      <c r="K651">
        <v>159.41999999999999</v>
      </c>
      <c r="L651">
        <v>698446.08</v>
      </c>
      <c r="M651">
        <v>436173.12</v>
      </c>
      <c r="N651">
        <v>262272.96000000002</v>
      </c>
    </row>
    <row r="652" spans="1:14" x14ac:dyDescent="0.3">
      <c r="A652" t="s">
        <v>14</v>
      </c>
      <c r="B652" t="s">
        <v>67</v>
      </c>
      <c r="C652" t="s">
        <v>64</v>
      </c>
      <c r="D652" t="s">
        <v>17</v>
      </c>
      <c r="E652" t="s">
        <v>54</v>
      </c>
      <c r="F652" t="s">
        <v>1130</v>
      </c>
      <c r="G652">
        <v>694771802</v>
      </c>
      <c r="H652" t="s">
        <v>131</v>
      </c>
      <c r="I652">
        <v>7270</v>
      </c>
      <c r="J652">
        <v>255.28</v>
      </c>
      <c r="K652">
        <v>159.41999999999999</v>
      </c>
      <c r="L652">
        <v>1855885.6</v>
      </c>
      <c r="M652">
        <v>1158983.3999999999</v>
      </c>
      <c r="N652">
        <v>696902.2</v>
      </c>
    </row>
    <row r="653" spans="1:14" x14ac:dyDescent="0.3">
      <c r="A653" t="s">
        <v>14</v>
      </c>
      <c r="B653" t="s">
        <v>21</v>
      </c>
      <c r="C653" t="s">
        <v>58</v>
      </c>
      <c r="D653" t="s">
        <v>17</v>
      </c>
      <c r="E653" t="s">
        <v>18</v>
      </c>
      <c r="F653" t="s">
        <v>988</v>
      </c>
      <c r="G653">
        <v>388728320</v>
      </c>
      <c r="H653" t="s">
        <v>649</v>
      </c>
      <c r="I653">
        <v>2203</v>
      </c>
      <c r="J653">
        <v>152.58000000000001</v>
      </c>
      <c r="K653">
        <v>97.44</v>
      </c>
      <c r="L653">
        <v>336133.74</v>
      </c>
      <c r="M653">
        <v>214660.32</v>
      </c>
      <c r="N653">
        <v>121473.42</v>
      </c>
    </row>
    <row r="654" spans="1:14" x14ac:dyDescent="0.3">
      <c r="A654" t="s">
        <v>14</v>
      </c>
      <c r="B654" t="s">
        <v>257</v>
      </c>
      <c r="C654" t="s">
        <v>46</v>
      </c>
      <c r="D654" t="s">
        <v>17</v>
      </c>
      <c r="E654" t="s">
        <v>33</v>
      </c>
      <c r="F654" t="s">
        <v>1131</v>
      </c>
      <c r="G654">
        <v>452559745</v>
      </c>
      <c r="H654" t="s">
        <v>1132</v>
      </c>
      <c r="I654">
        <v>1340</v>
      </c>
      <c r="J654">
        <v>154.06</v>
      </c>
      <c r="K654">
        <v>90.93</v>
      </c>
      <c r="L654">
        <v>206440.4</v>
      </c>
      <c r="M654">
        <v>121846.2</v>
      </c>
      <c r="N654">
        <v>84594.2</v>
      </c>
    </row>
    <row r="655" spans="1:14" x14ac:dyDescent="0.3">
      <c r="A655" t="s">
        <v>14</v>
      </c>
      <c r="B655" t="s">
        <v>86</v>
      </c>
      <c r="C655" t="s">
        <v>64</v>
      </c>
      <c r="D655" t="s">
        <v>17</v>
      </c>
      <c r="E655" t="s">
        <v>24</v>
      </c>
      <c r="F655" t="s">
        <v>1133</v>
      </c>
      <c r="G655">
        <v>921230065</v>
      </c>
      <c r="H655" t="s">
        <v>1134</v>
      </c>
      <c r="I655">
        <v>1303</v>
      </c>
      <c r="J655">
        <v>255.28</v>
      </c>
      <c r="K655">
        <v>159.41999999999999</v>
      </c>
      <c r="L655">
        <v>332629.84000000003</v>
      </c>
      <c r="M655">
        <v>207724.26</v>
      </c>
      <c r="N655">
        <v>124905.58</v>
      </c>
    </row>
    <row r="656" spans="1:14" x14ac:dyDescent="0.3">
      <c r="A656" t="s">
        <v>14</v>
      </c>
      <c r="B656" t="s">
        <v>100</v>
      </c>
      <c r="C656" t="s">
        <v>37</v>
      </c>
      <c r="D656" t="s">
        <v>23</v>
      </c>
      <c r="E656" t="s">
        <v>24</v>
      </c>
      <c r="F656" t="s">
        <v>1135</v>
      </c>
      <c r="G656">
        <v>831143891</v>
      </c>
      <c r="H656" t="s">
        <v>1136</v>
      </c>
      <c r="I656">
        <v>2802</v>
      </c>
      <c r="J656">
        <v>9.33</v>
      </c>
      <c r="K656">
        <v>6.92</v>
      </c>
      <c r="L656">
        <v>26142.66</v>
      </c>
      <c r="M656">
        <v>19389.84</v>
      </c>
      <c r="N656">
        <v>6752.82</v>
      </c>
    </row>
    <row r="657" spans="1:14" x14ac:dyDescent="0.3">
      <c r="A657" t="s">
        <v>14</v>
      </c>
      <c r="B657" t="s">
        <v>36</v>
      </c>
      <c r="C657" t="s">
        <v>28</v>
      </c>
      <c r="D657" t="s">
        <v>23</v>
      </c>
      <c r="E657" t="s">
        <v>24</v>
      </c>
      <c r="F657" t="s">
        <v>1137</v>
      </c>
      <c r="G657">
        <v>318523538</v>
      </c>
      <c r="H657" t="s">
        <v>1138</v>
      </c>
      <c r="I657">
        <v>7048</v>
      </c>
      <c r="J657">
        <v>205.7</v>
      </c>
      <c r="K657">
        <v>117.11</v>
      </c>
      <c r="L657">
        <v>1449773.6</v>
      </c>
      <c r="M657">
        <v>825391.28</v>
      </c>
      <c r="N657">
        <v>624382.31999999995</v>
      </c>
    </row>
    <row r="658" spans="1:14" x14ac:dyDescent="0.3">
      <c r="A658" t="s">
        <v>14</v>
      </c>
      <c r="B658" t="s">
        <v>122</v>
      </c>
      <c r="C658" t="s">
        <v>50</v>
      </c>
      <c r="D658" t="s">
        <v>17</v>
      </c>
      <c r="E658" t="s">
        <v>54</v>
      </c>
      <c r="F658" t="s">
        <v>1139</v>
      </c>
      <c r="G658">
        <v>970427358</v>
      </c>
      <c r="H658" t="s">
        <v>34</v>
      </c>
      <c r="I658">
        <v>9875</v>
      </c>
      <c r="J658">
        <v>421.89</v>
      </c>
      <c r="K658">
        <v>364.69</v>
      </c>
      <c r="L658">
        <v>4166163.75</v>
      </c>
      <c r="M658">
        <v>3601313.75</v>
      </c>
      <c r="N658">
        <v>564850</v>
      </c>
    </row>
    <row r="659" spans="1:14" x14ac:dyDescent="0.3">
      <c r="A659" t="s">
        <v>14</v>
      </c>
      <c r="B659" t="s">
        <v>36</v>
      </c>
      <c r="C659" t="s">
        <v>28</v>
      </c>
      <c r="D659" t="s">
        <v>17</v>
      </c>
      <c r="E659" t="s">
        <v>54</v>
      </c>
      <c r="F659" t="s">
        <v>1140</v>
      </c>
      <c r="G659">
        <v>195212733</v>
      </c>
      <c r="H659" t="s">
        <v>1141</v>
      </c>
      <c r="I659">
        <v>6641</v>
      </c>
      <c r="J659">
        <v>205.7</v>
      </c>
      <c r="K659">
        <v>117.11</v>
      </c>
      <c r="L659">
        <v>1366053.7</v>
      </c>
      <c r="M659">
        <v>777727.51</v>
      </c>
      <c r="N659">
        <v>588326.18999999994</v>
      </c>
    </row>
    <row r="660" spans="1:14" x14ac:dyDescent="0.3">
      <c r="A660" t="s">
        <v>14</v>
      </c>
      <c r="B660" t="s">
        <v>89</v>
      </c>
      <c r="C660" t="s">
        <v>71</v>
      </c>
      <c r="D660" t="s">
        <v>23</v>
      </c>
      <c r="E660" t="s">
        <v>18</v>
      </c>
      <c r="F660" t="s">
        <v>137</v>
      </c>
      <c r="G660">
        <v>141875827</v>
      </c>
      <c r="H660" t="s">
        <v>1142</v>
      </c>
      <c r="I660">
        <v>3065</v>
      </c>
      <c r="J660">
        <v>668.27</v>
      </c>
      <c r="K660">
        <v>502.54</v>
      </c>
      <c r="L660">
        <v>2048247.55</v>
      </c>
      <c r="M660">
        <v>1540285.1</v>
      </c>
      <c r="N660">
        <v>507962.45</v>
      </c>
    </row>
    <row r="661" spans="1:14" x14ac:dyDescent="0.3">
      <c r="A661" t="s">
        <v>14</v>
      </c>
      <c r="B661" t="s">
        <v>257</v>
      </c>
      <c r="C661" t="s">
        <v>16</v>
      </c>
      <c r="D661" t="s">
        <v>17</v>
      </c>
      <c r="E661" t="s">
        <v>33</v>
      </c>
      <c r="F661" t="s">
        <v>1143</v>
      </c>
      <c r="G661">
        <v>510762822</v>
      </c>
      <c r="H661" t="s">
        <v>1144</v>
      </c>
      <c r="I661">
        <v>4924</v>
      </c>
      <c r="J661">
        <v>47.45</v>
      </c>
      <c r="K661">
        <v>31.79</v>
      </c>
      <c r="L661">
        <v>233643.8</v>
      </c>
      <c r="M661">
        <v>156533.96</v>
      </c>
      <c r="N661">
        <v>77109.84</v>
      </c>
    </row>
    <row r="662" spans="1:14" x14ac:dyDescent="0.3">
      <c r="A662" t="s">
        <v>14</v>
      </c>
      <c r="B662" t="s">
        <v>70</v>
      </c>
      <c r="C662" t="s">
        <v>58</v>
      </c>
      <c r="D662" t="s">
        <v>17</v>
      </c>
      <c r="E662" t="s">
        <v>54</v>
      </c>
      <c r="F662" t="s">
        <v>1145</v>
      </c>
      <c r="G662">
        <v>189667212</v>
      </c>
      <c r="H662" t="s">
        <v>84</v>
      </c>
      <c r="I662">
        <v>5598</v>
      </c>
      <c r="J662">
        <v>152.58000000000001</v>
      </c>
      <c r="K662">
        <v>97.44</v>
      </c>
      <c r="L662">
        <v>854142.84</v>
      </c>
      <c r="M662">
        <v>545469.12</v>
      </c>
      <c r="N662">
        <v>308673.71999999997</v>
      </c>
    </row>
    <row r="663" spans="1:14" x14ac:dyDescent="0.3">
      <c r="A663" t="s">
        <v>14</v>
      </c>
      <c r="B663" t="s">
        <v>196</v>
      </c>
      <c r="C663" t="s">
        <v>22</v>
      </c>
      <c r="D663" t="s">
        <v>23</v>
      </c>
      <c r="E663" t="s">
        <v>18</v>
      </c>
      <c r="F663" t="s">
        <v>932</v>
      </c>
      <c r="G663">
        <v>276784074</v>
      </c>
      <c r="H663" t="s">
        <v>939</v>
      </c>
      <c r="I663">
        <v>5413</v>
      </c>
      <c r="J663">
        <v>109.28</v>
      </c>
      <c r="K663">
        <v>35.840000000000003</v>
      </c>
      <c r="L663">
        <v>591532.64</v>
      </c>
      <c r="M663">
        <v>194001.92000000001</v>
      </c>
      <c r="N663">
        <v>397530.72</v>
      </c>
    </row>
    <row r="664" spans="1:14" x14ac:dyDescent="0.3">
      <c r="A664" t="s">
        <v>14</v>
      </c>
      <c r="B664" t="s">
        <v>166</v>
      </c>
      <c r="C664" t="s">
        <v>22</v>
      </c>
      <c r="D664" t="s">
        <v>23</v>
      </c>
      <c r="E664" t="s">
        <v>54</v>
      </c>
      <c r="F664" t="s">
        <v>1146</v>
      </c>
      <c r="G664">
        <v>744583642</v>
      </c>
      <c r="H664" t="s">
        <v>1147</v>
      </c>
      <c r="I664">
        <v>7701</v>
      </c>
      <c r="J664">
        <v>109.28</v>
      </c>
      <c r="K664">
        <v>35.840000000000003</v>
      </c>
      <c r="L664">
        <v>841565.28</v>
      </c>
      <c r="M664">
        <v>276003.84000000003</v>
      </c>
      <c r="N664">
        <v>565561.43999999994</v>
      </c>
    </row>
    <row r="665" spans="1:14" x14ac:dyDescent="0.3">
      <c r="A665" t="s">
        <v>14</v>
      </c>
      <c r="B665" t="s">
        <v>146</v>
      </c>
      <c r="C665" t="s">
        <v>16</v>
      </c>
      <c r="D665" t="s">
        <v>23</v>
      </c>
      <c r="E665" t="s">
        <v>54</v>
      </c>
      <c r="F665" t="s">
        <v>1148</v>
      </c>
      <c r="G665">
        <v>761724030</v>
      </c>
      <c r="H665" t="s">
        <v>1047</v>
      </c>
      <c r="I665">
        <v>9923</v>
      </c>
      <c r="J665">
        <v>47.45</v>
      </c>
      <c r="K665">
        <v>31.79</v>
      </c>
      <c r="L665">
        <v>470846.35</v>
      </c>
      <c r="M665">
        <v>315452.17</v>
      </c>
      <c r="N665">
        <v>155394.18</v>
      </c>
    </row>
    <row r="666" spans="1:14" x14ac:dyDescent="0.3">
      <c r="A666" t="s">
        <v>14</v>
      </c>
      <c r="B666" t="s">
        <v>243</v>
      </c>
      <c r="C666" t="s">
        <v>32</v>
      </c>
      <c r="D666" t="s">
        <v>23</v>
      </c>
      <c r="E666" t="s">
        <v>18</v>
      </c>
      <c r="F666" t="s">
        <v>201</v>
      </c>
      <c r="G666">
        <v>217248904</v>
      </c>
      <c r="H666" t="s">
        <v>889</v>
      </c>
      <c r="I666">
        <v>7633</v>
      </c>
      <c r="J666">
        <v>651.21</v>
      </c>
      <c r="K666">
        <v>524.96</v>
      </c>
      <c r="L666">
        <v>4970685.93</v>
      </c>
      <c r="M666">
        <v>4007019.68</v>
      </c>
      <c r="N666">
        <v>963666.25</v>
      </c>
    </row>
    <row r="667" spans="1:14" x14ac:dyDescent="0.3">
      <c r="A667" t="s">
        <v>14</v>
      </c>
      <c r="B667" t="s">
        <v>40</v>
      </c>
      <c r="C667" t="s">
        <v>22</v>
      </c>
      <c r="D667" t="s">
        <v>23</v>
      </c>
      <c r="E667" t="s">
        <v>33</v>
      </c>
      <c r="F667" t="s">
        <v>1149</v>
      </c>
      <c r="G667">
        <v>685596930</v>
      </c>
      <c r="H667" t="s">
        <v>1150</v>
      </c>
      <c r="I667">
        <v>2222</v>
      </c>
      <c r="J667">
        <v>109.28</v>
      </c>
      <c r="K667">
        <v>35.840000000000003</v>
      </c>
      <c r="L667">
        <v>242820.16</v>
      </c>
      <c r="M667">
        <v>79636.479999999996</v>
      </c>
      <c r="N667">
        <v>163183.67999999999</v>
      </c>
    </row>
    <row r="668" spans="1:14" x14ac:dyDescent="0.3">
      <c r="A668" t="s">
        <v>14</v>
      </c>
      <c r="B668" t="s">
        <v>183</v>
      </c>
      <c r="C668" t="s">
        <v>22</v>
      </c>
      <c r="D668" t="s">
        <v>23</v>
      </c>
      <c r="E668" t="s">
        <v>54</v>
      </c>
      <c r="F668" t="s">
        <v>1129</v>
      </c>
      <c r="G668">
        <v>355534589</v>
      </c>
      <c r="H668" t="s">
        <v>1151</v>
      </c>
      <c r="I668">
        <v>9440</v>
      </c>
      <c r="J668">
        <v>109.28</v>
      </c>
      <c r="K668">
        <v>35.840000000000003</v>
      </c>
      <c r="L668">
        <v>1031603.2</v>
      </c>
      <c r="M668">
        <v>338329.59999999998</v>
      </c>
      <c r="N668">
        <v>693273.59999999998</v>
      </c>
    </row>
    <row r="669" spans="1:14" x14ac:dyDescent="0.3">
      <c r="A669" t="s">
        <v>14</v>
      </c>
      <c r="B669" t="s">
        <v>57</v>
      </c>
      <c r="C669" t="s">
        <v>32</v>
      </c>
      <c r="D669" t="s">
        <v>17</v>
      </c>
      <c r="E669" t="s">
        <v>33</v>
      </c>
      <c r="F669" t="s">
        <v>1152</v>
      </c>
      <c r="G669">
        <v>456527268</v>
      </c>
      <c r="H669" t="s">
        <v>1153</v>
      </c>
      <c r="I669">
        <v>5419</v>
      </c>
      <c r="J669">
        <v>651.21</v>
      </c>
      <c r="K669">
        <v>524.96</v>
      </c>
      <c r="L669">
        <v>3528906.99</v>
      </c>
      <c r="M669">
        <v>2844758.24</v>
      </c>
      <c r="N669">
        <v>684148.75</v>
      </c>
    </row>
    <row r="670" spans="1:14" x14ac:dyDescent="0.3">
      <c r="A670" t="s">
        <v>14</v>
      </c>
      <c r="B670" t="s">
        <v>40</v>
      </c>
      <c r="C670" t="s">
        <v>64</v>
      </c>
      <c r="D670" t="s">
        <v>17</v>
      </c>
      <c r="E670" t="s">
        <v>18</v>
      </c>
      <c r="F670" t="s">
        <v>1154</v>
      </c>
      <c r="G670">
        <v>461917865</v>
      </c>
      <c r="H670" t="s">
        <v>867</v>
      </c>
      <c r="I670">
        <v>616</v>
      </c>
      <c r="J670">
        <v>255.28</v>
      </c>
      <c r="K670">
        <v>159.41999999999999</v>
      </c>
      <c r="L670">
        <v>157252.48000000001</v>
      </c>
      <c r="M670">
        <v>98202.72</v>
      </c>
      <c r="N670">
        <v>59049.760000000002</v>
      </c>
    </row>
    <row r="671" spans="1:14" x14ac:dyDescent="0.3">
      <c r="A671" t="s">
        <v>14</v>
      </c>
      <c r="B671" t="s">
        <v>40</v>
      </c>
      <c r="C671" t="s">
        <v>102</v>
      </c>
      <c r="D671" t="s">
        <v>17</v>
      </c>
      <c r="E671" t="s">
        <v>18</v>
      </c>
      <c r="F671" t="s">
        <v>1155</v>
      </c>
      <c r="G671">
        <v>284435451</v>
      </c>
      <c r="H671" t="s">
        <v>1155</v>
      </c>
      <c r="I671">
        <v>9625</v>
      </c>
      <c r="J671">
        <v>81.73</v>
      </c>
      <c r="K671">
        <v>56.67</v>
      </c>
      <c r="L671">
        <v>786651.25</v>
      </c>
      <c r="M671">
        <v>545448.75</v>
      </c>
      <c r="N671">
        <v>241202.5</v>
      </c>
    </row>
    <row r="672" spans="1:14" x14ac:dyDescent="0.3">
      <c r="A672" t="s">
        <v>14</v>
      </c>
      <c r="B672" t="s">
        <v>53</v>
      </c>
      <c r="C672" t="s">
        <v>50</v>
      </c>
      <c r="D672" t="s">
        <v>23</v>
      </c>
      <c r="E672" t="s">
        <v>54</v>
      </c>
      <c r="F672" t="s">
        <v>200</v>
      </c>
      <c r="G672">
        <v>844575107</v>
      </c>
      <c r="H672" t="s">
        <v>461</v>
      </c>
      <c r="I672">
        <v>7397</v>
      </c>
      <c r="J672">
        <v>421.89</v>
      </c>
      <c r="K672">
        <v>364.69</v>
      </c>
      <c r="L672">
        <v>3120720.33</v>
      </c>
      <c r="M672">
        <v>2697611.93</v>
      </c>
      <c r="N672">
        <v>423108.4</v>
      </c>
    </row>
    <row r="673" spans="1:14" x14ac:dyDescent="0.3">
      <c r="A673" t="s">
        <v>14</v>
      </c>
      <c r="B673" t="s">
        <v>70</v>
      </c>
      <c r="C673" t="s">
        <v>64</v>
      </c>
      <c r="D673" t="s">
        <v>17</v>
      </c>
      <c r="E673" t="s">
        <v>33</v>
      </c>
      <c r="F673" t="s">
        <v>886</v>
      </c>
      <c r="G673">
        <v>158479773</v>
      </c>
      <c r="H673" t="s">
        <v>1156</v>
      </c>
      <c r="I673">
        <v>6542</v>
      </c>
      <c r="J673">
        <v>255.28</v>
      </c>
      <c r="K673">
        <v>159.41999999999999</v>
      </c>
      <c r="L673">
        <v>1670041.76</v>
      </c>
      <c r="M673">
        <v>1042925.64</v>
      </c>
      <c r="N673">
        <v>627116.12</v>
      </c>
    </row>
    <row r="674" spans="1:14" x14ac:dyDescent="0.3">
      <c r="A674" t="s">
        <v>14</v>
      </c>
      <c r="B674" t="s">
        <v>110</v>
      </c>
      <c r="C674" t="s">
        <v>71</v>
      </c>
      <c r="D674" t="s">
        <v>23</v>
      </c>
      <c r="E674" t="s">
        <v>33</v>
      </c>
      <c r="F674" t="s">
        <v>372</v>
      </c>
      <c r="G674">
        <v>175723588</v>
      </c>
      <c r="H674" t="s">
        <v>1157</v>
      </c>
      <c r="I674">
        <v>9370</v>
      </c>
      <c r="J674">
        <v>668.27</v>
      </c>
      <c r="K674">
        <v>502.54</v>
      </c>
      <c r="L674">
        <v>6261689.9000000004</v>
      </c>
      <c r="M674">
        <v>4708799.8</v>
      </c>
      <c r="N674">
        <v>1552890.1</v>
      </c>
    </row>
    <row r="675" spans="1:14" x14ac:dyDescent="0.3">
      <c r="A675" t="s">
        <v>14</v>
      </c>
      <c r="B675" t="s">
        <v>67</v>
      </c>
      <c r="C675" t="s">
        <v>71</v>
      </c>
      <c r="D675" t="s">
        <v>23</v>
      </c>
      <c r="E675" t="s">
        <v>18</v>
      </c>
      <c r="F675" t="s">
        <v>1158</v>
      </c>
      <c r="G675">
        <v>690220630</v>
      </c>
      <c r="H675" t="s">
        <v>1159</v>
      </c>
      <c r="I675">
        <v>477</v>
      </c>
      <c r="J675">
        <v>668.27</v>
      </c>
      <c r="K675">
        <v>502.54</v>
      </c>
      <c r="L675">
        <v>318764.78999999998</v>
      </c>
      <c r="M675">
        <v>239711.58</v>
      </c>
      <c r="N675">
        <v>79053.210000000006</v>
      </c>
    </row>
    <row r="676" spans="1:14" x14ac:dyDescent="0.3">
      <c r="A676" t="s">
        <v>14</v>
      </c>
      <c r="B676" t="s">
        <v>181</v>
      </c>
      <c r="C676" t="s">
        <v>16</v>
      </c>
      <c r="D676" t="s">
        <v>17</v>
      </c>
      <c r="E676" t="s">
        <v>24</v>
      </c>
      <c r="F676" t="s">
        <v>721</v>
      </c>
      <c r="G676">
        <v>704139363</v>
      </c>
      <c r="H676" t="s">
        <v>1160</v>
      </c>
      <c r="I676">
        <v>9340</v>
      </c>
      <c r="J676">
        <v>47.45</v>
      </c>
      <c r="K676">
        <v>31.79</v>
      </c>
      <c r="L676">
        <v>443183</v>
      </c>
      <c r="M676">
        <v>296918.59999999998</v>
      </c>
      <c r="N676">
        <v>146264.4</v>
      </c>
    </row>
    <row r="677" spans="1:14" x14ac:dyDescent="0.3">
      <c r="A677" t="s">
        <v>14</v>
      </c>
      <c r="B677" t="s">
        <v>185</v>
      </c>
      <c r="C677" t="s">
        <v>37</v>
      </c>
      <c r="D677" t="s">
        <v>23</v>
      </c>
      <c r="E677" t="s">
        <v>54</v>
      </c>
      <c r="F677" t="s">
        <v>231</v>
      </c>
      <c r="G677">
        <v>636278617</v>
      </c>
      <c r="H677" t="s">
        <v>330</v>
      </c>
      <c r="I677">
        <v>7837</v>
      </c>
      <c r="J677">
        <v>9.33</v>
      </c>
      <c r="K677">
        <v>6.92</v>
      </c>
      <c r="L677">
        <v>73119.210000000006</v>
      </c>
      <c r="M677">
        <v>54232.04</v>
      </c>
      <c r="N677">
        <v>18887.169999999998</v>
      </c>
    </row>
    <row r="678" spans="1:14" x14ac:dyDescent="0.3">
      <c r="A678" t="s">
        <v>14</v>
      </c>
      <c r="B678" t="s">
        <v>264</v>
      </c>
      <c r="C678" t="s">
        <v>58</v>
      </c>
      <c r="D678" t="s">
        <v>23</v>
      </c>
      <c r="E678" t="s">
        <v>33</v>
      </c>
      <c r="F678" t="s">
        <v>1161</v>
      </c>
      <c r="G678">
        <v>525749719</v>
      </c>
      <c r="H678" t="s">
        <v>98</v>
      </c>
      <c r="I678">
        <v>9880</v>
      </c>
      <c r="J678">
        <v>152.58000000000001</v>
      </c>
      <c r="K678">
        <v>97.44</v>
      </c>
      <c r="L678">
        <v>1507490.4</v>
      </c>
      <c r="M678">
        <v>962707.2</v>
      </c>
      <c r="N678">
        <v>544783.19999999995</v>
      </c>
    </row>
    <row r="679" spans="1:14" x14ac:dyDescent="0.3">
      <c r="A679" t="s">
        <v>14</v>
      </c>
      <c r="B679" t="s">
        <v>342</v>
      </c>
      <c r="C679" t="s">
        <v>37</v>
      </c>
      <c r="D679" t="s">
        <v>23</v>
      </c>
      <c r="E679" t="s">
        <v>54</v>
      </c>
      <c r="F679" t="s">
        <v>971</v>
      </c>
      <c r="G679">
        <v>481976497</v>
      </c>
      <c r="H679" t="s">
        <v>1162</v>
      </c>
      <c r="I679">
        <v>6411</v>
      </c>
      <c r="J679">
        <v>9.33</v>
      </c>
      <c r="K679">
        <v>6.92</v>
      </c>
      <c r="L679">
        <v>59814.63</v>
      </c>
      <c r="M679">
        <v>44364.12</v>
      </c>
      <c r="N679">
        <v>15450.51</v>
      </c>
    </row>
    <row r="680" spans="1:14" x14ac:dyDescent="0.3">
      <c r="A680" t="s">
        <v>14</v>
      </c>
      <c r="B680" t="s">
        <v>61</v>
      </c>
      <c r="C680" t="s">
        <v>50</v>
      </c>
      <c r="D680" t="s">
        <v>23</v>
      </c>
      <c r="E680" t="s">
        <v>54</v>
      </c>
      <c r="F680" t="s">
        <v>1163</v>
      </c>
      <c r="G680">
        <v>168979442</v>
      </c>
      <c r="H680" t="s">
        <v>996</v>
      </c>
      <c r="I680">
        <v>3627</v>
      </c>
      <c r="J680">
        <v>421.89</v>
      </c>
      <c r="K680">
        <v>364.69</v>
      </c>
      <c r="L680">
        <v>1530195.03</v>
      </c>
      <c r="M680">
        <v>1322730.6299999999</v>
      </c>
      <c r="N680">
        <v>207464.4</v>
      </c>
    </row>
    <row r="681" spans="1:14" x14ac:dyDescent="0.3">
      <c r="A681" t="s">
        <v>14</v>
      </c>
      <c r="B681" t="s">
        <v>141</v>
      </c>
      <c r="C681" t="s">
        <v>71</v>
      </c>
      <c r="D681" t="s">
        <v>23</v>
      </c>
      <c r="E681" t="s">
        <v>33</v>
      </c>
      <c r="F681" t="s">
        <v>1164</v>
      </c>
      <c r="G681">
        <v>570476520</v>
      </c>
      <c r="H681" t="s">
        <v>1165</v>
      </c>
      <c r="I681">
        <v>5534</v>
      </c>
      <c r="J681">
        <v>668.27</v>
      </c>
      <c r="K681">
        <v>502.54</v>
      </c>
      <c r="L681">
        <v>3698206.18</v>
      </c>
      <c r="M681">
        <v>2781056.36</v>
      </c>
      <c r="N681">
        <v>917149.82</v>
      </c>
    </row>
    <row r="682" spans="1:14" x14ac:dyDescent="0.3">
      <c r="A682" t="s">
        <v>14</v>
      </c>
      <c r="B682" t="s">
        <v>53</v>
      </c>
      <c r="C682" t="s">
        <v>28</v>
      </c>
      <c r="D682" t="s">
        <v>23</v>
      </c>
      <c r="E682" t="s">
        <v>54</v>
      </c>
      <c r="F682" t="s">
        <v>417</v>
      </c>
      <c r="G682">
        <v>144282948</v>
      </c>
      <c r="H682" t="s">
        <v>1166</v>
      </c>
      <c r="I682">
        <v>5386</v>
      </c>
      <c r="J682">
        <v>205.7</v>
      </c>
      <c r="K682">
        <v>117.11</v>
      </c>
      <c r="L682">
        <v>1107900.2</v>
      </c>
      <c r="M682">
        <v>630754.46</v>
      </c>
      <c r="N682">
        <v>477145.74</v>
      </c>
    </row>
    <row r="683" spans="1:14" x14ac:dyDescent="0.3">
      <c r="A683" t="s">
        <v>14</v>
      </c>
      <c r="B683" t="s">
        <v>70</v>
      </c>
      <c r="C683" t="s">
        <v>16</v>
      </c>
      <c r="D683" t="s">
        <v>23</v>
      </c>
      <c r="E683" t="s">
        <v>24</v>
      </c>
      <c r="F683" t="s">
        <v>1167</v>
      </c>
      <c r="G683">
        <v>797202146</v>
      </c>
      <c r="H683" t="s">
        <v>1168</v>
      </c>
      <c r="I683">
        <v>8685</v>
      </c>
      <c r="J683">
        <v>47.45</v>
      </c>
      <c r="K683">
        <v>31.79</v>
      </c>
      <c r="L683">
        <v>412103.25</v>
      </c>
      <c r="M683">
        <v>276096.15000000002</v>
      </c>
      <c r="N683">
        <v>136007.1</v>
      </c>
    </row>
    <row r="684" spans="1:14" x14ac:dyDescent="0.3">
      <c r="A684" t="s">
        <v>14</v>
      </c>
      <c r="B684" t="s">
        <v>135</v>
      </c>
      <c r="C684" t="s">
        <v>37</v>
      </c>
      <c r="D684" t="s">
        <v>17</v>
      </c>
      <c r="E684" t="s">
        <v>18</v>
      </c>
      <c r="F684" t="s">
        <v>1169</v>
      </c>
      <c r="G684">
        <v>353492677</v>
      </c>
      <c r="H684" t="s">
        <v>1008</v>
      </c>
      <c r="I684">
        <v>5193</v>
      </c>
      <c r="J684">
        <v>9.33</v>
      </c>
      <c r="K684">
        <v>6.92</v>
      </c>
      <c r="L684">
        <v>48450.69</v>
      </c>
      <c r="M684">
        <v>35935.56</v>
      </c>
      <c r="N684">
        <v>12515.13</v>
      </c>
    </row>
    <row r="685" spans="1:14" x14ac:dyDescent="0.3">
      <c r="A685" t="s">
        <v>14</v>
      </c>
      <c r="B685" t="s">
        <v>97</v>
      </c>
      <c r="C685" t="s">
        <v>75</v>
      </c>
      <c r="D685" t="s">
        <v>17</v>
      </c>
      <c r="E685" t="s">
        <v>24</v>
      </c>
      <c r="F685" t="s">
        <v>398</v>
      </c>
      <c r="G685">
        <v>155086886</v>
      </c>
      <c r="H685" t="s">
        <v>1170</v>
      </c>
      <c r="I685">
        <v>2511</v>
      </c>
      <c r="J685">
        <v>437.2</v>
      </c>
      <c r="K685">
        <v>263.33</v>
      </c>
      <c r="L685">
        <v>1097809.2</v>
      </c>
      <c r="M685">
        <v>661221.63</v>
      </c>
      <c r="N685">
        <v>436587.57</v>
      </c>
    </row>
    <row r="686" spans="1:14" x14ac:dyDescent="0.3">
      <c r="A686" t="s">
        <v>14</v>
      </c>
      <c r="B686" t="s">
        <v>70</v>
      </c>
      <c r="C686" t="s">
        <v>75</v>
      </c>
      <c r="D686" t="s">
        <v>23</v>
      </c>
      <c r="E686" t="s">
        <v>33</v>
      </c>
      <c r="F686" t="s">
        <v>1171</v>
      </c>
      <c r="G686">
        <v>113524663</v>
      </c>
      <c r="H686" t="s">
        <v>1172</v>
      </c>
      <c r="I686">
        <v>3325</v>
      </c>
      <c r="J686">
        <v>437.2</v>
      </c>
      <c r="K686">
        <v>263.33</v>
      </c>
      <c r="L686">
        <v>1453690</v>
      </c>
      <c r="M686">
        <v>875572.25</v>
      </c>
      <c r="N686">
        <v>578117.75</v>
      </c>
    </row>
    <row r="687" spans="1:14" x14ac:dyDescent="0.3">
      <c r="A687" t="s">
        <v>14</v>
      </c>
      <c r="B687" t="s">
        <v>220</v>
      </c>
      <c r="C687" t="s">
        <v>16</v>
      </c>
      <c r="D687" t="s">
        <v>17</v>
      </c>
      <c r="E687" t="s">
        <v>33</v>
      </c>
      <c r="F687" t="s">
        <v>1173</v>
      </c>
      <c r="G687">
        <v>932475602</v>
      </c>
      <c r="H687" t="s">
        <v>1174</v>
      </c>
      <c r="I687">
        <v>9107</v>
      </c>
      <c r="J687">
        <v>47.45</v>
      </c>
      <c r="K687">
        <v>31.79</v>
      </c>
      <c r="L687">
        <v>432127.15</v>
      </c>
      <c r="M687">
        <v>289511.53000000003</v>
      </c>
      <c r="N687">
        <v>142615.62</v>
      </c>
    </row>
    <row r="688" spans="1:14" x14ac:dyDescent="0.3">
      <c r="A688" t="s">
        <v>14</v>
      </c>
      <c r="B688" t="s">
        <v>70</v>
      </c>
      <c r="C688" t="s">
        <v>32</v>
      </c>
      <c r="D688" t="s">
        <v>17</v>
      </c>
      <c r="E688" t="s">
        <v>33</v>
      </c>
      <c r="F688" t="s">
        <v>1175</v>
      </c>
      <c r="G688">
        <v>282917964</v>
      </c>
      <c r="H688" t="s">
        <v>1176</v>
      </c>
      <c r="I688">
        <v>567</v>
      </c>
      <c r="J688">
        <v>651.21</v>
      </c>
      <c r="K688">
        <v>524.96</v>
      </c>
      <c r="L688">
        <v>369236.07</v>
      </c>
      <c r="M688">
        <v>297652.32</v>
      </c>
      <c r="N688">
        <v>71583.75</v>
      </c>
    </row>
    <row r="689" spans="1:14" x14ac:dyDescent="0.3">
      <c r="A689" t="s">
        <v>14</v>
      </c>
      <c r="B689" t="s">
        <v>232</v>
      </c>
      <c r="C689" t="s">
        <v>64</v>
      </c>
      <c r="D689" t="s">
        <v>17</v>
      </c>
      <c r="E689" t="s">
        <v>18</v>
      </c>
      <c r="F689" t="s">
        <v>1177</v>
      </c>
      <c r="G689">
        <v>775347936</v>
      </c>
      <c r="H689" t="s">
        <v>1178</v>
      </c>
      <c r="I689">
        <v>1539</v>
      </c>
      <c r="J689">
        <v>255.28</v>
      </c>
      <c r="K689">
        <v>159.41999999999999</v>
      </c>
      <c r="L689">
        <v>392875.92</v>
      </c>
      <c r="M689">
        <v>245347.38</v>
      </c>
      <c r="N689">
        <v>147528.54</v>
      </c>
    </row>
    <row r="690" spans="1:14" x14ac:dyDescent="0.3">
      <c r="A690" t="s">
        <v>14</v>
      </c>
      <c r="B690" t="s">
        <v>31</v>
      </c>
      <c r="C690" t="s">
        <v>64</v>
      </c>
      <c r="D690" t="s">
        <v>17</v>
      </c>
      <c r="E690" t="s">
        <v>18</v>
      </c>
      <c r="F690" t="s">
        <v>1179</v>
      </c>
      <c r="G690">
        <v>980381143</v>
      </c>
      <c r="H690" t="s">
        <v>1147</v>
      </c>
      <c r="I690">
        <v>5421</v>
      </c>
      <c r="J690">
        <v>255.28</v>
      </c>
      <c r="K690">
        <v>159.41999999999999</v>
      </c>
      <c r="L690">
        <v>1383872.88</v>
      </c>
      <c r="M690">
        <v>864215.82</v>
      </c>
      <c r="N690">
        <v>519657.06</v>
      </c>
    </row>
    <row r="691" spans="1:14" x14ac:dyDescent="0.3">
      <c r="A691" t="s">
        <v>14</v>
      </c>
      <c r="B691" t="s">
        <v>264</v>
      </c>
      <c r="C691" t="s">
        <v>75</v>
      </c>
      <c r="D691" t="s">
        <v>17</v>
      </c>
      <c r="E691" t="s">
        <v>24</v>
      </c>
      <c r="F691" t="s">
        <v>1180</v>
      </c>
      <c r="G691">
        <v>521874034</v>
      </c>
      <c r="H691" t="s">
        <v>831</v>
      </c>
      <c r="I691">
        <v>2979</v>
      </c>
      <c r="J691">
        <v>437.2</v>
      </c>
      <c r="K691">
        <v>263.33</v>
      </c>
      <c r="L691">
        <v>1302418.8</v>
      </c>
      <c r="M691">
        <v>784460.07</v>
      </c>
      <c r="N691">
        <v>517958.73</v>
      </c>
    </row>
    <row r="692" spans="1:14" x14ac:dyDescent="0.3">
      <c r="A692" t="s">
        <v>14</v>
      </c>
      <c r="B692" t="s">
        <v>223</v>
      </c>
      <c r="C692" t="s">
        <v>75</v>
      </c>
      <c r="D692" t="s">
        <v>23</v>
      </c>
      <c r="E692" t="s">
        <v>24</v>
      </c>
      <c r="F692" t="s">
        <v>403</v>
      </c>
      <c r="G692">
        <v>186847674</v>
      </c>
      <c r="H692" t="s">
        <v>1181</v>
      </c>
      <c r="I692">
        <v>1234</v>
      </c>
      <c r="J692">
        <v>437.2</v>
      </c>
      <c r="K692">
        <v>263.33</v>
      </c>
      <c r="L692">
        <v>539504.80000000005</v>
      </c>
      <c r="M692">
        <v>324949.21999999997</v>
      </c>
      <c r="N692">
        <v>214555.58</v>
      </c>
    </row>
    <row r="693" spans="1:14" x14ac:dyDescent="0.3">
      <c r="A693" t="s">
        <v>14</v>
      </c>
      <c r="B693" t="s">
        <v>257</v>
      </c>
      <c r="C693" t="s">
        <v>37</v>
      </c>
      <c r="D693" t="s">
        <v>17</v>
      </c>
      <c r="E693" t="s">
        <v>54</v>
      </c>
      <c r="F693" t="s">
        <v>1182</v>
      </c>
      <c r="G693">
        <v>117929494</v>
      </c>
      <c r="H693" t="s">
        <v>1183</v>
      </c>
      <c r="I693">
        <v>6813</v>
      </c>
      <c r="J693">
        <v>9.33</v>
      </c>
      <c r="K693">
        <v>6.92</v>
      </c>
      <c r="L693">
        <v>63565.29</v>
      </c>
      <c r="M693">
        <v>47145.96</v>
      </c>
      <c r="N693">
        <v>16419.330000000002</v>
      </c>
    </row>
    <row r="694" spans="1:14" x14ac:dyDescent="0.3">
      <c r="A694" t="s">
        <v>14</v>
      </c>
      <c r="B694" t="s">
        <v>67</v>
      </c>
      <c r="C694" t="s">
        <v>16</v>
      </c>
      <c r="D694" t="s">
        <v>17</v>
      </c>
      <c r="E694" t="s">
        <v>24</v>
      </c>
      <c r="F694" t="s">
        <v>1184</v>
      </c>
      <c r="G694">
        <v>786318385</v>
      </c>
      <c r="H694" t="s">
        <v>1185</v>
      </c>
      <c r="I694">
        <v>7939</v>
      </c>
      <c r="J694">
        <v>47.45</v>
      </c>
      <c r="K694">
        <v>31.79</v>
      </c>
      <c r="L694">
        <v>376705.55</v>
      </c>
      <c r="M694">
        <v>252380.81</v>
      </c>
      <c r="N694">
        <v>124324.74</v>
      </c>
    </row>
    <row r="695" spans="1:14" x14ac:dyDescent="0.3">
      <c r="A695" t="s">
        <v>14</v>
      </c>
      <c r="B695" t="s">
        <v>27</v>
      </c>
      <c r="C695" t="s">
        <v>71</v>
      </c>
      <c r="D695" t="s">
        <v>23</v>
      </c>
      <c r="E695" t="s">
        <v>18</v>
      </c>
      <c r="F695" t="s">
        <v>1186</v>
      </c>
      <c r="G695">
        <v>178604066</v>
      </c>
      <c r="H695" t="s">
        <v>1116</v>
      </c>
      <c r="I695">
        <v>1767</v>
      </c>
      <c r="J695">
        <v>668.27</v>
      </c>
      <c r="K695">
        <v>502.54</v>
      </c>
      <c r="L695">
        <v>1180833.0900000001</v>
      </c>
      <c r="M695">
        <v>887988.18</v>
      </c>
      <c r="N695">
        <v>292844.90999999997</v>
      </c>
    </row>
    <row r="696" spans="1:14" x14ac:dyDescent="0.3">
      <c r="A696" t="s">
        <v>14</v>
      </c>
      <c r="B696" t="s">
        <v>31</v>
      </c>
      <c r="C696" t="s">
        <v>46</v>
      </c>
      <c r="D696" t="s">
        <v>17</v>
      </c>
      <c r="E696" t="s">
        <v>18</v>
      </c>
      <c r="F696" t="s">
        <v>373</v>
      </c>
      <c r="G696">
        <v>651247489</v>
      </c>
      <c r="H696" t="s">
        <v>144</v>
      </c>
      <c r="I696">
        <v>7459</v>
      </c>
      <c r="J696">
        <v>154.06</v>
      </c>
      <c r="K696">
        <v>90.93</v>
      </c>
      <c r="L696">
        <v>1149133.54</v>
      </c>
      <c r="M696">
        <v>678246.87</v>
      </c>
      <c r="N696">
        <v>470886.67</v>
      </c>
    </row>
    <row r="697" spans="1:14" x14ac:dyDescent="0.3">
      <c r="A697" t="s">
        <v>14</v>
      </c>
      <c r="B697" t="s">
        <v>105</v>
      </c>
      <c r="C697" t="s">
        <v>71</v>
      </c>
      <c r="D697" t="s">
        <v>23</v>
      </c>
      <c r="E697" t="s">
        <v>33</v>
      </c>
      <c r="F697" t="s">
        <v>1110</v>
      </c>
      <c r="G697">
        <v>492353856</v>
      </c>
      <c r="H697" t="s">
        <v>688</v>
      </c>
      <c r="I697">
        <v>7302</v>
      </c>
      <c r="J697">
        <v>668.27</v>
      </c>
      <c r="K697">
        <v>502.54</v>
      </c>
      <c r="L697">
        <v>4879707.54</v>
      </c>
      <c r="M697">
        <v>3669547.08</v>
      </c>
      <c r="N697">
        <v>1210160.46</v>
      </c>
    </row>
    <row r="698" spans="1:14" x14ac:dyDescent="0.3">
      <c r="A698" t="s">
        <v>14</v>
      </c>
      <c r="B698" t="s">
        <v>271</v>
      </c>
      <c r="C698" t="s">
        <v>102</v>
      </c>
      <c r="D698" t="s">
        <v>17</v>
      </c>
      <c r="E698" t="s">
        <v>24</v>
      </c>
      <c r="F698" t="s">
        <v>1187</v>
      </c>
      <c r="G698">
        <v>382581126</v>
      </c>
      <c r="H698" t="s">
        <v>716</v>
      </c>
      <c r="I698">
        <v>3112</v>
      </c>
      <c r="J698">
        <v>81.73</v>
      </c>
      <c r="K698">
        <v>56.67</v>
      </c>
      <c r="L698">
        <v>254343.76</v>
      </c>
      <c r="M698">
        <v>176357.04</v>
      </c>
      <c r="N698">
        <v>77986.720000000001</v>
      </c>
    </row>
    <row r="699" spans="1:14" x14ac:dyDescent="0.3">
      <c r="A699" t="s">
        <v>14</v>
      </c>
      <c r="B699" t="s">
        <v>220</v>
      </c>
      <c r="C699" t="s">
        <v>71</v>
      </c>
      <c r="D699" t="s">
        <v>23</v>
      </c>
      <c r="E699" t="s">
        <v>18</v>
      </c>
      <c r="F699" t="s">
        <v>1188</v>
      </c>
      <c r="G699">
        <v>533314406</v>
      </c>
      <c r="H699" t="s">
        <v>1171</v>
      </c>
      <c r="I699">
        <v>8439</v>
      </c>
      <c r="J699">
        <v>668.27</v>
      </c>
      <c r="K699">
        <v>502.54</v>
      </c>
      <c r="L699">
        <v>5639530.5300000003</v>
      </c>
      <c r="M699">
        <v>4240935.0599999996</v>
      </c>
      <c r="N699">
        <v>1398595.47</v>
      </c>
    </row>
    <row r="700" spans="1:14" x14ac:dyDescent="0.3">
      <c r="A700" t="s">
        <v>14</v>
      </c>
      <c r="B700" t="s">
        <v>70</v>
      </c>
      <c r="C700" t="s">
        <v>58</v>
      </c>
      <c r="D700" t="s">
        <v>23</v>
      </c>
      <c r="E700" t="s">
        <v>24</v>
      </c>
      <c r="F700" t="s">
        <v>857</v>
      </c>
      <c r="G700">
        <v>949388539</v>
      </c>
      <c r="H700" t="s">
        <v>151</v>
      </c>
      <c r="I700">
        <v>4021</v>
      </c>
      <c r="J700">
        <v>152.58000000000001</v>
      </c>
      <c r="K700">
        <v>97.44</v>
      </c>
      <c r="L700">
        <v>613524.18000000005</v>
      </c>
      <c r="M700">
        <v>391806.24</v>
      </c>
      <c r="N700">
        <v>221717.94</v>
      </c>
    </row>
    <row r="701" spans="1:14" x14ac:dyDescent="0.3">
      <c r="A701" t="s">
        <v>14</v>
      </c>
      <c r="B701" t="s">
        <v>86</v>
      </c>
      <c r="C701" t="s">
        <v>16</v>
      </c>
      <c r="D701" t="s">
        <v>17</v>
      </c>
      <c r="E701" t="s">
        <v>33</v>
      </c>
      <c r="F701" t="s">
        <v>693</v>
      </c>
      <c r="G701">
        <v>122372519</v>
      </c>
      <c r="H701" t="s">
        <v>1189</v>
      </c>
      <c r="I701">
        <v>1603</v>
      </c>
      <c r="J701">
        <v>47.45</v>
      </c>
      <c r="K701">
        <v>31.79</v>
      </c>
      <c r="L701">
        <v>76062.350000000006</v>
      </c>
      <c r="M701">
        <v>50959.37</v>
      </c>
      <c r="N701">
        <v>25102.98</v>
      </c>
    </row>
    <row r="702" spans="1:14" x14ac:dyDescent="0.3">
      <c r="A702" t="s">
        <v>14</v>
      </c>
      <c r="B702" t="s">
        <v>163</v>
      </c>
      <c r="C702" t="s">
        <v>22</v>
      </c>
      <c r="D702" t="s">
        <v>17</v>
      </c>
      <c r="E702" t="s">
        <v>24</v>
      </c>
      <c r="F702" t="s">
        <v>1190</v>
      </c>
      <c r="G702">
        <v>298978602</v>
      </c>
      <c r="H702" t="s">
        <v>398</v>
      </c>
      <c r="I702">
        <v>3267</v>
      </c>
      <c r="J702">
        <v>109.28</v>
      </c>
      <c r="K702">
        <v>35.840000000000003</v>
      </c>
      <c r="L702">
        <v>357017.76</v>
      </c>
      <c r="M702">
        <v>117089.28</v>
      </c>
      <c r="N702">
        <v>239928.48</v>
      </c>
    </row>
    <row r="703" spans="1:14" x14ac:dyDescent="0.3">
      <c r="A703" t="s">
        <v>14</v>
      </c>
      <c r="B703" t="s">
        <v>264</v>
      </c>
      <c r="C703" t="s">
        <v>22</v>
      </c>
      <c r="D703" t="s">
        <v>17</v>
      </c>
      <c r="E703" t="s">
        <v>18</v>
      </c>
      <c r="F703" t="s">
        <v>1191</v>
      </c>
      <c r="G703">
        <v>691760861</v>
      </c>
      <c r="H703" t="s">
        <v>1192</v>
      </c>
      <c r="I703">
        <v>6266</v>
      </c>
      <c r="J703">
        <v>109.28</v>
      </c>
      <c r="K703">
        <v>35.840000000000003</v>
      </c>
      <c r="L703">
        <v>684748.48</v>
      </c>
      <c r="M703">
        <v>224573.44</v>
      </c>
      <c r="N703">
        <v>460175.04</v>
      </c>
    </row>
    <row r="704" spans="1:14" x14ac:dyDescent="0.3">
      <c r="A704" t="s">
        <v>14</v>
      </c>
      <c r="B704" t="s">
        <v>83</v>
      </c>
      <c r="C704" t="s">
        <v>50</v>
      </c>
      <c r="D704" t="s">
        <v>17</v>
      </c>
      <c r="E704" t="s">
        <v>54</v>
      </c>
      <c r="F704" t="s">
        <v>1193</v>
      </c>
      <c r="G704">
        <v>447536504</v>
      </c>
      <c r="H704" t="s">
        <v>1194</v>
      </c>
      <c r="I704">
        <v>4852</v>
      </c>
      <c r="J704">
        <v>421.89</v>
      </c>
      <c r="K704">
        <v>364.69</v>
      </c>
      <c r="L704">
        <v>2047010.28</v>
      </c>
      <c r="M704">
        <v>1769475.88</v>
      </c>
      <c r="N704">
        <v>277534.40000000002</v>
      </c>
    </row>
    <row r="705" spans="1:14" x14ac:dyDescent="0.3">
      <c r="A705" t="s">
        <v>14</v>
      </c>
      <c r="B705" t="s">
        <v>89</v>
      </c>
      <c r="C705" t="s">
        <v>46</v>
      </c>
      <c r="D705" t="s">
        <v>17</v>
      </c>
      <c r="E705" t="s">
        <v>54</v>
      </c>
      <c r="F705" t="s">
        <v>1195</v>
      </c>
      <c r="G705">
        <v>469840466</v>
      </c>
      <c r="H705" t="s">
        <v>76</v>
      </c>
      <c r="I705">
        <v>5090</v>
      </c>
      <c r="J705">
        <v>154.06</v>
      </c>
      <c r="K705">
        <v>90.93</v>
      </c>
      <c r="L705">
        <v>784165.4</v>
      </c>
      <c r="M705">
        <v>462833.7</v>
      </c>
      <c r="N705">
        <v>321331.7</v>
      </c>
    </row>
    <row r="706" spans="1:14" x14ac:dyDescent="0.3">
      <c r="A706" t="s">
        <v>14</v>
      </c>
      <c r="B706" t="s">
        <v>122</v>
      </c>
      <c r="C706" t="s">
        <v>58</v>
      </c>
      <c r="D706" t="s">
        <v>17</v>
      </c>
      <c r="E706" t="s">
        <v>24</v>
      </c>
      <c r="F706" t="s">
        <v>1196</v>
      </c>
      <c r="G706">
        <v>418404281</v>
      </c>
      <c r="H706" t="s">
        <v>1197</v>
      </c>
      <c r="I706">
        <v>3979</v>
      </c>
      <c r="J706">
        <v>152.58000000000001</v>
      </c>
      <c r="K706">
        <v>97.44</v>
      </c>
      <c r="L706">
        <v>607115.81999999995</v>
      </c>
      <c r="M706">
        <v>387713.76</v>
      </c>
      <c r="N706">
        <v>219402.06</v>
      </c>
    </row>
    <row r="707" spans="1:14" x14ac:dyDescent="0.3">
      <c r="A707" t="s">
        <v>14</v>
      </c>
      <c r="B707" t="s">
        <v>27</v>
      </c>
      <c r="C707" t="s">
        <v>58</v>
      </c>
      <c r="D707" t="s">
        <v>23</v>
      </c>
      <c r="E707" t="s">
        <v>24</v>
      </c>
      <c r="F707" t="s">
        <v>1198</v>
      </c>
      <c r="G707">
        <v>516122949</v>
      </c>
      <c r="H707" t="s">
        <v>1070</v>
      </c>
      <c r="I707">
        <v>1105</v>
      </c>
      <c r="J707">
        <v>152.58000000000001</v>
      </c>
      <c r="K707">
        <v>97.44</v>
      </c>
      <c r="L707">
        <v>168600.9</v>
      </c>
      <c r="M707">
        <v>107671.2</v>
      </c>
      <c r="N707">
        <v>60929.7</v>
      </c>
    </row>
    <row r="708" spans="1:14" x14ac:dyDescent="0.3">
      <c r="A708" t="s">
        <v>14</v>
      </c>
      <c r="B708" t="s">
        <v>141</v>
      </c>
      <c r="C708" t="s">
        <v>75</v>
      </c>
      <c r="D708" t="s">
        <v>17</v>
      </c>
      <c r="E708" t="s">
        <v>33</v>
      </c>
      <c r="F708" t="s">
        <v>1199</v>
      </c>
      <c r="G708">
        <v>208238399</v>
      </c>
      <c r="H708" t="s">
        <v>1200</v>
      </c>
      <c r="I708">
        <v>1224</v>
      </c>
      <c r="J708">
        <v>437.2</v>
      </c>
      <c r="K708">
        <v>263.33</v>
      </c>
      <c r="L708">
        <v>535132.80000000005</v>
      </c>
      <c r="M708">
        <v>322315.92</v>
      </c>
      <c r="N708">
        <v>212816.88</v>
      </c>
    </row>
    <row r="709" spans="1:14" x14ac:dyDescent="0.3">
      <c r="A709" t="s">
        <v>14</v>
      </c>
      <c r="B709" t="s">
        <v>364</v>
      </c>
      <c r="C709" t="s">
        <v>37</v>
      </c>
      <c r="D709" t="s">
        <v>23</v>
      </c>
      <c r="E709" t="s">
        <v>24</v>
      </c>
      <c r="F709" t="s">
        <v>673</v>
      </c>
      <c r="G709">
        <v>526533353</v>
      </c>
      <c r="H709" t="s">
        <v>669</v>
      </c>
      <c r="I709">
        <v>1775</v>
      </c>
      <c r="J709">
        <v>9.33</v>
      </c>
      <c r="K709">
        <v>6.92</v>
      </c>
      <c r="L709">
        <v>16560.75</v>
      </c>
      <c r="M709">
        <v>12283</v>
      </c>
      <c r="N709">
        <v>4277.75</v>
      </c>
    </row>
    <row r="710" spans="1:14" x14ac:dyDescent="0.3">
      <c r="A710" t="s">
        <v>14</v>
      </c>
      <c r="B710" t="s">
        <v>223</v>
      </c>
      <c r="C710" t="s">
        <v>50</v>
      </c>
      <c r="D710" t="s">
        <v>23</v>
      </c>
      <c r="E710" t="s">
        <v>54</v>
      </c>
      <c r="F710" t="s">
        <v>1201</v>
      </c>
      <c r="G710">
        <v>643027484</v>
      </c>
      <c r="H710" t="s">
        <v>1049</v>
      </c>
      <c r="I710">
        <v>4977</v>
      </c>
      <c r="J710">
        <v>421.89</v>
      </c>
      <c r="K710">
        <v>364.69</v>
      </c>
      <c r="L710">
        <v>2099746.5299999998</v>
      </c>
      <c r="M710">
        <v>1815062.13</v>
      </c>
      <c r="N710">
        <v>284684.40000000002</v>
      </c>
    </row>
    <row r="711" spans="1:14" x14ac:dyDescent="0.3">
      <c r="A711" t="s">
        <v>14</v>
      </c>
      <c r="B711" t="s">
        <v>135</v>
      </c>
      <c r="C711" t="s">
        <v>16</v>
      </c>
      <c r="D711" t="s">
        <v>23</v>
      </c>
      <c r="E711" t="s">
        <v>33</v>
      </c>
      <c r="F711" t="s">
        <v>717</v>
      </c>
      <c r="G711">
        <v>327604424</v>
      </c>
      <c r="H711" t="s">
        <v>1202</v>
      </c>
      <c r="I711">
        <v>4284</v>
      </c>
      <c r="J711">
        <v>47.45</v>
      </c>
      <c r="K711">
        <v>31.79</v>
      </c>
      <c r="L711">
        <v>203275.8</v>
      </c>
      <c r="M711">
        <v>136188.35999999999</v>
      </c>
      <c r="N711">
        <v>67087.44</v>
      </c>
    </row>
    <row r="712" spans="1:14" x14ac:dyDescent="0.3">
      <c r="A712" t="s">
        <v>14</v>
      </c>
      <c r="B712" t="s">
        <v>74</v>
      </c>
      <c r="C712" t="s">
        <v>50</v>
      </c>
      <c r="D712" t="s">
        <v>17</v>
      </c>
      <c r="E712" t="s">
        <v>24</v>
      </c>
      <c r="F712" t="s">
        <v>689</v>
      </c>
      <c r="G712">
        <v>219451320</v>
      </c>
      <c r="H712" t="s">
        <v>144</v>
      </c>
      <c r="I712">
        <v>9377</v>
      </c>
      <c r="J712">
        <v>421.89</v>
      </c>
      <c r="K712">
        <v>364.69</v>
      </c>
      <c r="L712">
        <v>3956062.53</v>
      </c>
      <c r="M712">
        <v>3419698.13</v>
      </c>
      <c r="N712">
        <v>536364.4</v>
      </c>
    </row>
    <row r="713" spans="1:14" x14ac:dyDescent="0.3">
      <c r="A713" t="s">
        <v>14</v>
      </c>
      <c r="B713" t="s">
        <v>163</v>
      </c>
      <c r="C713" t="s">
        <v>102</v>
      </c>
      <c r="D713" t="s">
        <v>23</v>
      </c>
      <c r="E713" t="s">
        <v>54</v>
      </c>
      <c r="F713" t="s">
        <v>1203</v>
      </c>
      <c r="G713">
        <v>575758969</v>
      </c>
      <c r="H713" t="s">
        <v>885</v>
      </c>
      <c r="I713">
        <v>8729</v>
      </c>
      <c r="J713">
        <v>81.73</v>
      </c>
      <c r="K713">
        <v>56.67</v>
      </c>
      <c r="L713">
        <v>713421.17</v>
      </c>
      <c r="M713">
        <v>494672.43</v>
      </c>
      <c r="N713">
        <v>218748.74</v>
      </c>
    </row>
    <row r="714" spans="1:14" x14ac:dyDescent="0.3">
      <c r="A714" t="s">
        <v>14</v>
      </c>
      <c r="B714" t="s">
        <v>100</v>
      </c>
      <c r="C714" t="s">
        <v>32</v>
      </c>
      <c r="D714" t="s">
        <v>17</v>
      </c>
      <c r="E714" t="s">
        <v>54</v>
      </c>
      <c r="F714" t="s">
        <v>1204</v>
      </c>
      <c r="G714">
        <v>602264344</v>
      </c>
      <c r="H714" t="s">
        <v>1205</v>
      </c>
      <c r="I714">
        <v>2258</v>
      </c>
      <c r="J714">
        <v>651.21</v>
      </c>
      <c r="K714">
        <v>524.96</v>
      </c>
      <c r="L714">
        <v>1470432.18</v>
      </c>
      <c r="M714">
        <v>1185359.68</v>
      </c>
      <c r="N714">
        <v>285072.5</v>
      </c>
    </row>
    <row r="715" spans="1:14" x14ac:dyDescent="0.3">
      <c r="A715" t="s">
        <v>14</v>
      </c>
      <c r="B715" t="s">
        <v>57</v>
      </c>
      <c r="C715" t="s">
        <v>28</v>
      </c>
      <c r="D715" t="s">
        <v>17</v>
      </c>
      <c r="E715" t="s">
        <v>54</v>
      </c>
      <c r="F715" t="s">
        <v>1206</v>
      </c>
      <c r="G715">
        <v>791890084</v>
      </c>
      <c r="H715" t="s">
        <v>1207</v>
      </c>
      <c r="I715">
        <v>6728</v>
      </c>
      <c r="J715">
        <v>205.7</v>
      </c>
      <c r="K715">
        <v>117.11</v>
      </c>
      <c r="L715">
        <v>1383949.6</v>
      </c>
      <c r="M715">
        <v>787916.08</v>
      </c>
      <c r="N715">
        <v>596033.52</v>
      </c>
    </row>
    <row r="716" spans="1:14" x14ac:dyDescent="0.3">
      <c r="A716" t="s">
        <v>14</v>
      </c>
      <c r="B716" t="s">
        <v>92</v>
      </c>
      <c r="C716" t="s">
        <v>37</v>
      </c>
      <c r="D716" t="s">
        <v>17</v>
      </c>
      <c r="E716" t="s">
        <v>18</v>
      </c>
      <c r="F716" t="s">
        <v>686</v>
      </c>
      <c r="G716">
        <v>249606645</v>
      </c>
      <c r="H716" t="s">
        <v>1208</v>
      </c>
      <c r="I716">
        <v>3008</v>
      </c>
      <c r="J716">
        <v>9.33</v>
      </c>
      <c r="K716">
        <v>6.92</v>
      </c>
      <c r="L716">
        <v>28064.639999999999</v>
      </c>
      <c r="M716">
        <v>20815.36</v>
      </c>
      <c r="N716">
        <v>7249.28</v>
      </c>
    </row>
    <row r="717" spans="1:14" x14ac:dyDescent="0.3">
      <c r="A717" t="s">
        <v>14</v>
      </c>
      <c r="B717" t="s">
        <v>57</v>
      </c>
      <c r="C717" t="s">
        <v>71</v>
      </c>
      <c r="D717" t="s">
        <v>17</v>
      </c>
      <c r="E717" t="s">
        <v>18</v>
      </c>
      <c r="F717" t="s">
        <v>1209</v>
      </c>
      <c r="G717">
        <v>497466361</v>
      </c>
      <c r="H717" t="s">
        <v>1210</v>
      </c>
      <c r="I717">
        <v>206</v>
      </c>
      <c r="J717">
        <v>668.27</v>
      </c>
      <c r="K717">
        <v>502.54</v>
      </c>
      <c r="L717">
        <v>137663.62</v>
      </c>
      <c r="M717">
        <v>103523.24</v>
      </c>
      <c r="N717">
        <v>34140.379999999997</v>
      </c>
    </row>
    <row r="718" spans="1:14" x14ac:dyDescent="0.3">
      <c r="A718" t="s">
        <v>14</v>
      </c>
      <c r="B718" t="s">
        <v>264</v>
      </c>
      <c r="C718" t="s">
        <v>22</v>
      </c>
      <c r="D718" t="s">
        <v>17</v>
      </c>
      <c r="E718" t="s">
        <v>33</v>
      </c>
      <c r="F718" t="s">
        <v>1211</v>
      </c>
      <c r="G718">
        <v>839437711</v>
      </c>
      <c r="H718" t="s">
        <v>1212</v>
      </c>
      <c r="I718">
        <v>7128</v>
      </c>
      <c r="J718">
        <v>109.28</v>
      </c>
      <c r="K718">
        <v>35.840000000000003</v>
      </c>
      <c r="L718">
        <v>778947.84</v>
      </c>
      <c r="M718">
        <v>255467.51999999999</v>
      </c>
      <c r="N718">
        <v>523480.32000000001</v>
      </c>
    </row>
    <row r="719" spans="1:14" x14ac:dyDescent="0.3">
      <c r="A719" t="s">
        <v>14</v>
      </c>
      <c r="B719" t="s">
        <v>45</v>
      </c>
      <c r="C719" t="s">
        <v>32</v>
      </c>
      <c r="D719" t="s">
        <v>23</v>
      </c>
      <c r="E719" t="s">
        <v>54</v>
      </c>
      <c r="F719" t="s">
        <v>787</v>
      </c>
      <c r="G719">
        <v>549048888</v>
      </c>
      <c r="H719" t="s">
        <v>1213</v>
      </c>
      <c r="I719">
        <v>4622</v>
      </c>
      <c r="J719">
        <v>651.21</v>
      </c>
      <c r="K719">
        <v>524.96</v>
      </c>
      <c r="L719">
        <v>3009892.62</v>
      </c>
      <c r="M719">
        <v>2426365.12</v>
      </c>
      <c r="N719">
        <v>583527.5</v>
      </c>
    </row>
    <row r="720" spans="1:14" x14ac:dyDescent="0.3">
      <c r="A720" t="s">
        <v>14</v>
      </c>
      <c r="B720" t="s">
        <v>53</v>
      </c>
      <c r="C720" t="s">
        <v>58</v>
      </c>
      <c r="D720" t="s">
        <v>23</v>
      </c>
      <c r="E720" t="s">
        <v>54</v>
      </c>
      <c r="F720" t="s">
        <v>1214</v>
      </c>
      <c r="G720">
        <v>427432811</v>
      </c>
      <c r="H720" t="s">
        <v>1215</v>
      </c>
      <c r="I720">
        <v>5722</v>
      </c>
      <c r="J720">
        <v>152.58000000000001</v>
      </c>
      <c r="K720">
        <v>97.44</v>
      </c>
      <c r="L720">
        <v>873062.76</v>
      </c>
      <c r="M720">
        <v>557551.68000000005</v>
      </c>
      <c r="N720">
        <v>315511.08</v>
      </c>
    </row>
    <row r="721" spans="1:14" x14ac:dyDescent="0.3">
      <c r="A721" t="s">
        <v>14</v>
      </c>
      <c r="B721" t="s">
        <v>220</v>
      </c>
      <c r="C721" t="s">
        <v>32</v>
      </c>
      <c r="D721" t="s">
        <v>23</v>
      </c>
      <c r="E721" t="s">
        <v>54</v>
      </c>
      <c r="F721" t="s">
        <v>1216</v>
      </c>
      <c r="G721">
        <v>582836139</v>
      </c>
      <c r="H721" t="s">
        <v>226</v>
      </c>
      <c r="I721">
        <v>3020</v>
      </c>
      <c r="J721">
        <v>651.21</v>
      </c>
      <c r="K721">
        <v>524.96</v>
      </c>
      <c r="L721">
        <v>1966654.2</v>
      </c>
      <c r="M721">
        <v>1585379.2</v>
      </c>
      <c r="N721">
        <v>381275</v>
      </c>
    </row>
    <row r="722" spans="1:14" x14ac:dyDescent="0.3">
      <c r="A722" t="s">
        <v>14</v>
      </c>
      <c r="B722" t="s">
        <v>67</v>
      </c>
      <c r="C722" t="s">
        <v>22</v>
      </c>
      <c r="D722" t="s">
        <v>17</v>
      </c>
      <c r="E722" t="s">
        <v>54</v>
      </c>
      <c r="F722" t="s">
        <v>849</v>
      </c>
      <c r="G722">
        <v>719730079</v>
      </c>
      <c r="H722" t="s">
        <v>989</v>
      </c>
      <c r="I722">
        <v>2979</v>
      </c>
      <c r="J722">
        <v>109.28</v>
      </c>
      <c r="K722">
        <v>35.840000000000003</v>
      </c>
      <c r="L722">
        <v>325545.12</v>
      </c>
      <c r="M722">
        <v>106767.36</v>
      </c>
      <c r="N722">
        <v>218777.76</v>
      </c>
    </row>
    <row r="723" spans="1:14" x14ac:dyDescent="0.3">
      <c r="A723" t="s">
        <v>14</v>
      </c>
      <c r="B723" t="s">
        <v>31</v>
      </c>
      <c r="C723" t="s">
        <v>71</v>
      </c>
      <c r="D723" t="s">
        <v>23</v>
      </c>
      <c r="E723" t="s">
        <v>54</v>
      </c>
      <c r="F723" t="s">
        <v>1005</v>
      </c>
      <c r="G723">
        <v>837608659</v>
      </c>
      <c r="H723" t="s">
        <v>1217</v>
      </c>
      <c r="I723">
        <v>5871</v>
      </c>
      <c r="J723">
        <v>668.27</v>
      </c>
      <c r="K723">
        <v>502.54</v>
      </c>
      <c r="L723">
        <v>3923413.17</v>
      </c>
      <c r="M723">
        <v>2950412.34</v>
      </c>
      <c r="N723">
        <v>973000.83</v>
      </c>
    </row>
    <row r="724" spans="1:14" x14ac:dyDescent="0.3">
      <c r="A724" t="s">
        <v>14</v>
      </c>
      <c r="B724" t="s">
        <v>115</v>
      </c>
      <c r="C724" t="s">
        <v>50</v>
      </c>
      <c r="D724" t="s">
        <v>23</v>
      </c>
      <c r="E724" t="s">
        <v>33</v>
      </c>
      <c r="F724" t="s">
        <v>1118</v>
      </c>
      <c r="G724">
        <v>930670154</v>
      </c>
      <c r="H724" t="s">
        <v>172</v>
      </c>
      <c r="I724">
        <v>4835</v>
      </c>
      <c r="J724">
        <v>421.89</v>
      </c>
      <c r="K724">
        <v>364.69</v>
      </c>
      <c r="L724">
        <v>2039838.15</v>
      </c>
      <c r="M724">
        <v>1763276.15</v>
      </c>
      <c r="N724">
        <v>276562</v>
      </c>
    </row>
    <row r="725" spans="1:14" x14ac:dyDescent="0.3">
      <c r="A725" t="s">
        <v>14</v>
      </c>
      <c r="B725" t="s">
        <v>86</v>
      </c>
      <c r="C725" t="s">
        <v>22</v>
      </c>
      <c r="D725" t="s">
        <v>17</v>
      </c>
      <c r="E725" t="s">
        <v>54</v>
      </c>
      <c r="F725" t="s">
        <v>1218</v>
      </c>
      <c r="G725">
        <v>684853637</v>
      </c>
      <c r="H725" t="s">
        <v>1219</v>
      </c>
      <c r="I725">
        <v>2265</v>
      </c>
      <c r="J725">
        <v>109.28</v>
      </c>
      <c r="K725">
        <v>35.840000000000003</v>
      </c>
      <c r="L725">
        <v>247519.2</v>
      </c>
      <c r="M725">
        <v>81177.600000000006</v>
      </c>
      <c r="N725">
        <v>166341.6</v>
      </c>
    </row>
    <row r="726" spans="1:14" x14ac:dyDescent="0.3">
      <c r="A726" t="s">
        <v>14</v>
      </c>
      <c r="B726" t="s">
        <v>40</v>
      </c>
      <c r="C726" t="s">
        <v>28</v>
      </c>
      <c r="D726" t="s">
        <v>17</v>
      </c>
      <c r="E726" t="s">
        <v>54</v>
      </c>
      <c r="F726" t="s">
        <v>276</v>
      </c>
      <c r="G726">
        <v>930457293</v>
      </c>
      <c r="H726" t="s">
        <v>1220</v>
      </c>
      <c r="I726">
        <v>1845</v>
      </c>
      <c r="J726">
        <v>205.7</v>
      </c>
      <c r="K726">
        <v>117.11</v>
      </c>
      <c r="L726">
        <v>379516.5</v>
      </c>
      <c r="M726">
        <v>216067.95</v>
      </c>
      <c r="N726">
        <v>163448.54999999999</v>
      </c>
    </row>
    <row r="727" spans="1:14" x14ac:dyDescent="0.3">
      <c r="A727" t="s">
        <v>14</v>
      </c>
      <c r="B727" t="s">
        <v>36</v>
      </c>
      <c r="C727" t="s">
        <v>32</v>
      </c>
      <c r="D727" t="s">
        <v>17</v>
      </c>
      <c r="E727" t="s">
        <v>54</v>
      </c>
      <c r="F727" t="s">
        <v>1221</v>
      </c>
      <c r="G727">
        <v>343185698</v>
      </c>
      <c r="H727" t="s">
        <v>1222</v>
      </c>
      <c r="I727">
        <v>5129</v>
      </c>
      <c r="J727">
        <v>651.21</v>
      </c>
      <c r="K727">
        <v>524.96</v>
      </c>
      <c r="L727">
        <v>3340056.09</v>
      </c>
      <c r="M727">
        <v>2692519.84</v>
      </c>
      <c r="N727">
        <v>647536.25</v>
      </c>
    </row>
    <row r="728" spans="1:14" x14ac:dyDescent="0.3">
      <c r="A728" t="s">
        <v>14</v>
      </c>
      <c r="B728" t="s">
        <v>163</v>
      </c>
      <c r="C728" t="s">
        <v>75</v>
      </c>
      <c r="D728" t="s">
        <v>23</v>
      </c>
      <c r="E728" t="s">
        <v>24</v>
      </c>
      <c r="F728" t="s">
        <v>1223</v>
      </c>
      <c r="G728">
        <v>174935233</v>
      </c>
      <c r="H728" t="s">
        <v>1224</v>
      </c>
      <c r="I728">
        <v>6078</v>
      </c>
      <c r="J728">
        <v>437.2</v>
      </c>
      <c r="K728">
        <v>263.33</v>
      </c>
      <c r="L728">
        <v>2657301.6</v>
      </c>
      <c r="M728">
        <v>1600519.74</v>
      </c>
      <c r="N728">
        <v>1056781.8600000001</v>
      </c>
    </row>
    <row r="729" spans="1:14" x14ac:dyDescent="0.3">
      <c r="A729" t="s">
        <v>14</v>
      </c>
      <c r="B729" t="s">
        <v>342</v>
      </c>
      <c r="C729" t="s">
        <v>37</v>
      </c>
      <c r="D729" t="s">
        <v>17</v>
      </c>
      <c r="E729" t="s">
        <v>24</v>
      </c>
      <c r="F729" t="s">
        <v>533</v>
      </c>
      <c r="G729">
        <v>904812800</v>
      </c>
      <c r="H729" t="s">
        <v>1225</v>
      </c>
      <c r="I729">
        <v>3069</v>
      </c>
      <c r="J729">
        <v>9.33</v>
      </c>
      <c r="K729">
        <v>6.92</v>
      </c>
      <c r="L729">
        <v>28633.77</v>
      </c>
      <c r="M729">
        <v>21237.48</v>
      </c>
      <c r="N729">
        <v>7396.29</v>
      </c>
    </row>
    <row r="730" spans="1:14" x14ac:dyDescent="0.3">
      <c r="A730" t="s">
        <v>14</v>
      </c>
      <c r="B730" t="s">
        <v>342</v>
      </c>
      <c r="C730" t="s">
        <v>102</v>
      </c>
      <c r="D730" t="s">
        <v>23</v>
      </c>
      <c r="E730" t="s">
        <v>33</v>
      </c>
      <c r="F730" t="s">
        <v>1226</v>
      </c>
      <c r="G730">
        <v>438683927</v>
      </c>
      <c r="H730" t="s">
        <v>1227</v>
      </c>
      <c r="I730">
        <v>5177</v>
      </c>
      <c r="J730">
        <v>81.73</v>
      </c>
      <c r="K730">
        <v>56.67</v>
      </c>
      <c r="L730">
        <v>423116.21</v>
      </c>
      <c r="M730">
        <v>293380.59000000003</v>
      </c>
      <c r="N730">
        <v>129735.62</v>
      </c>
    </row>
    <row r="731" spans="1:14" x14ac:dyDescent="0.3">
      <c r="A731" t="s">
        <v>14</v>
      </c>
      <c r="B731" t="s">
        <v>223</v>
      </c>
      <c r="C731" t="s">
        <v>37</v>
      </c>
      <c r="D731" t="s">
        <v>17</v>
      </c>
      <c r="E731" t="s">
        <v>54</v>
      </c>
      <c r="F731" t="s">
        <v>1228</v>
      </c>
      <c r="G731">
        <v>303534495</v>
      </c>
      <c r="H731" t="s">
        <v>1229</v>
      </c>
      <c r="I731">
        <v>1457</v>
      </c>
      <c r="J731">
        <v>9.33</v>
      </c>
      <c r="K731">
        <v>6.92</v>
      </c>
      <c r="L731">
        <v>13593.81</v>
      </c>
      <c r="M731">
        <v>10082.44</v>
      </c>
      <c r="N731">
        <v>3511.37</v>
      </c>
    </row>
    <row r="732" spans="1:14" x14ac:dyDescent="0.3">
      <c r="A732" t="s">
        <v>14</v>
      </c>
      <c r="B732" t="s">
        <v>92</v>
      </c>
      <c r="C732" t="s">
        <v>64</v>
      </c>
      <c r="D732" t="s">
        <v>23</v>
      </c>
      <c r="E732" t="s">
        <v>24</v>
      </c>
      <c r="F732" t="s">
        <v>1230</v>
      </c>
      <c r="G732">
        <v>775008904</v>
      </c>
      <c r="H732" t="s">
        <v>1231</v>
      </c>
      <c r="I732">
        <v>1212</v>
      </c>
      <c r="J732">
        <v>255.28</v>
      </c>
      <c r="K732">
        <v>159.41999999999999</v>
      </c>
      <c r="L732">
        <v>309399.36</v>
      </c>
      <c r="M732">
        <v>193217.04</v>
      </c>
      <c r="N732">
        <v>116182.32</v>
      </c>
    </row>
    <row r="733" spans="1:14" x14ac:dyDescent="0.3">
      <c r="A733" t="s">
        <v>14</v>
      </c>
      <c r="B733" t="s">
        <v>183</v>
      </c>
      <c r="C733" t="s">
        <v>37</v>
      </c>
      <c r="D733" t="s">
        <v>23</v>
      </c>
      <c r="E733" t="s">
        <v>24</v>
      </c>
      <c r="F733" t="s">
        <v>1232</v>
      </c>
      <c r="G733">
        <v>471348512</v>
      </c>
      <c r="H733" t="s">
        <v>1233</v>
      </c>
      <c r="I733">
        <v>1354</v>
      </c>
      <c r="J733">
        <v>9.33</v>
      </c>
      <c r="K733">
        <v>6.92</v>
      </c>
      <c r="L733">
        <v>12632.82</v>
      </c>
      <c r="M733">
        <v>9369.68</v>
      </c>
      <c r="N733">
        <v>3263.14</v>
      </c>
    </row>
    <row r="734" spans="1:14" x14ac:dyDescent="0.3">
      <c r="A734" t="s">
        <v>14</v>
      </c>
      <c r="B734" t="s">
        <v>100</v>
      </c>
      <c r="C734" t="s">
        <v>64</v>
      </c>
      <c r="D734" t="s">
        <v>17</v>
      </c>
      <c r="E734" t="s">
        <v>18</v>
      </c>
      <c r="F734" t="s">
        <v>1234</v>
      </c>
      <c r="G734">
        <v>302442729</v>
      </c>
      <c r="H734" t="s">
        <v>452</v>
      </c>
      <c r="I734">
        <v>8379</v>
      </c>
      <c r="J734">
        <v>255.28</v>
      </c>
      <c r="K734">
        <v>159.41999999999999</v>
      </c>
      <c r="L734">
        <v>2138991.12</v>
      </c>
      <c r="M734">
        <v>1335780.18</v>
      </c>
      <c r="N734">
        <v>803210.94</v>
      </c>
    </row>
    <row r="735" spans="1:14" x14ac:dyDescent="0.3">
      <c r="A735" t="s">
        <v>14</v>
      </c>
      <c r="B735" t="s">
        <v>181</v>
      </c>
      <c r="C735" t="s">
        <v>46</v>
      </c>
      <c r="D735" t="s">
        <v>23</v>
      </c>
      <c r="E735" t="s">
        <v>18</v>
      </c>
      <c r="F735" t="s">
        <v>1235</v>
      </c>
      <c r="G735">
        <v>987050187</v>
      </c>
      <c r="H735" t="s">
        <v>1236</v>
      </c>
      <c r="I735">
        <v>8940</v>
      </c>
      <c r="J735">
        <v>154.06</v>
      </c>
      <c r="K735">
        <v>90.93</v>
      </c>
      <c r="L735">
        <v>1377296.4</v>
      </c>
      <c r="M735">
        <v>812914.2</v>
      </c>
      <c r="N735">
        <v>564382.19999999995</v>
      </c>
    </row>
    <row r="736" spans="1:14" x14ac:dyDescent="0.3">
      <c r="A736" t="s">
        <v>14</v>
      </c>
      <c r="B736" t="s">
        <v>31</v>
      </c>
      <c r="C736" t="s">
        <v>32</v>
      </c>
      <c r="D736" t="s">
        <v>23</v>
      </c>
      <c r="E736" t="s">
        <v>54</v>
      </c>
      <c r="F736" t="s">
        <v>1237</v>
      </c>
      <c r="G736">
        <v>641537463</v>
      </c>
      <c r="H736" t="s">
        <v>1238</v>
      </c>
      <c r="I736">
        <v>4047</v>
      </c>
      <c r="J736">
        <v>651.21</v>
      </c>
      <c r="K736">
        <v>524.96</v>
      </c>
      <c r="L736">
        <v>2635446.87</v>
      </c>
      <c r="M736">
        <v>2124513.12</v>
      </c>
      <c r="N736">
        <v>510933.75</v>
      </c>
    </row>
    <row r="737" spans="1:14" x14ac:dyDescent="0.3">
      <c r="A737" t="s">
        <v>14</v>
      </c>
      <c r="B737" t="s">
        <v>15</v>
      </c>
      <c r="C737" t="s">
        <v>71</v>
      </c>
      <c r="D737" t="s">
        <v>17</v>
      </c>
      <c r="E737" t="s">
        <v>33</v>
      </c>
      <c r="F737" t="s">
        <v>1239</v>
      </c>
      <c r="G737">
        <v>512662255</v>
      </c>
      <c r="H737" t="s">
        <v>1240</v>
      </c>
      <c r="I737">
        <v>7009</v>
      </c>
      <c r="J737">
        <v>668.27</v>
      </c>
      <c r="K737">
        <v>502.54</v>
      </c>
      <c r="L737">
        <v>4683904.43</v>
      </c>
      <c r="M737">
        <v>3522302.86</v>
      </c>
      <c r="N737">
        <v>1161601.57</v>
      </c>
    </row>
    <row r="738" spans="1:14" x14ac:dyDescent="0.3">
      <c r="A738" t="s">
        <v>14</v>
      </c>
      <c r="B738" t="s">
        <v>196</v>
      </c>
      <c r="C738" t="s">
        <v>22</v>
      </c>
      <c r="D738" t="s">
        <v>17</v>
      </c>
      <c r="E738" t="s">
        <v>33</v>
      </c>
      <c r="F738" t="s">
        <v>1241</v>
      </c>
      <c r="G738">
        <v>379900634</v>
      </c>
      <c r="H738" t="s">
        <v>207</v>
      </c>
      <c r="I738">
        <v>9895</v>
      </c>
      <c r="J738">
        <v>109.28</v>
      </c>
      <c r="K738">
        <v>35.840000000000003</v>
      </c>
      <c r="L738">
        <v>1081325.6000000001</v>
      </c>
      <c r="M738">
        <v>354636.79999999999</v>
      </c>
      <c r="N738">
        <v>726688.8</v>
      </c>
    </row>
    <row r="739" spans="1:14" x14ac:dyDescent="0.3">
      <c r="A739" t="s">
        <v>14</v>
      </c>
      <c r="B739" t="s">
        <v>364</v>
      </c>
      <c r="C739" t="s">
        <v>28</v>
      </c>
      <c r="D739" t="s">
        <v>23</v>
      </c>
      <c r="E739" t="s">
        <v>54</v>
      </c>
      <c r="F739" t="s">
        <v>1157</v>
      </c>
      <c r="G739">
        <v>243144452</v>
      </c>
      <c r="H739" t="s">
        <v>1242</v>
      </c>
      <c r="I739">
        <v>701</v>
      </c>
      <c r="J739">
        <v>205.7</v>
      </c>
      <c r="K739">
        <v>117.11</v>
      </c>
      <c r="L739">
        <v>144195.70000000001</v>
      </c>
      <c r="M739">
        <v>82094.11</v>
      </c>
      <c r="N739">
        <v>62101.59</v>
      </c>
    </row>
    <row r="740" spans="1:14" x14ac:dyDescent="0.3">
      <c r="A740" t="s">
        <v>14</v>
      </c>
      <c r="B740" t="s">
        <v>100</v>
      </c>
      <c r="C740" t="s">
        <v>75</v>
      </c>
      <c r="D740" t="s">
        <v>23</v>
      </c>
      <c r="E740" t="s">
        <v>54</v>
      </c>
      <c r="F740" t="s">
        <v>1243</v>
      </c>
      <c r="G740">
        <v>998043382</v>
      </c>
      <c r="H740" t="s">
        <v>653</v>
      </c>
      <c r="I740">
        <v>2070</v>
      </c>
      <c r="J740">
        <v>437.2</v>
      </c>
      <c r="K740">
        <v>263.33</v>
      </c>
      <c r="L740">
        <v>905004</v>
      </c>
      <c r="M740">
        <v>545093.1</v>
      </c>
      <c r="N740">
        <v>359910.9</v>
      </c>
    </row>
    <row r="741" spans="1:14" x14ac:dyDescent="0.3">
      <c r="A741" t="s">
        <v>14</v>
      </c>
      <c r="B741" t="s">
        <v>166</v>
      </c>
      <c r="C741" t="s">
        <v>37</v>
      </c>
      <c r="D741" t="s">
        <v>17</v>
      </c>
      <c r="E741" t="s">
        <v>33</v>
      </c>
      <c r="F741" t="s">
        <v>1244</v>
      </c>
      <c r="G741">
        <v>446045196</v>
      </c>
      <c r="H741" t="s">
        <v>1245</v>
      </c>
      <c r="I741">
        <v>3540</v>
      </c>
      <c r="J741">
        <v>9.33</v>
      </c>
      <c r="K741">
        <v>6.92</v>
      </c>
      <c r="L741">
        <v>33028.199999999997</v>
      </c>
      <c r="M741">
        <v>24496.799999999999</v>
      </c>
      <c r="N741">
        <v>8531.4</v>
      </c>
    </row>
    <row r="742" spans="1:14" x14ac:dyDescent="0.3">
      <c r="A742" t="s">
        <v>14</v>
      </c>
      <c r="B742" t="s">
        <v>138</v>
      </c>
      <c r="C742" t="s">
        <v>71</v>
      </c>
      <c r="D742" t="s">
        <v>17</v>
      </c>
      <c r="E742" t="s">
        <v>24</v>
      </c>
      <c r="F742" t="s">
        <v>1246</v>
      </c>
      <c r="G742">
        <v>544284856</v>
      </c>
      <c r="H742" t="s">
        <v>1247</v>
      </c>
      <c r="I742">
        <v>4839</v>
      </c>
      <c r="J742">
        <v>668.27</v>
      </c>
      <c r="K742">
        <v>502.54</v>
      </c>
      <c r="L742">
        <v>3233758.53</v>
      </c>
      <c r="M742">
        <v>2431791.06</v>
      </c>
      <c r="N742">
        <v>801967.47</v>
      </c>
    </row>
    <row r="743" spans="1:14" x14ac:dyDescent="0.3">
      <c r="A743" t="s">
        <v>14</v>
      </c>
      <c r="B743" t="s">
        <v>342</v>
      </c>
      <c r="C743" t="s">
        <v>46</v>
      </c>
      <c r="D743" t="s">
        <v>17</v>
      </c>
      <c r="E743" t="s">
        <v>54</v>
      </c>
      <c r="F743" t="s">
        <v>1248</v>
      </c>
      <c r="G743">
        <v>606118571</v>
      </c>
      <c r="H743" t="s">
        <v>772</v>
      </c>
      <c r="I743">
        <v>2809</v>
      </c>
      <c r="J743">
        <v>154.06</v>
      </c>
      <c r="K743">
        <v>90.93</v>
      </c>
      <c r="L743">
        <v>432754.54</v>
      </c>
      <c r="M743">
        <v>255422.37</v>
      </c>
      <c r="N743">
        <v>177332.17</v>
      </c>
    </row>
    <row r="744" spans="1:14" x14ac:dyDescent="0.3">
      <c r="A744" t="s">
        <v>14</v>
      </c>
      <c r="B744" t="s">
        <v>86</v>
      </c>
      <c r="C744" t="s">
        <v>58</v>
      </c>
      <c r="D744" t="s">
        <v>23</v>
      </c>
      <c r="E744" t="s">
        <v>18</v>
      </c>
      <c r="F744" t="s">
        <v>1249</v>
      </c>
      <c r="G744">
        <v>583654105</v>
      </c>
      <c r="H744" t="s">
        <v>1250</v>
      </c>
      <c r="I744">
        <v>5075</v>
      </c>
      <c r="J744">
        <v>152.58000000000001</v>
      </c>
      <c r="K744">
        <v>97.44</v>
      </c>
      <c r="L744">
        <v>774343.5</v>
      </c>
      <c r="M744">
        <v>494508</v>
      </c>
      <c r="N744">
        <v>279835.5</v>
      </c>
    </row>
    <row r="745" spans="1:14" x14ac:dyDescent="0.3">
      <c r="A745" t="s">
        <v>14</v>
      </c>
      <c r="B745" t="s">
        <v>146</v>
      </c>
      <c r="C745" t="s">
        <v>64</v>
      </c>
      <c r="D745" t="s">
        <v>23</v>
      </c>
      <c r="E745" t="s">
        <v>18</v>
      </c>
      <c r="F745" t="s">
        <v>1251</v>
      </c>
      <c r="G745">
        <v>608451879</v>
      </c>
      <c r="H745" t="s">
        <v>1252</v>
      </c>
      <c r="I745">
        <v>3287</v>
      </c>
      <c r="J745">
        <v>255.28</v>
      </c>
      <c r="K745">
        <v>159.41999999999999</v>
      </c>
      <c r="L745">
        <v>839105.36</v>
      </c>
      <c r="M745">
        <v>524013.54</v>
      </c>
      <c r="N745">
        <v>315091.82</v>
      </c>
    </row>
    <row r="746" spans="1:14" x14ac:dyDescent="0.3">
      <c r="A746" t="s">
        <v>14</v>
      </c>
      <c r="B746" t="s">
        <v>342</v>
      </c>
      <c r="C746" t="s">
        <v>16</v>
      </c>
      <c r="D746" t="s">
        <v>23</v>
      </c>
      <c r="E746" t="s">
        <v>24</v>
      </c>
      <c r="F746" t="s">
        <v>1253</v>
      </c>
      <c r="G746">
        <v>910886180</v>
      </c>
      <c r="H746" t="s">
        <v>1254</v>
      </c>
      <c r="I746">
        <v>317</v>
      </c>
      <c r="J746">
        <v>47.45</v>
      </c>
      <c r="K746">
        <v>31.79</v>
      </c>
      <c r="L746">
        <v>15041.65</v>
      </c>
      <c r="M746">
        <v>10077.43</v>
      </c>
      <c r="N746">
        <v>4964.22</v>
      </c>
    </row>
    <row r="747" spans="1:14" x14ac:dyDescent="0.3">
      <c r="A747" t="s">
        <v>14</v>
      </c>
      <c r="B747" t="s">
        <v>257</v>
      </c>
      <c r="C747" t="s">
        <v>58</v>
      </c>
      <c r="D747" t="s">
        <v>17</v>
      </c>
      <c r="E747" t="s">
        <v>33</v>
      </c>
      <c r="F747" t="s">
        <v>1255</v>
      </c>
      <c r="G747">
        <v>820195758</v>
      </c>
      <c r="H747" t="s">
        <v>1225</v>
      </c>
      <c r="I747">
        <v>3006</v>
      </c>
      <c r="J747">
        <v>152.58000000000001</v>
      </c>
      <c r="K747">
        <v>97.44</v>
      </c>
      <c r="L747">
        <v>458655.48</v>
      </c>
      <c r="M747">
        <v>292904.64</v>
      </c>
      <c r="N747">
        <v>165750.84</v>
      </c>
    </row>
    <row r="748" spans="1:14" x14ac:dyDescent="0.3">
      <c r="A748" t="s">
        <v>14</v>
      </c>
      <c r="B748" t="s">
        <v>138</v>
      </c>
      <c r="C748" t="s">
        <v>22</v>
      </c>
      <c r="D748" t="s">
        <v>23</v>
      </c>
      <c r="E748" t="s">
        <v>54</v>
      </c>
      <c r="F748" t="s">
        <v>1256</v>
      </c>
      <c r="G748">
        <v>378216636</v>
      </c>
      <c r="H748" t="s">
        <v>1257</v>
      </c>
      <c r="I748">
        <v>1562</v>
      </c>
      <c r="J748">
        <v>109.28</v>
      </c>
      <c r="K748">
        <v>35.840000000000003</v>
      </c>
      <c r="L748">
        <v>170695.36</v>
      </c>
      <c r="M748">
        <v>55982.080000000002</v>
      </c>
      <c r="N748">
        <v>114713.28</v>
      </c>
    </row>
    <row r="749" spans="1:14" x14ac:dyDescent="0.3">
      <c r="A749" t="s">
        <v>14</v>
      </c>
      <c r="B749" t="s">
        <v>127</v>
      </c>
      <c r="C749" t="s">
        <v>22</v>
      </c>
      <c r="D749" t="s">
        <v>23</v>
      </c>
      <c r="E749" t="s">
        <v>18</v>
      </c>
      <c r="F749" t="s">
        <v>1258</v>
      </c>
      <c r="G749">
        <v>539002406</v>
      </c>
      <c r="H749" t="s">
        <v>1259</v>
      </c>
      <c r="I749">
        <v>1645</v>
      </c>
      <c r="J749">
        <v>109.28</v>
      </c>
      <c r="K749">
        <v>35.840000000000003</v>
      </c>
      <c r="L749">
        <v>179765.6</v>
      </c>
      <c r="M749">
        <v>58956.800000000003</v>
      </c>
      <c r="N749">
        <v>120808.8</v>
      </c>
    </row>
    <row r="750" spans="1:14" x14ac:dyDescent="0.3">
      <c r="A750" t="s">
        <v>14</v>
      </c>
      <c r="B750" t="s">
        <v>83</v>
      </c>
      <c r="C750" t="s">
        <v>32</v>
      </c>
      <c r="D750" t="s">
        <v>23</v>
      </c>
      <c r="E750" t="s">
        <v>24</v>
      </c>
      <c r="F750" t="s">
        <v>1260</v>
      </c>
      <c r="G750">
        <v>659193694</v>
      </c>
      <c r="H750" t="s">
        <v>1261</v>
      </c>
      <c r="I750">
        <v>8918</v>
      </c>
      <c r="J750">
        <v>651.21</v>
      </c>
      <c r="K750">
        <v>524.96</v>
      </c>
      <c r="L750">
        <v>5807490.7800000003</v>
      </c>
      <c r="M750">
        <v>4681593.28</v>
      </c>
      <c r="N750">
        <v>1125897.5</v>
      </c>
    </row>
    <row r="751" spans="1:14" x14ac:dyDescent="0.3">
      <c r="A751" t="s">
        <v>14</v>
      </c>
      <c r="B751" t="s">
        <v>220</v>
      </c>
      <c r="C751" t="s">
        <v>16</v>
      </c>
      <c r="D751" t="s">
        <v>23</v>
      </c>
      <c r="E751" t="s">
        <v>54</v>
      </c>
      <c r="F751" t="s">
        <v>1262</v>
      </c>
      <c r="G751">
        <v>320431125</v>
      </c>
      <c r="H751" t="s">
        <v>1263</v>
      </c>
      <c r="I751">
        <v>1545</v>
      </c>
      <c r="J751">
        <v>47.45</v>
      </c>
      <c r="K751">
        <v>31.79</v>
      </c>
      <c r="L751">
        <v>73310.25</v>
      </c>
      <c r="M751">
        <v>49115.55</v>
      </c>
      <c r="N751">
        <v>24194.7</v>
      </c>
    </row>
    <row r="752" spans="1:14" x14ac:dyDescent="0.3">
      <c r="A752" t="s">
        <v>14</v>
      </c>
      <c r="B752" t="s">
        <v>92</v>
      </c>
      <c r="C752" t="s">
        <v>46</v>
      </c>
      <c r="D752" t="s">
        <v>17</v>
      </c>
      <c r="E752" t="s">
        <v>33</v>
      </c>
      <c r="F752" t="s">
        <v>1264</v>
      </c>
      <c r="G752">
        <v>229355323</v>
      </c>
      <c r="H752" t="s">
        <v>1265</v>
      </c>
      <c r="I752">
        <v>192</v>
      </c>
      <c r="J752">
        <v>154.06</v>
      </c>
      <c r="K752">
        <v>90.93</v>
      </c>
      <c r="L752">
        <v>29579.52</v>
      </c>
      <c r="M752">
        <v>17458.560000000001</v>
      </c>
      <c r="N752">
        <v>12120.96</v>
      </c>
    </row>
    <row r="753" spans="1:14" x14ac:dyDescent="0.3">
      <c r="A753" t="s">
        <v>14</v>
      </c>
      <c r="B753" t="s">
        <v>181</v>
      </c>
      <c r="C753" t="s">
        <v>16</v>
      </c>
      <c r="D753" t="s">
        <v>17</v>
      </c>
      <c r="E753" t="s">
        <v>33</v>
      </c>
      <c r="F753" t="s">
        <v>1266</v>
      </c>
      <c r="G753">
        <v>949732291</v>
      </c>
      <c r="H753" t="s">
        <v>1267</v>
      </c>
      <c r="I753">
        <v>5745</v>
      </c>
      <c r="J753">
        <v>47.45</v>
      </c>
      <c r="K753">
        <v>31.79</v>
      </c>
      <c r="L753">
        <v>272600.25</v>
      </c>
      <c r="M753">
        <v>182633.55</v>
      </c>
      <c r="N753">
        <v>89966.7</v>
      </c>
    </row>
    <row r="754" spans="1:14" x14ac:dyDescent="0.3">
      <c r="A754" t="s">
        <v>14</v>
      </c>
      <c r="B754" t="s">
        <v>61</v>
      </c>
      <c r="C754" t="s">
        <v>71</v>
      </c>
      <c r="D754" t="s">
        <v>23</v>
      </c>
      <c r="E754" t="s">
        <v>18</v>
      </c>
      <c r="F754" t="s">
        <v>1268</v>
      </c>
      <c r="G754">
        <v>871147000</v>
      </c>
      <c r="H754" t="s">
        <v>1269</v>
      </c>
      <c r="I754">
        <v>611</v>
      </c>
      <c r="J754">
        <v>668.27</v>
      </c>
      <c r="K754">
        <v>502.54</v>
      </c>
      <c r="L754">
        <v>408312.97</v>
      </c>
      <c r="M754">
        <v>307051.94</v>
      </c>
      <c r="N754">
        <v>101261.03</v>
      </c>
    </row>
    <row r="755" spans="1:14" x14ac:dyDescent="0.3">
      <c r="A755" t="s">
        <v>14</v>
      </c>
      <c r="B755" t="s">
        <v>105</v>
      </c>
      <c r="C755" t="s">
        <v>64</v>
      </c>
      <c r="D755" t="s">
        <v>23</v>
      </c>
      <c r="E755" t="s">
        <v>24</v>
      </c>
      <c r="F755" t="s">
        <v>519</v>
      </c>
      <c r="G755">
        <v>806197631</v>
      </c>
      <c r="H755" t="s">
        <v>1270</v>
      </c>
      <c r="I755">
        <v>649</v>
      </c>
      <c r="J755">
        <v>255.28</v>
      </c>
      <c r="K755">
        <v>159.41999999999999</v>
      </c>
      <c r="L755">
        <v>165676.72</v>
      </c>
      <c r="M755">
        <v>103463.58</v>
      </c>
      <c r="N755">
        <v>62213.14</v>
      </c>
    </row>
    <row r="756" spans="1:14" x14ac:dyDescent="0.3">
      <c r="A756" t="s">
        <v>14</v>
      </c>
      <c r="B756" t="s">
        <v>138</v>
      </c>
      <c r="C756" t="s">
        <v>16</v>
      </c>
      <c r="D756" t="s">
        <v>17</v>
      </c>
      <c r="E756" t="s">
        <v>54</v>
      </c>
      <c r="F756" t="s">
        <v>1271</v>
      </c>
      <c r="G756">
        <v>926280772</v>
      </c>
      <c r="H756" t="s">
        <v>1272</v>
      </c>
      <c r="I756">
        <v>5919</v>
      </c>
      <c r="J756">
        <v>47.45</v>
      </c>
      <c r="K756">
        <v>31.79</v>
      </c>
      <c r="L756">
        <v>280856.55</v>
      </c>
      <c r="M756">
        <v>188165.01</v>
      </c>
      <c r="N756">
        <v>92691.54</v>
      </c>
    </row>
    <row r="757" spans="1:14" x14ac:dyDescent="0.3">
      <c r="A757" t="s">
        <v>14</v>
      </c>
      <c r="B757" t="s">
        <v>183</v>
      </c>
      <c r="C757" t="s">
        <v>46</v>
      </c>
      <c r="D757" t="s">
        <v>17</v>
      </c>
      <c r="E757" t="s">
        <v>33</v>
      </c>
      <c r="F757" t="s">
        <v>1273</v>
      </c>
      <c r="G757">
        <v>936547410</v>
      </c>
      <c r="H757" t="s">
        <v>1274</v>
      </c>
      <c r="I757">
        <v>4046</v>
      </c>
      <c r="J757">
        <v>154.06</v>
      </c>
      <c r="K757">
        <v>90.93</v>
      </c>
      <c r="L757">
        <v>623326.76</v>
      </c>
      <c r="M757">
        <v>367902.78</v>
      </c>
      <c r="N757">
        <v>255423.98</v>
      </c>
    </row>
    <row r="758" spans="1:14" x14ac:dyDescent="0.3">
      <c r="A758" t="s">
        <v>14</v>
      </c>
      <c r="B758" t="s">
        <v>97</v>
      </c>
      <c r="C758" t="s">
        <v>75</v>
      </c>
      <c r="D758" t="s">
        <v>23</v>
      </c>
      <c r="E758" t="s">
        <v>54</v>
      </c>
      <c r="F758" t="s">
        <v>548</v>
      </c>
      <c r="G758">
        <v>498201072</v>
      </c>
      <c r="H758" t="s">
        <v>374</v>
      </c>
      <c r="I758">
        <v>7623</v>
      </c>
      <c r="J758">
        <v>437.2</v>
      </c>
      <c r="K758">
        <v>263.33</v>
      </c>
      <c r="L758">
        <v>3332775.6</v>
      </c>
      <c r="M758">
        <v>2007364.59</v>
      </c>
      <c r="N758">
        <v>1325411.01</v>
      </c>
    </row>
    <row r="759" spans="1:14" x14ac:dyDescent="0.3">
      <c r="A759" t="s">
        <v>14</v>
      </c>
      <c r="B759" t="s">
        <v>105</v>
      </c>
      <c r="C759" t="s">
        <v>58</v>
      </c>
      <c r="D759" t="s">
        <v>17</v>
      </c>
      <c r="E759" t="s">
        <v>54</v>
      </c>
      <c r="F759" t="s">
        <v>1275</v>
      </c>
      <c r="G759">
        <v>842725884</v>
      </c>
      <c r="H759" t="s">
        <v>179</v>
      </c>
      <c r="I759">
        <v>171</v>
      </c>
      <c r="J759">
        <v>152.58000000000001</v>
      </c>
      <c r="K759">
        <v>97.44</v>
      </c>
      <c r="L759">
        <v>26091.18</v>
      </c>
      <c r="M759">
        <v>16662.240000000002</v>
      </c>
      <c r="N759">
        <v>9428.94</v>
      </c>
    </row>
    <row r="760" spans="1:14" x14ac:dyDescent="0.3">
      <c r="A760" t="s">
        <v>14</v>
      </c>
      <c r="B760" t="s">
        <v>80</v>
      </c>
      <c r="C760" t="s">
        <v>32</v>
      </c>
      <c r="D760" t="s">
        <v>23</v>
      </c>
      <c r="E760" t="s">
        <v>33</v>
      </c>
      <c r="F760" t="s">
        <v>654</v>
      </c>
      <c r="G760">
        <v>343730294</v>
      </c>
      <c r="H760" t="s">
        <v>1017</v>
      </c>
      <c r="I760">
        <v>6287</v>
      </c>
      <c r="J760">
        <v>651.21</v>
      </c>
      <c r="K760">
        <v>524.96</v>
      </c>
      <c r="L760">
        <v>4094157.27</v>
      </c>
      <c r="M760">
        <v>3300423.52</v>
      </c>
      <c r="N760">
        <v>793733.75</v>
      </c>
    </row>
    <row r="761" spans="1:14" x14ac:dyDescent="0.3">
      <c r="A761" t="s">
        <v>14</v>
      </c>
      <c r="B761" t="s">
        <v>364</v>
      </c>
      <c r="C761" t="s">
        <v>46</v>
      </c>
      <c r="D761" t="s">
        <v>23</v>
      </c>
      <c r="E761" t="s">
        <v>18</v>
      </c>
      <c r="F761" t="s">
        <v>1276</v>
      </c>
      <c r="G761">
        <v>636907756</v>
      </c>
      <c r="H761" t="s">
        <v>627</v>
      </c>
      <c r="I761">
        <v>4013</v>
      </c>
      <c r="J761">
        <v>154.06</v>
      </c>
      <c r="K761">
        <v>90.93</v>
      </c>
      <c r="L761">
        <v>618242.78</v>
      </c>
      <c r="M761">
        <v>364902.09</v>
      </c>
      <c r="N761">
        <v>253340.69</v>
      </c>
    </row>
    <row r="762" spans="1:14" x14ac:dyDescent="0.3">
      <c r="A762" t="s">
        <v>14</v>
      </c>
      <c r="B762" t="s">
        <v>15</v>
      </c>
      <c r="C762" t="s">
        <v>28</v>
      </c>
      <c r="D762" t="s">
        <v>23</v>
      </c>
      <c r="E762" t="s">
        <v>54</v>
      </c>
      <c r="F762" t="s">
        <v>1187</v>
      </c>
      <c r="G762">
        <v>444806230</v>
      </c>
      <c r="H762" t="s">
        <v>474</v>
      </c>
      <c r="I762">
        <v>6903</v>
      </c>
      <c r="J762">
        <v>205.7</v>
      </c>
      <c r="K762">
        <v>117.11</v>
      </c>
      <c r="L762">
        <v>1419947.1</v>
      </c>
      <c r="M762">
        <v>808410.33</v>
      </c>
      <c r="N762">
        <v>611536.77</v>
      </c>
    </row>
    <row r="763" spans="1:14" x14ac:dyDescent="0.3">
      <c r="A763" t="s">
        <v>14</v>
      </c>
      <c r="B763" t="s">
        <v>80</v>
      </c>
      <c r="C763" t="s">
        <v>58</v>
      </c>
      <c r="D763" t="s">
        <v>23</v>
      </c>
      <c r="E763" t="s">
        <v>24</v>
      </c>
      <c r="F763" t="s">
        <v>1277</v>
      </c>
      <c r="G763">
        <v>517097985</v>
      </c>
      <c r="H763" t="s">
        <v>1278</v>
      </c>
      <c r="I763">
        <v>9640</v>
      </c>
      <c r="J763">
        <v>152.58000000000001</v>
      </c>
      <c r="K763">
        <v>97.44</v>
      </c>
      <c r="L763">
        <v>1470871.2</v>
      </c>
      <c r="M763">
        <v>939321.6</v>
      </c>
      <c r="N763">
        <v>531549.6</v>
      </c>
    </row>
    <row r="764" spans="1:14" x14ac:dyDescent="0.3">
      <c r="A764" t="s">
        <v>14</v>
      </c>
      <c r="B764" t="s">
        <v>67</v>
      </c>
      <c r="C764" t="s">
        <v>16</v>
      </c>
      <c r="D764" t="s">
        <v>17</v>
      </c>
      <c r="E764" t="s">
        <v>24</v>
      </c>
      <c r="F764" t="s">
        <v>1279</v>
      </c>
      <c r="G764">
        <v>642953670</v>
      </c>
      <c r="H764" t="s">
        <v>527</v>
      </c>
      <c r="I764">
        <v>3134</v>
      </c>
      <c r="J764">
        <v>47.45</v>
      </c>
      <c r="K764">
        <v>31.79</v>
      </c>
      <c r="L764">
        <v>148708.29999999999</v>
      </c>
      <c r="M764">
        <v>99629.86</v>
      </c>
      <c r="N764">
        <v>49078.44</v>
      </c>
    </row>
    <row r="765" spans="1:14" x14ac:dyDescent="0.3">
      <c r="A765" t="s">
        <v>14</v>
      </c>
      <c r="B765" t="s">
        <v>83</v>
      </c>
      <c r="C765" t="s">
        <v>58</v>
      </c>
      <c r="D765" t="s">
        <v>17</v>
      </c>
      <c r="E765" t="s">
        <v>24</v>
      </c>
      <c r="F765" t="s">
        <v>211</v>
      </c>
      <c r="G765">
        <v>265191352</v>
      </c>
      <c r="H765" t="s">
        <v>1280</v>
      </c>
      <c r="I765">
        <v>4869</v>
      </c>
      <c r="J765">
        <v>152.58000000000001</v>
      </c>
      <c r="K765">
        <v>97.44</v>
      </c>
      <c r="L765">
        <v>742912.02</v>
      </c>
      <c r="M765">
        <v>474435.36</v>
      </c>
      <c r="N765">
        <v>268476.65999999997</v>
      </c>
    </row>
    <row r="766" spans="1:14" x14ac:dyDescent="0.3">
      <c r="A766" t="s">
        <v>14</v>
      </c>
      <c r="B766" t="s">
        <v>80</v>
      </c>
      <c r="C766" t="s">
        <v>32</v>
      </c>
      <c r="D766" t="s">
        <v>23</v>
      </c>
      <c r="E766" t="s">
        <v>33</v>
      </c>
      <c r="F766" t="s">
        <v>1281</v>
      </c>
      <c r="G766">
        <v>129127395</v>
      </c>
      <c r="H766" t="s">
        <v>276</v>
      </c>
      <c r="I766">
        <v>520</v>
      </c>
      <c r="J766">
        <v>651.21</v>
      </c>
      <c r="K766">
        <v>524.96</v>
      </c>
      <c r="L766">
        <v>338629.2</v>
      </c>
      <c r="M766">
        <v>272979.20000000001</v>
      </c>
      <c r="N766">
        <v>65650</v>
      </c>
    </row>
    <row r="767" spans="1:14" x14ac:dyDescent="0.3">
      <c r="A767" t="s">
        <v>14</v>
      </c>
      <c r="B767" t="s">
        <v>83</v>
      </c>
      <c r="C767" t="s">
        <v>46</v>
      </c>
      <c r="D767" t="s">
        <v>17</v>
      </c>
      <c r="E767" t="s">
        <v>24</v>
      </c>
      <c r="F767" t="s">
        <v>401</v>
      </c>
      <c r="G767">
        <v>392518174</v>
      </c>
      <c r="H767" t="s">
        <v>595</v>
      </c>
      <c r="I767">
        <v>3705</v>
      </c>
      <c r="J767">
        <v>154.06</v>
      </c>
      <c r="K767">
        <v>90.93</v>
      </c>
      <c r="L767">
        <v>570792.30000000005</v>
      </c>
      <c r="M767">
        <v>336895.65</v>
      </c>
      <c r="N767">
        <v>233896.65</v>
      </c>
    </row>
    <row r="768" spans="1:14" x14ac:dyDescent="0.3">
      <c r="A768" t="s">
        <v>14</v>
      </c>
      <c r="B768" t="s">
        <v>100</v>
      </c>
      <c r="C768" t="s">
        <v>37</v>
      </c>
      <c r="D768" t="s">
        <v>23</v>
      </c>
      <c r="E768" t="s">
        <v>18</v>
      </c>
      <c r="F768" t="s">
        <v>954</v>
      </c>
      <c r="G768">
        <v>121380746</v>
      </c>
      <c r="H768" t="s">
        <v>785</v>
      </c>
      <c r="I768">
        <v>8115</v>
      </c>
      <c r="J768">
        <v>9.33</v>
      </c>
      <c r="K768">
        <v>6.92</v>
      </c>
      <c r="L768">
        <v>75712.95</v>
      </c>
      <c r="M768">
        <v>56155.8</v>
      </c>
      <c r="N768">
        <v>19557.150000000001</v>
      </c>
    </row>
    <row r="769" spans="1:14" x14ac:dyDescent="0.3">
      <c r="A769" t="s">
        <v>14</v>
      </c>
      <c r="B769" t="s">
        <v>70</v>
      </c>
      <c r="C769" t="s">
        <v>22</v>
      </c>
      <c r="D769" t="s">
        <v>17</v>
      </c>
      <c r="E769" t="s">
        <v>24</v>
      </c>
      <c r="F769" t="s">
        <v>1282</v>
      </c>
      <c r="G769">
        <v>745467269</v>
      </c>
      <c r="H769" t="s">
        <v>797</v>
      </c>
      <c r="I769">
        <v>9186</v>
      </c>
      <c r="J769">
        <v>109.28</v>
      </c>
      <c r="K769">
        <v>35.840000000000003</v>
      </c>
      <c r="L769">
        <v>1003846.08</v>
      </c>
      <c r="M769">
        <v>329226.23999999999</v>
      </c>
      <c r="N769">
        <v>674619.84</v>
      </c>
    </row>
    <row r="770" spans="1:14" x14ac:dyDescent="0.3">
      <c r="A770" t="s">
        <v>14</v>
      </c>
      <c r="B770" t="s">
        <v>31</v>
      </c>
      <c r="C770" t="s">
        <v>50</v>
      </c>
      <c r="D770" t="s">
        <v>17</v>
      </c>
      <c r="E770" t="s">
        <v>54</v>
      </c>
      <c r="F770" t="s">
        <v>1283</v>
      </c>
      <c r="G770">
        <v>948518216</v>
      </c>
      <c r="H770" t="s">
        <v>881</v>
      </c>
      <c r="I770">
        <v>6473</v>
      </c>
      <c r="J770">
        <v>421.89</v>
      </c>
      <c r="K770">
        <v>364.69</v>
      </c>
      <c r="L770">
        <v>2730893.97</v>
      </c>
      <c r="M770">
        <v>2360638.37</v>
      </c>
      <c r="N770">
        <v>370255.6</v>
      </c>
    </row>
    <row r="771" spans="1:14" x14ac:dyDescent="0.3">
      <c r="A771" t="s">
        <v>14</v>
      </c>
      <c r="B771" t="s">
        <v>53</v>
      </c>
      <c r="C771" t="s">
        <v>32</v>
      </c>
      <c r="D771" t="s">
        <v>17</v>
      </c>
      <c r="E771" t="s">
        <v>33</v>
      </c>
      <c r="F771" t="s">
        <v>1284</v>
      </c>
      <c r="G771">
        <v>163744628</v>
      </c>
      <c r="H771" t="s">
        <v>654</v>
      </c>
      <c r="I771">
        <v>4529</v>
      </c>
      <c r="J771">
        <v>651.21</v>
      </c>
      <c r="K771">
        <v>524.96</v>
      </c>
      <c r="L771">
        <v>2949330.09</v>
      </c>
      <c r="M771">
        <v>2377543.84</v>
      </c>
      <c r="N771">
        <v>571786.25</v>
      </c>
    </row>
    <row r="772" spans="1:14" x14ac:dyDescent="0.3">
      <c r="A772" t="s">
        <v>14</v>
      </c>
      <c r="B772" t="s">
        <v>183</v>
      </c>
      <c r="C772" t="s">
        <v>71</v>
      </c>
      <c r="D772" t="s">
        <v>17</v>
      </c>
      <c r="E772" t="s">
        <v>24</v>
      </c>
      <c r="F772" t="s">
        <v>504</v>
      </c>
      <c r="G772">
        <v>706301438</v>
      </c>
      <c r="H772" t="s">
        <v>1285</v>
      </c>
      <c r="I772">
        <v>9146</v>
      </c>
      <c r="J772">
        <v>668.27</v>
      </c>
      <c r="K772">
        <v>502.54</v>
      </c>
      <c r="L772">
        <v>6111997.4199999999</v>
      </c>
      <c r="M772">
        <v>4596230.84</v>
      </c>
      <c r="N772">
        <v>1515766.58</v>
      </c>
    </row>
    <row r="773" spans="1:14" x14ac:dyDescent="0.3">
      <c r="A773" t="s">
        <v>14</v>
      </c>
      <c r="B773" t="s">
        <v>40</v>
      </c>
      <c r="C773" t="s">
        <v>22</v>
      </c>
      <c r="D773" t="s">
        <v>23</v>
      </c>
      <c r="E773" t="s">
        <v>18</v>
      </c>
      <c r="F773" t="s">
        <v>511</v>
      </c>
      <c r="G773">
        <v>234082448</v>
      </c>
      <c r="H773" t="s">
        <v>511</v>
      </c>
      <c r="I773">
        <v>9053</v>
      </c>
      <c r="J773">
        <v>109.28</v>
      </c>
      <c r="K773">
        <v>35.840000000000003</v>
      </c>
      <c r="L773">
        <v>989311.84</v>
      </c>
      <c r="M773">
        <v>324459.52000000002</v>
      </c>
      <c r="N773">
        <v>664852.31999999995</v>
      </c>
    </row>
    <row r="774" spans="1:14" x14ac:dyDescent="0.3">
      <c r="A774" t="s">
        <v>14</v>
      </c>
      <c r="B774" t="s">
        <v>342</v>
      </c>
      <c r="C774" t="s">
        <v>50</v>
      </c>
      <c r="D774" t="s">
        <v>17</v>
      </c>
      <c r="E774" t="s">
        <v>33</v>
      </c>
      <c r="F774" t="s">
        <v>275</v>
      </c>
      <c r="G774">
        <v>161607444</v>
      </c>
      <c r="H774" t="s">
        <v>733</v>
      </c>
      <c r="I774">
        <v>2089</v>
      </c>
      <c r="J774">
        <v>421.89</v>
      </c>
      <c r="K774">
        <v>364.69</v>
      </c>
      <c r="L774">
        <v>881328.21</v>
      </c>
      <c r="M774">
        <v>761837.41</v>
      </c>
      <c r="N774">
        <v>119490.8</v>
      </c>
    </row>
    <row r="775" spans="1:14" x14ac:dyDescent="0.3">
      <c r="A775" t="s">
        <v>14</v>
      </c>
      <c r="B775" t="s">
        <v>138</v>
      </c>
      <c r="C775" t="s">
        <v>50</v>
      </c>
      <c r="D775" t="s">
        <v>17</v>
      </c>
      <c r="E775" t="s">
        <v>18</v>
      </c>
      <c r="F775" t="s">
        <v>1286</v>
      </c>
      <c r="G775">
        <v>764483058</v>
      </c>
      <c r="H775" t="s">
        <v>1287</v>
      </c>
      <c r="I775">
        <v>6380</v>
      </c>
      <c r="J775">
        <v>421.89</v>
      </c>
      <c r="K775">
        <v>364.69</v>
      </c>
      <c r="L775">
        <v>2691658.2</v>
      </c>
      <c r="M775">
        <v>2326722.2000000002</v>
      </c>
      <c r="N775">
        <v>364936</v>
      </c>
    </row>
    <row r="776" spans="1:14" x14ac:dyDescent="0.3">
      <c r="A776" t="s">
        <v>14</v>
      </c>
      <c r="B776" t="s">
        <v>223</v>
      </c>
      <c r="C776" t="s">
        <v>64</v>
      </c>
      <c r="D776" t="s">
        <v>17</v>
      </c>
      <c r="E776" t="s">
        <v>24</v>
      </c>
      <c r="F776" t="s">
        <v>1287</v>
      </c>
      <c r="G776">
        <v>828993833</v>
      </c>
      <c r="H776" t="s">
        <v>1288</v>
      </c>
      <c r="I776">
        <v>6552</v>
      </c>
      <c r="J776">
        <v>255.28</v>
      </c>
      <c r="K776">
        <v>159.41999999999999</v>
      </c>
      <c r="L776">
        <v>1672594.56</v>
      </c>
      <c r="M776">
        <v>1044519.84</v>
      </c>
      <c r="N776">
        <v>628074.72</v>
      </c>
    </row>
    <row r="777" spans="1:14" x14ac:dyDescent="0.3">
      <c r="A777" t="s">
        <v>14</v>
      </c>
      <c r="B777" t="s">
        <v>21</v>
      </c>
      <c r="C777" t="s">
        <v>50</v>
      </c>
      <c r="D777" t="s">
        <v>17</v>
      </c>
      <c r="E777" t="s">
        <v>18</v>
      </c>
      <c r="F777" t="s">
        <v>527</v>
      </c>
      <c r="G777">
        <v>498946940</v>
      </c>
      <c r="H777" t="s">
        <v>1289</v>
      </c>
      <c r="I777">
        <v>8342</v>
      </c>
      <c r="J777">
        <v>421.89</v>
      </c>
      <c r="K777">
        <v>364.69</v>
      </c>
      <c r="L777">
        <v>3519406.38</v>
      </c>
      <c r="M777">
        <v>3042243.98</v>
      </c>
      <c r="N777">
        <v>477162.4</v>
      </c>
    </row>
    <row r="778" spans="1:14" x14ac:dyDescent="0.3">
      <c r="A778" t="s">
        <v>14</v>
      </c>
      <c r="B778" t="s">
        <v>49</v>
      </c>
      <c r="C778" t="s">
        <v>102</v>
      </c>
      <c r="D778" t="s">
        <v>17</v>
      </c>
      <c r="E778" t="s">
        <v>24</v>
      </c>
      <c r="F778" t="s">
        <v>1290</v>
      </c>
      <c r="G778">
        <v>287151563</v>
      </c>
      <c r="H778" t="s">
        <v>1096</v>
      </c>
      <c r="I778">
        <v>3383</v>
      </c>
      <c r="J778">
        <v>81.73</v>
      </c>
      <c r="K778">
        <v>56.67</v>
      </c>
      <c r="L778">
        <v>276492.59000000003</v>
      </c>
      <c r="M778">
        <v>191714.61</v>
      </c>
      <c r="N778">
        <v>84777.98</v>
      </c>
    </row>
    <row r="779" spans="1:14" x14ac:dyDescent="0.3">
      <c r="A779" t="s">
        <v>14</v>
      </c>
      <c r="B779" t="s">
        <v>232</v>
      </c>
      <c r="C779" t="s">
        <v>32</v>
      </c>
      <c r="D779" t="s">
        <v>23</v>
      </c>
      <c r="E779" t="s">
        <v>18</v>
      </c>
      <c r="F779" t="s">
        <v>235</v>
      </c>
      <c r="G779">
        <v>259006392</v>
      </c>
      <c r="H779" t="s">
        <v>1291</v>
      </c>
      <c r="I779">
        <v>4602</v>
      </c>
      <c r="J779">
        <v>651.21</v>
      </c>
      <c r="K779">
        <v>524.96</v>
      </c>
      <c r="L779">
        <v>2996868.42</v>
      </c>
      <c r="M779">
        <v>2415865.92</v>
      </c>
      <c r="N779">
        <v>581002.5</v>
      </c>
    </row>
    <row r="780" spans="1:14" x14ac:dyDescent="0.3">
      <c r="A780" t="s">
        <v>14</v>
      </c>
      <c r="B780" t="s">
        <v>94</v>
      </c>
      <c r="C780" t="s">
        <v>46</v>
      </c>
      <c r="D780" t="s">
        <v>23</v>
      </c>
      <c r="E780" t="s">
        <v>18</v>
      </c>
      <c r="F780" t="s">
        <v>1292</v>
      </c>
      <c r="G780">
        <v>556647908</v>
      </c>
      <c r="H780" t="s">
        <v>671</v>
      </c>
      <c r="I780">
        <v>3341</v>
      </c>
      <c r="J780">
        <v>154.06</v>
      </c>
      <c r="K780">
        <v>90.93</v>
      </c>
      <c r="L780">
        <v>514714.46</v>
      </c>
      <c r="M780">
        <v>303797.13</v>
      </c>
      <c r="N780">
        <v>210917.33</v>
      </c>
    </row>
    <row r="781" spans="1:14" x14ac:dyDescent="0.3">
      <c r="A781" t="s">
        <v>14</v>
      </c>
      <c r="B781" t="s">
        <v>271</v>
      </c>
      <c r="C781" t="s">
        <v>46</v>
      </c>
      <c r="D781" t="s">
        <v>17</v>
      </c>
      <c r="E781" t="s">
        <v>24</v>
      </c>
      <c r="F781" t="s">
        <v>1293</v>
      </c>
      <c r="G781">
        <v>923922574</v>
      </c>
      <c r="H781" t="s">
        <v>113</v>
      </c>
      <c r="I781">
        <v>8076</v>
      </c>
      <c r="J781">
        <v>154.06</v>
      </c>
      <c r="K781">
        <v>90.93</v>
      </c>
      <c r="L781">
        <v>1244188.56</v>
      </c>
      <c r="M781">
        <v>734350.68</v>
      </c>
      <c r="N781">
        <v>509837.88</v>
      </c>
    </row>
    <row r="782" spans="1:14" x14ac:dyDescent="0.3">
      <c r="A782" t="s">
        <v>14</v>
      </c>
      <c r="B782" t="s">
        <v>61</v>
      </c>
      <c r="C782" t="s">
        <v>58</v>
      </c>
      <c r="D782" t="s">
        <v>17</v>
      </c>
      <c r="E782" t="s">
        <v>18</v>
      </c>
      <c r="F782" t="s">
        <v>1091</v>
      </c>
      <c r="G782">
        <v>742100560</v>
      </c>
      <c r="H782" t="s">
        <v>1294</v>
      </c>
      <c r="I782">
        <v>2902</v>
      </c>
      <c r="J782">
        <v>152.58000000000001</v>
      </c>
      <c r="K782">
        <v>97.44</v>
      </c>
      <c r="L782">
        <v>442787.16</v>
      </c>
      <c r="M782">
        <v>282770.88</v>
      </c>
      <c r="N782">
        <v>160016.28</v>
      </c>
    </row>
    <row r="783" spans="1:14" x14ac:dyDescent="0.3">
      <c r="A783" t="s">
        <v>14</v>
      </c>
      <c r="B783" t="s">
        <v>163</v>
      </c>
      <c r="C783" t="s">
        <v>37</v>
      </c>
      <c r="D783" t="s">
        <v>17</v>
      </c>
      <c r="E783" t="s">
        <v>54</v>
      </c>
      <c r="F783" t="s">
        <v>1295</v>
      </c>
      <c r="G783">
        <v>605029380</v>
      </c>
      <c r="H783" t="s">
        <v>191</v>
      </c>
      <c r="I783">
        <v>493</v>
      </c>
      <c r="J783">
        <v>9.33</v>
      </c>
      <c r="K783">
        <v>6.92</v>
      </c>
      <c r="L783">
        <v>4599.6899999999996</v>
      </c>
      <c r="M783">
        <v>3411.56</v>
      </c>
      <c r="N783">
        <v>1188.1300000000001</v>
      </c>
    </row>
    <row r="784" spans="1:14" x14ac:dyDescent="0.3">
      <c r="A784" t="s">
        <v>14</v>
      </c>
      <c r="B784" t="s">
        <v>105</v>
      </c>
      <c r="C784" t="s">
        <v>50</v>
      </c>
      <c r="D784" t="s">
        <v>23</v>
      </c>
      <c r="E784" t="s">
        <v>33</v>
      </c>
      <c r="F784" t="s">
        <v>1018</v>
      </c>
      <c r="G784">
        <v>333304440</v>
      </c>
      <c r="H784" t="s">
        <v>1266</v>
      </c>
      <c r="I784">
        <v>1046</v>
      </c>
      <c r="J784">
        <v>421.89</v>
      </c>
      <c r="K784">
        <v>364.69</v>
      </c>
      <c r="L784">
        <v>441296.94</v>
      </c>
      <c r="M784">
        <v>381465.74</v>
      </c>
      <c r="N784">
        <v>59831.199999999997</v>
      </c>
    </row>
    <row r="785" spans="1:14" x14ac:dyDescent="0.3">
      <c r="A785" t="s">
        <v>14</v>
      </c>
      <c r="B785" t="s">
        <v>70</v>
      </c>
      <c r="C785" t="s">
        <v>75</v>
      </c>
      <c r="D785" t="s">
        <v>17</v>
      </c>
      <c r="E785" t="s">
        <v>54</v>
      </c>
      <c r="F785" t="s">
        <v>1296</v>
      </c>
      <c r="G785">
        <v>486345708</v>
      </c>
      <c r="H785" t="s">
        <v>1297</v>
      </c>
      <c r="I785">
        <v>9357</v>
      </c>
      <c r="J785">
        <v>437.2</v>
      </c>
      <c r="K785">
        <v>263.33</v>
      </c>
      <c r="L785">
        <v>4090880.4</v>
      </c>
      <c r="M785">
        <v>2463978.81</v>
      </c>
      <c r="N785">
        <v>1626901.59</v>
      </c>
    </row>
    <row r="786" spans="1:14" x14ac:dyDescent="0.3">
      <c r="A786" t="s">
        <v>14</v>
      </c>
      <c r="B786" t="s">
        <v>100</v>
      </c>
      <c r="C786" t="s">
        <v>16</v>
      </c>
      <c r="D786" t="s">
        <v>23</v>
      </c>
      <c r="E786" t="s">
        <v>24</v>
      </c>
      <c r="F786" t="s">
        <v>1015</v>
      </c>
      <c r="G786">
        <v>180358016</v>
      </c>
      <c r="H786" t="s">
        <v>1134</v>
      </c>
      <c r="I786">
        <v>800</v>
      </c>
      <c r="J786">
        <v>47.45</v>
      </c>
      <c r="K786">
        <v>31.79</v>
      </c>
      <c r="L786">
        <v>37960</v>
      </c>
      <c r="M786">
        <v>25432</v>
      </c>
      <c r="N786">
        <v>12528</v>
      </c>
    </row>
    <row r="787" spans="1:14" x14ac:dyDescent="0.3">
      <c r="A787" t="s">
        <v>14</v>
      </c>
      <c r="B787" t="s">
        <v>364</v>
      </c>
      <c r="C787" t="s">
        <v>22</v>
      </c>
      <c r="D787" t="s">
        <v>23</v>
      </c>
      <c r="E787" t="s">
        <v>54</v>
      </c>
      <c r="F787" t="s">
        <v>1298</v>
      </c>
      <c r="G787">
        <v>141846215</v>
      </c>
      <c r="H787" t="s">
        <v>1299</v>
      </c>
      <c r="I787">
        <v>4302</v>
      </c>
      <c r="J787">
        <v>109.28</v>
      </c>
      <c r="K787">
        <v>35.840000000000003</v>
      </c>
      <c r="L787">
        <v>470122.56</v>
      </c>
      <c r="M787">
        <v>154183.67999999999</v>
      </c>
      <c r="N787">
        <v>315938.88</v>
      </c>
    </row>
    <row r="788" spans="1:14" x14ac:dyDescent="0.3">
      <c r="A788" t="s">
        <v>14</v>
      </c>
      <c r="B788" t="s">
        <v>146</v>
      </c>
      <c r="C788" t="s">
        <v>64</v>
      </c>
      <c r="D788" t="s">
        <v>17</v>
      </c>
      <c r="E788" t="s">
        <v>18</v>
      </c>
      <c r="F788" t="s">
        <v>1300</v>
      </c>
      <c r="G788">
        <v>252541625</v>
      </c>
      <c r="H788" t="s">
        <v>1266</v>
      </c>
      <c r="I788">
        <v>1534</v>
      </c>
      <c r="J788">
        <v>255.28</v>
      </c>
      <c r="K788">
        <v>159.41999999999999</v>
      </c>
      <c r="L788">
        <v>391599.52</v>
      </c>
      <c r="M788">
        <v>244550.28</v>
      </c>
      <c r="N788">
        <v>147049.24</v>
      </c>
    </row>
    <row r="789" spans="1:14" x14ac:dyDescent="0.3">
      <c r="A789" t="s">
        <v>14</v>
      </c>
      <c r="B789" t="s">
        <v>40</v>
      </c>
      <c r="C789" t="s">
        <v>75</v>
      </c>
      <c r="D789" t="s">
        <v>17</v>
      </c>
      <c r="E789" t="s">
        <v>18</v>
      </c>
      <c r="F789" t="s">
        <v>1301</v>
      </c>
      <c r="G789">
        <v>614597785</v>
      </c>
      <c r="H789" t="s">
        <v>921</v>
      </c>
      <c r="I789">
        <v>1997</v>
      </c>
      <c r="J789">
        <v>437.2</v>
      </c>
      <c r="K789">
        <v>263.33</v>
      </c>
      <c r="L789">
        <v>873088.4</v>
      </c>
      <c r="M789">
        <v>525870.01</v>
      </c>
      <c r="N789">
        <v>347218.39</v>
      </c>
    </row>
    <row r="790" spans="1:14" x14ac:dyDescent="0.3">
      <c r="A790" t="s">
        <v>14</v>
      </c>
      <c r="B790" t="s">
        <v>169</v>
      </c>
      <c r="C790" t="s">
        <v>102</v>
      </c>
      <c r="D790" t="s">
        <v>17</v>
      </c>
      <c r="E790" t="s">
        <v>54</v>
      </c>
      <c r="F790" t="s">
        <v>1302</v>
      </c>
      <c r="G790">
        <v>861976850</v>
      </c>
      <c r="H790" t="s">
        <v>1303</v>
      </c>
      <c r="I790">
        <v>6960</v>
      </c>
      <c r="J790">
        <v>81.73</v>
      </c>
      <c r="K790">
        <v>56.67</v>
      </c>
      <c r="L790">
        <v>568840.80000000005</v>
      </c>
      <c r="M790">
        <v>394423.2</v>
      </c>
      <c r="N790">
        <v>174417.6</v>
      </c>
    </row>
    <row r="791" spans="1:14" x14ac:dyDescent="0.3">
      <c r="A791" t="s">
        <v>14</v>
      </c>
      <c r="B791" t="s">
        <v>15</v>
      </c>
      <c r="C791" t="s">
        <v>22</v>
      </c>
      <c r="D791" t="s">
        <v>17</v>
      </c>
      <c r="E791" t="s">
        <v>33</v>
      </c>
      <c r="F791" t="s">
        <v>1304</v>
      </c>
      <c r="G791">
        <v>631463515</v>
      </c>
      <c r="H791" t="s">
        <v>1305</v>
      </c>
      <c r="I791">
        <v>2942</v>
      </c>
      <c r="J791">
        <v>109.28</v>
      </c>
      <c r="K791">
        <v>35.840000000000003</v>
      </c>
      <c r="L791">
        <v>321501.76</v>
      </c>
      <c r="M791">
        <v>105441.28</v>
      </c>
      <c r="N791">
        <v>216060.48</v>
      </c>
    </row>
    <row r="792" spans="1:14" x14ac:dyDescent="0.3">
      <c r="A792" t="s">
        <v>14</v>
      </c>
      <c r="B792" t="s">
        <v>146</v>
      </c>
      <c r="C792" t="s">
        <v>37</v>
      </c>
      <c r="D792" t="s">
        <v>23</v>
      </c>
      <c r="E792" t="s">
        <v>24</v>
      </c>
      <c r="F792" t="s">
        <v>1306</v>
      </c>
      <c r="G792">
        <v>307305467</v>
      </c>
      <c r="H792" t="s">
        <v>1307</v>
      </c>
      <c r="I792">
        <v>7371</v>
      </c>
      <c r="J792">
        <v>9.33</v>
      </c>
      <c r="K792">
        <v>6.92</v>
      </c>
      <c r="L792">
        <v>68771.429999999993</v>
      </c>
      <c r="M792">
        <v>51007.32</v>
      </c>
      <c r="N792">
        <v>17764.11</v>
      </c>
    </row>
    <row r="793" spans="1:14" x14ac:dyDescent="0.3">
      <c r="A793" t="s">
        <v>14</v>
      </c>
      <c r="B793" t="s">
        <v>105</v>
      </c>
      <c r="C793" t="s">
        <v>28</v>
      </c>
      <c r="D793" t="s">
        <v>17</v>
      </c>
      <c r="E793" t="s">
        <v>54</v>
      </c>
      <c r="F793" t="s">
        <v>523</v>
      </c>
      <c r="G793">
        <v>392676532</v>
      </c>
      <c r="H793" t="s">
        <v>320</v>
      </c>
      <c r="I793">
        <v>567</v>
      </c>
      <c r="J793">
        <v>205.7</v>
      </c>
      <c r="K793">
        <v>117.11</v>
      </c>
      <c r="L793">
        <v>116631.9</v>
      </c>
      <c r="M793">
        <v>66401.37</v>
      </c>
      <c r="N793">
        <v>50230.53</v>
      </c>
    </row>
    <row r="794" spans="1:14" x14ac:dyDescent="0.3">
      <c r="A794" t="s">
        <v>14</v>
      </c>
      <c r="B794" t="s">
        <v>45</v>
      </c>
      <c r="C794" t="s">
        <v>64</v>
      </c>
      <c r="D794" t="s">
        <v>23</v>
      </c>
      <c r="E794" t="s">
        <v>33</v>
      </c>
      <c r="F794" t="s">
        <v>435</v>
      </c>
      <c r="G794">
        <v>111063039</v>
      </c>
      <c r="H794" t="s">
        <v>1308</v>
      </c>
      <c r="I794">
        <v>4876</v>
      </c>
      <c r="J794">
        <v>255.28</v>
      </c>
      <c r="K794">
        <v>159.41999999999999</v>
      </c>
      <c r="L794">
        <v>1244745.28</v>
      </c>
      <c r="M794">
        <v>777331.92</v>
      </c>
      <c r="N794">
        <v>467413.36</v>
      </c>
    </row>
    <row r="795" spans="1:14" x14ac:dyDescent="0.3">
      <c r="A795" t="s">
        <v>14</v>
      </c>
      <c r="B795" t="s">
        <v>166</v>
      </c>
      <c r="C795" t="s">
        <v>16</v>
      </c>
      <c r="D795" t="s">
        <v>23</v>
      </c>
      <c r="E795" t="s">
        <v>24</v>
      </c>
      <c r="F795" t="s">
        <v>1309</v>
      </c>
      <c r="G795">
        <v>556263816</v>
      </c>
      <c r="H795" t="s">
        <v>782</v>
      </c>
      <c r="I795">
        <v>9679</v>
      </c>
      <c r="J795">
        <v>47.45</v>
      </c>
      <c r="K795">
        <v>31.79</v>
      </c>
      <c r="L795">
        <v>459268.55</v>
      </c>
      <c r="M795">
        <v>307695.40999999997</v>
      </c>
      <c r="N795">
        <v>151573.14000000001</v>
      </c>
    </row>
    <row r="796" spans="1:14" x14ac:dyDescent="0.3">
      <c r="A796" t="s">
        <v>14</v>
      </c>
      <c r="B796" t="s">
        <v>183</v>
      </c>
      <c r="C796" t="s">
        <v>16</v>
      </c>
      <c r="D796" t="s">
        <v>23</v>
      </c>
      <c r="E796" t="s">
        <v>24</v>
      </c>
      <c r="F796" t="s">
        <v>1303</v>
      </c>
      <c r="G796">
        <v>642123687</v>
      </c>
      <c r="H796" t="s">
        <v>1310</v>
      </c>
      <c r="I796">
        <v>7523</v>
      </c>
      <c r="J796">
        <v>47.45</v>
      </c>
      <c r="K796">
        <v>31.79</v>
      </c>
      <c r="L796">
        <v>356966.35</v>
      </c>
      <c r="M796">
        <v>239156.17</v>
      </c>
      <c r="N796">
        <v>117810.18</v>
      </c>
    </row>
    <row r="797" spans="1:14" x14ac:dyDescent="0.3">
      <c r="A797" t="s">
        <v>14</v>
      </c>
      <c r="B797" t="s">
        <v>15</v>
      </c>
      <c r="C797" t="s">
        <v>16</v>
      </c>
      <c r="D797" t="s">
        <v>23</v>
      </c>
      <c r="E797" t="s">
        <v>24</v>
      </c>
      <c r="F797" t="s">
        <v>133</v>
      </c>
      <c r="G797">
        <v>242168128</v>
      </c>
      <c r="H797" t="s">
        <v>1311</v>
      </c>
      <c r="I797">
        <v>1785</v>
      </c>
      <c r="J797">
        <v>47.45</v>
      </c>
      <c r="K797">
        <v>31.79</v>
      </c>
      <c r="L797">
        <v>84698.25</v>
      </c>
      <c r="M797">
        <v>56745.15</v>
      </c>
      <c r="N797">
        <v>27953.1</v>
      </c>
    </row>
    <row r="798" spans="1:14" x14ac:dyDescent="0.3">
      <c r="A798" t="s">
        <v>14</v>
      </c>
      <c r="B798" t="s">
        <v>232</v>
      </c>
      <c r="C798" t="s">
        <v>16</v>
      </c>
      <c r="D798" t="s">
        <v>17</v>
      </c>
      <c r="E798" t="s">
        <v>54</v>
      </c>
      <c r="F798" t="s">
        <v>125</v>
      </c>
      <c r="G798">
        <v>192236125</v>
      </c>
      <c r="H798" t="s">
        <v>217</v>
      </c>
      <c r="I798">
        <v>5796</v>
      </c>
      <c r="J798">
        <v>47.45</v>
      </c>
      <c r="K798">
        <v>31.79</v>
      </c>
      <c r="L798">
        <v>275020.2</v>
      </c>
      <c r="M798">
        <v>184254.84</v>
      </c>
      <c r="N798">
        <v>90765.36</v>
      </c>
    </row>
    <row r="799" spans="1:14" x14ac:dyDescent="0.3">
      <c r="A799" t="s">
        <v>14</v>
      </c>
      <c r="B799" t="s">
        <v>183</v>
      </c>
      <c r="C799" t="s">
        <v>58</v>
      </c>
      <c r="D799" t="s">
        <v>23</v>
      </c>
      <c r="E799" t="s">
        <v>33</v>
      </c>
      <c r="F799" t="s">
        <v>1312</v>
      </c>
      <c r="G799">
        <v>957926118</v>
      </c>
      <c r="H799" t="s">
        <v>1313</v>
      </c>
      <c r="I799">
        <v>480</v>
      </c>
      <c r="J799">
        <v>152.58000000000001</v>
      </c>
      <c r="K799">
        <v>97.44</v>
      </c>
      <c r="L799">
        <v>73238.399999999994</v>
      </c>
      <c r="M799">
        <v>46771.199999999997</v>
      </c>
      <c r="N799">
        <v>26467.200000000001</v>
      </c>
    </row>
    <row r="800" spans="1:14" x14ac:dyDescent="0.3">
      <c r="A800" t="s">
        <v>14</v>
      </c>
      <c r="B800" t="s">
        <v>27</v>
      </c>
      <c r="C800" t="s">
        <v>16</v>
      </c>
      <c r="D800" t="s">
        <v>23</v>
      </c>
      <c r="E800" t="s">
        <v>54</v>
      </c>
      <c r="F800" t="s">
        <v>1314</v>
      </c>
      <c r="G800">
        <v>646691596</v>
      </c>
      <c r="H800" t="s">
        <v>806</v>
      </c>
      <c r="I800">
        <v>9269</v>
      </c>
      <c r="J800">
        <v>47.45</v>
      </c>
      <c r="K800">
        <v>31.79</v>
      </c>
      <c r="L800">
        <v>439814.05</v>
      </c>
      <c r="M800">
        <v>294661.51</v>
      </c>
      <c r="N800">
        <v>145152.54</v>
      </c>
    </row>
    <row r="801" spans="1:14" x14ac:dyDescent="0.3">
      <c r="A801" t="s">
        <v>14</v>
      </c>
      <c r="B801" t="s">
        <v>74</v>
      </c>
      <c r="C801" t="s">
        <v>32</v>
      </c>
      <c r="D801" t="s">
        <v>17</v>
      </c>
      <c r="E801" t="s">
        <v>54</v>
      </c>
      <c r="F801" t="s">
        <v>1315</v>
      </c>
      <c r="G801">
        <v>115363156</v>
      </c>
      <c r="H801" t="s">
        <v>693</v>
      </c>
      <c r="I801">
        <v>7376</v>
      </c>
      <c r="J801">
        <v>651.21</v>
      </c>
      <c r="K801">
        <v>524.96</v>
      </c>
      <c r="L801">
        <v>4803324.96</v>
      </c>
      <c r="M801">
        <v>3872104.96</v>
      </c>
      <c r="N801">
        <v>931220</v>
      </c>
    </row>
    <row r="802" spans="1:14" x14ac:dyDescent="0.3">
      <c r="A802" t="s">
        <v>14</v>
      </c>
      <c r="B802" t="s">
        <v>257</v>
      </c>
      <c r="C802" t="s">
        <v>71</v>
      </c>
      <c r="D802" t="s">
        <v>17</v>
      </c>
      <c r="E802" t="s">
        <v>33</v>
      </c>
      <c r="F802" t="s">
        <v>1316</v>
      </c>
      <c r="G802">
        <v>922564303</v>
      </c>
      <c r="H802" t="s">
        <v>1317</v>
      </c>
      <c r="I802">
        <v>6134</v>
      </c>
      <c r="J802">
        <v>668.27</v>
      </c>
      <c r="K802">
        <v>502.54</v>
      </c>
      <c r="L802">
        <v>4099168.18</v>
      </c>
      <c r="M802">
        <v>3082580.36</v>
      </c>
      <c r="N802">
        <v>1016587.82</v>
      </c>
    </row>
    <row r="803" spans="1:14" x14ac:dyDescent="0.3">
      <c r="A803" t="s">
        <v>14</v>
      </c>
      <c r="B803" t="s">
        <v>31</v>
      </c>
      <c r="C803" t="s">
        <v>28</v>
      </c>
      <c r="D803" t="s">
        <v>17</v>
      </c>
      <c r="E803" t="s">
        <v>54</v>
      </c>
      <c r="F803" t="s">
        <v>250</v>
      </c>
      <c r="G803">
        <v>928168189</v>
      </c>
      <c r="H803" t="s">
        <v>1203</v>
      </c>
      <c r="I803">
        <v>4448</v>
      </c>
      <c r="J803">
        <v>205.7</v>
      </c>
      <c r="K803">
        <v>117.11</v>
      </c>
      <c r="L803">
        <v>914953.6</v>
      </c>
      <c r="M803">
        <v>520905.28</v>
      </c>
      <c r="N803">
        <v>394048.32</v>
      </c>
    </row>
    <row r="804" spans="1:14" x14ac:dyDescent="0.3">
      <c r="A804" t="s">
        <v>14</v>
      </c>
      <c r="B804" t="s">
        <v>110</v>
      </c>
      <c r="C804" t="s">
        <v>46</v>
      </c>
      <c r="D804" t="s">
        <v>23</v>
      </c>
      <c r="E804" t="s">
        <v>33</v>
      </c>
      <c r="F804" t="s">
        <v>1318</v>
      </c>
      <c r="G804">
        <v>346498763</v>
      </c>
      <c r="H804" t="s">
        <v>1319</v>
      </c>
      <c r="I804">
        <v>5539</v>
      </c>
      <c r="J804">
        <v>154.06</v>
      </c>
      <c r="K804">
        <v>90.93</v>
      </c>
      <c r="L804">
        <v>853338.34</v>
      </c>
      <c r="M804">
        <v>503661.27</v>
      </c>
      <c r="N804">
        <v>349677.07</v>
      </c>
    </row>
    <row r="805" spans="1:14" x14ac:dyDescent="0.3">
      <c r="A805" t="s">
        <v>14</v>
      </c>
      <c r="B805" t="s">
        <v>83</v>
      </c>
      <c r="C805" t="s">
        <v>16</v>
      </c>
      <c r="D805" t="s">
        <v>17</v>
      </c>
      <c r="E805" t="s">
        <v>54</v>
      </c>
      <c r="F805" t="s">
        <v>1320</v>
      </c>
      <c r="G805">
        <v>797316300</v>
      </c>
      <c r="H805" t="s">
        <v>1320</v>
      </c>
      <c r="I805">
        <v>2466</v>
      </c>
      <c r="J805">
        <v>47.45</v>
      </c>
      <c r="K805">
        <v>31.79</v>
      </c>
      <c r="L805">
        <v>117011.7</v>
      </c>
      <c r="M805">
        <v>78394.14</v>
      </c>
      <c r="N805">
        <v>38617.56</v>
      </c>
    </row>
    <row r="806" spans="1:14" x14ac:dyDescent="0.3">
      <c r="A806" t="s">
        <v>14</v>
      </c>
      <c r="B806" t="s">
        <v>271</v>
      </c>
      <c r="C806" t="s">
        <v>64</v>
      </c>
      <c r="D806" t="s">
        <v>23</v>
      </c>
      <c r="E806" t="s">
        <v>54</v>
      </c>
      <c r="F806" t="s">
        <v>1321</v>
      </c>
      <c r="G806">
        <v>497506701</v>
      </c>
      <c r="H806" t="s">
        <v>1253</v>
      </c>
      <c r="I806">
        <v>2144</v>
      </c>
      <c r="J806">
        <v>255.28</v>
      </c>
      <c r="K806">
        <v>159.41999999999999</v>
      </c>
      <c r="L806">
        <v>547320.31999999995</v>
      </c>
      <c r="M806">
        <v>341796.48</v>
      </c>
      <c r="N806">
        <v>205523.84</v>
      </c>
    </row>
    <row r="807" spans="1:14" x14ac:dyDescent="0.3">
      <c r="A807" t="s">
        <v>14</v>
      </c>
      <c r="B807" t="s">
        <v>220</v>
      </c>
      <c r="C807" t="s">
        <v>102</v>
      </c>
      <c r="D807" t="s">
        <v>23</v>
      </c>
      <c r="E807" t="s">
        <v>18</v>
      </c>
      <c r="F807" t="s">
        <v>1322</v>
      </c>
      <c r="G807">
        <v>245556294</v>
      </c>
      <c r="H807" t="s">
        <v>1323</v>
      </c>
      <c r="I807">
        <v>4419</v>
      </c>
      <c r="J807">
        <v>81.73</v>
      </c>
      <c r="K807">
        <v>56.67</v>
      </c>
      <c r="L807">
        <v>361164.87</v>
      </c>
      <c r="M807">
        <v>250424.73</v>
      </c>
      <c r="N807">
        <v>110740.14</v>
      </c>
    </row>
    <row r="808" spans="1:14" x14ac:dyDescent="0.3">
      <c r="A808" t="s">
        <v>14</v>
      </c>
      <c r="B808" t="s">
        <v>80</v>
      </c>
      <c r="C808" t="s">
        <v>102</v>
      </c>
      <c r="D808" t="s">
        <v>23</v>
      </c>
      <c r="E808" t="s">
        <v>33</v>
      </c>
      <c r="F808" t="s">
        <v>1251</v>
      </c>
      <c r="G808">
        <v>716411006</v>
      </c>
      <c r="H808" t="s">
        <v>750</v>
      </c>
      <c r="I808">
        <v>792</v>
      </c>
      <c r="J808">
        <v>81.73</v>
      </c>
      <c r="K808">
        <v>56.67</v>
      </c>
      <c r="L808">
        <v>64730.16</v>
      </c>
      <c r="M808">
        <v>44882.64</v>
      </c>
      <c r="N808">
        <v>19847.52</v>
      </c>
    </row>
    <row r="809" spans="1:14" x14ac:dyDescent="0.3">
      <c r="A809" t="s">
        <v>14</v>
      </c>
      <c r="B809" t="s">
        <v>92</v>
      </c>
      <c r="C809" t="s">
        <v>32</v>
      </c>
      <c r="D809" t="s">
        <v>23</v>
      </c>
      <c r="E809" t="s">
        <v>24</v>
      </c>
      <c r="F809" t="s">
        <v>1245</v>
      </c>
      <c r="G809">
        <v>186597907</v>
      </c>
      <c r="H809" t="s">
        <v>1324</v>
      </c>
      <c r="I809">
        <v>7322</v>
      </c>
      <c r="J809">
        <v>651.21</v>
      </c>
      <c r="K809">
        <v>524.96</v>
      </c>
      <c r="L809">
        <v>4768159.62</v>
      </c>
      <c r="M809">
        <v>3843757.12</v>
      </c>
      <c r="N809">
        <v>924402.5</v>
      </c>
    </row>
    <row r="810" spans="1:14" x14ac:dyDescent="0.3">
      <c r="A810" t="s">
        <v>14</v>
      </c>
      <c r="B810" t="s">
        <v>122</v>
      </c>
      <c r="C810" t="s">
        <v>46</v>
      </c>
      <c r="D810" t="s">
        <v>23</v>
      </c>
      <c r="E810" t="s">
        <v>33</v>
      </c>
      <c r="F810" t="s">
        <v>1325</v>
      </c>
      <c r="G810">
        <v>848737466</v>
      </c>
      <c r="H810" t="s">
        <v>1326</v>
      </c>
      <c r="I810">
        <v>9132</v>
      </c>
      <c r="J810">
        <v>154.06</v>
      </c>
      <c r="K810">
        <v>90.93</v>
      </c>
      <c r="L810">
        <v>1406875.92</v>
      </c>
      <c r="M810">
        <v>830372.76</v>
      </c>
      <c r="N810">
        <v>576503.16</v>
      </c>
    </row>
    <row r="811" spans="1:14" x14ac:dyDescent="0.3">
      <c r="A811" t="s">
        <v>14</v>
      </c>
      <c r="B811" t="s">
        <v>163</v>
      </c>
      <c r="C811" t="s">
        <v>32</v>
      </c>
      <c r="D811" t="s">
        <v>23</v>
      </c>
      <c r="E811" t="s">
        <v>54</v>
      </c>
      <c r="F811" t="s">
        <v>1327</v>
      </c>
      <c r="G811">
        <v>130754315</v>
      </c>
      <c r="H811" t="s">
        <v>489</v>
      </c>
      <c r="I811">
        <v>1962</v>
      </c>
      <c r="J811">
        <v>651.21</v>
      </c>
      <c r="K811">
        <v>524.96</v>
      </c>
      <c r="L811">
        <v>1277674.02</v>
      </c>
      <c r="M811">
        <v>1029971.52</v>
      </c>
      <c r="N811">
        <v>247702.5</v>
      </c>
    </row>
    <row r="812" spans="1:14" x14ac:dyDescent="0.3">
      <c r="A812" t="s">
        <v>14</v>
      </c>
      <c r="B812" t="s">
        <v>67</v>
      </c>
      <c r="C812" t="s">
        <v>32</v>
      </c>
      <c r="D812" t="s">
        <v>17</v>
      </c>
      <c r="E812" t="s">
        <v>24</v>
      </c>
      <c r="F812" t="s">
        <v>1328</v>
      </c>
      <c r="G812">
        <v>719293630</v>
      </c>
      <c r="H812" t="s">
        <v>186</v>
      </c>
      <c r="I812">
        <v>3824</v>
      </c>
      <c r="J812">
        <v>651.21</v>
      </c>
      <c r="K812">
        <v>524.96</v>
      </c>
      <c r="L812">
        <v>2490227.04</v>
      </c>
      <c r="M812">
        <v>2007447.04</v>
      </c>
      <c r="N812">
        <v>482780</v>
      </c>
    </row>
    <row r="813" spans="1:14" x14ac:dyDescent="0.3">
      <c r="A813" t="s">
        <v>14</v>
      </c>
      <c r="B813" t="s">
        <v>132</v>
      </c>
      <c r="C813" t="s">
        <v>32</v>
      </c>
      <c r="D813" t="s">
        <v>17</v>
      </c>
      <c r="E813" t="s">
        <v>18</v>
      </c>
      <c r="F813" t="s">
        <v>1329</v>
      </c>
      <c r="G813">
        <v>616775310</v>
      </c>
      <c r="H813" t="s">
        <v>1002</v>
      </c>
      <c r="I813">
        <v>6375</v>
      </c>
      <c r="J813">
        <v>651.21</v>
      </c>
      <c r="K813">
        <v>524.96</v>
      </c>
      <c r="L813">
        <v>4151463.75</v>
      </c>
      <c r="M813">
        <v>3346620</v>
      </c>
      <c r="N813">
        <v>804843.75</v>
      </c>
    </row>
    <row r="814" spans="1:14" x14ac:dyDescent="0.3">
      <c r="A814" t="s">
        <v>14</v>
      </c>
      <c r="B814" t="s">
        <v>53</v>
      </c>
      <c r="C814" t="s">
        <v>37</v>
      </c>
      <c r="D814" t="s">
        <v>17</v>
      </c>
      <c r="E814" t="s">
        <v>33</v>
      </c>
      <c r="F814" t="s">
        <v>170</v>
      </c>
      <c r="G814">
        <v>591287887</v>
      </c>
      <c r="H814" t="s">
        <v>1330</v>
      </c>
      <c r="I814">
        <v>4080</v>
      </c>
      <c r="J814">
        <v>9.33</v>
      </c>
      <c r="K814">
        <v>6.92</v>
      </c>
      <c r="L814">
        <v>38066.400000000001</v>
      </c>
      <c r="M814">
        <v>28233.599999999999</v>
      </c>
      <c r="N814">
        <v>9832.7999999999993</v>
      </c>
    </row>
    <row r="815" spans="1:14" x14ac:dyDescent="0.3">
      <c r="A815" t="s">
        <v>14</v>
      </c>
      <c r="B815" t="s">
        <v>185</v>
      </c>
      <c r="C815" t="s">
        <v>22</v>
      </c>
      <c r="D815" t="s">
        <v>23</v>
      </c>
      <c r="E815" t="s">
        <v>24</v>
      </c>
      <c r="F815" t="s">
        <v>1331</v>
      </c>
      <c r="G815">
        <v>334539973</v>
      </c>
      <c r="H815" t="s">
        <v>1332</v>
      </c>
      <c r="I815">
        <v>6667</v>
      </c>
      <c r="J815">
        <v>109.28</v>
      </c>
      <c r="K815">
        <v>35.840000000000003</v>
      </c>
      <c r="L815">
        <v>728569.76</v>
      </c>
      <c r="M815">
        <v>238945.28</v>
      </c>
      <c r="N815">
        <v>489624.48</v>
      </c>
    </row>
    <row r="816" spans="1:14" x14ac:dyDescent="0.3">
      <c r="A816" t="s">
        <v>14</v>
      </c>
      <c r="B816" t="s">
        <v>264</v>
      </c>
      <c r="C816" t="s">
        <v>58</v>
      </c>
      <c r="D816" t="s">
        <v>17</v>
      </c>
      <c r="E816" t="s">
        <v>18</v>
      </c>
      <c r="F816" t="s">
        <v>413</v>
      </c>
      <c r="G816">
        <v>403665006</v>
      </c>
      <c r="H816" t="s">
        <v>727</v>
      </c>
      <c r="I816">
        <v>2300</v>
      </c>
      <c r="J816">
        <v>152.58000000000001</v>
      </c>
      <c r="K816">
        <v>97.44</v>
      </c>
      <c r="L816">
        <v>350934</v>
      </c>
      <c r="M816">
        <v>224112</v>
      </c>
      <c r="N816">
        <v>126822</v>
      </c>
    </row>
    <row r="817" spans="1:14" x14ac:dyDescent="0.3">
      <c r="A817" t="s">
        <v>14</v>
      </c>
      <c r="B817" t="s">
        <v>89</v>
      </c>
      <c r="C817" t="s">
        <v>75</v>
      </c>
      <c r="D817" t="s">
        <v>17</v>
      </c>
      <c r="E817" t="s">
        <v>54</v>
      </c>
      <c r="F817" t="s">
        <v>1333</v>
      </c>
      <c r="G817">
        <v>892042911</v>
      </c>
      <c r="H817" t="s">
        <v>1334</v>
      </c>
      <c r="I817">
        <v>4175</v>
      </c>
      <c r="J817">
        <v>437.2</v>
      </c>
      <c r="K817">
        <v>263.33</v>
      </c>
      <c r="L817">
        <v>1825310</v>
      </c>
      <c r="M817">
        <v>1099402.75</v>
      </c>
      <c r="N817">
        <v>725907.25</v>
      </c>
    </row>
    <row r="818" spans="1:14" x14ac:dyDescent="0.3">
      <c r="A818" t="s">
        <v>14</v>
      </c>
      <c r="B818" t="s">
        <v>94</v>
      </c>
      <c r="C818" t="s">
        <v>71</v>
      </c>
      <c r="D818" t="s">
        <v>23</v>
      </c>
      <c r="E818" t="s">
        <v>18</v>
      </c>
      <c r="F818" t="s">
        <v>1335</v>
      </c>
      <c r="G818">
        <v>394356667</v>
      </c>
      <c r="H818" t="s">
        <v>1336</v>
      </c>
      <c r="I818">
        <v>7756</v>
      </c>
      <c r="J818">
        <v>668.27</v>
      </c>
      <c r="K818">
        <v>502.54</v>
      </c>
      <c r="L818">
        <v>5183102.12</v>
      </c>
      <c r="M818">
        <v>3897700.24</v>
      </c>
      <c r="N818">
        <v>1285401.8799999999</v>
      </c>
    </row>
    <row r="819" spans="1:14" x14ac:dyDescent="0.3">
      <c r="A819" t="s">
        <v>14</v>
      </c>
      <c r="B819" t="s">
        <v>115</v>
      </c>
      <c r="C819" t="s">
        <v>37</v>
      </c>
      <c r="D819" t="s">
        <v>17</v>
      </c>
      <c r="E819" t="s">
        <v>24</v>
      </c>
      <c r="F819" t="s">
        <v>1007</v>
      </c>
      <c r="G819">
        <v>752792918</v>
      </c>
      <c r="H819" t="s">
        <v>1337</v>
      </c>
      <c r="I819">
        <v>7008</v>
      </c>
      <c r="J819">
        <v>9.33</v>
      </c>
      <c r="K819">
        <v>6.92</v>
      </c>
      <c r="L819">
        <v>65384.639999999999</v>
      </c>
      <c r="M819">
        <v>48495.360000000001</v>
      </c>
      <c r="N819">
        <v>16889.28</v>
      </c>
    </row>
    <row r="820" spans="1:14" x14ac:dyDescent="0.3">
      <c r="A820" t="s">
        <v>14</v>
      </c>
      <c r="B820" t="s">
        <v>21</v>
      </c>
      <c r="C820" t="s">
        <v>46</v>
      </c>
      <c r="D820" t="s">
        <v>23</v>
      </c>
      <c r="E820" t="s">
        <v>18</v>
      </c>
      <c r="F820" t="s">
        <v>194</v>
      </c>
      <c r="G820">
        <v>760619390</v>
      </c>
      <c r="H820" t="s">
        <v>1338</v>
      </c>
      <c r="I820">
        <v>3035</v>
      </c>
      <c r="J820">
        <v>154.06</v>
      </c>
      <c r="K820">
        <v>90.93</v>
      </c>
      <c r="L820">
        <v>467572.1</v>
      </c>
      <c r="M820">
        <v>275972.55</v>
      </c>
      <c r="N820">
        <v>191599.55</v>
      </c>
    </row>
    <row r="821" spans="1:14" x14ac:dyDescent="0.3">
      <c r="A821" t="s">
        <v>14</v>
      </c>
      <c r="B821" t="s">
        <v>74</v>
      </c>
      <c r="C821" t="s">
        <v>16</v>
      </c>
      <c r="D821" t="s">
        <v>23</v>
      </c>
      <c r="E821" t="s">
        <v>24</v>
      </c>
      <c r="F821" t="s">
        <v>287</v>
      </c>
      <c r="G821">
        <v>343889510</v>
      </c>
      <c r="H821" t="s">
        <v>1339</v>
      </c>
      <c r="I821">
        <v>3403</v>
      </c>
      <c r="J821">
        <v>47.45</v>
      </c>
      <c r="K821">
        <v>31.79</v>
      </c>
      <c r="L821">
        <v>161472.35</v>
      </c>
      <c r="M821">
        <v>108181.37</v>
      </c>
      <c r="N821">
        <v>53290.98</v>
      </c>
    </row>
    <row r="822" spans="1:14" x14ac:dyDescent="0.3">
      <c r="A822" t="s">
        <v>14</v>
      </c>
      <c r="B822" t="s">
        <v>100</v>
      </c>
      <c r="C822" t="s">
        <v>64</v>
      </c>
      <c r="D822" t="s">
        <v>17</v>
      </c>
      <c r="E822" t="s">
        <v>33</v>
      </c>
      <c r="F822" t="s">
        <v>338</v>
      </c>
      <c r="G822">
        <v>398104035</v>
      </c>
      <c r="H822" t="s">
        <v>799</v>
      </c>
      <c r="I822">
        <v>6686</v>
      </c>
      <c r="J822">
        <v>255.28</v>
      </c>
      <c r="K822">
        <v>159.41999999999999</v>
      </c>
      <c r="L822">
        <v>1706802.08</v>
      </c>
      <c r="M822">
        <v>1065882.1200000001</v>
      </c>
      <c r="N822">
        <v>640919.96</v>
      </c>
    </row>
    <row r="823" spans="1:14" x14ac:dyDescent="0.3">
      <c r="A823" t="s">
        <v>14</v>
      </c>
      <c r="B823" t="s">
        <v>97</v>
      </c>
      <c r="C823" t="s">
        <v>50</v>
      </c>
      <c r="D823" t="s">
        <v>17</v>
      </c>
      <c r="E823" t="s">
        <v>24</v>
      </c>
      <c r="F823" t="s">
        <v>1340</v>
      </c>
      <c r="G823">
        <v>631460940</v>
      </c>
      <c r="H823" t="s">
        <v>1341</v>
      </c>
      <c r="I823">
        <v>2180</v>
      </c>
      <c r="J823">
        <v>421.89</v>
      </c>
      <c r="K823">
        <v>364.69</v>
      </c>
      <c r="L823">
        <v>919720.2</v>
      </c>
      <c r="M823">
        <v>795024.2</v>
      </c>
      <c r="N823">
        <v>124696</v>
      </c>
    </row>
    <row r="824" spans="1:14" x14ac:dyDescent="0.3">
      <c r="A824" t="s">
        <v>14</v>
      </c>
      <c r="B824" t="s">
        <v>146</v>
      </c>
      <c r="C824" t="s">
        <v>58</v>
      </c>
      <c r="D824" t="s">
        <v>17</v>
      </c>
      <c r="E824" t="s">
        <v>24</v>
      </c>
      <c r="F824" t="s">
        <v>1342</v>
      </c>
      <c r="G824">
        <v>489848029</v>
      </c>
      <c r="H824" t="s">
        <v>319</v>
      </c>
      <c r="I824">
        <v>5772</v>
      </c>
      <c r="J824">
        <v>152.58000000000001</v>
      </c>
      <c r="K824">
        <v>97.44</v>
      </c>
      <c r="L824">
        <v>880691.76</v>
      </c>
      <c r="M824">
        <v>562423.68000000005</v>
      </c>
      <c r="N824">
        <v>318268.08</v>
      </c>
    </row>
    <row r="825" spans="1:14" x14ac:dyDescent="0.3">
      <c r="A825" t="s">
        <v>14</v>
      </c>
      <c r="B825" t="s">
        <v>257</v>
      </c>
      <c r="C825" t="s">
        <v>32</v>
      </c>
      <c r="D825" t="s">
        <v>23</v>
      </c>
      <c r="E825" t="s">
        <v>33</v>
      </c>
      <c r="F825" t="s">
        <v>1343</v>
      </c>
      <c r="G825">
        <v>797788369</v>
      </c>
      <c r="H825" t="s">
        <v>900</v>
      </c>
      <c r="I825">
        <v>2162</v>
      </c>
      <c r="J825">
        <v>651.21</v>
      </c>
      <c r="K825">
        <v>524.96</v>
      </c>
      <c r="L825">
        <v>1407916.02</v>
      </c>
      <c r="M825">
        <v>1134963.52</v>
      </c>
      <c r="N825">
        <v>272952.5</v>
      </c>
    </row>
    <row r="826" spans="1:14" x14ac:dyDescent="0.3">
      <c r="A826" t="s">
        <v>14</v>
      </c>
      <c r="B826" t="s">
        <v>94</v>
      </c>
      <c r="C826" t="s">
        <v>102</v>
      </c>
      <c r="D826" t="s">
        <v>23</v>
      </c>
      <c r="E826" t="s">
        <v>18</v>
      </c>
      <c r="F826" t="s">
        <v>1344</v>
      </c>
      <c r="G826">
        <v>430687510</v>
      </c>
      <c r="H826" t="s">
        <v>854</v>
      </c>
      <c r="I826">
        <v>8860</v>
      </c>
      <c r="J826">
        <v>81.73</v>
      </c>
      <c r="K826">
        <v>56.67</v>
      </c>
      <c r="L826">
        <v>724127.8</v>
      </c>
      <c r="M826">
        <v>502096.2</v>
      </c>
      <c r="N826">
        <v>222031.6</v>
      </c>
    </row>
    <row r="827" spans="1:14" x14ac:dyDescent="0.3">
      <c r="A827" t="s">
        <v>14</v>
      </c>
      <c r="B827" t="s">
        <v>86</v>
      </c>
      <c r="C827" t="s">
        <v>102</v>
      </c>
      <c r="D827" t="s">
        <v>23</v>
      </c>
      <c r="E827" t="s">
        <v>54</v>
      </c>
      <c r="F827" t="s">
        <v>1345</v>
      </c>
      <c r="G827">
        <v>667054498</v>
      </c>
      <c r="H827" t="s">
        <v>1346</v>
      </c>
      <c r="I827">
        <v>5104</v>
      </c>
      <c r="J827">
        <v>81.73</v>
      </c>
      <c r="K827">
        <v>56.67</v>
      </c>
      <c r="L827">
        <v>417149.92</v>
      </c>
      <c r="M827">
        <v>289243.68</v>
      </c>
      <c r="N827">
        <v>127906.24000000001</v>
      </c>
    </row>
    <row r="828" spans="1:14" x14ac:dyDescent="0.3">
      <c r="A828" t="s">
        <v>14</v>
      </c>
      <c r="B828" t="s">
        <v>127</v>
      </c>
      <c r="C828" t="s">
        <v>28</v>
      </c>
      <c r="D828" t="s">
        <v>23</v>
      </c>
      <c r="E828" t="s">
        <v>54</v>
      </c>
      <c r="F828" t="s">
        <v>1106</v>
      </c>
      <c r="G828">
        <v>666921460</v>
      </c>
      <c r="H828" t="s">
        <v>1347</v>
      </c>
      <c r="I828">
        <v>5735</v>
      </c>
      <c r="J828">
        <v>205.7</v>
      </c>
      <c r="K828">
        <v>117.11</v>
      </c>
      <c r="L828">
        <v>1179689.5</v>
      </c>
      <c r="M828">
        <v>671625.85</v>
      </c>
      <c r="N828">
        <v>508063.65</v>
      </c>
    </row>
    <row r="829" spans="1:14" x14ac:dyDescent="0.3">
      <c r="A829" t="s">
        <v>14</v>
      </c>
      <c r="B829" t="s">
        <v>27</v>
      </c>
      <c r="C829" t="s">
        <v>32</v>
      </c>
      <c r="D829" t="s">
        <v>23</v>
      </c>
      <c r="E829" t="s">
        <v>33</v>
      </c>
      <c r="F829" t="s">
        <v>1348</v>
      </c>
      <c r="G829">
        <v>861252868</v>
      </c>
      <c r="H829" t="s">
        <v>1349</v>
      </c>
      <c r="I829">
        <v>2717</v>
      </c>
      <c r="J829">
        <v>651.21</v>
      </c>
      <c r="K829">
        <v>524.96</v>
      </c>
      <c r="L829">
        <v>1769337.57</v>
      </c>
      <c r="M829">
        <v>1426316.32</v>
      </c>
      <c r="N829">
        <v>343021.25</v>
      </c>
    </row>
    <row r="830" spans="1:14" x14ac:dyDescent="0.3">
      <c r="A830" t="s">
        <v>14</v>
      </c>
      <c r="B830" t="s">
        <v>257</v>
      </c>
      <c r="C830" t="s">
        <v>64</v>
      </c>
      <c r="D830" t="s">
        <v>23</v>
      </c>
      <c r="E830" t="s">
        <v>18</v>
      </c>
      <c r="F830" t="s">
        <v>768</v>
      </c>
      <c r="G830">
        <v>126948583</v>
      </c>
      <c r="H830" t="s">
        <v>1350</v>
      </c>
      <c r="I830">
        <v>5762</v>
      </c>
      <c r="J830">
        <v>255.28</v>
      </c>
      <c r="K830">
        <v>159.41999999999999</v>
      </c>
      <c r="L830">
        <v>1470923.36</v>
      </c>
      <c r="M830">
        <v>918578.04</v>
      </c>
      <c r="N830">
        <v>552345.31999999995</v>
      </c>
    </row>
    <row r="831" spans="1:14" x14ac:dyDescent="0.3">
      <c r="A831" t="s">
        <v>14</v>
      </c>
      <c r="B831" t="s">
        <v>36</v>
      </c>
      <c r="C831" t="s">
        <v>22</v>
      </c>
      <c r="D831" t="s">
        <v>17</v>
      </c>
      <c r="E831" t="s">
        <v>54</v>
      </c>
      <c r="F831" t="s">
        <v>1351</v>
      </c>
      <c r="G831">
        <v>353191840</v>
      </c>
      <c r="H831" t="s">
        <v>796</v>
      </c>
      <c r="I831">
        <v>6169</v>
      </c>
      <c r="J831">
        <v>109.28</v>
      </c>
      <c r="K831">
        <v>35.840000000000003</v>
      </c>
      <c r="L831">
        <v>674148.32</v>
      </c>
      <c r="M831">
        <v>221096.95999999999</v>
      </c>
      <c r="N831">
        <v>453051.36</v>
      </c>
    </row>
    <row r="832" spans="1:14" x14ac:dyDescent="0.3">
      <c r="A832" t="s">
        <v>14</v>
      </c>
      <c r="B832" t="s">
        <v>57</v>
      </c>
      <c r="C832" t="s">
        <v>46</v>
      </c>
      <c r="D832" t="s">
        <v>23</v>
      </c>
      <c r="E832" t="s">
        <v>33</v>
      </c>
      <c r="F832" t="s">
        <v>632</v>
      </c>
      <c r="G832">
        <v>259032571</v>
      </c>
      <c r="H832" t="s">
        <v>1352</v>
      </c>
      <c r="I832">
        <v>2349</v>
      </c>
      <c r="J832">
        <v>154.06</v>
      </c>
      <c r="K832">
        <v>90.93</v>
      </c>
      <c r="L832">
        <v>361886.94</v>
      </c>
      <c r="M832">
        <v>213594.57</v>
      </c>
      <c r="N832">
        <v>148292.37</v>
      </c>
    </row>
    <row r="833" spans="1:14" x14ac:dyDescent="0.3">
      <c r="A833" t="s">
        <v>14</v>
      </c>
      <c r="B833" t="s">
        <v>364</v>
      </c>
      <c r="C833" t="s">
        <v>50</v>
      </c>
      <c r="D833" t="s">
        <v>17</v>
      </c>
      <c r="E833" t="s">
        <v>33</v>
      </c>
      <c r="F833" t="s">
        <v>677</v>
      </c>
      <c r="G833">
        <v>517514264</v>
      </c>
      <c r="H833" t="s">
        <v>1074</v>
      </c>
      <c r="I833">
        <v>2826</v>
      </c>
      <c r="J833">
        <v>421.89</v>
      </c>
      <c r="K833">
        <v>364.69</v>
      </c>
      <c r="L833">
        <v>1192261.1399999999</v>
      </c>
      <c r="M833">
        <v>1030613.94</v>
      </c>
      <c r="N833">
        <v>161647.20000000001</v>
      </c>
    </row>
    <row r="834" spans="1:14" x14ac:dyDescent="0.3">
      <c r="A834" t="s">
        <v>14</v>
      </c>
      <c r="B834" t="s">
        <v>94</v>
      </c>
      <c r="C834" t="s">
        <v>75</v>
      </c>
      <c r="D834" t="s">
        <v>17</v>
      </c>
      <c r="E834" t="s">
        <v>54</v>
      </c>
      <c r="F834" t="s">
        <v>1353</v>
      </c>
      <c r="G834">
        <v>624940383</v>
      </c>
      <c r="H834" t="s">
        <v>1354</v>
      </c>
      <c r="I834">
        <v>2602</v>
      </c>
      <c r="J834">
        <v>437.2</v>
      </c>
      <c r="K834">
        <v>263.33</v>
      </c>
      <c r="L834">
        <v>1137594.3999999999</v>
      </c>
      <c r="M834">
        <v>685184.66</v>
      </c>
      <c r="N834">
        <v>452409.74</v>
      </c>
    </row>
    <row r="835" spans="1:14" x14ac:dyDescent="0.3">
      <c r="A835" t="s">
        <v>14</v>
      </c>
      <c r="B835" t="s">
        <v>100</v>
      </c>
      <c r="C835" t="s">
        <v>75</v>
      </c>
      <c r="D835" t="s">
        <v>23</v>
      </c>
      <c r="E835" t="s">
        <v>18</v>
      </c>
      <c r="F835" t="s">
        <v>499</v>
      </c>
      <c r="G835">
        <v>567751824</v>
      </c>
      <c r="H835" t="s">
        <v>345</v>
      </c>
      <c r="I835">
        <v>9236</v>
      </c>
      <c r="J835">
        <v>437.2</v>
      </c>
      <c r="K835">
        <v>263.33</v>
      </c>
      <c r="L835">
        <v>4037979.2</v>
      </c>
      <c r="M835">
        <v>2432115.88</v>
      </c>
      <c r="N835">
        <v>1605863.32</v>
      </c>
    </row>
    <row r="836" spans="1:14" x14ac:dyDescent="0.3">
      <c r="A836" t="s">
        <v>14</v>
      </c>
      <c r="B836" t="s">
        <v>166</v>
      </c>
      <c r="C836" t="s">
        <v>37</v>
      </c>
      <c r="D836" t="s">
        <v>17</v>
      </c>
      <c r="E836" t="s">
        <v>54</v>
      </c>
      <c r="F836" t="s">
        <v>1355</v>
      </c>
      <c r="G836">
        <v>262177836</v>
      </c>
      <c r="H836" t="s">
        <v>1356</v>
      </c>
      <c r="I836">
        <v>3103</v>
      </c>
      <c r="J836">
        <v>9.33</v>
      </c>
      <c r="K836">
        <v>6.92</v>
      </c>
      <c r="L836">
        <v>28950.99</v>
      </c>
      <c r="M836">
        <v>21472.76</v>
      </c>
      <c r="N836">
        <v>7478.23</v>
      </c>
    </row>
    <row r="837" spans="1:14" x14ac:dyDescent="0.3">
      <c r="A837" t="s">
        <v>14</v>
      </c>
      <c r="B837" t="s">
        <v>232</v>
      </c>
      <c r="C837" t="s">
        <v>71</v>
      </c>
      <c r="D837" t="s">
        <v>23</v>
      </c>
      <c r="E837" t="s">
        <v>33</v>
      </c>
      <c r="F837" t="s">
        <v>1357</v>
      </c>
      <c r="G837">
        <v>582560193</v>
      </c>
      <c r="H837" t="s">
        <v>1358</v>
      </c>
      <c r="I837">
        <v>1362</v>
      </c>
      <c r="J837">
        <v>668.27</v>
      </c>
      <c r="K837">
        <v>502.54</v>
      </c>
      <c r="L837">
        <v>910183.74</v>
      </c>
      <c r="M837">
        <v>684459.48</v>
      </c>
      <c r="N837">
        <v>225724.26</v>
      </c>
    </row>
    <row r="838" spans="1:14" x14ac:dyDescent="0.3">
      <c r="A838" t="s">
        <v>14</v>
      </c>
      <c r="B838" t="s">
        <v>132</v>
      </c>
      <c r="C838" t="s">
        <v>46</v>
      </c>
      <c r="D838" t="s">
        <v>23</v>
      </c>
      <c r="E838" t="s">
        <v>54</v>
      </c>
      <c r="F838" t="s">
        <v>1359</v>
      </c>
      <c r="G838">
        <v>139949357</v>
      </c>
      <c r="H838" t="s">
        <v>583</v>
      </c>
      <c r="I838">
        <v>2980</v>
      </c>
      <c r="J838">
        <v>154.06</v>
      </c>
      <c r="K838">
        <v>90.93</v>
      </c>
      <c r="L838">
        <v>459098.8</v>
      </c>
      <c r="M838">
        <v>270971.40000000002</v>
      </c>
      <c r="N838">
        <v>188127.4</v>
      </c>
    </row>
    <row r="839" spans="1:14" x14ac:dyDescent="0.3">
      <c r="A839" t="s">
        <v>14</v>
      </c>
      <c r="B839" t="s">
        <v>141</v>
      </c>
      <c r="C839" t="s">
        <v>22</v>
      </c>
      <c r="D839" t="s">
        <v>17</v>
      </c>
      <c r="E839" t="s">
        <v>54</v>
      </c>
      <c r="F839" t="s">
        <v>1360</v>
      </c>
      <c r="G839">
        <v>470503079</v>
      </c>
      <c r="H839" t="s">
        <v>932</v>
      </c>
      <c r="I839">
        <v>1172</v>
      </c>
      <c r="J839">
        <v>109.28</v>
      </c>
      <c r="K839">
        <v>35.840000000000003</v>
      </c>
      <c r="L839">
        <v>128076.16</v>
      </c>
      <c r="M839">
        <v>42004.480000000003</v>
      </c>
      <c r="N839">
        <v>86071.679999999993</v>
      </c>
    </row>
    <row r="840" spans="1:14" x14ac:dyDescent="0.3">
      <c r="A840" t="s">
        <v>14</v>
      </c>
      <c r="B840" t="s">
        <v>27</v>
      </c>
      <c r="C840" t="s">
        <v>16</v>
      </c>
      <c r="D840" t="s">
        <v>17</v>
      </c>
      <c r="E840" t="s">
        <v>18</v>
      </c>
      <c r="F840" t="s">
        <v>1253</v>
      </c>
      <c r="G840">
        <v>413951814</v>
      </c>
      <c r="H840" t="s">
        <v>1260</v>
      </c>
      <c r="I840">
        <v>6395</v>
      </c>
      <c r="J840">
        <v>47.45</v>
      </c>
      <c r="K840">
        <v>31.79</v>
      </c>
      <c r="L840">
        <v>303442.75</v>
      </c>
      <c r="M840">
        <v>203297.05</v>
      </c>
      <c r="N840">
        <v>100145.7</v>
      </c>
    </row>
    <row r="841" spans="1:14" x14ac:dyDescent="0.3">
      <c r="A841" t="s">
        <v>14</v>
      </c>
      <c r="B841" t="s">
        <v>196</v>
      </c>
      <c r="C841" t="s">
        <v>32</v>
      </c>
      <c r="D841" t="s">
        <v>17</v>
      </c>
      <c r="E841" t="s">
        <v>33</v>
      </c>
      <c r="F841" t="s">
        <v>589</v>
      </c>
      <c r="G841">
        <v>433734500</v>
      </c>
      <c r="H841" t="s">
        <v>1361</v>
      </c>
      <c r="I841">
        <v>532</v>
      </c>
      <c r="J841">
        <v>651.21</v>
      </c>
      <c r="K841">
        <v>524.96</v>
      </c>
      <c r="L841">
        <v>346443.72</v>
      </c>
      <c r="M841">
        <v>279278.71999999997</v>
      </c>
      <c r="N841">
        <v>67165</v>
      </c>
    </row>
    <row r="842" spans="1:14" x14ac:dyDescent="0.3">
      <c r="A842" t="s">
        <v>14</v>
      </c>
      <c r="B842" t="s">
        <v>74</v>
      </c>
      <c r="C842" t="s">
        <v>32</v>
      </c>
      <c r="D842" t="s">
        <v>23</v>
      </c>
      <c r="E842" t="s">
        <v>18</v>
      </c>
      <c r="F842" t="s">
        <v>553</v>
      </c>
      <c r="G842">
        <v>624348151</v>
      </c>
      <c r="H842" t="s">
        <v>1362</v>
      </c>
      <c r="I842">
        <v>7347</v>
      </c>
      <c r="J842">
        <v>651.21</v>
      </c>
      <c r="K842">
        <v>524.96</v>
      </c>
      <c r="L842">
        <v>4784439.87</v>
      </c>
      <c r="M842">
        <v>3856881.12</v>
      </c>
      <c r="N842">
        <v>927558.75</v>
      </c>
    </row>
    <row r="843" spans="1:14" x14ac:dyDescent="0.3">
      <c r="A843" t="s">
        <v>14</v>
      </c>
      <c r="B843" t="s">
        <v>89</v>
      </c>
      <c r="C843" t="s">
        <v>22</v>
      </c>
      <c r="D843" t="s">
        <v>17</v>
      </c>
      <c r="E843" t="s">
        <v>24</v>
      </c>
      <c r="F843" t="s">
        <v>1363</v>
      </c>
      <c r="G843">
        <v>109914195</v>
      </c>
      <c r="H843" t="s">
        <v>1338</v>
      </c>
      <c r="I843">
        <v>4908</v>
      </c>
      <c r="J843">
        <v>109.28</v>
      </c>
      <c r="K843">
        <v>35.840000000000003</v>
      </c>
      <c r="L843">
        <v>536346.24</v>
      </c>
      <c r="M843">
        <v>175902.72</v>
      </c>
      <c r="N843">
        <v>360443.52</v>
      </c>
    </row>
    <row r="844" spans="1:14" x14ac:dyDescent="0.3">
      <c r="A844" t="s">
        <v>14</v>
      </c>
      <c r="B844" t="s">
        <v>364</v>
      </c>
      <c r="C844" t="s">
        <v>58</v>
      </c>
      <c r="D844" t="s">
        <v>23</v>
      </c>
      <c r="E844" t="s">
        <v>18</v>
      </c>
      <c r="F844" t="s">
        <v>1364</v>
      </c>
      <c r="G844">
        <v>947073256</v>
      </c>
      <c r="H844" t="s">
        <v>713</v>
      </c>
      <c r="I844">
        <v>8878</v>
      </c>
      <c r="J844">
        <v>152.58000000000001</v>
      </c>
      <c r="K844">
        <v>97.44</v>
      </c>
      <c r="L844">
        <v>1354605.24</v>
      </c>
      <c r="M844">
        <v>865072.32</v>
      </c>
      <c r="N844">
        <v>489532.92</v>
      </c>
    </row>
    <row r="845" spans="1:14" x14ac:dyDescent="0.3">
      <c r="A845" t="s">
        <v>14</v>
      </c>
      <c r="B845" t="s">
        <v>21</v>
      </c>
      <c r="C845" t="s">
        <v>102</v>
      </c>
      <c r="D845" t="s">
        <v>23</v>
      </c>
      <c r="E845" t="s">
        <v>33</v>
      </c>
      <c r="F845" t="s">
        <v>1365</v>
      </c>
      <c r="G845">
        <v>409514796</v>
      </c>
      <c r="H845" t="s">
        <v>934</v>
      </c>
      <c r="I845">
        <v>3383</v>
      </c>
      <c r="J845">
        <v>81.73</v>
      </c>
      <c r="K845">
        <v>56.67</v>
      </c>
      <c r="L845">
        <v>276492.59000000003</v>
      </c>
      <c r="M845">
        <v>191714.61</v>
      </c>
      <c r="N845">
        <v>84777.98</v>
      </c>
    </row>
    <row r="846" spans="1:14" x14ac:dyDescent="0.3">
      <c r="A846" t="s">
        <v>14</v>
      </c>
      <c r="B846" t="s">
        <v>80</v>
      </c>
      <c r="C846" t="s">
        <v>32</v>
      </c>
      <c r="D846" t="s">
        <v>23</v>
      </c>
      <c r="E846" t="s">
        <v>33</v>
      </c>
      <c r="F846" t="s">
        <v>1364</v>
      </c>
      <c r="G846">
        <v>182228696</v>
      </c>
      <c r="H846" t="s">
        <v>493</v>
      </c>
      <c r="I846">
        <v>4375</v>
      </c>
      <c r="J846">
        <v>651.21</v>
      </c>
      <c r="K846">
        <v>524.96</v>
      </c>
      <c r="L846">
        <v>2849043.75</v>
      </c>
      <c r="M846">
        <v>2296700</v>
      </c>
      <c r="N846">
        <v>552343.75</v>
      </c>
    </row>
    <row r="847" spans="1:14" x14ac:dyDescent="0.3">
      <c r="A847" t="s">
        <v>14</v>
      </c>
      <c r="B847" t="s">
        <v>21</v>
      </c>
      <c r="C847" t="s">
        <v>71</v>
      </c>
      <c r="D847" t="s">
        <v>23</v>
      </c>
      <c r="E847" t="s">
        <v>18</v>
      </c>
      <c r="F847" t="s">
        <v>1366</v>
      </c>
      <c r="G847">
        <v>723893725</v>
      </c>
      <c r="H847" t="s">
        <v>147</v>
      </c>
      <c r="I847">
        <v>5095</v>
      </c>
      <c r="J847">
        <v>668.27</v>
      </c>
      <c r="K847">
        <v>502.54</v>
      </c>
      <c r="L847">
        <v>3404835.65</v>
      </c>
      <c r="M847">
        <v>2560441.2999999998</v>
      </c>
      <c r="N847">
        <v>844394.35</v>
      </c>
    </row>
    <row r="848" spans="1:14" x14ac:dyDescent="0.3">
      <c r="A848" t="s">
        <v>14</v>
      </c>
      <c r="B848" t="s">
        <v>115</v>
      </c>
      <c r="C848" t="s">
        <v>58</v>
      </c>
      <c r="D848" t="s">
        <v>17</v>
      </c>
      <c r="E848" t="s">
        <v>33</v>
      </c>
      <c r="F848" t="s">
        <v>1068</v>
      </c>
      <c r="G848">
        <v>392217338</v>
      </c>
      <c r="H848" t="s">
        <v>749</v>
      </c>
      <c r="I848">
        <v>4681</v>
      </c>
      <c r="J848">
        <v>152.58000000000001</v>
      </c>
      <c r="K848">
        <v>97.44</v>
      </c>
      <c r="L848">
        <v>714226.98</v>
      </c>
      <c r="M848">
        <v>456116.64</v>
      </c>
      <c r="N848">
        <v>258110.34</v>
      </c>
    </row>
    <row r="849" spans="1:14" x14ac:dyDescent="0.3">
      <c r="A849" t="s">
        <v>14</v>
      </c>
      <c r="B849" t="s">
        <v>342</v>
      </c>
      <c r="C849" t="s">
        <v>64</v>
      </c>
      <c r="D849" t="s">
        <v>17</v>
      </c>
      <c r="E849" t="s">
        <v>18</v>
      </c>
      <c r="F849" t="s">
        <v>1367</v>
      </c>
      <c r="G849">
        <v>108407437</v>
      </c>
      <c r="H849" t="s">
        <v>1368</v>
      </c>
      <c r="I849">
        <v>9025</v>
      </c>
      <c r="J849">
        <v>255.28</v>
      </c>
      <c r="K849">
        <v>159.41999999999999</v>
      </c>
      <c r="L849">
        <v>2303902</v>
      </c>
      <c r="M849">
        <v>1438765.5</v>
      </c>
      <c r="N849">
        <v>865136.5</v>
      </c>
    </row>
    <row r="850" spans="1:14" x14ac:dyDescent="0.3">
      <c r="A850" t="s">
        <v>14</v>
      </c>
      <c r="B850" t="s">
        <v>223</v>
      </c>
      <c r="C850" t="s">
        <v>58</v>
      </c>
      <c r="D850" t="s">
        <v>17</v>
      </c>
      <c r="E850" t="s">
        <v>33</v>
      </c>
      <c r="F850" t="s">
        <v>1369</v>
      </c>
      <c r="G850">
        <v>358594453</v>
      </c>
      <c r="H850" t="s">
        <v>1370</v>
      </c>
      <c r="I850">
        <v>4922</v>
      </c>
      <c r="J850">
        <v>152.58000000000001</v>
      </c>
      <c r="K850">
        <v>97.44</v>
      </c>
      <c r="L850">
        <v>750998.76</v>
      </c>
      <c r="M850">
        <v>479599.68</v>
      </c>
      <c r="N850">
        <v>271399.08</v>
      </c>
    </row>
    <row r="851" spans="1:14" x14ac:dyDescent="0.3">
      <c r="A851" t="s">
        <v>14</v>
      </c>
      <c r="B851" t="s">
        <v>127</v>
      </c>
      <c r="C851" t="s">
        <v>58</v>
      </c>
      <c r="D851" t="s">
        <v>17</v>
      </c>
      <c r="E851" t="s">
        <v>18</v>
      </c>
      <c r="F851" t="s">
        <v>1371</v>
      </c>
      <c r="G851">
        <v>784397923</v>
      </c>
      <c r="H851" t="s">
        <v>795</v>
      </c>
      <c r="I851">
        <v>9631</v>
      </c>
      <c r="J851">
        <v>152.58000000000001</v>
      </c>
      <c r="K851">
        <v>97.44</v>
      </c>
      <c r="L851">
        <v>1469497.98</v>
      </c>
      <c r="M851">
        <v>938444.64</v>
      </c>
      <c r="N851">
        <v>531053.34</v>
      </c>
    </row>
    <row r="852" spans="1:14" x14ac:dyDescent="0.3">
      <c r="A852" t="s">
        <v>14</v>
      </c>
      <c r="B852" t="s">
        <v>105</v>
      </c>
      <c r="C852" t="s">
        <v>50</v>
      </c>
      <c r="D852" t="s">
        <v>17</v>
      </c>
      <c r="E852" t="s">
        <v>24</v>
      </c>
      <c r="F852" t="s">
        <v>1300</v>
      </c>
      <c r="G852">
        <v>111246287</v>
      </c>
      <c r="H852" t="s">
        <v>1072</v>
      </c>
      <c r="I852">
        <v>9103</v>
      </c>
      <c r="J852">
        <v>421.89</v>
      </c>
      <c r="K852">
        <v>364.69</v>
      </c>
      <c r="L852">
        <v>3840464.67</v>
      </c>
      <c r="M852">
        <v>3319773.07</v>
      </c>
      <c r="N852">
        <v>520691.6</v>
      </c>
    </row>
    <row r="853" spans="1:14" x14ac:dyDescent="0.3">
      <c r="A853" t="s">
        <v>14</v>
      </c>
      <c r="B853" t="s">
        <v>89</v>
      </c>
      <c r="C853" t="s">
        <v>46</v>
      </c>
      <c r="D853" t="s">
        <v>23</v>
      </c>
      <c r="E853" t="s">
        <v>33</v>
      </c>
      <c r="F853" t="s">
        <v>727</v>
      </c>
      <c r="G853">
        <v>777018630</v>
      </c>
      <c r="H853" t="s">
        <v>1372</v>
      </c>
      <c r="I853">
        <v>5935</v>
      </c>
      <c r="J853">
        <v>154.06</v>
      </c>
      <c r="K853">
        <v>90.93</v>
      </c>
      <c r="L853">
        <v>914346.1</v>
      </c>
      <c r="M853">
        <v>539669.55000000005</v>
      </c>
      <c r="N853">
        <v>374676.55</v>
      </c>
    </row>
    <row r="854" spans="1:14" x14ac:dyDescent="0.3">
      <c r="A854" t="s">
        <v>14</v>
      </c>
      <c r="B854" t="s">
        <v>146</v>
      </c>
      <c r="C854" t="s">
        <v>22</v>
      </c>
      <c r="D854" t="s">
        <v>17</v>
      </c>
      <c r="E854" t="s">
        <v>54</v>
      </c>
      <c r="F854" t="s">
        <v>302</v>
      </c>
      <c r="G854">
        <v>601588857</v>
      </c>
      <c r="H854" t="s">
        <v>357</v>
      </c>
      <c r="I854">
        <v>2366</v>
      </c>
      <c r="J854">
        <v>109.28</v>
      </c>
      <c r="K854">
        <v>35.840000000000003</v>
      </c>
      <c r="L854">
        <v>258556.48</v>
      </c>
      <c r="M854">
        <v>84797.440000000002</v>
      </c>
      <c r="N854">
        <v>173759.04</v>
      </c>
    </row>
    <row r="855" spans="1:14" x14ac:dyDescent="0.3">
      <c r="A855" t="s">
        <v>14</v>
      </c>
      <c r="B855" t="s">
        <v>70</v>
      </c>
      <c r="C855" t="s">
        <v>46</v>
      </c>
      <c r="D855" t="s">
        <v>17</v>
      </c>
      <c r="E855" t="s">
        <v>33</v>
      </c>
      <c r="F855" t="s">
        <v>1373</v>
      </c>
      <c r="G855">
        <v>249039304</v>
      </c>
      <c r="H855" t="s">
        <v>1374</v>
      </c>
      <c r="I855">
        <v>5119</v>
      </c>
      <c r="J855">
        <v>154.06</v>
      </c>
      <c r="K855">
        <v>90.93</v>
      </c>
      <c r="L855">
        <v>788633.14</v>
      </c>
      <c r="M855">
        <v>465470.67</v>
      </c>
      <c r="N855">
        <v>323162.46999999997</v>
      </c>
    </row>
    <row r="856" spans="1:14" x14ac:dyDescent="0.3">
      <c r="A856" t="s">
        <v>14</v>
      </c>
      <c r="B856" t="s">
        <v>127</v>
      </c>
      <c r="C856" t="s">
        <v>28</v>
      </c>
      <c r="D856" t="s">
        <v>23</v>
      </c>
      <c r="E856" t="s">
        <v>18</v>
      </c>
      <c r="F856" t="s">
        <v>1117</v>
      </c>
      <c r="G856">
        <v>905947482</v>
      </c>
      <c r="H856" t="s">
        <v>1375</v>
      </c>
      <c r="I856">
        <v>8847</v>
      </c>
      <c r="J856">
        <v>205.7</v>
      </c>
      <c r="K856">
        <v>117.11</v>
      </c>
      <c r="L856">
        <v>1819827.9</v>
      </c>
      <c r="M856">
        <v>1036072.17</v>
      </c>
      <c r="N856">
        <v>783755.73</v>
      </c>
    </row>
    <row r="857" spans="1:14" x14ac:dyDescent="0.3">
      <c r="A857" t="s">
        <v>14</v>
      </c>
      <c r="B857" t="s">
        <v>185</v>
      </c>
      <c r="C857" t="s">
        <v>46</v>
      </c>
      <c r="D857" t="s">
        <v>23</v>
      </c>
      <c r="E857" t="s">
        <v>54</v>
      </c>
      <c r="F857" t="s">
        <v>902</v>
      </c>
      <c r="G857">
        <v>359893071</v>
      </c>
      <c r="H857" t="s">
        <v>320</v>
      </c>
      <c r="I857">
        <v>9212</v>
      </c>
      <c r="J857">
        <v>154.06</v>
      </c>
      <c r="K857">
        <v>90.93</v>
      </c>
      <c r="L857">
        <v>1419200.72</v>
      </c>
      <c r="M857">
        <v>837647.16</v>
      </c>
      <c r="N857">
        <v>581553.56000000006</v>
      </c>
    </row>
    <row r="858" spans="1:14" x14ac:dyDescent="0.3">
      <c r="A858" t="s">
        <v>14</v>
      </c>
      <c r="B858" t="s">
        <v>89</v>
      </c>
      <c r="C858" t="s">
        <v>75</v>
      </c>
      <c r="D858" t="s">
        <v>17</v>
      </c>
      <c r="E858" t="s">
        <v>24</v>
      </c>
      <c r="F858" t="s">
        <v>1376</v>
      </c>
      <c r="G858">
        <v>284310567</v>
      </c>
      <c r="H858" t="s">
        <v>1377</v>
      </c>
      <c r="I858">
        <v>2670</v>
      </c>
      <c r="J858">
        <v>437.2</v>
      </c>
      <c r="K858">
        <v>263.33</v>
      </c>
      <c r="L858">
        <v>1167324</v>
      </c>
      <c r="M858">
        <v>703091.1</v>
      </c>
      <c r="N858">
        <v>464232.9</v>
      </c>
    </row>
    <row r="859" spans="1:14" x14ac:dyDescent="0.3">
      <c r="A859" t="s">
        <v>14</v>
      </c>
      <c r="B859" t="s">
        <v>21</v>
      </c>
      <c r="C859" t="s">
        <v>46</v>
      </c>
      <c r="D859" t="s">
        <v>17</v>
      </c>
      <c r="E859" t="s">
        <v>24</v>
      </c>
      <c r="F859" t="s">
        <v>1019</v>
      </c>
      <c r="G859">
        <v>942372310</v>
      </c>
      <c r="H859" t="s">
        <v>1378</v>
      </c>
      <c r="I859">
        <v>7763</v>
      </c>
      <c r="J859">
        <v>154.06</v>
      </c>
      <c r="K859">
        <v>90.93</v>
      </c>
      <c r="L859">
        <v>1195967.78</v>
      </c>
      <c r="M859">
        <v>705889.59</v>
      </c>
      <c r="N859">
        <v>490078.19</v>
      </c>
    </row>
    <row r="860" spans="1:14" x14ac:dyDescent="0.3">
      <c r="A860" t="s">
        <v>14</v>
      </c>
      <c r="B860" t="s">
        <v>181</v>
      </c>
      <c r="C860" t="s">
        <v>50</v>
      </c>
      <c r="D860" t="s">
        <v>23</v>
      </c>
      <c r="E860" t="s">
        <v>18</v>
      </c>
      <c r="F860" t="s">
        <v>431</v>
      </c>
      <c r="G860">
        <v>604124295</v>
      </c>
      <c r="H860" t="s">
        <v>1379</v>
      </c>
      <c r="I860">
        <v>2659</v>
      </c>
      <c r="J860">
        <v>421.89</v>
      </c>
      <c r="K860">
        <v>364.69</v>
      </c>
      <c r="L860">
        <v>1121805.51</v>
      </c>
      <c r="M860">
        <v>969710.71</v>
      </c>
      <c r="N860">
        <v>152094.79999999999</v>
      </c>
    </row>
    <row r="861" spans="1:14" x14ac:dyDescent="0.3">
      <c r="A861" t="s">
        <v>14</v>
      </c>
      <c r="B861" t="s">
        <v>132</v>
      </c>
      <c r="C861" t="s">
        <v>37</v>
      </c>
      <c r="D861" t="s">
        <v>23</v>
      </c>
      <c r="E861" t="s">
        <v>18</v>
      </c>
      <c r="F861" t="s">
        <v>1380</v>
      </c>
      <c r="G861">
        <v>720229613</v>
      </c>
      <c r="H861" t="s">
        <v>1262</v>
      </c>
      <c r="I861">
        <v>803</v>
      </c>
      <c r="J861">
        <v>9.33</v>
      </c>
      <c r="K861">
        <v>6.92</v>
      </c>
      <c r="L861">
        <v>7491.99</v>
      </c>
      <c r="M861">
        <v>5556.76</v>
      </c>
      <c r="N861">
        <v>1935.23</v>
      </c>
    </row>
    <row r="862" spans="1:14" x14ac:dyDescent="0.3">
      <c r="A862" t="s">
        <v>14</v>
      </c>
      <c r="B862" t="s">
        <v>27</v>
      </c>
      <c r="C862" t="s">
        <v>102</v>
      </c>
      <c r="D862" t="s">
        <v>23</v>
      </c>
      <c r="E862" t="s">
        <v>24</v>
      </c>
      <c r="F862" t="s">
        <v>1381</v>
      </c>
      <c r="G862">
        <v>967258059</v>
      </c>
      <c r="H862" t="s">
        <v>1382</v>
      </c>
      <c r="I862">
        <v>2009</v>
      </c>
      <c r="J862">
        <v>81.73</v>
      </c>
      <c r="K862">
        <v>56.67</v>
      </c>
      <c r="L862">
        <v>164195.57</v>
      </c>
      <c r="M862">
        <v>113850.03</v>
      </c>
      <c r="N862">
        <v>50345.54</v>
      </c>
    </row>
    <row r="863" spans="1:14" x14ac:dyDescent="0.3">
      <c r="A863" t="s">
        <v>14</v>
      </c>
      <c r="B863" t="s">
        <v>89</v>
      </c>
      <c r="C863" t="s">
        <v>28</v>
      </c>
      <c r="D863" t="s">
        <v>17</v>
      </c>
      <c r="E863" t="s">
        <v>24</v>
      </c>
      <c r="F863" t="s">
        <v>594</v>
      </c>
      <c r="G863">
        <v>520390880</v>
      </c>
      <c r="H863" t="s">
        <v>1064</v>
      </c>
      <c r="I863">
        <v>4080</v>
      </c>
      <c r="J863">
        <v>205.7</v>
      </c>
      <c r="K863">
        <v>117.11</v>
      </c>
      <c r="L863">
        <v>839256</v>
      </c>
      <c r="M863">
        <v>477808.8</v>
      </c>
      <c r="N863">
        <v>361447.2</v>
      </c>
    </row>
    <row r="864" spans="1:14" x14ac:dyDescent="0.3">
      <c r="A864" t="s">
        <v>14</v>
      </c>
      <c r="B864" t="s">
        <v>21</v>
      </c>
      <c r="C864" t="s">
        <v>37</v>
      </c>
      <c r="D864" t="s">
        <v>17</v>
      </c>
      <c r="E864" t="s">
        <v>33</v>
      </c>
      <c r="F864" t="s">
        <v>1383</v>
      </c>
      <c r="G864">
        <v>623821580</v>
      </c>
      <c r="H864" t="s">
        <v>1384</v>
      </c>
      <c r="I864">
        <v>1523</v>
      </c>
      <c r="J864">
        <v>9.33</v>
      </c>
      <c r="K864">
        <v>6.92</v>
      </c>
      <c r="L864">
        <v>14209.59</v>
      </c>
      <c r="M864">
        <v>10539.16</v>
      </c>
      <c r="N864">
        <v>3670.43</v>
      </c>
    </row>
    <row r="865" spans="1:14" x14ac:dyDescent="0.3">
      <c r="A865" t="s">
        <v>14</v>
      </c>
      <c r="B865" t="s">
        <v>31</v>
      </c>
      <c r="C865" t="s">
        <v>50</v>
      </c>
      <c r="D865" t="s">
        <v>23</v>
      </c>
      <c r="E865" t="s">
        <v>18</v>
      </c>
      <c r="F865" t="s">
        <v>949</v>
      </c>
      <c r="G865">
        <v>273662412</v>
      </c>
      <c r="H865" t="s">
        <v>1385</v>
      </c>
      <c r="I865">
        <v>1644</v>
      </c>
      <c r="J865">
        <v>421.89</v>
      </c>
      <c r="K865">
        <v>364.69</v>
      </c>
      <c r="L865">
        <v>693587.16</v>
      </c>
      <c r="M865">
        <v>599550.36</v>
      </c>
      <c r="N865">
        <v>94036.800000000003</v>
      </c>
    </row>
    <row r="866" spans="1:14" x14ac:dyDescent="0.3">
      <c r="A866" t="s">
        <v>14</v>
      </c>
      <c r="B866" t="s">
        <v>132</v>
      </c>
      <c r="C866" t="s">
        <v>46</v>
      </c>
      <c r="D866" t="s">
        <v>17</v>
      </c>
      <c r="E866" t="s">
        <v>24</v>
      </c>
      <c r="F866" t="s">
        <v>68</v>
      </c>
      <c r="G866">
        <v>941061675</v>
      </c>
      <c r="H866" t="s">
        <v>1386</v>
      </c>
      <c r="I866">
        <v>9917</v>
      </c>
      <c r="J866">
        <v>154.06</v>
      </c>
      <c r="K866">
        <v>90.93</v>
      </c>
      <c r="L866">
        <v>1527813.02</v>
      </c>
      <c r="M866">
        <v>901752.81</v>
      </c>
      <c r="N866">
        <v>626060.21</v>
      </c>
    </row>
    <row r="867" spans="1:14" x14ac:dyDescent="0.3">
      <c r="A867" t="s">
        <v>14</v>
      </c>
      <c r="B867" t="s">
        <v>146</v>
      </c>
      <c r="C867" t="s">
        <v>50</v>
      </c>
      <c r="D867" t="s">
        <v>23</v>
      </c>
      <c r="E867" t="s">
        <v>24</v>
      </c>
      <c r="F867" t="s">
        <v>945</v>
      </c>
      <c r="G867">
        <v>421456849</v>
      </c>
      <c r="H867" t="s">
        <v>1387</v>
      </c>
      <c r="I867">
        <v>7302</v>
      </c>
      <c r="J867">
        <v>421.89</v>
      </c>
      <c r="K867">
        <v>364.69</v>
      </c>
      <c r="L867">
        <v>3080640.78</v>
      </c>
      <c r="M867">
        <v>2662966.38</v>
      </c>
      <c r="N867">
        <v>417674.4</v>
      </c>
    </row>
    <row r="868" spans="1:14" x14ac:dyDescent="0.3">
      <c r="A868" t="s">
        <v>14</v>
      </c>
      <c r="B868" t="s">
        <v>220</v>
      </c>
      <c r="C868" t="s">
        <v>75</v>
      </c>
      <c r="D868" t="s">
        <v>23</v>
      </c>
      <c r="E868" t="s">
        <v>54</v>
      </c>
      <c r="F868" t="s">
        <v>1388</v>
      </c>
      <c r="G868">
        <v>291160714</v>
      </c>
      <c r="H868" t="s">
        <v>435</v>
      </c>
      <c r="I868">
        <v>9780</v>
      </c>
      <c r="J868">
        <v>437.2</v>
      </c>
      <c r="K868">
        <v>263.33</v>
      </c>
      <c r="L868">
        <v>4275816</v>
      </c>
      <c r="M868">
        <v>2575367.4</v>
      </c>
      <c r="N868">
        <v>1700448.6</v>
      </c>
    </row>
    <row r="869" spans="1:14" x14ac:dyDescent="0.3">
      <c r="A869" t="s">
        <v>14</v>
      </c>
      <c r="B869" t="s">
        <v>364</v>
      </c>
      <c r="C869" t="s">
        <v>37</v>
      </c>
      <c r="D869" t="s">
        <v>17</v>
      </c>
      <c r="E869" t="s">
        <v>24</v>
      </c>
      <c r="F869" t="s">
        <v>87</v>
      </c>
      <c r="G869">
        <v>724085128</v>
      </c>
      <c r="H869" t="s">
        <v>333</v>
      </c>
      <c r="I869">
        <v>1735</v>
      </c>
      <c r="J869">
        <v>9.33</v>
      </c>
      <c r="K869">
        <v>6.92</v>
      </c>
      <c r="L869">
        <v>16187.55</v>
      </c>
      <c r="M869">
        <v>12006.2</v>
      </c>
      <c r="N869">
        <v>4181.3500000000004</v>
      </c>
    </row>
    <row r="870" spans="1:14" x14ac:dyDescent="0.3">
      <c r="A870" t="s">
        <v>14</v>
      </c>
      <c r="B870" t="s">
        <v>45</v>
      </c>
      <c r="C870" t="s">
        <v>46</v>
      </c>
      <c r="D870" t="s">
        <v>23</v>
      </c>
      <c r="E870" t="s">
        <v>24</v>
      </c>
      <c r="F870" t="s">
        <v>1389</v>
      </c>
      <c r="G870">
        <v>742569196</v>
      </c>
      <c r="H870" t="s">
        <v>1390</v>
      </c>
      <c r="I870">
        <v>1581</v>
      </c>
      <c r="J870">
        <v>154.06</v>
      </c>
      <c r="K870">
        <v>90.93</v>
      </c>
      <c r="L870">
        <v>243568.86</v>
      </c>
      <c r="M870">
        <v>143760.32999999999</v>
      </c>
      <c r="N870">
        <v>99808.53</v>
      </c>
    </row>
    <row r="871" spans="1:14" x14ac:dyDescent="0.3">
      <c r="A871" t="s">
        <v>14</v>
      </c>
      <c r="B871" t="s">
        <v>89</v>
      </c>
      <c r="C871" t="s">
        <v>71</v>
      </c>
      <c r="D871" t="s">
        <v>23</v>
      </c>
      <c r="E871" t="s">
        <v>24</v>
      </c>
      <c r="F871" t="s">
        <v>1224</v>
      </c>
      <c r="G871">
        <v>760346877</v>
      </c>
      <c r="H871" t="s">
        <v>1391</v>
      </c>
      <c r="I871">
        <v>2392</v>
      </c>
      <c r="J871">
        <v>668.27</v>
      </c>
      <c r="K871">
        <v>502.54</v>
      </c>
      <c r="L871">
        <v>1598501.84</v>
      </c>
      <c r="M871">
        <v>1202075.68</v>
      </c>
      <c r="N871">
        <v>396426.16</v>
      </c>
    </row>
    <row r="872" spans="1:14" x14ac:dyDescent="0.3">
      <c r="A872" t="s">
        <v>14</v>
      </c>
      <c r="B872" t="s">
        <v>146</v>
      </c>
      <c r="C872" t="s">
        <v>75</v>
      </c>
      <c r="D872" t="s">
        <v>23</v>
      </c>
      <c r="E872" t="s">
        <v>24</v>
      </c>
      <c r="F872" t="s">
        <v>1138</v>
      </c>
      <c r="G872">
        <v>260630738</v>
      </c>
      <c r="H872" t="s">
        <v>1392</v>
      </c>
      <c r="I872">
        <v>5282</v>
      </c>
      <c r="J872">
        <v>437.2</v>
      </c>
      <c r="K872">
        <v>263.33</v>
      </c>
      <c r="L872">
        <v>2309290.4</v>
      </c>
      <c r="M872">
        <v>1390909.06</v>
      </c>
      <c r="N872">
        <v>918381.34</v>
      </c>
    </row>
    <row r="873" spans="1:14" x14ac:dyDescent="0.3">
      <c r="A873" t="s">
        <v>14</v>
      </c>
      <c r="B873" t="s">
        <v>166</v>
      </c>
      <c r="C873" t="s">
        <v>50</v>
      </c>
      <c r="D873" t="s">
        <v>23</v>
      </c>
      <c r="E873" t="s">
        <v>54</v>
      </c>
      <c r="F873" t="s">
        <v>1393</v>
      </c>
      <c r="G873">
        <v>462561166</v>
      </c>
      <c r="H873" t="s">
        <v>1394</v>
      </c>
      <c r="I873">
        <v>983</v>
      </c>
      <c r="J873">
        <v>421.89</v>
      </c>
      <c r="K873">
        <v>364.69</v>
      </c>
      <c r="L873">
        <v>414717.87</v>
      </c>
      <c r="M873">
        <v>358490.27</v>
      </c>
      <c r="N873">
        <v>56227.6</v>
      </c>
    </row>
    <row r="874" spans="1:14" x14ac:dyDescent="0.3">
      <c r="A874" t="s">
        <v>14</v>
      </c>
      <c r="B874" t="s">
        <v>67</v>
      </c>
      <c r="C874" t="s">
        <v>102</v>
      </c>
      <c r="D874" t="s">
        <v>17</v>
      </c>
      <c r="E874" t="s">
        <v>54</v>
      </c>
      <c r="F874" t="s">
        <v>1395</v>
      </c>
      <c r="G874">
        <v>353475940</v>
      </c>
      <c r="H874" t="s">
        <v>1396</v>
      </c>
      <c r="I874">
        <v>240</v>
      </c>
      <c r="J874">
        <v>81.73</v>
      </c>
      <c r="K874">
        <v>56.67</v>
      </c>
      <c r="L874">
        <v>19615.2</v>
      </c>
      <c r="M874">
        <v>13600.8</v>
      </c>
      <c r="N874">
        <v>6014.4</v>
      </c>
    </row>
    <row r="875" spans="1:14" x14ac:dyDescent="0.3">
      <c r="A875" t="s">
        <v>14</v>
      </c>
      <c r="B875" t="s">
        <v>122</v>
      </c>
      <c r="C875" t="s">
        <v>16</v>
      </c>
      <c r="D875" t="s">
        <v>23</v>
      </c>
      <c r="E875" t="s">
        <v>54</v>
      </c>
      <c r="F875" t="s">
        <v>1397</v>
      </c>
      <c r="G875">
        <v>432031619</v>
      </c>
      <c r="H875" t="s">
        <v>1398</v>
      </c>
      <c r="I875">
        <v>6612</v>
      </c>
      <c r="J875">
        <v>47.45</v>
      </c>
      <c r="K875">
        <v>31.79</v>
      </c>
      <c r="L875">
        <v>313739.40000000002</v>
      </c>
      <c r="M875">
        <v>210195.48</v>
      </c>
      <c r="N875">
        <v>103543.92</v>
      </c>
    </row>
    <row r="876" spans="1:14" x14ac:dyDescent="0.3">
      <c r="A876" t="s">
        <v>14</v>
      </c>
      <c r="B876" t="s">
        <v>122</v>
      </c>
      <c r="C876" t="s">
        <v>71</v>
      </c>
      <c r="D876" t="s">
        <v>23</v>
      </c>
      <c r="E876" t="s">
        <v>33</v>
      </c>
      <c r="F876" t="s">
        <v>1378</v>
      </c>
      <c r="G876">
        <v>104165685</v>
      </c>
      <c r="H876" t="s">
        <v>1399</v>
      </c>
      <c r="I876">
        <v>3796</v>
      </c>
      <c r="J876">
        <v>668.27</v>
      </c>
      <c r="K876">
        <v>502.54</v>
      </c>
      <c r="L876">
        <v>2536752.92</v>
      </c>
      <c r="M876">
        <v>1907641.84</v>
      </c>
      <c r="N876">
        <v>629111.07999999996</v>
      </c>
    </row>
    <row r="877" spans="1:14" x14ac:dyDescent="0.3">
      <c r="A877" t="s">
        <v>14</v>
      </c>
      <c r="B877" t="s">
        <v>74</v>
      </c>
      <c r="C877" t="s">
        <v>102</v>
      </c>
      <c r="D877" t="s">
        <v>23</v>
      </c>
      <c r="E877" t="s">
        <v>24</v>
      </c>
      <c r="F877" t="s">
        <v>472</v>
      </c>
      <c r="G877">
        <v>762117564</v>
      </c>
      <c r="H877" t="s">
        <v>187</v>
      </c>
      <c r="I877">
        <v>6378</v>
      </c>
      <c r="J877">
        <v>81.73</v>
      </c>
      <c r="K877">
        <v>56.67</v>
      </c>
      <c r="L877">
        <v>521273.94</v>
      </c>
      <c r="M877">
        <v>361441.26</v>
      </c>
      <c r="N877">
        <v>159832.68</v>
      </c>
    </row>
    <row r="878" spans="1:14" x14ac:dyDescent="0.3">
      <c r="A878" t="s">
        <v>14</v>
      </c>
      <c r="B878" t="s">
        <v>53</v>
      </c>
      <c r="C878" t="s">
        <v>58</v>
      </c>
      <c r="D878" t="s">
        <v>17</v>
      </c>
      <c r="E878" t="s">
        <v>54</v>
      </c>
      <c r="F878" t="s">
        <v>1400</v>
      </c>
      <c r="G878">
        <v>918364179</v>
      </c>
      <c r="H878" t="s">
        <v>688</v>
      </c>
      <c r="I878">
        <v>3223</v>
      </c>
      <c r="J878">
        <v>152.58000000000001</v>
      </c>
      <c r="K878">
        <v>97.44</v>
      </c>
      <c r="L878">
        <v>491765.34</v>
      </c>
      <c r="M878">
        <v>314049.12</v>
      </c>
      <c r="N878">
        <v>177716.22</v>
      </c>
    </row>
    <row r="879" spans="1:14" x14ac:dyDescent="0.3">
      <c r="A879" t="s">
        <v>14</v>
      </c>
      <c r="B879" t="s">
        <v>364</v>
      </c>
      <c r="C879" t="s">
        <v>50</v>
      </c>
      <c r="D879" t="s">
        <v>23</v>
      </c>
      <c r="E879" t="s">
        <v>24</v>
      </c>
      <c r="F879" t="s">
        <v>1401</v>
      </c>
      <c r="G879">
        <v>913729751</v>
      </c>
      <c r="H879" t="s">
        <v>1402</v>
      </c>
      <c r="I879">
        <v>1793</v>
      </c>
      <c r="J879">
        <v>421.89</v>
      </c>
      <c r="K879">
        <v>364.69</v>
      </c>
      <c r="L879">
        <v>756448.77</v>
      </c>
      <c r="M879">
        <v>653889.17000000004</v>
      </c>
      <c r="N879">
        <v>102559.6</v>
      </c>
    </row>
    <row r="880" spans="1:14" x14ac:dyDescent="0.3">
      <c r="A880" t="s">
        <v>14</v>
      </c>
      <c r="B880" t="s">
        <v>122</v>
      </c>
      <c r="C880" t="s">
        <v>58</v>
      </c>
      <c r="D880" t="s">
        <v>23</v>
      </c>
      <c r="E880" t="s">
        <v>54</v>
      </c>
      <c r="F880" t="s">
        <v>910</v>
      </c>
      <c r="G880">
        <v>196346127</v>
      </c>
      <c r="H880" t="s">
        <v>1403</v>
      </c>
      <c r="I880">
        <v>2037</v>
      </c>
      <c r="J880">
        <v>152.58000000000001</v>
      </c>
      <c r="K880">
        <v>97.44</v>
      </c>
      <c r="L880">
        <v>310805.46000000002</v>
      </c>
      <c r="M880">
        <v>198485.28</v>
      </c>
      <c r="N880">
        <v>112320.18</v>
      </c>
    </row>
    <row r="881" spans="1:14" x14ac:dyDescent="0.3">
      <c r="A881" t="s">
        <v>14</v>
      </c>
      <c r="B881" t="s">
        <v>105</v>
      </c>
      <c r="C881" t="s">
        <v>102</v>
      </c>
      <c r="D881" t="s">
        <v>23</v>
      </c>
      <c r="E881" t="s">
        <v>24</v>
      </c>
      <c r="F881" t="s">
        <v>1404</v>
      </c>
      <c r="G881">
        <v>553107821</v>
      </c>
      <c r="H881" t="s">
        <v>1405</v>
      </c>
      <c r="I881">
        <v>5751</v>
      </c>
      <c r="J881">
        <v>81.73</v>
      </c>
      <c r="K881">
        <v>56.67</v>
      </c>
      <c r="L881">
        <v>470029.23</v>
      </c>
      <c r="M881">
        <v>325909.17</v>
      </c>
      <c r="N881">
        <v>144120.06</v>
      </c>
    </row>
    <row r="882" spans="1:14" x14ac:dyDescent="0.3">
      <c r="A882" t="s">
        <v>14</v>
      </c>
      <c r="B882" t="s">
        <v>61</v>
      </c>
      <c r="C882" t="s">
        <v>28</v>
      </c>
      <c r="D882" t="s">
        <v>23</v>
      </c>
      <c r="E882" t="s">
        <v>24</v>
      </c>
      <c r="F882" t="s">
        <v>1282</v>
      </c>
      <c r="G882">
        <v>591774117</v>
      </c>
      <c r="H882" t="s">
        <v>156</v>
      </c>
      <c r="I882">
        <v>7967</v>
      </c>
      <c r="J882">
        <v>205.7</v>
      </c>
      <c r="K882">
        <v>117.11</v>
      </c>
      <c r="L882">
        <v>1638811.9</v>
      </c>
      <c r="M882">
        <v>933015.37</v>
      </c>
      <c r="N882">
        <v>705796.53</v>
      </c>
    </row>
    <row r="883" spans="1:14" x14ac:dyDescent="0.3">
      <c r="A883" t="s">
        <v>14</v>
      </c>
      <c r="B883" t="s">
        <v>105</v>
      </c>
      <c r="C883" t="s">
        <v>102</v>
      </c>
      <c r="D883" t="s">
        <v>23</v>
      </c>
      <c r="E883" t="s">
        <v>18</v>
      </c>
      <c r="F883" t="s">
        <v>741</v>
      </c>
      <c r="G883">
        <v>627432048</v>
      </c>
      <c r="H883" t="s">
        <v>1406</v>
      </c>
      <c r="I883">
        <v>9941</v>
      </c>
      <c r="J883">
        <v>81.73</v>
      </c>
      <c r="K883">
        <v>56.67</v>
      </c>
      <c r="L883">
        <v>812477.93</v>
      </c>
      <c r="M883">
        <v>563356.47</v>
      </c>
      <c r="N883">
        <v>249121.46</v>
      </c>
    </row>
    <row r="884" spans="1:14" x14ac:dyDescent="0.3">
      <c r="A884" t="s">
        <v>14</v>
      </c>
      <c r="B884" t="s">
        <v>196</v>
      </c>
      <c r="C884" t="s">
        <v>50</v>
      </c>
      <c r="D884" t="s">
        <v>17</v>
      </c>
      <c r="E884" t="s">
        <v>24</v>
      </c>
      <c r="F884" t="s">
        <v>1407</v>
      </c>
      <c r="G884">
        <v>615290009</v>
      </c>
      <c r="H884" t="s">
        <v>1408</v>
      </c>
      <c r="I884">
        <v>6842</v>
      </c>
      <c r="J884">
        <v>421.89</v>
      </c>
      <c r="K884">
        <v>364.69</v>
      </c>
      <c r="L884">
        <v>2886571.38</v>
      </c>
      <c r="M884">
        <v>2495208.98</v>
      </c>
      <c r="N884">
        <v>391362.4</v>
      </c>
    </row>
    <row r="885" spans="1:14" x14ac:dyDescent="0.3">
      <c r="A885" t="s">
        <v>14</v>
      </c>
      <c r="B885" t="s">
        <v>185</v>
      </c>
      <c r="C885" t="s">
        <v>16</v>
      </c>
      <c r="D885" t="s">
        <v>23</v>
      </c>
      <c r="E885" t="s">
        <v>54</v>
      </c>
      <c r="F885" t="s">
        <v>1047</v>
      </c>
      <c r="G885">
        <v>897317206</v>
      </c>
      <c r="H885" t="s">
        <v>1409</v>
      </c>
      <c r="I885">
        <v>4957</v>
      </c>
      <c r="J885">
        <v>47.45</v>
      </c>
      <c r="K885">
        <v>31.79</v>
      </c>
      <c r="L885">
        <v>235209.65</v>
      </c>
      <c r="M885">
        <v>157583.03</v>
      </c>
      <c r="N885">
        <v>77626.62</v>
      </c>
    </row>
    <row r="886" spans="1:14" x14ac:dyDescent="0.3">
      <c r="A886" t="s">
        <v>14</v>
      </c>
      <c r="B886" t="s">
        <v>40</v>
      </c>
      <c r="C886" t="s">
        <v>102</v>
      </c>
      <c r="D886" t="s">
        <v>17</v>
      </c>
      <c r="E886" t="s">
        <v>33</v>
      </c>
      <c r="F886" t="s">
        <v>1314</v>
      </c>
      <c r="G886">
        <v>594699656</v>
      </c>
      <c r="H886" t="s">
        <v>1410</v>
      </c>
      <c r="I886">
        <v>3699</v>
      </c>
      <c r="J886">
        <v>81.73</v>
      </c>
      <c r="K886">
        <v>56.67</v>
      </c>
      <c r="L886">
        <v>302319.27</v>
      </c>
      <c r="M886">
        <v>209622.33</v>
      </c>
      <c r="N886">
        <v>92696.94</v>
      </c>
    </row>
    <row r="887" spans="1:14" x14ac:dyDescent="0.3">
      <c r="A887" t="s">
        <v>14</v>
      </c>
      <c r="B887" t="s">
        <v>74</v>
      </c>
      <c r="C887" t="s">
        <v>75</v>
      </c>
      <c r="D887" t="s">
        <v>17</v>
      </c>
      <c r="E887" t="s">
        <v>24</v>
      </c>
      <c r="F887" t="s">
        <v>964</v>
      </c>
      <c r="G887">
        <v>574925124</v>
      </c>
      <c r="H887" t="s">
        <v>1411</v>
      </c>
      <c r="I887">
        <v>1975</v>
      </c>
      <c r="J887">
        <v>437.2</v>
      </c>
      <c r="K887">
        <v>263.33</v>
      </c>
      <c r="L887">
        <v>863470</v>
      </c>
      <c r="M887">
        <v>520076.75</v>
      </c>
      <c r="N887">
        <v>343393.25</v>
      </c>
    </row>
    <row r="888" spans="1:14" x14ac:dyDescent="0.3">
      <c r="A888" t="s">
        <v>14</v>
      </c>
      <c r="B888" t="s">
        <v>74</v>
      </c>
      <c r="C888" t="s">
        <v>16</v>
      </c>
      <c r="D888" t="s">
        <v>17</v>
      </c>
      <c r="E888" t="s">
        <v>24</v>
      </c>
      <c r="F888" t="s">
        <v>1412</v>
      </c>
      <c r="G888">
        <v>946421372</v>
      </c>
      <c r="H888" t="s">
        <v>932</v>
      </c>
      <c r="I888">
        <v>5971</v>
      </c>
      <c r="J888">
        <v>47.45</v>
      </c>
      <c r="K888">
        <v>31.79</v>
      </c>
      <c r="L888">
        <v>283323.95</v>
      </c>
      <c r="M888">
        <v>189818.09</v>
      </c>
      <c r="N888">
        <v>93505.86</v>
      </c>
    </row>
    <row r="889" spans="1:14" x14ac:dyDescent="0.3">
      <c r="A889" t="s">
        <v>14</v>
      </c>
      <c r="B889" t="s">
        <v>122</v>
      </c>
      <c r="C889" t="s">
        <v>22</v>
      </c>
      <c r="D889" t="s">
        <v>17</v>
      </c>
      <c r="E889" t="s">
        <v>18</v>
      </c>
      <c r="F889" t="s">
        <v>263</v>
      </c>
      <c r="G889">
        <v>885998284</v>
      </c>
      <c r="H889" t="s">
        <v>1413</v>
      </c>
      <c r="I889">
        <v>5436</v>
      </c>
      <c r="J889">
        <v>109.28</v>
      </c>
      <c r="K889">
        <v>35.840000000000003</v>
      </c>
      <c r="L889">
        <v>594046.07999999996</v>
      </c>
      <c r="M889">
        <v>194826.23999999999</v>
      </c>
      <c r="N889">
        <v>399219.84</v>
      </c>
    </row>
    <row r="890" spans="1:14" x14ac:dyDescent="0.3">
      <c r="A890" t="s">
        <v>14</v>
      </c>
      <c r="B890" t="s">
        <v>135</v>
      </c>
      <c r="C890" t="s">
        <v>71</v>
      </c>
      <c r="D890" t="s">
        <v>17</v>
      </c>
      <c r="E890" t="s">
        <v>33</v>
      </c>
      <c r="F890" t="s">
        <v>1414</v>
      </c>
      <c r="G890">
        <v>954065883</v>
      </c>
      <c r="H890" t="s">
        <v>1313</v>
      </c>
      <c r="I890">
        <v>8151</v>
      </c>
      <c r="J890">
        <v>668.27</v>
      </c>
      <c r="K890">
        <v>502.54</v>
      </c>
      <c r="L890">
        <v>5447068.7699999996</v>
      </c>
      <c r="M890">
        <v>4096203.54</v>
      </c>
      <c r="N890">
        <v>1350865.23</v>
      </c>
    </row>
    <row r="891" spans="1:14" x14ac:dyDescent="0.3">
      <c r="A891" t="s">
        <v>14</v>
      </c>
      <c r="B891" t="s">
        <v>100</v>
      </c>
      <c r="C891" t="s">
        <v>16</v>
      </c>
      <c r="D891" t="s">
        <v>23</v>
      </c>
      <c r="E891" t="s">
        <v>24</v>
      </c>
      <c r="F891" t="s">
        <v>1112</v>
      </c>
      <c r="G891">
        <v>994406735</v>
      </c>
      <c r="H891" t="s">
        <v>1415</v>
      </c>
      <c r="I891">
        <v>5906</v>
      </c>
      <c r="J891">
        <v>47.45</v>
      </c>
      <c r="K891">
        <v>31.79</v>
      </c>
      <c r="L891">
        <v>280239.7</v>
      </c>
      <c r="M891">
        <v>187751.74</v>
      </c>
      <c r="N891">
        <v>92487.96</v>
      </c>
    </row>
    <row r="892" spans="1:14" x14ac:dyDescent="0.3">
      <c r="A892" t="s">
        <v>14</v>
      </c>
      <c r="B892" t="s">
        <v>27</v>
      </c>
      <c r="C892" t="s">
        <v>102</v>
      </c>
      <c r="D892" t="s">
        <v>23</v>
      </c>
      <c r="E892" t="s">
        <v>24</v>
      </c>
      <c r="F892" t="s">
        <v>1350</v>
      </c>
      <c r="G892">
        <v>132069671</v>
      </c>
      <c r="H892" t="s">
        <v>159</v>
      </c>
      <c r="I892">
        <v>1205</v>
      </c>
      <c r="J892">
        <v>81.73</v>
      </c>
      <c r="K892">
        <v>56.67</v>
      </c>
      <c r="L892">
        <v>98484.65</v>
      </c>
      <c r="M892">
        <v>68287.350000000006</v>
      </c>
      <c r="N892">
        <v>30197.3</v>
      </c>
    </row>
    <row r="893" spans="1:14" x14ac:dyDescent="0.3">
      <c r="A893" t="s">
        <v>14</v>
      </c>
      <c r="B893" t="s">
        <v>264</v>
      </c>
      <c r="C893" t="s">
        <v>71</v>
      </c>
      <c r="D893" t="s">
        <v>23</v>
      </c>
      <c r="E893" t="s">
        <v>24</v>
      </c>
      <c r="F893" t="s">
        <v>820</v>
      </c>
      <c r="G893">
        <v>990455090</v>
      </c>
      <c r="H893" t="s">
        <v>659</v>
      </c>
      <c r="I893">
        <v>6526</v>
      </c>
      <c r="J893">
        <v>668.27</v>
      </c>
      <c r="K893">
        <v>502.54</v>
      </c>
      <c r="L893">
        <v>4361130.0199999996</v>
      </c>
      <c r="M893">
        <v>3279576.04</v>
      </c>
      <c r="N893">
        <v>1081553.98</v>
      </c>
    </row>
    <row r="894" spans="1:14" x14ac:dyDescent="0.3">
      <c r="A894" t="s">
        <v>14</v>
      </c>
      <c r="B894" t="s">
        <v>115</v>
      </c>
      <c r="C894" t="s">
        <v>28</v>
      </c>
      <c r="D894" t="s">
        <v>17</v>
      </c>
      <c r="E894" t="s">
        <v>18</v>
      </c>
      <c r="F894" t="s">
        <v>1416</v>
      </c>
      <c r="G894">
        <v>445952498</v>
      </c>
      <c r="H894" t="s">
        <v>1417</v>
      </c>
      <c r="I894">
        <v>6109</v>
      </c>
      <c r="J894">
        <v>205.7</v>
      </c>
      <c r="K894">
        <v>117.11</v>
      </c>
      <c r="L894">
        <v>1256621.3</v>
      </c>
      <c r="M894">
        <v>715424.99</v>
      </c>
      <c r="N894">
        <v>541196.31000000006</v>
      </c>
    </row>
    <row r="895" spans="1:14" x14ac:dyDescent="0.3">
      <c r="A895" t="s">
        <v>14</v>
      </c>
      <c r="B895" t="s">
        <v>36</v>
      </c>
      <c r="C895" t="s">
        <v>32</v>
      </c>
      <c r="D895" t="s">
        <v>17</v>
      </c>
      <c r="E895" t="s">
        <v>24</v>
      </c>
      <c r="F895" t="s">
        <v>1418</v>
      </c>
      <c r="G895">
        <v>628055179</v>
      </c>
      <c r="H895" t="s">
        <v>1419</v>
      </c>
      <c r="I895">
        <v>4339</v>
      </c>
      <c r="J895">
        <v>651.21</v>
      </c>
      <c r="K895">
        <v>524.96</v>
      </c>
      <c r="L895">
        <v>2825600.19</v>
      </c>
      <c r="M895">
        <v>2277801.44</v>
      </c>
      <c r="N895">
        <v>547798.75</v>
      </c>
    </row>
    <row r="896" spans="1:14" x14ac:dyDescent="0.3">
      <c r="A896" t="s">
        <v>14</v>
      </c>
      <c r="B896" t="s">
        <v>97</v>
      </c>
      <c r="C896" t="s">
        <v>102</v>
      </c>
      <c r="D896" t="s">
        <v>23</v>
      </c>
      <c r="E896" t="s">
        <v>18</v>
      </c>
      <c r="F896" t="s">
        <v>134</v>
      </c>
      <c r="G896">
        <v>243391644</v>
      </c>
      <c r="H896" t="s">
        <v>1011</v>
      </c>
      <c r="I896">
        <v>3851</v>
      </c>
      <c r="J896">
        <v>81.73</v>
      </c>
      <c r="K896">
        <v>56.67</v>
      </c>
      <c r="L896">
        <v>314742.23</v>
      </c>
      <c r="M896">
        <v>218236.17</v>
      </c>
      <c r="N896">
        <v>96506.06</v>
      </c>
    </row>
    <row r="897" spans="1:14" x14ac:dyDescent="0.3">
      <c r="A897" t="s">
        <v>14</v>
      </c>
      <c r="B897" t="s">
        <v>74</v>
      </c>
      <c r="C897" t="s">
        <v>22</v>
      </c>
      <c r="D897" t="s">
        <v>23</v>
      </c>
      <c r="E897" t="s">
        <v>54</v>
      </c>
      <c r="F897" t="s">
        <v>1262</v>
      </c>
      <c r="G897">
        <v>823505389</v>
      </c>
      <c r="H897" t="s">
        <v>1420</v>
      </c>
      <c r="I897">
        <v>2400</v>
      </c>
      <c r="J897">
        <v>109.28</v>
      </c>
      <c r="K897">
        <v>35.840000000000003</v>
      </c>
      <c r="L897">
        <v>262272</v>
      </c>
      <c r="M897">
        <v>86016</v>
      </c>
      <c r="N897">
        <v>176256</v>
      </c>
    </row>
    <row r="898" spans="1:14" x14ac:dyDescent="0.3">
      <c r="A898" t="s">
        <v>14</v>
      </c>
      <c r="B898" t="s">
        <v>271</v>
      </c>
      <c r="C898" t="s">
        <v>58</v>
      </c>
      <c r="D898" t="s">
        <v>23</v>
      </c>
      <c r="E898" t="s">
        <v>33</v>
      </c>
      <c r="F898" t="s">
        <v>1421</v>
      </c>
      <c r="G898">
        <v>846413600</v>
      </c>
      <c r="H898" t="s">
        <v>1422</v>
      </c>
      <c r="I898">
        <v>1448</v>
      </c>
      <c r="J898">
        <v>152.58000000000001</v>
      </c>
      <c r="K898">
        <v>97.44</v>
      </c>
      <c r="L898">
        <v>220935.84</v>
      </c>
      <c r="M898">
        <v>141093.12</v>
      </c>
      <c r="N898">
        <v>79842.720000000001</v>
      </c>
    </row>
    <row r="899" spans="1:14" x14ac:dyDescent="0.3">
      <c r="A899" t="s">
        <v>14</v>
      </c>
      <c r="B899" t="s">
        <v>105</v>
      </c>
      <c r="C899" t="s">
        <v>37</v>
      </c>
      <c r="D899" t="s">
        <v>17</v>
      </c>
      <c r="E899" t="s">
        <v>18</v>
      </c>
      <c r="F899" t="s">
        <v>988</v>
      </c>
      <c r="G899">
        <v>850279843</v>
      </c>
      <c r="H899" t="s">
        <v>1388</v>
      </c>
      <c r="I899">
        <v>5556</v>
      </c>
      <c r="J899">
        <v>9.33</v>
      </c>
      <c r="K899">
        <v>6.92</v>
      </c>
      <c r="L899">
        <v>51837.48</v>
      </c>
      <c r="M899">
        <v>38447.519999999997</v>
      </c>
      <c r="N899">
        <v>13389.96</v>
      </c>
    </row>
    <row r="900" spans="1:14" x14ac:dyDescent="0.3">
      <c r="A900" t="s">
        <v>14</v>
      </c>
      <c r="B900" t="s">
        <v>27</v>
      </c>
      <c r="C900" t="s">
        <v>32</v>
      </c>
      <c r="D900" t="s">
        <v>23</v>
      </c>
      <c r="E900" t="s">
        <v>54</v>
      </c>
      <c r="F900" t="s">
        <v>1423</v>
      </c>
      <c r="G900">
        <v>268373954</v>
      </c>
      <c r="H900" t="s">
        <v>1424</v>
      </c>
      <c r="I900">
        <v>6672</v>
      </c>
      <c r="J900">
        <v>651.21</v>
      </c>
      <c r="K900">
        <v>524.96</v>
      </c>
      <c r="L900">
        <v>4344873.12</v>
      </c>
      <c r="M900">
        <v>3502533.12</v>
      </c>
      <c r="N900">
        <v>842340</v>
      </c>
    </row>
    <row r="901" spans="1:14" x14ac:dyDescent="0.3">
      <c r="A901" t="s">
        <v>14</v>
      </c>
      <c r="B901" t="s">
        <v>83</v>
      </c>
      <c r="C901" t="s">
        <v>75</v>
      </c>
      <c r="D901" t="s">
        <v>23</v>
      </c>
      <c r="E901" t="s">
        <v>54</v>
      </c>
      <c r="F901" t="s">
        <v>497</v>
      </c>
      <c r="G901">
        <v>350550401</v>
      </c>
      <c r="H901" t="s">
        <v>773</v>
      </c>
      <c r="I901">
        <v>4508</v>
      </c>
      <c r="J901">
        <v>437.2</v>
      </c>
      <c r="K901">
        <v>263.33</v>
      </c>
      <c r="L901">
        <v>1970897.6</v>
      </c>
      <c r="M901">
        <v>1187091.6399999999</v>
      </c>
      <c r="N901">
        <v>783805.96</v>
      </c>
    </row>
    <row r="902" spans="1:14" x14ac:dyDescent="0.3">
      <c r="A902" t="s">
        <v>14</v>
      </c>
      <c r="B902" t="s">
        <v>61</v>
      </c>
      <c r="C902" t="s">
        <v>102</v>
      </c>
      <c r="D902" t="s">
        <v>23</v>
      </c>
      <c r="E902" t="s">
        <v>18</v>
      </c>
      <c r="F902" t="s">
        <v>1425</v>
      </c>
      <c r="G902">
        <v>293178594</v>
      </c>
      <c r="H902" t="s">
        <v>1426</v>
      </c>
      <c r="I902">
        <v>6916</v>
      </c>
      <c r="J902">
        <v>81.73</v>
      </c>
      <c r="K902">
        <v>56.67</v>
      </c>
      <c r="L902">
        <v>565244.68000000005</v>
      </c>
      <c r="M902">
        <v>391929.72</v>
      </c>
      <c r="N902">
        <v>173314.96</v>
      </c>
    </row>
    <row r="903" spans="1:14" x14ac:dyDescent="0.3">
      <c r="A903" t="s">
        <v>14</v>
      </c>
      <c r="B903" t="s">
        <v>364</v>
      </c>
      <c r="C903" t="s">
        <v>64</v>
      </c>
      <c r="D903" t="s">
        <v>23</v>
      </c>
      <c r="E903" t="s">
        <v>54</v>
      </c>
      <c r="F903" t="s">
        <v>1427</v>
      </c>
      <c r="G903">
        <v>168960559</v>
      </c>
      <c r="H903" t="s">
        <v>1428</v>
      </c>
      <c r="I903">
        <v>8039</v>
      </c>
      <c r="J903">
        <v>255.28</v>
      </c>
      <c r="K903">
        <v>159.41999999999999</v>
      </c>
      <c r="L903">
        <v>2052195.92</v>
      </c>
      <c r="M903">
        <v>1281577.3799999999</v>
      </c>
      <c r="N903">
        <v>770618.54</v>
      </c>
    </row>
    <row r="904" spans="1:14" x14ac:dyDescent="0.3">
      <c r="A904" t="s">
        <v>14</v>
      </c>
      <c r="B904" t="s">
        <v>141</v>
      </c>
      <c r="C904" t="s">
        <v>16</v>
      </c>
      <c r="D904" t="s">
        <v>17</v>
      </c>
      <c r="E904" t="s">
        <v>24</v>
      </c>
      <c r="F904" t="s">
        <v>1429</v>
      </c>
      <c r="G904">
        <v>270358788</v>
      </c>
      <c r="H904" t="s">
        <v>1182</v>
      </c>
      <c r="I904">
        <v>4028</v>
      </c>
      <c r="J904">
        <v>47.45</v>
      </c>
      <c r="K904">
        <v>31.79</v>
      </c>
      <c r="L904">
        <v>191128.6</v>
      </c>
      <c r="M904">
        <v>128050.12</v>
      </c>
      <c r="N904">
        <v>63078.48</v>
      </c>
    </row>
    <row r="905" spans="1:14" x14ac:dyDescent="0.3">
      <c r="A905" t="s">
        <v>14</v>
      </c>
      <c r="B905" t="s">
        <v>185</v>
      </c>
      <c r="C905" t="s">
        <v>102</v>
      </c>
      <c r="D905" t="s">
        <v>17</v>
      </c>
      <c r="E905" t="s">
        <v>24</v>
      </c>
      <c r="F905" t="s">
        <v>980</v>
      </c>
      <c r="G905">
        <v>589842927</v>
      </c>
      <c r="H905" t="s">
        <v>1430</v>
      </c>
      <c r="I905">
        <v>6485</v>
      </c>
      <c r="J905">
        <v>81.73</v>
      </c>
      <c r="K905">
        <v>56.67</v>
      </c>
      <c r="L905">
        <v>530019.05000000005</v>
      </c>
      <c r="M905">
        <v>367504.95</v>
      </c>
      <c r="N905">
        <v>162514.1</v>
      </c>
    </row>
    <row r="906" spans="1:14" x14ac:dyDescent="0.3">
      <c r="A906" t="s">
        <v>14</v>
      </c>
      <c r="B906" t="s">
        <v>89</v>
      </c>
      <c r="C906" t="s">
        <v>28</v>
      </c>
      <c r="D906" t="s">
        <v>17</v>
      </c>
      <c r="E906" t="s">
        <v>18</v>
      </c>
      <c r="F906" t="s">
        <v>333</v>
      </c>
      <c r="G906">
        <v>655328738</v>
      </c>
      <c r="H906" t="s">
        <v>330</v>
      </c>
      <c r="I906">
        <v>5191</v>
      </c>
      <c r="J906">
        <v>205.7</v>
      </c>
      <c r="K906">
        <v>117.11</v>
      </c>
      <c r="L906">
        <v>1067788.7</v>
      </c>
      <c r="M906">
        <v>607918.01</v>
      </c>
      <c r="N906">
        <v>459870.69</v>
      </c>
    </row>
    <row r="907" spans="1:14" x14ac:dyDescent="0.3">
      <c r="A907" t="s">
        <v>14</v>
      </c>
      <c r="B907" t="s">
        <v>141</v>
      </c>
      <c r="C907" t="s">
        <v>46</v>
      </c>
      <c r="D907" t="s">
        <v>23</v>
      </c>
      <c r="E907" t="s">
        <v>24</v>
      </c>
      <c r="F907" t="s">
        <v>1431</v>
      </c>
      <c r="G907">
        <v>406564366</v>
      </c>
      <c r="H907" t="s">
        <v>1269</v>
      </c>
      <c r="I907">
        <v>286</v>
      </c>
      <c r="J907">
        <v>154.06</v>
      </c>
      <c r="K907">
        <v>90.93</v>
      </c>
      <c r="L907">
        <v>44061.16</v>
      </c>
      <c r="M907">
        <v>26005.98</v>
      </c>
      <c r="N907">
        <v>18055.18</v>
      </c>
    </row>
    <row r="908" spans="1:14" x14ac:dyDescent="0.3">
      <c r="A908" t="s">
        <v>14</v>
      </c>
      <c r="B908" t="s">
        <v>166</v>
      </c>
      <c r="C908" t="s">
        <v>22</v>
      </c>
      <c r="D908" t="s">
        <v>23</v>
      </c>
      <c r="E908" t="s">
        <v>54</v>
      </c>
      <c r="F908" t="s">
        <v>1299</v>
      </c>
      <c r="G908">
        <v>374848639</v>
      </c>
      <c r="H908" t="s">
        <v>929</v>
      </c>
      <c r="I908">
        <v>4897</v>
      </c>
      <c r="J908">
        <v>109.28</v>
      </c>
      <c r="K908">
        <v>35.840000000000003</v>
      </c>
      <c r="L908">
        <v>535144.16</v>
      </c>
      <c r="M908">
        <v>175508.48000000001</v>
      </c>
      <c r="N908">
        <v>359635.68</v>
      </c>
    </row>
    <row r="909" spans="1:14" x14ac:dyDescent="0.3">
      <c r="A909" t="s">
        <v>14</v>
      </c>
      <c r="B909" t="s">
        <v>243</v>
      </c>
      <c r="C909" t="s">
        <v>37</v>
      </c>
      <c r="D909" t="s">
        <v>17</v>
      </c>
      <c r="E909" t="s">
        <v>33</v>
      </c>
      <c r="F909" t="s">
        <v>1208</v>
      </c>
      <c r="G909">
        <v>393858420</v>
      </c>
      <c r="H909" t="s">
        <v>1104</v>
      </c>
      <c r="I909">
        <v>314</v>
      </c>
      <c r="J909">
        <v>9.33</v>
      </c>
      <c r="K909">
        <v>6.92</v>
      </c>
      <c r="L909">
        <v>2929.62</v>
      </c>
      <c r="M909">
        <v>2172.88</v>
      </c>
      <c r="N909">
        <v>756.74</v>
      </c>
    </row>
    <row r="910" spans="1:14" x14ac:dyDescent="0.3">
      <c r="A910" t="s">
        <v>14</v>
      </c>
      <c r="B910" t="s">
        <v>100</v>
      </c>
      <c r="C910" t="s">
        <v>16</v>
      </c>
      <c r="D910" t="s">
        <v>23</v>
      </c>
      <c r="E910" t="s">
        <v>18</v>
      </c>
      <c r="F910" t="s">
        <v>1432</v>
      </c>
      <c r="G910">
        <v>435463559</v>
      </c>
      <c r="H910" t="s">
        <v>1327</v>
      </c>
      <c r="I910">
        <v>2199</v>
      </c>
      <c r="J910">
        <v>47.45</v>
      </c>
      <c r="K910">
        <v>31.79</v>
      </c>
      <c r="L910">
        <v>104342.55</v>
      </c>
      <c r="M910">
        <v>69906.210000000006</v>
      </c>
      <c r="N910">
        <v>34436.339999999997</v>
      </c>
    </row>
    <row r="911" spans="1:14" x14ac:dyDescent="0.3">
      <c r="A911" t="s">
        <v>14</v>
      </c>
      <c r="B911" t="s">
        <v>169</v>
      </c>
      <c r="C911" t="s">
        <v>46</v>
      </c>
      <c r="D911" t="s">
        <v>17</v>
      </c>
      <c r="E911" t="s">
        <v>18</v>
      </c>
      <c r="F911" t="s">
        <v>305</v>
      </c>
      <c r="G911">
        <v>284403264</v>
      </c>
      <c r="H911" t="s">
        <v>1191</v>
      </c>
      <c r="I911">
        <v>101</v>
      </c>
      <c r="J911">
        <v>154.06</v>
      </c>
      <c r="K911">
        <v>90.93</v>
      </c>
      <c r="L911">
        <v>15560.06</v>
      </c>
      <c r="M911">
        <v>9183.93</v>
      </c>
      <c r="N911">
        <v>6376.13</v>
      </c>
    </row>
    <row r="912" spans="1:14" x14ac:dyDescent="0.3">
      <c r="A912" t="s">
        <v>14</v>
      </c>
      <c r="B912" t="s">
        <v>342</v>
      </c>
      <c r="C912" t="s">
        <v>102</v>
      </c>
      <c r="D912" t="s">
        <v>23</v>
      </c>
      <c r="E912" t="s">
        <v>33</v>
      </c>
      <c r="F912" t="s">
        <v>1433</v>
      </c>
      <c r="G912">
        <v>917904984</v>
      </c>
      <c r="H912" t="s">
        <v>1434</v>
      </c>
      <c r="I912">
        <v>7338</v>
      </c>
      <c r="J912">
        <v>81.73</v>
      </c>
      <c r="K912">
        <v>56.67</v>
      </c>
      <c r="L912">
        <v>599734.74</v>
      </c>
      <c r="M912">
        <v>415844.46</v>
      </c>
      <c r="N912">
        <v>183890.28</v>
      </c>
    </row>
    <row r="913" spans="1:14" x14ac:dyDescent="0.3">
      <c r="A913" t="s">
        <v>14</v>
      </c>
      <c r="B913" t="s">
        <v>49</v>
      </c>
      <c r="C913" t="s">
        <v>46</v>
      </c>
      <c r="D913" t="s">
        <v>23</v>
      </c>
      <c r="E913" t="s">
        <v>18</v>
      </c>
      <c r="F913" t="s">
        <v>1103</v>
      </c>
      <c r="G913">
        <v>670274865</v>
      </c>
      <c r="H913" t="s">
        <v>150</v>
      </c>
      <c r="I913">
        <v>8082</v>
      </c>
      <c r="J913">
        <v>154.06</v>
      </c>
      <c r="K913">
        <v>90.93</v>
      </c>
      <c r="L913">
        <v>1245112.92</v>
      </c>
      <c r="M913">
        <v>734896.26</v>
      </c>
      <c r="N913">
        <v>510216.66</v>
      </c>
    </row>
    <row r="914" spans="1:14" x14ac:dyDescent="0.3">
      <c r="A914" t="s">
        <v>14</v>
      </c>
      <c r="B914" t="s">
        <v>45</v>
      </c>
      <c r="C914" t="s">
        <v>75</v>
      </c>
      <c r="D914" t="s">
        <v>17</v>
      </c>
      <c r="E914" t="s">
        <v>24</v>
      </c>
      <c r="F914" t="s">
        <v>1435</v>
      </c>
      <c r="G914">
        <v>380684268</v>
      </c>
      <c r="H914" t="s">
        <v>1436</v>
      </c>
      <c r="I914">
        <v>1789</v>
      </c>
      <c r="J914">
        <v>437.2</v>
      </c>
      <c r="K914">
        <v>263.33</v>
      </c>
      <c r="L914">
        <v>782150.8</v>
      </c>
      <c r="M914">
        <v>471097.37</v>
      </c>
      <c r="N914">
        <v>311053.43</v>
      </c>
    </row>
    <row r="915" spans="1:14" x14ac:dyDescent="0.3">
      <c r="A915" t="s">
        <v>14</v>
      </c>
      <c r="B915" t="s">
        <v>342</v>
      </c>
      <c r="C915" t="s">
        <v>102</v>
      </c>
      <c r="D915" t="s">
        <v>17</v>
      </c>
      <c r="E915" t="s">
        <v>54</v>
      </c>
      <c r="F915" t="s">
        <v>1389</v>
      </c>
      <c r="G915">
        <v>264526593</v>
      </c>
      <c r="H915" t="s">
        <v>1437</v>
      </c>
      <c r="I915">
        <v>8152</v>
      </c>
      <c r="J915">
        <v>81.73</v>
      </c>
      <c r="K915">
        <v>56.67</v>
      </c>
      <c r="L915">
        <v>666262.96</v>
      </c>
      <c r="M915">
        <v>461973.84</v>
      </c>
      <c r="N915">
        <v>204289.12</v>
      </c>
    </row>
    <row r="916" spans="1:14" x14ac:dyDescent="0.3">
      <c r="A916" t="s">
        <v>14</v>
      </c>
      <c r="B916" t="s">
        <v>74</v>
      </c>
      <c r="C916" t="s">
        <v>102</v>
      </c>
      <c r="D916" t="s">
        <v>17</v>
      </c>
      <c r="E916" t="s">
        <v>18</v>
      </c>
      <c r="F916" t="s">
        <v>1284</v>
      </c>
      <c r="G916">
        <v>485929429</v>
      </c>
      <c r="H916" t="s">
        <v>1438</v>
      </c>
      <c r="I916">
        <v>6171</v>
      </c>
      <c r="J916">
        <v>81.73</v>
      </c>
      <c r="K916">
        <v>56.67</v>
      </c>
      <c r="L916">
        <v>504355.83</v>
      </c>
      <c r="M916">
        <v>349710.57</v>
      </c>
      <c r="N916">
        <v>154645.26</v>
      </c>
    </row>
    <row r="917" spans="1:14" x14ac:dyDescent="0.3">
      <c r="A917" t="s">
        <v>14</v>
      </c>
      <c r="B917" t="s">
        <v>83</v>
      </c>
      <c r="C917" t="s">
        <v>32</v>
      </c>
      <c r="D917" t="s">
        <v>17</v>
      </c>
      <c r="E917" t="s">
        <v>18</v>
      </c>
      <c r="F917" t="s">
        <v>1439</v>
      </c>
      <c r="G917">
        <v>209736573</v>
      </c>
      <c r="H917" t="s">
        <v>1440</v>
      </c>
      <c r="I917">
        <v>4568</v>
      </c>
      <c r="J917">
        <v>651.21</v>
      </c>
      <c r="K917">
        <v>524.96</v>
      </c>
      <c r="L917">
        <v>2974727.28</v>
      </c>
      <c r="M917">
        <v>2398017.2799999998</v>
      </c>
      <c r="N917">
        <v>576710</v>
      </c>
    </row>
    <row r="918" spans="1:14" x14ac:dyDescent="0.3">
      <c r="A918" t="s">
        <v>14</v>
      </c>
      <c r="B918" t="s">
        <v>57</v>
      </c>
      <c r="C918" t="s">
        <v>32</v>
      </c>
      <c r="D918" t="s">
        <v>17</v>
      </c>
      <c r="E918" t="s">
        <v>24</v>
      </c>
      <c r="F918" t="s">
        <v>1441</v>
      </c>
      <c r="G918">
        <v>233440434</v>
      </c>
      <c r="H918" t="s">
        <v>445</v>
      </c>
      <c r="I918">
        <v>9067</v>
      </c>
      <c r="J918">
        <v>651.21</v>
      </c>
      <c r="K918">
        <v>524.96</v>
      </c>
      <c r="L918">
        <v>5904521.0700000003</v>
      </c>
      <c r="M918">
        <v>4759812.32</v>
      </c>
      <c r="N918">
        <v>1144708.75</v>
      </c>
    </row>
    <row r="919" spans="1:14" x14ac:dyDescent="0.3">
      <c r="A919" t="s">
        <v>14</v>
      </c>
      <c r="B919" t="s">
        <v>27</v>
      </c>
      <c r="C919" t="s">
        <v>46</v>
      </c>
      <c r="D919" t="s">
        <v>17</v>
      </c>
      <c r="E919" t="s">
        <v>33</v>
      </c>
      <c r="F919" t="s">
        <v>711</v>
      </c>
      <c r="G919">
        <v>384483993</v>
      </c>
      <c r="H919" t="s">
        <v>1442</v>
      </c>
      <c r="I919">
        <v>6212</v>
      </c>
      <c r="J919">
        <v>154.06</v>
      </c>
      <c r="K919">
        <v>90.93</v>
      </c>
      <c r="L919">
        <v>957020.72</v>
      </c>
      <c r="M919">
        <v>564857.16</v>
      </c>
      <c r="N919">
        <v>392163.56</v>
      </c>
    </row>
    <row r="920" spans="1:14" x14ac:dyDescent="0.3">
      <c r="A920" t="s">
        <v>14</v>
      </c>
      <c r="B920" t="s">
        <v>264</v>
      </c>
      <c r="C920" t="s">
        <v>16</v>
      </c>
      <c r="D920" t="s">
        <v>23</v>
      </c>
      <c r="E920" t="s">
        <v>54</v>
      </c>
      <c r="F920" t="s">
        <v>663</v>
      </c>
      <c r="G920">
        <v>311921012</v>
      </c>
      <c r="H920" t="s">
        <v>1443</v>
      </c>
      <c r="I920">
        <v>3214</v>
      </c>
      <c r="J920">
        <v>47.45</v>
      </c>
      <c r="K920">
        <v>31.79</v>
      </c>
      <c r="L920">
        <v>152504.29999999999</v>
      </c>
      <c r="M920">
        <v>102173.06</v>
      </c>
      <c r="N920">
        <v>50331.24</v>
      </c>
    </row>
    <row r="921" spans="1:14" x14ac:dyDescent="0.3">
      <c r="A921" t="s">
        <v>14</v>
      </c>
      <c r="B921" t="s">
        <v>49</v>
      </c>
      <c r="C921" t="s">
        <v>64</v>
      </c>
      <c r="D921" t="s">
        <v>23</v>
      </c>
      <c r="E921" t="s">
        <v>33</v>
      </c>
      <c r="F921" t="s">
        <v>606</v>
      </c>
      <c r="G921">
        <v>128003442</v>
      </c>
      <c r="H921" t="s">
        <v>1444</v>
      </c>
      <c r="I921">
        <v>7918</v>
      </c>
      <c r="J921">
        <v>255.28</v>
      </c>
      <c r="K921">
        <v>159.41999999999999</v>
      </c>
      <c r="L921">
        <v>2021307.04</v>
      </c>
      <c r="M921">
        <v>1262287.56</v>
      </c>
      <c r="N921">
        <v>759019.48</v>
      </c>
    </row>
    <row r="922" spans="1:14" x14ac:dyDescent="0.3">
      <c r="A922" t="s">
        <v>14</v>
      </c>
      <c r="B922" t="s">
        <v>185</v>
      </c>
      <c r="C922" t="s">
        <v>16</v>
      </c>
      <c r="D922" t="s">
        <v>17</v>
      </c>
      <c r="E922" t="s">
        <v>18</v>
      </c>
      <c r="F922" t="s">
        <v>1445</v>
      </c>
      <c r="G922">
        <v>981154048</v>
      </c>
      <c r="H922" t="s">
        <v>1446</v>
      </c>
      <c r="I922">
        <v>4141</v>
      </c>
      <c r="J922">
        <v>47.45</v>
      </c>
      <c r="K922">
        <v>31.79</v>
      </c>
      <c r="L922">
        <v>196490.45</v>
      </c>
      <c r="M922">
        <v>131642.39000000001</v>
      </c>
      <c r="N922">
        <v>64848.06</v>
      </c>
    </row>
    <row r="923" spans="1:14" x14ac:dyDescent="0.3">
      <c r="A923" t="s">
        <v>14</v>
      </c>
      <c r="B923" t="s">
        <v>196</v>
      </c>
      <c r="C923" t="s">
        <v>102</v>
      </c>
      <c r="D923" t="s">
        <v>23</v>
      </c>
      <c r="E923" t="s">
        <v>33</v>
      </c>
      <c r="F923" t="s">
        <v>1447</v>
      </c>
      <c r="G923">
        <v>287917602</v>
      </c>
      <c r="H923" t="s">
        <v>203</v>
      </c>
      <c r="I923">
        <v>71</v>
      </c>
      <c r="J923">
        <v>81.73</v>
      </c>
      <c r="K923">
        <v>56.67</v>
      </c>
      <c r="L923">
        <v>5802.83</v>
      </c>
      <c r="M923">
        <v>4023.57</v>
      </c>
      <c r="N923">
        <v>1779.26</v>
      </c>
    </row>
    <row r="924" spans="1:14" x14ac:dyDescent="0.3">
      <c r="A924" t="s">
        <v>14</v>
      </c>
      <c r="B924" t="s">
        <v>105</v>
      </c>
      <c r="C924" t="s">
        <v>58</v>
      </c>
      <c r="D924" t="s">
        <v>17</v>
      </c>
      <c r="E924" t="s">
        <v>33</v>
      </c>
      <c r="F924" t="s">
        <v>1204</v>
      </c>
      <c r="G924">
        <v>548343789</v>
      </c>
      <c r="H924" t="s">
        <v>1448</v>
      </c>
      <c r="I924">
        <v>5967</v>
      </c>
      <c r="J924">
        <v>152.58000000000001</v>
      </c>
      <c r="K924">
        <v>97.44</v>
      </c>
      <c r="L924">
        <v>910444.86</v>
      </c>
      <c r="M924">
        <v>581424.48</v>
      </c>
      <c r="N924">
        <v>329020.38</v>
      </c>
    </row>
    <row r="925" spans="1:14" x14ac:dyDescent="0.3">
      <c r="A925" t="s">
        <v>14</v>
      </c>
      <c r="B925" t="s">
        <v>105</v>
      </c>
      <c r="C925" t="s">
        <v>50</v>
      </c>
      <c r="D925" t="s">
        <v>23</v>
      </c>
      <c r="E925" t="s">
        <v>33</v>
      </c>
      <c r="F925" t="s">
        <v>1353</v>
      </c>
      <c r="G925">
        <v>498089492</v>
      </c>
      <c r="H925" t="s">
        <v>446</v>
      </c>
      <c r="I925">
        <v>4604</v>
      </c>
      <c r="J925">
        <v>421.89</v>
      </c>
      <c r="K925">
        <v>364.69</v>
      </c>
      <c r="L925">
        <v>1942381.56</v>
      </c>
      <c r="M925">
        <v>1679032.76</v>
      </c>
      <c r="N925">
        <v>263348.8</v>
      </c>
    </row>
    <row r="926" spans="1:14" x14ac:dyDescent="0.3">
      <c r="A926" t="s">
        <v>14</v>
      </c>
      <c r="B926" t="s">
        <v>146</v>
      </c>
      <c r="C926" t="s">
        <v>58</v>
      </c>
      <c r="D926" t="s">
        <v>17</v>
      </c>
      <c r="E926" t="s">
        <v>18</v>
      </c>
      <c r="F926" t="s">
        <v>1449</v>
      </c>
      <c r="G926">
        <v>251907765</v>
      </c>
      <c r="H926" t="s">
        <v>66</v>
      </c>
      <c r="I926">
        <v>3961</v>
      </c>
      <c r="J926">
        <v>152.58000000000001</v>
      </c>
      <c r="K926">
        <v>97.44</v>
      </c>
      <c r="L926">
        <v>604369.38</v>
      </c>
      <c r="M926">
        <v>385959.84</v>
      </c>
      <c r="N926">
        <v>218409.54</v>
      </c>
    </row>
    <row r="927" spans="1:14" x14ac:dyDescent="0.3">
      <c r="A927" t="s">
        <v>14</v>
      </c>
      <c r="B927" t="s">
        <v>100</v>
      </c>
      <c r="C927" t="s">
        <v>58</v>
      </c>
      <c r="D927" t="s">
        <v>23</v>
      </c>
      <c r="E927" t="s">
        <v>33</v>
      </c>
      <c r="F927" t="s">
        <v>1450</v>
      </c>
      <c r="G927">
        <v>339999663</v>
      </c>
      <c r="H927" t="s">
        <v>1451</v>
      </c>
      <c r="I927">
        <v>2311</v>
      </c>
      <c r="J927">
        <v>152.58000000000001</v>
      </c>
      <c r="K927">
        <v>97.44</v>
      </c>
      <c r="L927">
        <v>352612.38</v>
      </c>
      <c r="M927">
        <v>225183.84</v>
      </c>
      <c r="N927">
        <v>127428.54</v>
      </c>
    </row>
    <row r="928" spans="1:14" x14ac:dyDescent="0.3">
      <c r="A928" t="s">
        <v>14</v>
      </c>
      <c r="B928" t="s">
        <v>70</v>
      </c>
      <c r="C928" t="s">
        <v>28</v>
      </c>
      <c r="D928" t="s">
        <v>17</v>
      </c>
      <c r="E928" t="s">
        <v>24</v>
      </c>
      <c r="F928" t="s">
        <v>686</v>
      </c>
      <c r="G928">
        <v>958366000</v>
      </c>
      <c r="H928" t="s">
        <v>783</v>
      </c>
      <c r="I928">
        <v>651</v>
      </c>
      <c r="J928">
        <v>205.7</v>
      </c>
      <c r="K928">
        <v>117.11</v>
      </c>
      <c r="L928">
        <v>133910.70000000001</v>
      </c>
      <c r="M928">
        <v>76238.61</v>
      </c>
      <c r="N928">
        <v>57672.09</v>
      </c>
    </row>
    <row r="929" spans="1:14" x14ac:dyDescent="0.3">
      <c r="A929" t="s">
        <v>14</v>
      </c>
      <c r="B929" t="s">
        <v>115</v>
      </c>
      <c r="C929" t="s">
        <v>28</v>
      </c>
      <c r="D929" t="s">
        <v>23</v>
      </c>
      <c r="E929" t="s">
        <v>24</v>
      </c>
      <c r="F929" t="s">
        <v>1452</v>
      </c>
      <c r="G929">
        <v>481114327</v>
      </c>
      <c r="H929" t="s">
        <v>1453</v>
      </c>
      <c r="I929">
        <v>1276</v>
      </c>
      <c r="J929">
        <v>205.7</v>
      </c>
      <c r="K929">
        <v>117.11</v>
      </c>
      <c r="L929">
        <v>262473.2</v>
      </c>
      <c r="M929">
        <v>149432.35999999999</v>
      </c>
      <c r="N929">
        <v>113040.84</v>
      </c>
    </row>
    <row r="930" spans="1:14" x14ac:dyDescent="0.3">
      <c r="A930" t="s">
        <v>14</v>
      </c>
      <c r="B930" t="s">
        <v>92</v>
      </c>
      <c r="C930" t="s">
        <v>28</v>
      </c>
      <c r="D930" t="s">
        <v>17</v>
      </c>
      <c r="E930" t="s">
        <v>33</v>
      </c>
      <c r="F930" t="s">
        <v>752</v>
      </c>
      <c r="G930">
        <v>194785726</v>
      </c>
      <c r="H930" t="s">
        <v>1454</v>
      </c>
      <c r="I930">
        <v>280</v>
      </c>
      <c r="J930">
        <v>205.7</v>
      </c>
      <c r="K930">
        <v>117.11</v>
      </c>
      <c r="L930">
        <v>57596</v>
      </c>
      <c r="M930">
        <v>32790.800000000003</v>
      </c>
      <c r="N930">
        <v>24805.200000000001</v>
      </c>
    </row>
    <row r="931" spans="1:14" x14ac:dyDescent="0.3">
      <c r="A931" t="s">
        <v>14</v>
      </c>
      <c r="B931" t="s">
        <v>220</v>
      </c>
      <c r="C931" t="s">
        <v>16</v>
      </c>
      <c r="D931" t="s">
        <v>23</v>
      </c>
      <c r="E931" t="s">
        <v>18</v>
      </c>
      <c r="F931" t="s">
        <v>1455</v>
      </c>
      <c r="G931">
        <v>443544518</v>
      </c>
      <c r="H931" t="s">
        <v>1456</v>
      </c>
      <c r="I931">
        <v>3534</v>
      </c>
      <c r="J931">
        <v>47.45</v>
      </c>
      <c r="K931">
        <v>31.79</v>
      </c>
      <c r="L931">
        <v>167688.29999999999</v>
      </c>
      <c r="M931">
        <v>112345.86</v>
      </c>
      <c r="N931">
        <v>55342.44</v>
      </c>
    </row>
    <row r="932" spans="1:14" x14ac:dyDescent="0.3">
      <c r="A932" t="s">
        <v>14</v>
      </c>
      <c r="B932" t="s">
        <v>61</v>
      </c>
      <c r="C932" t="s">
        <v>22</v>
      </c>
      <c r="D932" t="s">
        <v>23</v>
      </c>
      <c r="E932" t="s">
        <v>54</v>
      </c>
      <c r="F932" t="s">
        <v>1457</v>
      </c>
      <c r="G932">
        <v>467138516</v>
      </c>
      <c r="H932" t="s">
        <v>441</v>
      </c>
      <c r="I932">
        <v>5523</v>
      </c>
      <c r="J932">
        <v>109.28</v>
      </c>
      <c r="K932">
        <v>35.840000000000003</v>
      </c>
      <c r="L932">
        <v>603553.43999999994</v>
      </c>
      <c r="M932">
        <v>197944.32000000001</v>
      </c>
      <c r="N932">
        <v>405609.12</v>
      </c>
    </row>
    <row r="933" spans="1:14" x14ac:dyDescent="0.3">
      <c r="A933" t="s">
        <v>14</v>
      </c>
      <c r="B933" t="s">
        <v>21</v>
      </c>
      <c r="C933" t="s">
        <v>46</v>
      </c>
      <c r="D933" t="s">
        <v>23</v>
      </c>
      <c r="E933" t="s">
        <v>54</v>
      </c>
      <c r="F933" t="s">
        <v>1343</v>
      </c>
      <c r="G933">
        <v>184708344</v>
      </c>
      <c r="H933" t="s">
        <v>673</v>
      </c>
      <c r="I933">
        <v>8159</v>
      </c>
      <c r="J933">
        <v>154.06</v>
      </c>
      <c r="K933">
        <v>90.93</v>
      </c>
      <c r="L933">
        <v>1256975.54</v>
      </c>
      <c r="M933">
        <v>741897.87</v>
      </c>
      <c r="N933">
        <v>515077.67</v>
      </c>
    </row>
    <row r="934" spans="1:14" x14ac:dyDescent="0.3">
      <c r="A934" t="s">
        <v>14</v>
      </c>
      <c r="B934" t="s">
        <v>21</v>
      </c>
      <c r="C934" t="s">
        <v>32</v>
      </c>
      <c r="D934" t="s">
        <v>17</v>
      </c>
      <c r="E934" t="s">
        <v>54</v>
      </c>
      <c r="F934" t="s">
        <v>1035</v>
      </c>
      <c r="G934">
        <v>640394628</v>
      </c>
      <c r="H934" t="s">
        <v>878</v>
      </c>
      <c r="I934">
        <v>5856</v>
      </c>
      <c r="J934">
        <v>651.21</v>
      </c>
      <c r="K934">
        <v>524.96</v>
      </c>
      <c r="L934">
        <v>3813485.76</v>
      </c>
      <c r="M934">
        <v>3074165.76</v>
      </c>
      <c r="N934">
        <v>739320</v>
      </c>
    </row>
    <row r="935" spans="1:14" x14ac:dyDescent="0.3">
      <c r="A935" t="s">
        <v>14</v>
      </c>
      <c r="B935" t="s">
        <v>220</v>
      </c>
      <c r="C935" t="s">
        <v>46</v>
      </c>
      <c r="D935" t="s">
        <v>17</v>
      </c>
      <c r="E935" t="s">
        <v>33</v>
      </c>
      <c r="F935" t="s">
        <v>1383</v>
      </c>
      <c r="G935">
        <v>403337991</v>
      </c>
      <c r="H935" t="s">
        <v>1458</v>
      </c>
      <c r="I935">
        <v>5529</v>
      </c>
      <c r="J935">
        <v>154.06</v>
      </c>
      <c r="K935">
        <v>90.93</v>
      </c>
      <c r="L935">
        <v>851797.74</v>
      </c>
      <c r="M935">
        <v>502751.97</v>
      </c>
      <c r="N935">
        <v>349045.77</v>
      </c>
    </row>
    <row r="936" spans="1:14" x14ac:dyDescent="0.3">
      <c r="A936" t="s">
        <v>14</v>
      </c>
      <c r="B936" t="s">
        <v>220</v>
      </c>
      <c r="C936" t="s">
        <v>46</v>
      </c>
      <c r="D936" t="s">
        <v>23</v>
      </c>
      <c r="E936" t="s">
        <v>18</v>
      </c>
      <c r="F936" t="s">
        <v>473</v>
      </c>
      <c r="G936">
        <v>967679059</v>
      </c>
      <c r="H936" t="s">
        <v>1459</v>
      </c>
      <c r="I936">
        <v>6592</v>
      </c>
      <c r="J936">
        <v>154.06</v>
      </c>
      <c r="K936">
        <v>90.93</v>
      </c>
      <c r="L936">
        <v>1015563.52</v>
      </c>
      <c r="M936">
        <v>599410.56000000006</v>
      </c>
      <c r="N936">
        <v>416152.96</v>
      </c>
    </row>
    <row r="937" spans="1:14" x14ac:dyDescent="0.3">
      <c r="A937" t="s">
        <v>14</v>
      </c>
      <c r="B937" t="s">
        <v>181</v>
      </c>
      <c r="C937" t="s">
        <v>58</v>
      </c>
      <c r="D937" t="s">
        <v>23</v>
      </c>
      <c r="E937" t="s">
        <v>33</v>
      </c>
      <c r="F937" t="s">
        <v>1184</v>
      </c>
      <c r="G937">
        <v>125339686</v>
      </c>
      <c r="H937" t="s">
        <v>291</v>
      </c>
      <c r="I937">
        <v>9653</v>
      </c>
      <c r="J937">
        <v>152.58000000000001</v>
      </c>
      <c r="K937">
        <v>97.44</v>
      </c>
      <c r="L937">
        <v>1472854.74</v>
      </c>
      <c r="M937">
        <v>940588.32</v>
      </c>
      <c r="N937">
        <v>532266.42000000004</v>
      </c>
    </row>
    <row r="938" spans="1:14" x14ac:dyDescent="0.3">
      <c r="A938" t="s">
        <v>14</v>
      </c>
      <c r="B938" t="s">
        <v>232</v>
      </c>
      <c r="C938" t="s">
        <v>102</v>
      </c>
      <c r="D938" t="s">
        <v>17</v>
      </c>
      <c r="E938" t="s">
        <v>24</v>
      </c>
      <c r="F938" t="s">
        <v>1460</v>
      </c>
      <c r="G938">
        <v>396832883</v>
      </c>
      <c r="H938" t="s">
        <v>346</v>
      </c>
      <c r="I938">
        <v>523</v>
      </c>
      <c r="J938">
        <v>81.73</v>
      </c>
      <c r="K938">
        <v>56.67</v>
      </c>
      <c r="L938">
        <v>42744.79</v>
      </c>
      <c r="M938">
        <v>29638.41</v>
      </c>
      <c r="N938">
        <v>13106.38</v>
      </c>
    </row>
    <row r="939" spans="1:14" x14ac:dyDescent="0.3">
      <c r="A939" t="s">
        <v>14</v>
      </c>
      <c r="B939" t="s">
        <v>49</v>
      </c>
      <c r="C939" t="s">
        <v>75</v>
      </c>
      <c r="D939" t="s">
        <v>17</v>
      </c>
      <c r="E939" t="s">
        <v>24</v>
      </c>
      <c r="F939" t="s">
        <v>1131</v>
      </c>
      <c r="G939">
        <v>209445178</v>
      </c>
      <c r="H939" t="s">
        <v>1461</v>
      </c>
      <c r="I939">
        <v>8337</v>
      </c>
      <c r="J939">
        <v>437.2</v>
      </c>
      <c r="K939">
        <v>263.33</v>
      </c>
      <c r="L939">
        <v>3644936.4</v>
      </c>
      <c r="M939">
        <v>2195382.21</v>
      </c>
      <c r="N939">
        <v>1449554.19</v>
      </c>
    </row>
    <row r="940" spans="1:14" x14ac:dyDescent="0.3">
      <c r="A940" t="s">
        <v>14</v>
      </c>
      <c r="B940" t="s">
        <v>49</v>
      </c>
      <c r="C940" t="s">
        <v>22</v>
      </c>
      <c r="D940" t="s">
        <v>17</v>
      </c>
      <c r="E940" t="s">
        <v>24</v>
      </c>
      <c r="F940" t="s">
        <v>1462</v>
      </c>
      <c r="G940">
        <v>933963048</v>
      </c>
      <c r="H940" t="s">
        <v>864</v>
      </c>
      <c r="I940">
        <v>9275</v>
      </c>
      <c r="J940">
        <v>109.28</v>
      </c>
      <c r="K940">
        <v>35.840000000000003</v>
      </c>
      <c r="L940">
        <v>1013572</v>
      </c>
      <c r="M940">
        <v>332416</v>
      </c>
      <c r="N940">
        <v>681156</v>
      </c>
    </row>
    <row r="941" spans="1:14" x14ac:dyDescent="0.3">
      <c r="A941" t="s">
        <v>14</v>
      </c>
      <c r="B941" t="s">
        <v>183</v>
      </c>
      <c r="C941" t="s">
        <v>28</v>
      </c>
      <c r="D941" t="s">
        <v>23</v>
      </c>
      <c r="E941" t="s">
        <v>54</v>
      </c>
      <c r="F941" t="s">
        <v>206</v>
      </c>
      <c r="G941">
        <v>587598884</v>
      </c>
      <c r="H941" t="s">
        <v>1451</v>
      </c>
      <c r="I941">
        <v>2422</v>
      </c>
      <c r="J941">
        <v>205.7</v>
      </c>
      <c r="K941">
        <v>117.11</v>
      </c>
      <c r="L941">
        <v>498205.4</v>
      </c>
      <c r="M941">
        <v>283640.42</v>
      </c>
      <c r="N941">
        <v>214564.98</v>
      </c>
    </row>
    <row r="942" spans="1:14" x14ac:dyDescent="0.3">
      <c r="A942" t="s">
        <v>14</v>
      </c>
      <c r="B942" t="s">
        <v>271</v>
      </c>
      <c r="C942" t="s">
        <v>102</v>
      </c>
      <c r="D942" t="s">
        <v>23</v>
      </c>
      <c r="E942" t="s">
        <v>18</v>
      </c>
      <c r="F942" t="s">
        <v>1463</v>
      </c>
      <c r="G942">
        <v>941524302</v>
      </c>
      <c r="H942" t="s">
        <v>1464</v>
      </c>
      <c r="I942">
        <v>6819</v>
      </c>
      <c r="J942">
        <v>81.73</v>
      </c>
      <c r="K942">
        <v>56.67</v>
      </c>
      <c r="L942">
        <v>557316.87</v>
      </c>
      <c r="M942">
        <v>386432.73</v>
      </c>
      <c r="N942">
        <v>170884.14</v>
      </c>
    </row>
    <row r="943" spans="1:14" x14ac:dyDescent="0.3">
      <c r="A943" t="s">
        <v>14</v>
      </c>
      <c r="B943" t="s">
        <v>127</v>
      </c>
      <c r="C943" t="s">
        <v>75</v>
      </c>
      <c r="D943" t="s">
        <v>17</v>
      </c>
      <c r="E943" t="s">
        <v>24</v>
      </c>
      <c r="F943" t="s">
        <v>390</v>
      </c>
      <c r="G943">
        <v>805974042</v>
      </c>
      <c r="H943" t="s">
        <v>1145</v>
      </c>
      <c r="I943">
        <v>4484</v>
      </c>
      <c r="J943">
        <v>437.2</v>
      </c>
      <c r="K943">
        <v>263.33</v>
      </c>
      <c r="L943">
        <v>1960404.8</v>
      </c>
      <c r="M943">
        <v>1180771.72</v>
      </c>
      <c r="N943">
        <v>779633.08</v>
      </c>
    </row>
    <row r="944" spans="1:14" x14ac:dyDescent="0.3">
      <c r="A944" t="s">
        <v>14</v>
      </c>
      <c r="B944" t="s">
        <v>36</v>
      </c>
      <c r="C944" t="s">
        <v>16</v>
      </c>
      <c r="D944" t="s">
        <v>17</v>
      </c>
      <c r="E944" t="s">
        <v>33</v>
      </c>
      <c r="F944" t="s">
        <v>727</v>
      </c>
      <c r="G944">
        <v>217859160</v>
      </c>
      <c r="H944" t="s">
        <v>1465</v>
      </c>
      <c r="I944">
        <v>8222</v>
      </c>
      <c r="J944">
        <v>47.45</v>
      </c>
      <c r="K944">
        <v>31.79</v>
      </c>
      <c r="L944">
        <v>390133.9</v>
      </c>
      <c r="M944">
        <v>261377.38</v>
      </c>
      <c r="N944">
        <v>128756.52</v>
      </c>
    </row>
    <row r="945" spans="1:14" x14ac:dyDescent="0.3">
      <c r="A945" t="s">
        <v>14</v>
      </c>
      <c r="B945" t="s">
        <v>220</v>
      </c>
      <c r="C945" t="s">
        <v>46</v>
      </c>
      <c r="D945" t="s">
        <v>17</v>
      </c>
      <c r="E945" t="s">
        <v>33</v>
      </c>
      <c r="F945" t="s">
        <v>209</v>
      </c>
      <c r="G945">
        <v>727426946</v>
      </c>
      <c r="H945" t="s">
        <v>1466</v>
      </c>
      <c r="I945">
        <v>653</v>
      </c>
      <c r="J945">
        <v>154.06</v>
      </c>
      <c r="K945">
        <v>90.93</v>
      </c>
      <c r="L945">
        <v>100601.18</v>
      </c>
      <c r="M945">
        <v>59377.29</v>
      </c>
      <c r="N945">
        <v>41223.89</v>
      </c>
    </row>
    <row r="946" spans="1:14" x14ac:dyDescent="0.3">
      <c r="A946" t="s">
        <v>14</v>
      </c>
      <c r="B946" t="s">
        <v>57</v>
      </c>
      <c r="C946" t="s">
        <v>37</v>
      </c>
      <c r="D946" t="s">
        <v>17</v>
      </c>
      <c r="E946" t="s">
        <v>24</v>
      </c>
      <c r="F946" t="s">
        <v>1467</v>
      </c>
      <c r="G946">
        <v>187103450</v>
      </c>
      <c r="H946" t="s">
        <v>614</v>
      </c>
      <c r="I946">
        <v>6924</v>
      </c>
      <c r="J946">
        <v>9.33</v>
      </c>
      <c r="K946">
        <v>6.92</v>
      </c>
      <c r="L946">
        <v>64600.92</v>
      </c>
      <c r="M946">
        <v>47914.080000000002</v>
      </c>
      <c r="N946">
        <v>16686.84</v>
      </c>
    </row>
    <row r="947" spans="1:14" x14ac:dyDescent="0.3">
      <c r="A947" t="s">
        <v>14</v>
      </c>
      <c r="B947" t="s">
        <v>342</v>
      </c>
      <c r="C947" t="s">
        <v>28</v>
      </c>
      <c r="D947" t="s">
        <v>23</v>
      </c>
      <c r="E947" t="s">
        <v>54</v>
      </c>
      <c r="F947" t="s">
        <v>1468</v>
      </c>
      <c r="G947">
        <v>572634732</v>
      </c>
      <c r="H947" t="s">
        <v>1469</v>
      </c>
      <c r="I947">
        <v>4197</v>
      </c>
      <c r="J947">
        <v>205.7</v>
      </c>
      <c r="K947">
        <v>117.11</v>
      </c>
      <c r="L947">
        <v>863322.9</v>
      </c>
      <c r="M947">
        <v>491510.67</v>
      </c>
      <c r="N947">
        <v>371812.23</v>
      </c>
    </row>
    <row r="948" spans="1:14" x14ac:dyDescent="0.3">
      <c r="A948" t="s">
        <v>14</v>
      </c>
      <c r="B948" t="s">
        <v>83</v>
      </c>
      <c r="C948" t="s">
        <v>46</v>
      </c>
      <c r="D948" t="s">
        <v>23</v>
      </c>
      <c r="E948" t="s">
        <v>18</v>
      </c>
      <c r="F948" t="s">
        <v>1470</v>
      </c>
      <c r="G948">
        <v>285343968</v>
      </c>
      <c r="H948" t="s">
        <v>1471</v>
      </c>
      <c r="I948">
        <v>8476</v>
      </c>
      <c r="J948">
        <v>154.06</v>
      </c>
      <c r="K948">
        <v>90.93</v>
      </c>
      <c r="L948">
        <v>1305812.56</v>
      </c>
      <c r="M948">
        <v>770722.68</v>
      </c>
      <c r="N948">
        <v>535089.88</v>
      </c>
    </row>
    <row r="949" spans="1:14" x14ac:dyDescent="0.3">
      <c r="A949" t="s">
        <v>14</v>
      </c>
      <c r="B949" t="s">
        <v>97</v>
      </c>
      <c r="C949" t="s">
        <v>46</v>
      </c>
      <c r="D949" t="s">
        <v>17</v>
      </c>
      <c r="E949" t="s">
        <v>24</v>
      </c>
      <c r="F949" t="s">
        <v>717</v>
      </c>
      <c r="G949">
        <v>886763894</v>
      </c>
      <c r="H949" t="s">
        <v>1472</v>
      </c>
      <c r="I949">
        <v>1997</v>
      </c>
      <c r="J949">
        <v>154.06</v>
      </c>
      <c r="K949">
        <v>90.93</v>
      </c>
      <c r="L949">
        <v>307657.82</v>
      </c>
      <c r="M949">
        <v>181587.21</v>
      </c>
      <c r="N949">
        <v>126070.61</v>
      </c>
    </row>
    <row r="950" spans="1:14" x14ac:dyDescent="0.3">
      <c r="A950" t="s">
        <v>14</v>
      </c>
      <c r="B950" t="s">
        <v>146</v>
      </c>
      <c r="C950" t="s">
        <v>16</v>
      </c>
      <c r="D950" t="s">
        <v>17</v>
      </c>
      <c r="E950" t="s">
        <v>18</v>
      </c>
      <c r="F950" t="s">
        <v>26</v>
      </c>
      <c r="G950">
        <v>436606395</v>
      </c>
      <c r="H950" t="s">
        <v>1473</v>
      </c>
      <c r="I950">
        <v>389</v>
      </c>
      <c r="J950">
        <v>47.45</v>
      </c>
      <c r="K950">
        <v>31.79</v>
      </c>
      <c r="L950">
        <v>18458.05</v>
      </c>
      <c r="M950">
        <v>12366.31</v>
      </c>
      <c r="N950">
        <v>6091.74</v>
      </c>
    </row>
    <row r="951" spans="1:14" x14ac:dyDescent="0.3">
      <c r="A951" t="s">
        <v>14</v>
      </c>
      <c r="B951" t="s">
        <v>132</v>
      </c>
      <c r="C951" t="s">
        <v>75</v>
      </c>
      <c r="D951" t="s">
        <v>23</v>
      </c>
      <c r="E951" t="s">
        <v>33</v>
      </c>
      <c r="F951" t="s">
        <v>1147</v>
      </c>
      <c r="G951">
        <v>845738112</v>
      </c>
      <c r="H951" t="s">
        <v>1444</v>
      </c>
      <c r="I951">
        <v>1557</v>
      </c>
      <c r="J951">
        <v>437.2</v>
      </c>
      <c r="K951">
        <v>263.33</v>
      </c>
      <c r="L951">
        <v>680720.4</v>
      </c>
      <c r="M951">
        <v>410004.81</v>
      </c>
      <c r="N951">
        <v>270715.59000000003</v>
      </c>
    </row>
    <row r="952" spans="1:14" x14ac:dyDescent="0.3">
      <c r="A952" t="s">
        <v>14</v>
      </c>
      <c r="B952" t="s">
        <v>264</v>
      </c>
      <c r="C952" t="s">
        <v>37</v>
      </c>
      <c r="D952" t="s">
        <v>23</v>
      </c>
      <c r="E952" t="s">
        <v>18</v>
      </c>
      <c r="F952" t="s">
        <v>1474</v>
      </c>
      <c r="G952">
        <v>669353473</v>
      </c>
      <c r="H952" t="s">
        <v>1475</v>
      </c>
      <c r="I952">
        <v>5422</v>
      </c>
      <c r="J952">
        <v>9.33</v>
      </c>
      <c r="K952">
        <v>6.92</v>
      </c>
      <c r="L952">
        <v>50587.26</v>
      </c>
      <c r="M952">
        <v>37520.239999999998</v>
      </c>
      <c r="N952">
        <v>13067.02</v>
      </c>
    </row>
    <row r="953" spans="1:14" x14ac:dyDescent="0.3">
      <c r="A953" t="s">
        <v>14</v>
      </c>
      <c r="B953" t="s">
        <v>57</v>
      </c>
      <c r="C953" t="s">
        <v>75</v>
      </c>
      <c r="D953" t="s">
        <v>23</v>
      </c>
      <c r="E953" t="s">
        <v>24</v>
      </c>
      <c r="F953" t="s">
        <v>698</v>
      </c>
      <c r="G953">
        <v>147826898</v>
      </c>
      <c r="H953" t="s">
        <v>1138</v>
      </c>
      <c r="I953">
        <v>4119</v>
      </c>
      <c r="J953">
        <v>437.2</v>
      </c>
      <c r="K953">
        <v>263.33</v>
      </c>
      <c r="L953">
        <v>1800826.8</v>
      </c>
      <c r="M953">
        <v>1084656.27</v>
      </c>
      <c r="N953">
        <v>716170.53</v>
      </c>
    </row>
    <row r="954" spans="1:14" x14ac:dyDescent="0.3">
      <c r="A954" t="s">
        <v>14</v>
      </c>
      <c r="B954" t="s">
        <v>166</v>
      </c>
      <c r="C954" t="s">
        <v>75</v>
      </c>
      <c r="D954" t="s">
        <v>23</v>
      </c>
      <c r="E954" t="s">
        <v>18</v>
      </c>
      <c r="F954" t="s">
        <v>1196</v>
      </c>
      <c r="G954">
        <v>832057130</v>
      </c>
      <c r="H954" t="s">
        <v>1319</v>
      </c>
      <c r="I954">
        <v>3050</v>
      </c>
      <c r="J954">
        <v>437.2</v>
      </c>
      <c r="K954">
        <v>263.33</v>
      </c>
      <c r="L954">
        <v>1333460</v>
      </c>
      <c r="M954">
        <v>803156.5</v>
      </c>
      <c r="N954">
        <v>530303.5</v>
      </c>
    </row>
    <row r="955" spans="1:14" x14ac:dyDescent="0.3">
      <c r="A955" t="s">
        <v>14</v>
      </c>
      <c r="B955" t="s">
        <v>138</v>
      </c>
      <c r="C955" t="s">
        <v>32</v>
      </c>
      <c r="D955" t="s">
        <v>23</v>
      </c>
      <c r="E955" t="s">
        <v>54</v>
      </c>
      <c r="F955" t="s">
        <v>1476</v>
      </c>
      <c r="G955">
        <v>212106788</v>
      </c>
      <c r="H955" t="s">
        <v>1477</v>
      </c>
      <c r="I955">
        <v>5967</v>
      </c>
      <c r="J955">
        <v>651.21</v>
      </c>
      <c r="K955">
        <v>524.96</v>
      </c>
      <c r="L955">
        <v>3885770.07</v>
      </c>
      <c r="M955">
        <v>3132436.32</v>
      </c>
      <c r="N955">
        <v>753333.75</v>
      </c>
    </row>
    <row r="956" spans="1:14" x14ac:dyDescent="0.3">
      <c r="A956" t="s">
        <v>14</v>
      </c>
      <c r="B956" t="s">
        <v>70</v>
      </c>
      <c r="C956" t="s">
        <v>102</v>
      </c>
      <c r="D956" t="s">
        <v>23</v>
      </c>
      <c r="E956" t="s">
        <v>24</v>
      </c>
      <c r="F956" t="s">
        <v>1106</v>
      </c>
      <c r="G956">
        <v>371814954</v>
      </c>
      <c r="H956" t="s">
        <v>116</v>
      </c>
      <c r="I956">
        <v>7162</v>
      </c>
      <c r="J956">
        <v>81.73</v>
      </c>
      <c r="K956">
        <v>56.67</v>
      </c>
      <c r="L956">
        <v>585350.26</v>
      </c>
      <c r="M956">
        <v>405870.54</v>
      </c>
      <c r="N956">
        <v>179479.72</v>
      </c>
    </row>
    <row r="957" spans="1:14" x14ac:dyDescent="0.3">
      <c r="A957" t="s">
        <v>14</v>
      </c>
      <c r="B957" t="s">
        <v>271</v>
      </c>
      <c r="C957" t="s">
        <v>37</v>
      </c>
      <c r="D957" t="s">
        <v>23</v>
      </c>
      <c r="E957" t="s">
        <v>33</v>
      </c>
      <c r="F957" t="s">
        <v>1478</v>
      </c>
      <c r="G957">
        <v>548015487</v>
      </c>
      <c r="H957" t="s">
        <v>152</v>
      </c>
      <c r="I957">
        <v>8815</v>
      </c>
      <c r="J957">
        <v>9.33</v>
      </c>
      <c r="K957">
        <v>6.92</v>
      </c>
      <c r="L957">
        <v>82243.95</v>
      </c>
      <c r="M957">
        <v>60999.8</v>
      </c>
      <c r="N957">
        <v>21244.15</v>
      </c>
    </row>
    <row r="958" spans="1:14" x14ac:dyDescent="0.3">
      <c r="A958" t="s">
        <v>14</v>
      </c>
      <c r="B958" t="s">
        <v>166</v>
      </c>
      <c r="C958" t="s">
        <v>46</v>
      </c>
      <c r="D958" t="s">
        <v>17</v>
      </c>
      <c r="E958" t="s">
        <v>24</v>
      </c>
      <c r="F958" t="s">
        <v>1479</v>
      </c>
      <c r="G958">
        <v>305569112</v>
      </c>
      <c r="H958" t="s">
        <v>765</v>
      </c>
      <c r="I958">
        <v>3545</v>
      </c>
      <c r="J958">
        <v>154.06</v>
      </c>
      <c r="K958">
        <v>90.93</v>
      </c>
      <c r="L958">
        <v>546142.69999999995</v>
      </c>
      <c r="M958">
        <v>322346.84999999998</v>
      </c>
      <c r="N958">
        <v>223795.85</v>
      </c>
    </row>
    <row r="959" spans="1:14" x14ac:dyDescent="0.3">
      <c r="A959" t="s">
        <v>14</v>
      </c>
      <c r="B959" t="s">
        <v>243</v>
      </c>
      <c r="C959" t="s">
        <v>58</v>
      </c>
      <c r="D959" t="s">
        <v>17</v>
      </c>
      <c r="E959" t="s">
        <v>18</v>
      </c>
      <c r="F959" t="s">
        <v>585</v>
      </c>
      <c r="G959">
        <v>536095750</v>
      </c>
      <c r="H959" t="s">
        <v>1480</v>
      </c>
      <c r="I959">
        <v>1500</v>
      </c>
      <c r="J959">
        <v>152.58000000000001</v>
      </c>
      <c r="K959">
        <v>97.44</v>
      </c>
      <c r="L959">
        <v>228870</v>
      </c>
      <c r="M959">
        <v>146160</v>
      </c>
      <c r="N959">
        <v>82710</v>
      </c>
    </row>
    <row r="960" spans="1:14" x14ac:dyDescent="0.3">
      <c r="A960" t="s">
        <v>14</v>
      </c>
      <c r="B960" t="s">
        <v>122</v>
      </c>
      <c r="C960" t="s">
        <v>71</v>
      </c>
      <c r="D960" t="s">
        <v>17</v>
      </c>
      <c r="E960" t="s">
        <v>33</v>
      </c>
      <c r="F960" t="s">
        <v>1481</v>
      </c>
      <c r="G960">
        <v>621577537</v>
      </c>
      <c r="H960" t="s">
        <v>1026</v>
      </c>
      <c r="I960">
        <v>7461</v>
      </c>
      <c r="J960">
        <v>668.27</v>
      </c>
      <c r="K960">
        <v>502.54</v>
      </c>
      <c r="L960">
        <v>4985962.47</v>
      </c>
      <c r="M960">
        <v>3749450.94</v>
      </c>
      <c r="N960">
        <v>1236511.53</v>
      </c>
    </row>
    <row r="961" spans="1:14" x14ac:dyDescent="0.3">
      <c r="A961" t="s">
        <v>14</v>
      </c>
      <c r="B961" t="s">
        <v>31</v>
      </c>
      <c r="C961" t="s">
        <v>75</v>
      </c>
      <c r="D961" t="s">
        <v>17</v>
      </c>
      <c r="E961" t="s">
        <v>54</v>
      </c>
      <c r="F961" t="s">
        <v>1482</v>
      </c>
      <c r="G961">
        <v>826968657</v>
      </c>
      <c r="H961" t="s">
        <v>621</v>
      </c>
      <c r="I961">
        <v>7258</v>
      </c>
      <c r="J961">
        <v>437.2</v>
      </c>
      <c r="K961">
        <v>263.33</v>
      </c>
      <c r="L961">
        <v>3173197.6</v>
      </c>
      <c r="M961">
        <v>1911249.14</v>
      </c>
      <c r="N961">
        <v>1261948.46</v>
      </c>
    </row>
    <row r="962" spans="1:14" x14ac:dyDescent="0.3">
      <c r="A962" t="s">
        <v>14</v>
      </c>
      <c r="B962" t="s">
        <v>40</v>
      </c>
      <c r="C962" t="s">
        <v>71</v>
      </c>
      <c r="D962" t="s">
        <v>17</v>
      </c>
      <c r="E962" t="s">
        <v>33</v>
      </c>
      <c r="F962" t="s">
        <v>1483</v>
      </c>
      <c r="G962">
        <v>546544349</v>
      </c>
      <c r="H962" t="s">
        <v>1484</v>
      </c>
      <c r="I962">
        <v>3473</v>
      </c>
      <c r="J962">
        <v>668.27</v>
      </c>
      <c r="K962">
        <v>502.54</v>
      </c>
      <c r="L962">
        <v>2320901.71</v>
      </c>
      <c r="M962">
        <v>1745321.42</v>
      </c>
      <c r="N962">
        <v>575580.29</v>
      </c>
    </row>
    <row r="963" spans="1:14" x14ac:dyDescent="0.3">
      <c r="A963" t="s">
        <v>14</v>
      </c>
      <c r="B963" t="s">
        <v>45</v>
      </c>
      <c r="C963" t="s">
        <v>71</v>
      </c>
      <c r="D963" t="s">
        <v>17</v>
      </c>
      <c r="E963" t="s">
        <v>18</v>
      </c>
      <c r="F963" t="s">
        <v>292</v>
      </c>
      <c r="G963">
        <v>463591134</v>
      </c>
      <c r="H963" t="s">
        <v>788</v>
      </c>
      <c r="I963">
        <v>5773</v>
      </c>
      <c r="J963">
        <v>668.27</v>
      </c>
      <c r="K963">
        <v>502.54</v>
      </c>
      <c r="L963">
        <v>3857922.71</v>
      </c>
      <c r="M963">
        <v>2901163.42</v>
      </c>
      <c r="N963">
        <v>956759.29</v>
      </c>
    </row>
    <row r="964" spans="1:14" x14ac:dyDescent="0.3">
      <c r="A964" t="s">
        <v>14</v>
      </c>
      <c r="B964" t="s">
        <v>181</v>
      </c>
      <c r="C964" t="s">
        <v>32</v>
      </c>
      <c r="D964" t="s">
        <v>17</v>
      </c>
      <c r="E964" t="s">
        <v>18</v>
      </c>
      <c r="F964" t="s">
        <v>165</v>
      </c>
      <c r="G964">
        <v>696839892</v>
      </c>
      <c r="H964" t="s">
        <v>852</v>
      </c>
      <c r="I964">
        <v>9264</v>
      </c>
      <c r="J964">
        <v>651.21</v>
      </c>
      <c r="K964">
        <v>524.96</v>
      </c>
      <c r="L964">
        <v>6032809.4400000004</v>
      </c>
      <c r="M964">
        <v>4863229.4400000004</v>
      </c>
      <c r="N964">
        <v>1169580</v>
      </c>
    </row>
    <row r="965" spans="1:14" x14ac:dyDescent="0.3">
      <c r="A965" t="s">
        <v>14</v>
      </c>
      <c r="B965" t="s">
        <v>94</v>
      </c>
      <c r="C965" t="s">
        <v>102</v>
      </c>
      <c r="D965" t="s">
        <v>17</v>
      </c>
      <c r="E965" t="s">
        <v>24</v>
      </c>
      <c r="F965" t="s">
        <v>1485</v>
      </c>
      <c r="G965">
        <v>509380948</v>
      </c>
      <c r="H965" t="s">
        <v>1486</v>
      </c>
      <c r="I965">
        <v>5997</v>
      </c>
      <c r="J965">
        <v>81.73</v>
      </c>
      <c r="K965">
        <v>56.67</v>
      </c>
      <c r="L965">
        <v>490134.81</v>
      </c>
      <c r="M965">
        <v>339849.99</v>
      </c>
      <c r="N965">
        <v>150284.82</v>
      </c>
    </row>
    <row r="966" spans="1:14" x14ac:dyDescent="0.3">
      <c r="A966" t="s">
        <v>14</v>
      </c>
      <c r="B966" t="s">
        <v>70</v>
      </c>
      <c r="C966" t="s">
        <v>22</v>
      </c>
      <c r="D966" t="s">
        <v>17</v>
      </c>
      <c r="E966" t="s">
        <v>24</v>
      </c>
      <c r="F966" t="s">
        <v>1487</v>
      </c>
      <c r="G966">
        <v>221628844</v>
      </c>
      <c r="H966" t="s">
        <v>1488</v>
      </c>
      <c r="I966">
        <v>3755</v>
      </c>
      <c r="J966">
        <v>109.28</v>
      </c>
      <c r="K966">
        <v>35.840000000000003</v>
      </c>
      <c r="L966">
        <v>410346.4</v>
      </c>
      <c r="M966">
        <v>134579.20000000001</v>
      </c>
      <c r="N966">
        <v>275767.2</v>
      </c>
    </row>
    <row r="967" spans="1:14" x14ac:dyDescent="0.3">
      <c r="A967" t="s">
        <v>14</v>
      </c>
      <c r="B967" t="s">
        <v>36</v>
      </c>
      <c r="C967" t="s">
        <v>16</v>
      </c>
      <c r="D967" t="s">
        <v>23</v>
      </c>
      <c r="E967" t="s">
        <v>54</v>
      </c>
      <c r="F967" t="s">
        <v>1489</v>
      </c>
      <c r="G967">
        <v>650208079</v>
      </c>
      <c r="H967" t="s">
        <v>1372</v>
      </c>
      <c r="I967">
        <v>9875</v>
      </c>
      <c r="J967">
        <v>47.45</v>
      </c>
      <c r="K967">
        <v>31.79</v>
      </c>
      <c r="L967">
        <v>468568.75</v>
      </c>
      <c r="M967">
        <v>313926.25</v>
      </c>
      <c r="N967">
        <v>154642.5</v>
      </c>
    </row>
    <row r="968" spans="1:14" x14ac:dyDescent="0.3">
      <c r="A968" t="s">
        <v>14</v>
      </c>
      <c r="B968" t="s">
        <v>146</v>
      </c>
      <c r="C968" t="s">
        <v>50</v>
      </c>
      <c r="D968" t="s">
        <v>17</v>
      </c>
      <c r="E968" t="s">
        <v>33</v>
      </c>
      <c r="F968" t="s">
        <v>1490</v>
      </c>
      <c r="G968">
        <v>229105556</v>
      </c>
      <c r="H968" t="s">
        <v>1491</v>
      </c>
      <c r="I968">
        <v>6280</v>
      </c>
      <c r="J968">
        <v>421.89</v>
      </c>
      <c r="K968">
        <v>364.69</v>
      </c>
      <c r="L968">
        <v>2649469.2000000002</v>
      </c>
      <c r="M968">
        <v>2290253.2000000002</v>
      </c>
      <c r="N968">
        <v>359216</v>
      </c>
    </row>
    <row r="969" spans="1:14" x14ac:dyDescent="0.3">
      <c r="A969" t="s">
        <v>14</v>
      </c>
      <c r="B969" t="s">
        <v>74</v>
      </c>
      <c r="C969" t="s">
        <v>32</v>
      </c>
      <c r="D969" t="s">
        <v>17</v>
      </c>
      <c r="E969" t="s">
        <v>24</v>
      </c>
      <c r="F969" t="s">
        <v>1492</v>
      </c>
      <c r="G969">
        <v>660481584</v>
      </c>
      <c r="H969" t="s">
        <v>1493</v>
      </c>
      <c r="I969">
        <v>33</v>
      </c>
      <c r="J969">
        <v>651.21</v>
      </c>
      <c r="K969">
        <v>524.96</v>
      </c>
      <c r="L969">
        <v>21489.93</v>
      </c>
      <c r="M969">
        <v>17323.68</v>
      </c>
      <c r="N969">
        <v>4166.25</v>
      </c>
    </row>
    <row r="970" spans="1:14" x14ac:dyDescent="0.3">
      <c r="A970" t="s">
        <v>14</v>
      </c>
      <c r="B970" t="s">
        <v>132</v>
      </c>
      <c r="C970" t="s">
        <v>32</v>
      </c>
      <c r="D970" t="s">
        <v>17</v>
      </c>
      <c r="E970" t="s">
        <v>54</v>
      </c>
      <c r="F970" t="s">
        <v>677</v>
      </c>
      <c r="G970">
        <v>168487203</v>
      </c>
      <c r="H970" t="s">
        <v>1494</v>
      </c>
      <c r="I970">
        <v>7962</v>
      </c>
      <c r="J970">
        <v>651.21</v>
      </c>
      <c r="K970">
        <v>524.96</v>
      </c>
      <c r="L970">
        <v>5184934.0199999996</v>
      </c>
      <c r="M970">
        <v>4179731.52</v>
      </c>
      <c r="N970">
        <v>1005202.5</v>
      </c>
    </row>
    <row r="971" spans="1:14" x14ac:dyDescent="0.3">
      <c r="A971" t="s">
        <v>14</v>
      </c>
      <c r="B971" t="s">
        <v>70</v>
      </c>
      <c r="C971" t="s">
        <v>50</v>
      </c>
      <c r="D971" t="s">
        <v>23</v>
      </c>
      <c r="E971" t="s">
        <v>24</v>
      </c>
      <c r="F971" t="s">
        <v>1164</v>
      </c>
      <c r="G971">
        <v>609952628</v>
      </c>
      <c r="H971" t="s">
        <v>1028</v>
      </c>
      <c r="I971">
        <v>7392</v>
      </c>
      <c r="J971">
        <v>421.89</v>
      </c>
      <c r="K971">
        <v>364.69</v>
      </c>
      <c r="L971">
        <v>3118610.88</v>
      </c>
      <c r="M971">
        <v>2695788.48</v>
      </c>
      <c r="N971">
        <v>422822.40000000002</v>
      </c>
    </row>
    <row r="972" spans="1:14" x14ac:dyDescent="0.3">
      <c r="A972" t="s">
        <v>14</v>
      </c>
      <c r="B972" t="s">
        <v>243</v>
      </c>
      <c r="C972" t="s">
        <v>64</v>
      </c>
      <c r="D972" t="s">
        <v>17</v>
      </c>
      <c r="E972" t="s">
        <v>54</v>
      </c>
      <c r="F972" t="s">
        <v>667</v>
      </c>
      <c r="G972">
        <v>891808593</v>
      </c>
      <c r="H972" t="s">
        <v>1495</v>
      </c>
      <c r="I972">
        <v>4835</v>
      </c>
      <c r="J972">
        <v>255.28</v>
      </c>
      <c r="K972">
        <v>159.41999999999999</v>
      </c>
      <c r="L972">
        <v>1234278.8</v>
      </c>
      <c r="M972">
        <v>770795.7</v>
      </c>
      <c r="N972">
        <v>463483.1</v>
      </c>
    </row>
    <row r="973" spans="1:14" x14ac:dyDescent="0.3">
      <c r="A973" t="s">
        <v>14</v>
      </c>
      <c r="B973" t="s">
        <v>61</v>
      </c>
      <c r="C973" t="s">
        <v>37</v>
      </c>
      <c r="D973" t="s">
        <v>23</v>
      </c>
      <c r="E973" t="s">
        <v>33</v>
      </c>
      <c r="F973" t="s">
        <v>72</v>
      </c>
      <c r="G973">
        <v>765734040</v>
      </c>
      <c r="H973" t="s">
        <v>91</v>
      </c>
      <c r="I973">
        <v>6574</v>
      </c>
      <c r="J973">
        <v>9.33</v>
      </c>
      <c r="K973">
        <v>6.92</v>
      </c>
      <c r="L973">
        <v>61335.42</v>
      </c>
      <c r="M973">
        <v>45492.08</v>
      </c>
      <c r="N973">
        <v>15843.34</v>
      </c>
    </row>
    <row r="974" spans="1:14" x14ac:dyDescent="0.3">
      <c r="A974" t="s">
        <v>14</v>
      </c>
      <c r="B974" t="s">
        <v>61</v>
      </c>
      <c r="C974" t="s">
        <v>28</v>
      </c>
      <c r="D974" t="s">
        <v>17</v>
      </c>
      <c r="E974" t="s">
        <v>33</v>
      </c>
      <c r="F974" t="s">
        <v>1496</v>
      </c>
      <c r="G974">
        <v>125349128</v>
      </c>
      <c r="H974" t="s">
        <v>1497</v>
      </c>
      <c r="I974">
        <v>2447</v>
      </c>
      <c r="J974">
        <v>205.7</v>
      </c>
      <c r="K974">
        <v>117.11</v>
      </c>
      <c r="L974">
        <v>503347.9</v>
      </c>
      <c r="M974">
        <v>286568.17</v>
      </c>
      <c r="N974">
        <v>216779.73</v>
      </c>
    </row>
    <row r="975" spans="1:14" x14ac:dyDescent="0.3">
      <c r="A975" t="s">
        <v>14</v>
      </c>
      <c r="B975" t="s">
        <v>67</v>
      </c>
      <c r="C975" t="s">
        <v>46</v>
      </c>
      <c r="D975" t="s">
        <v>17</v>
      </c>
      <c r="E975" t="s">
        <v>54</v>
      </c>
      <c r="F975" t="s">
        <v>657</v>
      </c>
      <c r="G975">
        <v>688698422</v>
      </c>
      <c r="H975" t="s">
        <v>1498</v>
      </c>
      <c r="I975">
        <v>22</v>
      </c>
      <c r="J975">
        <v>154.06</v>
      </c>
      <c r="K975">
        <v>90.93</v>
      </c>
      <c r="L975">
        <v>3389.32</v>
      </c>
      <c r="M975">
        <v>2000.46</v>
      </c>
      <c r="N975">
        <v>1388.86</v>
      </c>
    </row>
    <row r="976" spans="1:14" x14ac:dyDescent="0.3">
      <c r="A976" t="s">
        <v>14</v>
      </c>
      <c r="B976" t="s">
        <v>163</v>
      </c>
      <c r="C976" t="s">
        <v>71</v>
      </c>
      <c r="D976" t="s">
        <v>23</v>
      </c>
      <c r="E976" t="s">
        <v>33</v>
      </c>
      <c r="F976" t="s">
        <v>1499</v>
      </c>
      <c r="G976">
        <v>367328155</v>
      </c>
      <c r="H976" t="s">
        <v>524</v>
      </c>
      <c r="I976">
        <v>9419</v>
      </c>
      <c r="J976">
        <v>668.27</v>
      </c>
      <c r="K976">
        <v>502.54</v>
      </c>
      <c r="L976">
        <v>6294435.1299999999</v>
      </c>
      <c r="M976">
        <v>4733424.26</v>
      </c>
      <c r="N976">
        <v>1561010.87</v>
      </c>
    </row>
    <row r="977" spans="1:14" x14ac:dyDescent="0.3">
      <c r="A977" t="s">
        <v>14</v>
      </c>
      <c r="B977" t="s">
        <v>57</v>
      </c>
      <c r="C977" t="s">
        <v>28</v>
      </c>
      <c r="D977" t="s">
        <v>17</v>
      </c>
      <c r="E977" t="s">
        <v>33</v>
      </c>
      <c r="F977" t="s">
        <v>553</v>
      </c>
      <c r="G977">
        <v>495450627</v>
      </c>
      <c r="H977" t="s">
        <v>1500</v>
      </c>
      <c r="I977">
        <v>3705</v>
      </c>
      <c r="J977">
        <v>205.7</v>
      </c>
      <c r="K977">
        <v>117.11</v>
      </c>
      <c r="L977">
        <v>762118.5</v>
      </c>
      <c r="M977">
        <v>433892.55</v>
      </c>
      <c r="N977">
        <v>328225.95</v>
      </c>
    </row>
    <row r="978" spans="1:14" x14ac:dyDescent="0.3">
      <c r="A978" t="s">
        <v>14</v>
      </c>
      <c r="B978" t="s">
        <v>264</v>
      </c>
      <c r="C978" t="s">
        <v>102</v>
      </c>
      <c r="D978" t="s">
        <v>23</v>
      </c>
      <c r="E978" t="s">
        <v>24</v>
      </c>
      <c r="F978" t="s">
        <v>1501</v>
      </c>
      <c r="G978">
        <v>638856971</v>
      </c>
      <c r="H978" t="s">
        <v>1502</v>
      </c>
      <c r="I978">
        <v>829</v>
      </c>
      <c r="J978">
        <v>81.73</v>
      </c>
      <c r="K978">
        <v>56.67</v>
      </c>
      <c r="L978">
        <v>67754.17</v>
      </c>
      <c r="M978">
        <v>46979.43</v>
      </c>
      <c r="N978">
        <v>20774.740000000002</v>
      </c>
    </row>
    <row r="979" spans="1:14" x14ac:dyDescent="0.3">
      <c r="A979" t="s">
        <v>14</v>
      </c>
      <c r="B979" t="s">
        <v>243</v>
      </c>
      <c r="C979" t="s">
        <v>46</v>
      </c>
      <c r="D979" t="s">
        <v>17</v>
      </c>
      <c r="E979" t="s">
        <v>24</v>
      </c>
      <c r="F979" t="s">
        <v>1136</v>
      </c>
      <c r="G979">
        <v>936664998</v>
      </c>
      <c r="H979" t="s">
        <v>1009</v>
      </c>
      <c r="I979">
        <v>8843</v>
      </c>
      <c r="J979">
        <v>154.06</v>
      </c>
      <c r="K979">
        <v>90.93</v>
      </c>
      <c r="L979">
        <v>1362352.58</v>
      </c>
      <c r="M979">
        <v>804093.99</v>
      </c>
      <c r="N979">
        <v>558258.59</v>
      </c>
    </row>
    <row r="980" spans="1:14" x14ac:dyDescent="0.3">
      <c r="A980" t="s">
        <v>14</v>
      </c>
      <c r="B980" t="s">
        <v>57</v>
      </c>
      <c r="C980" t="s">
        <v>75</v>
      </c>
      <c r="D980" t="s">
        <v>17</v>
      </c>
      <c r="E980" t="s">
        <v>18</v>
      </c>
      <c r="F980" t="s">
        <v>1462</v>
      </c>
      <c r="G980">
        <v>695059764</v>
      </c>
      <c r="H980" t="s">
        <v>1398</v>
      </c>
      <c r="I980">
        <v>2485</v>
      </c>
      <c r="J980">
        <v>437.2</v>
      </c>
      <c r="K980">
        <v>263.33</v>
      </c>
      <c r="L980">
        <v>1086442</v>
      </c>
      <c r="M980">
        <v>654375.05000000005</v>
      </c>
      <c r="N980">
        <v>432066.95</v>
      </c>
    </row>
    <row r="981" spans="1:14" x14ac:dyDescent="0.3">
      <c r="A981" t="s">
        <v>14</v>
      </c>
      <c r="B981" t="s">
        <v>264</v>
      </c>
      <c r="C981" t="s">
        <v>16</v>
      </c>
      <c r="D981" t="s">
        <v>23</v>
      </c>
      <c r="E981" t="s">
        <v>54</v>
      </c>
      <c r="F981" t="s">
        <v>1503</v>
      </c>
      <c r="G981">
        <v>681713092</v>
      </c>
      <c r="H981" t="s">
        <v>1504</v>
      </c>
      <c r="I981">
        <v>2908</v>
      </c>
      <c r="J981">
        <v>47.45</v>
      </c>
      <c r="K981">
        <v>31.79</v>
      </c>
      <c r="L981">
        <v>137984.6</v>
      </c>
      <c r="M981">
        <v>92445.32</v>
      </c>
      <c r="N981">
        <v>45539.28</v>
      </c>
    </row>
    <row r="982" spans="1:14" x14ac:dyDescent="0.3">
      <c r="A982" t="s">
        <v>14</v>
      </c>
      <c r="B982" t="s">
        <v>127</v>
      </c>
      <c r="C982" t="s">
        <v>16</v>
      </c>
      <c r="D982" t="s">
        <v>17</v>
      </c>
      <c r="E982" t="s">
        <v>54</v>
      </c>
      <c r="F982" t="s">
        <v>1147</v>
      </c>
      <c r="G982">
        <v>511155498</v>
      </c>
      <c r="H982" t="s">
        <v>1505</v>
      </c>
      <c r="I982">
        <v>1126</v>
      </c>
      <c r="J982">
        <v>47.45</v>
      </c>
      <c r="K982">
        <v>31.79</v>
      </c>
      <c r="L982">
        <v>53428.7</v>
      </c>
      <c r="M982">
        <v>35795.54</v>
      </c>
      <c r="N982">
        <v>17633.16</v>
      </c>
    </row>
    <row r="983" spans="1:14" x14ac:dyDescent="0.3">
      <c r="A983" t="s">
        <v>14</v>
      </c>
      <c r="B983" t="s">
        <v>163</v>
      </c>
      <c r="C983" t="s">
        <v>102</v>
      </c>
      <c r="D983" t="s">
        <v>23</v>
      </c>
      <c r="E983" t="s">
        <v>54</v>
      </c>
      <c r="F983" t="s">
        <v>1506</v>
      </c>
      <c r="G983">
        <v>762655293</v>
      </c>
      <c r="H983" t="s">
        <v>1507</v>
      </c>
      <c r="I983">
        <v>5504</v>
      </c>
      <c r="J983">
        <v>81.73</v>
      </c>
      <c r="K983">
        <v>56.67</v>
      </c>
      <c r="L983">
        <v>449841.91999999998</v>
      </c>
      <c r="M983">
        <v>311911.67999999999</v>
      </c>
      <c r="N983">
        <v>137930.23999999999</v>
      </c>
    </row>
    <row r="984" spans="1:14" x14ac:dyDescent="0.3">
      <c r="A984" t="s">
        <v>14</v>
      </c>
      <c r="B984" t="s">
        <v>342</v>
      </c>
      <c r="C984" t="s">
        <v>102</v>
      </c>
      <c r="D984" t="s">
        <v>17</v>
      </c>
      <c r="E984" t="s">
        <v>33</v>
      </c>
      <c r="F984" t="s">
        <v>1013</v>
      </c>
      <c r="G984">
        <v>119935786</v>
      </c>
      <c r="H984" t="s">
        <v>1176</v>
      </c>
      <c r="I984">
        <v>519</v>
      </c>
      <c r="J984">
        <v>81.73</v>
      </c>
      <c r="K984">
        <v>56.67</v>
      </c>
      <c r="L984">
        <v>42417.87</v>
      </c>
      <c r="M984">
        <v>29411.73</v>
      </c>
      <c r="N984">
        <v>13006.14</v>
      </c>
    </row>
    <row r="985" spans="1:14" x14ac:dyDescent="0.3">
      <c r="A985" t="s">
        <v>14</v>
      </c>
      <c r="B985" t="s">
        <v>15</v>
      </c>
      <c r="C985" t="s">
        <v>58</v>
      </c>
      <c r="D985" t="s">
        <v>23</v>
      </c>
      <c r="E985" t="s">
        <v>24</v>
      </c>
      <c r="F985" t="s">
        <v>1508</v>
      </c>
      <c r="G985">
        <v>755605590</v>
      </c>
      <c r="H985" t="s">
        <v>590</v>
      </c>
      <c r="I985">
        <v>9340</v>
      </c>
      <c r="J985">
        <v>152.58000000000001</v>
      </c>
      <c r="K985">
        <v>97.44</v>
      </c>
      <c r="L985">
        <v>1425097.2</v>
      </c>
      <c r="M985">
        <v>910089.6</v>
      </c>
      <c r="N985">
        <v>515007.6</v>
      </c>
    </row>
    <row r="986" spans="1:14" x14ac:dyDescent="0.3">
      <c r="A986" t="s">
        <v>14</v>
      </c>
      <c r="B986" t="s">
        <v>146</v>
      </c>
      <c r="C986" t="s">
        <v>50</v>
      </c>
      <c r="D986" t="s">
        <v>23</v>
      </c>
      <c r="E986" t="s">
        <v>24</v>
      </c>
      <c r="F986" t="s">
        <v>1509</v>
      </c>
      <c r="G986">
        <v>907047402</v>
      </c>
      <c r="H986" t="s">
        <v>1063</v>
      </c>
      <c r="I986">
        <v>4338</v>
      </c>
      <c r="J986">
        <v>421.89</v>
      </c>
      <c r="K986">
        <v>364.69</v>
      </c>
      <c r="L986">
        <v>1830158.82</v>
      </c>
      <c r="M986">
        <v>1582025.22</v>
      </c>
      <c r="N986">
        <v>248133.6</v>
      </c>
    </row>
    <row r="987" spans="1:14" x14ac:dyDescent="0.3">
      <c r="A987" t="s">
        <v>14</v>
      </c>
      <c r="B987" t="s">
        <v>115</v>
      </c>
      <c r="C987" t="s">
        <v>37</v>
      </c>
      <c r="D987" t="s">
        <v>17</v>
      </c>
      <c r="E987" t="s">
        <v>33</v>
      </c>
      <c r="F987" t="s">
        <v>1510</v>
      </c>
      <c r="G987">
        <v>638937652</v>
      </c>
      <c r="H987" t="s">
        <v>734</v>
      </c>
      <c r="I987">
        <v>4705</v>
      </c>
      <c r="J987">
        <v>9.33</v>
      </c>
      <c r="K987">
        <v>6.92</v>
      </c>
      <c r="L987">
        <v>43897.65</v>
      </c>
      <c r="M987">
        <v>32558.6</v>
      </c>
      <c r="N987">
        <v>11339.05</v>
      </c>
    </row>
    <row r="988" spans="1:14" x14ac:dyDescent="0.3">
      <c r="A988" t="s">
        <v>14</v>
      </c>
      <c r="B988" t="s">
        <v>163</v>
      </c>
      <c r="C988" t="s">
        <v>28</v>
      </c>
      <c r="D988" t="s">
        <v>17</v>
      </c>
      <c r="E988" t="s">
        <v>54</v>
      </c>
      <c r="F988" t="s">
        <v>1085</v>
      </c>
      <c r="G988">
        <v>449206340</v>
      </c>
      <c r="H988" t="s">
        <v>791</v>
      </c>
      <c r="I988">
        <v>8993</v>
      </c>
      <c r="J988">
        <v>205.7</v>
      </c>
      <c r="K988">
        <v>117.11</v>
      </c>
      <c r="L988">
        <v>1849860.1</v>
      </c>
      <c r="M988">
        <v>1053170.23</v>
      </c>
      <c r="N988">
        <v>796689.87</v>
      </c>
    </row>
    <row r="989" spans="1:14" x14ac:dyDescent="0.3">
      <c r="A989" t="s">
        <v>14</v>
      </c>
      <c r="B989" t="s">
        <v>342</v>
      </c>
      <c r="C989" t="s">
        <v>16</v>
      </c>
      <c r="D989" t="s">
        <v>23</v>
      </c>
      <c r="E989" t="s">
        <v>33</v>
      </c>
      <c r="F989" t="s">
        <v>1511</v>
      </c>
      <c r="G989">
        <v>864071118</v>
      </c>
      <c r="H989" t="s">
        <v>237</v>
      </c>
      <c r="I989">
        <v>6700</v>
      </c>
      <c r="J989">
        <v>47.45</v>
      </c>
      <c r="K989">
        <v>31.79</v>
      </c>
      <c r="L989">
        <v>317915</v>
      </c>
      <c r="M989">
        <v>212993</v>
      </c>
      <c r="N989">
        <v>104922</v>
      </c>
    </row>
    <row r="990" spans="1:14" x14ac:dyDescent="0.3">
      <c r="A990" t="s">
        <v>14</v>
      </c>
      <c r="B990" t="s">
        <v>70</v>
      </c>
      <c r="C990" t="s">
        <v>32</v>
      </c>
      <c r="D990" t="s">
        <v>23</v>
      </c>
      <c r="E990" t="s">
        <v>18</v>
      </c>
      <c r="F990" t="s">
        <v>718</v>
      </c>
      <c r="G990">
        <v>253211104</v>
      </c>
      <c r="H990" t="s">
        <v>1512</v>
      </c>
      <c r="I990">
        <v>9648</v>
      </c>
      <c r="J990">
        <v>651.21</v>
      </c>
      <c r="K990">
        <v>524.96</v>
      </c>
      <c r="L990">
        <v>6282874.0800000001</v>
      </c>
      <c r="M990">
        <v>5064814.08</v>
      </c>
      <c r="N990">
        <v>1218060</v>
      </c>
    </row>
    <row r="991" spans="1:14" x14ac:dyDescent="0.3">
      <c r="A991" t="s">
        <v>14</v>
      </c>
      <c r="B991" t="s">
        <v>57</v>
      </c>
      <c r="C991" t="s">
        <v>37</v>
      </c>
      <c r="D991" t="s">
        <v>23</v>
      </c>
      <c r="E991" t="s">
        <v>24</v>
      </c>
      <c r="F991" t="s">
        <v>1513</v>
      </c>
      <c r="G991">
        <v>609939754</v>
      </c>
      <c r="H991" t="s">
        <v>820</v>
      </c>
      <c r="I991">
        <v>3582</v>
      </c>
      <c r="J991">
        <v>9.33</v>
      </c>
      <c r="K991">
        <v>6.92</v>
      </c>
      <c r="L991">
        <v>33420.06</v>
      </c>
      <c r="M991">
        <v>24787.439999999999</v>
      </c>
      <c r="N991">
        <v>8632.6200000000008</v>
      </c>
    </row>
    <row r="992" spans="1:14" x14ac:dyDescent="0.3">
      <c r="A992" t="s">
        <v>14</v>
      </c>
      <c r="B992" t="s">
        <v>138</v>
      </c>
      <c r="C992" t="s">
        <v>28</v>
      </c>
      <c r="D992" t="s">
        <v>17</v>
      </c>
      <c r="E992" t="s">
        <v>24</v>
      </c>
      <c r="F992" t="s">
        <v>1514</v>
      </c>
      <c r="G992">
        <v>907691991</v>
      </c>
      <c r="H992" t="s">
        <v>511</v>
      </c>
      <c r="I992">
        <v>5086</v>
      </c>
      <c r="J992">
        <v>205.7</v>
      </c>
      <c r="K992">
        <v>117.11</v>
      </c>
      <c r="L992">
        <v>1046190.2</v>
      </c>
      <c r="M992">
        <v>595621.46</v>
      </c>
      <c r="N992">
        <v>450568.74</v>
      </c>
    </row>
    <row r="993" spans="1:14" x14ac:dyDescent="0.3">
      <c r="A993" t="s">
        <v>14</v>
      </c>
      <c r="B993" t="s">
        <v>364</v>
      </c>
      <c r="C993" t="s">
        <v>37</v>
      </c>
      <c r="D993" t="s">
        <v>17</v>
      </c>
      <c r="E993" t="s">
        <v>18</v>
      </c>
      <c r="F993" t="s">
        <v>1192</v>
      </c>
      <c r="G993">
        <v>460693061</v>
      </c>
      <c r="H993" t="s">
        <v>1515</v>
      </c>
      <c r="I993">
        <v>8169</v>
      </c>
      <c r="J993">
        <v>9.33</v>
      </c>
      <c r="K993">
        <v>6.92</v>
      </c>
      <c r="L993">
        <v>76216.77</v>
      </c>
      <c r="M993">
        <v>56529.48</v>
      </c>
      <c r="N993">
        <v>19687.29</v>
      </c>
    </row>
    <row r="994" spans="1:14" x14ac:dyDescent="0.3">
      <c r="A994" t="s">
        <v>14</v>
      </c>
      <c r="B994" t="s">
        <v>49</v>
      </c>
      <c r="C994" t="s">
        <v>32</v>
      </c>
      <c r="D994" t="s">
        <v>17</v>
      </c>
      <c r="E994" t="s">
        <v>54</v>
      </c>
      <c r="F994" t="s">
        <v>347</v>
      </c>
      <c r="G994">
        <v>424541604</v>
      </c>
      <c r="H994" t="s">
        <v>1516</v>
      </c>
      <c r="I994">
        <v>150</v>
      </c>
      <c r="J994">
        <v>651.21</v>
      </c>
      <c r="K994">
        <v>524.96</v>
      </c>
      <c r="L994">
        <v>97681.5</v>
      </c>
      <c r="M994">
        <v>78744</v>
      </c>
      <c r="N994">
        <v>18937.5</v>
      </c>
    </row>
    <row r="995" spans="1:14" x14ac:dyDescent="0.3">
      <c r="A995" t="s">
        <v>14</v>
      </c>
      <c r="B995" t="s">
        <v>15</v>
      </c>
      <c r="C995" t="s">
        <v>71</v>
      </c>
      <c r="D995" t="s">
        <v>23</v>
      </c>
      <c r="E995" t="s">
        <v>33</v>
      </c>
      <c r="F995" t="s">
        <v>1269</v>
      </c>
      <c r="G995">
        <v>571161448</v>
      </c>
      <c r="H995" t="s">
        <v>1389</v>
      </c>
      <c r="I995">
        <v>8220</v>
      </c>
      <c r="J995">
        <v>668.27</v>
      </c>
      <c r="K995">
        <v>502.54</v>
      </c>
      <c r="L995">
        <v>5493179.4000000004</v>
      </c>
      <c r="M995">
        <v>4130878.8</v>
      </c>
      <c r="N995">
        <v>1362300.6</v>
      </c>
    </row>
    <row r="996" spans="1:14" x14ac:dyDescent="0.3">
      <c r="A996" t="s">
        <v>14</v>
      </c>
      <c r="B996" t="s">
        <v>67</v>
      </c>
      <c r="C996" t="s">
        <v>16</v>
      </c>
      <c r="D996" t="s">
        <v>23</v>
      </c>
      <c r="E996" t="s">
        <v>54</v>
      </c>
      <c r="F996" t="s">
        <v>1124</v>
      </c>
      <c r="G996">
        <v>985039174</v>
      </c>
      <c r="H996" t="s">
        <v>119</v>
      </c>
      <c r="I996">
        <v>3836</v>
      </c>
      <c r="J996">
        <v>47.45</v>
      </c>
      <c r="K996">
        <v>31.79</v>
      </c>
      <c r="L996">
        <v>182018.2</v>
      </c>
      <c r="M996">
        <v>121946.44</v>
      </c>
      <c r="N996">
        <v>60071.76</v>
      </c>
    </row>
    <row r="997" spans="1:14" x14ac:dyDescent="0.3">
      <c r="A997" t="s">
        <v>14</v>
      </c>
      <c r="B997" t="s">
        <v>342</v>
      </c>
      <c r="C997" t="s">
        <v>22</v>
      </c>
      <c r="D997" t="s">
        <v>23</v>
      </c>
      <c r="E997" t="s">
        <v>54</v>
      </c>
      <c r="F997" t="s">
        <v>1517</v>
      </c>
      <c r="G997">
        <v>522323358</v>
      </c>
      <c r="H997" t="s">
        <v>1518</v>
      </c>
      <c r="I997">
        <v>5944</v>
      </c>
      <c r="J997">
        <v>109.28</v>
      </c>
      <c r="K997">
        <v>35.840000000000003</v>
      </c>
      <c r="L997">
        <v>649560.31999999995</v>
      </c>
      <c r="M997">
        <v>213032.95999999999</v>
      </c>
      <c r="N997">
        <v>436527.35999999999</v>
      </c>
    </row>
    <row r="998" spans="1:14" x14ac:dyDescent="0.3">
      <c r="A998" t="s">
        <v>14</v>
      </c>
      <c r="B998" t="s">
        <v>80</v>
      </c>
      <c r="C998" t="s">
        <v>46</v>
      </c>
      <c r="D998" t="s">
        <v>17</v>
      </c>
      <c r="E998" t="s">
        <v>24</v>
      </c>
      <c r="F998" t="s">
        <v>858</v>
      </c>
      <c r="G998">
        <v>486461150</v>
      </c>
      <c r="H998" t="s">
        <v>1519</v>
      </c>
      <c r="I998">
        <v>3519</v>
      </c>
      <c r="J998">
        <v>154.06</v>
      </c>
      <c r="K998">
        <v>90.93</v>
      </c>
      <c r="L998">
        <v>542137.14</v>
      </c>
      <c r="M998">
        <v>319982.67</v>
      </c>
      <c r="N998">
        <v>222154.47</v>
      </c>
    </row>
    <row r="999" spans="1:14" x14ac:dyDescent="0.3">
      <c r="A999" t="s">
        <v>14</v>
      </c>
      <c r="B999" t="s">
        <v>97</v>
      </c>
      <c r="C999" t="s">
        <v>75</v>
      </c>
      <c r="D999" t="s">
        <v>23</v>
      </c>
      <c r="E999" t="s">
        <v>24</v>
      </c>
      <c r="F999" t="s">
        <v>883</v>
      </c>
      <c r="G999">
        <v>949912965</v>
      </c>
      <c r="H999" t="s">
        <v>1520</v>
      </c>
      <c r="I999">
        <v>9210</v>
      </c>
      <c r="J999">
        <v>437.2</v>
      </c>
      <c r="K999">
        <v>263.33</v>
      </c>
      <c r="L999">
        <v>4026612</v>
      </c>
      <c r="M999">
        <v>2425269.2999999998</v>
      </c>
      <c r="N999">
        <v>1601342.7</v>
      </c>
    </row>
    <row r="1000" spans="1:14" x14ac:dyDescent="0.3">
      <c r="A1000" t="s">
        <v>14</v>
      </c>
      <c r="B1000" t="s">
        <v>163</v>
      </c>
      <c r="C1000" t="s">
        <v>37</v>
      </c>
      <c r="D1000" t="s">
        <v>23</v>
      </c>
      <c r="E1000" t="s">
        <v>33</v>
      </c>
      <c r="F1000" t="s">
        <v>1521</v>
      </c>
      <c r="G1000">
        <v>103499639</v>
      </c>
      <c r="H1000" t="s">
        <v>1291</v>
      </c>
      <c r="I1000">
        <v>6698</v>
      </c>
      <c r="J1000">
        <v>9.33</v>
      </c>
      <c r="K1000">
        <v>6.92</v>
      </c>
      <c r="L1000">
        <v>62492.34</v>
      </c>
      <c r="M1000">
        <v>46350.16</v>
      </c>
      <c r="N1000">
        <v>16142.18</v>
      </c>
    </row>
    <row r="1001" spans="1:14" x14ac:dyDescent="0.3">
      <c r="A1001" t="s">
        <v>14</v>
      </c>
      <c r="B1001" t="s">
        <v>243</v>
      </c>
      <c r="C1001" t="s">
        <v>102</v>
      </c>
      <c r="D1001" t="s">
        <v>17</v>
      </c>
      <c r="E1001" t="s">
        <v>18</v>
      </c>
      <c r="F1001" t="s">
        <v>882</v>
      </c>
      <c r="G1001">
        <v>877687728</v>
      </c>
      <c r="H1001" t="s">
        <v>1522</v>
      </c>
      <c r="I1001">
        <v>6158</v>
      </c>
      <c r="J1001">
        <v>81.73</v>
      </c>
      <c r="K1001">
        <v>56.67</v>
      </c>
      <c r="L1001">
        <v>503293.34</v>
      </c>
      <c r="M1001">
        <v>348973.86</v>
      </c>
      <c r="N1001">
        <v>154319.48000000001</v>
      </c>
    </row>
    <row r="1002" spans="1:14" x14ac:dyDescent="0.3">
      <c r="A1002" t="s">
        <v>14</v>
      </c>
      <c r="B1002" t="s">
        <v>183</v>
      </c>
      <c r="C1002" t="s">
        <v>64</v>
      </c>
      <c r="D1002" t="s">
        <v>17</v>
      </c>
      <c r="E1002" t="s">
        <v>54</v>
      </c>
      <c r="F1002" t="s">
        <v>1523</v>
      </c>
      <c r="G1002">
        <v>288073384</v>
      </c>
      <c r="H1002" t="s">
        <v>684</v>
      </c>
      <c r="I1002">
        <v>6171</v>
      </c>
      <c r="J1002">
        <v>255.28</v>
      </c>
      <c r="K1002">
        <v>159.41999999999999</v>
      </c>
      <c r="L1002">
        <v>1575332.88</v>
      </c>
      <c r="M1002">
        <v>983780.82</v>
      </c>
      <c r="N1002">
        <v>591552.06000000006</v>
      </c>
    </row>
    <row r="1003" spans="1:14" x14ac:dyDescent="0.3">
      <c r="A1003" t="s">
        <v>14</v>
      </c>
      <c r="B1003" t="s">
        <v>80</v>
      </c>
      <c r="C1003" t="s">
        <v>71</v>
      </c>
      <c r="D1003" t="s">
        <v>23</v>
      </c>
      <c r="E1003" t="s">
        <v>54</v>
      </c>
      <c r="F1003" t="s">
        <v>1524</v>
      </c>
      <c r="G1003">
        <v>607756221</v>
      </c>
      <c r="H1003" t="s">
        <v>1525</v>
      </c>
      <c r="I1003">
        <v>7426</v>
      </c>
      <c r="J1003">
        <v>668.27</v>
      </c>
      <c r="K1003">
        <v>502.54</v>
      </c>
      <c r="L1003">
        <v>4962573.0199999996</v>
      </c>
      <c r="M1003">
        <v>3731862.04</v>
      </c>
      <c r="N1003">
        <v>1230710.98</v>
      </c>
    </row>
    <row r="1004" spans="1:14" x14ac:dyDescent="0.3">
      <c r="A1004" t="s">
        <v>14</v>
      </c>
      <c r="B1004" t="s">
        <v>92</v>
      </c>
      <c r="C1004" t="s">
        <v>71</v>
      </c>
      <c r="D1004" t="s">
        <v>23</v>
      </c>
      <c r="E1004" t="s">
        <v>54</v>
      </c>
      <c r="F1004" t="s">
        <v>1526</v>
      </c>
      <c r="G1004">
        <v>291179597</v>
      </c>
      <c r="H1004" t="s">
        <v>822</v>
      </c>
      <c r="I1004">
        <v>5368</v>
      </c>
      <c r="J1004">
        <v>668.27</v>
      </c>
      <c r="K1004">
        <v>502.54</v>
      </c>
      <c r="L1004">
        <v>3587273.36</v>
      </c>
      <c r="M1004">
        <v>2697634.72</v>
      </c>
      <c r="N1004">
        <v>889638.64</v>
      </c>
    </row>
    <row r="1005" spans="1:14" x14ac:dyDescent="0.3">
      <c r="A1005" t="s">
        <v>14</v>
      </c>
      <c r="B1005" t="s">
        <v>61</v>
      </c>
      <c r="C1005" t="s">
        <v>37</v>
      </c>
      <c r="D1005" t="s">
        <v>23</v>
      </c>
      <c r="E1005" t="s">
        <v>33</v>
      </c>
      <c r="F1005" t="s">
        <v>171</v>
      </c>
      <c r="G1005">
        <v>875220096</v>
      </c>
      <c r="H1005" t="s">
        <v>1527</v>
      </c>
      <c r="I1005">
        <v>5930</v>
      </c>
      <c r="J1005">
        <v>9.33</v>
      </c>
      <c r="K1005">
        <v>6.92</v>
      </c>
      <c r="L1005">
        <v>55326.9</v>
      </c>
      <c r="M1005">
        <v>41035.599999999999</v>
      </c>
      <c r="N1005">
        <v>14291.3</v>
      </c>
    </row>
    <row r="1006" spans="1:14" x14ac:dyDescent="0.3">
      <c r="A1006" t="s">
        <v>14</v>
      </c>
      <c r="B1006" t="s">
        <v>183</v>
      </c>
      <c r="C1006" t="s">
        <v>71</v>
      </c>
      <c r="D1006" t="s">
        <v>17</v>
      </c>
      <c r="E1006" t="s">
        <v>18</v>
      </c>
      <c r="F1006" t="s">
        <v>1492</v>
      </c>
      <c r="G1006">
        <v>799848306</v>
      </c>
      <c r="H1006" t="s">
        <v>720</v>
      </c>
      <c r="I1006">
        <v>1743</v>
      </c>
      <c r="J1006">
        <v>668.27</v>
      </c>
      <c r="K1006">
        <v>502.54</v>
      </c>
      <c r="L1006">
        <v>1164794.6100000001</v>
      </c>
      <c r="M1006">
        <v>875927.22</v>
      </c>
      <c r="N1006">
        <v>288867.39</v>
      </c>
    </row>
    <row r="1007" spans="1:14" x14ac:dyDescent="0.3">
      <c r="A1007" t="s">
        <v>14</v>
      </c>
      <c r="B1007" t="s">
        <v>15</v>
      </c>
      <c r="C1007" t="s">
        <v>50</v>
      </c>
      <c r="D1007" t="s">
        <v>17</v>
      </c>
      <c r="E1007" t="s">
        <v>24</v>
      </c>
      <c r="F1007" t="s">
        <v>1309</v>
      </c>
      <c r="G1007">
        <v>693583905</v>
      </c>
      <c r="H1007" t="s">
        <v>139</v>
      </c>
      <c r="I1007">
        <v>5745</v>
      </c>
      <c r="J1007">
        <v>421.89</v>
      </c>
      <c r="K1007">
        <v>364.69</v>
      </c>
      <c r="L1007">
        <v>2423758.0499999998</v>
      </c>
      <c r="M1007">
        <v>2095144.05</v>
      </c>
      <c r="N1007">
        <v>328614</v>
      </c>
    </row>
    <row r="1008" spans="1:14" x14ac:dyDescent="0.3">
      <c r="A1008" t="s">
        <v>14</v>
      </c>
      <c r="B1008" t="s">
        <v>169</v>
      </c>
      <c r="C1008" t="s">
        <v>50</v>
      </c>
      <c r="D1008" t="s">
        <v>23</v>
      </c>
      <c r="E1008" t="s">
        <v>18</v>
      </c>
      <c r="F1008" t="s">
        <v>683</v>
      </c>
      <c r="G1008">
        <v>437083184</v>
      </c>
      <c r="H1008" t="s">
        <v>1367</v>
      </c>
      <c r="I1008">
        <v>1482</v>
      </c>
      <c r="J1008">
        <v>421.89</v>
      </c>
      <c r="K1008">
        <v>364.69</v>
      </c>
      <c r="L1008">
        <v>625240.98</v>
      </c>
      <c r="M1008">
        <v>540470.57999999996</v>
      </c>
      <c r="N1008">
        <v>84770.4</v>
      </c>
    </row>
    <row r="1009" spans="1:14" x14ac:dyDescent="0.3">
      <c r="A1009" t="s">
        <v>14</v>
      </c>
      <c r="B1009" t="s">
        <v>181</v>
      </c>
      <c r="C1009" t="s">
        <v>46</v>
      </c>
      <c r="D1009" t="s">
        <v>17</v>
      </c>
      <c r="E1009" t="s">
        <v>18</v>
      </c>
      <c r="F1009" t="s">
        <v>72</v>
      </c>
      <c r="G1009">
        <v>759594142</v>
      </c>
      <c r="H1009" t="s">
        <v>896</v>
      </c>
      <c r="I1009">
        <v>9641</v>
      </c>
      <c r="J1009">
        <v>154.06</v>
      </c>
      <c r="K1009">
        <v>90.93</v>
      </c>
      <c r="L1009">
        <v>1485292.46</v>
      </c>
      <c r="M1009">
        <v>876656.13</v>
      </c>
      <c r="N1009">
        <v>608636.32999999996</v>
      </c>
    </row>
    <row r="1010" spans="1:14" x14ac:dyDescent="0.3">
      <c r="A1010" t="s">
        <v>14</v>
      </c>
      <c r="B1010" t="s">
        <v>127</v>
      </c>
      <c r="C1010" t="s">
        <v>71</v>
      </c>
      <c r="D1010" t="s">
        <v>23</v>
      </c>
      <c r="E1010" t="s">
        <v>33</v>
      </c>
      <c r="F1010" t="s">
        <v>1528</v>
      </c>
      <c r="G1010">
        <v>702815854</v>
      </c>
      <c r="H1010" t="s">
        <v>134</v>
      </c>
      <c r="I1010">
        <v>7684</v>
      </c>
      <c r="J1010">
        <v>668.27</v>
      </c>
      <c r="K1010">
        <v>502.54</v>
      </c>
      <c r="L1010">
        <v>5134986.68</v>
      </c>
      <c r="M1010">
        <v>3861517.36</v>
      </c>
      <c r="N1010">
        <v>1273469.32</v>
      </c>
    </row>
    <row r="1011" spans="1:14" x14ac:dyDescent="0.3">
      <c r="A1011" t="s">
        <v>14</v>
      </c>
      <c r="B1011" t="s">
        <v>169</v>
      </c>
      <c r="C1011" t="s">
        <v>58</v>
      </c>
      <c r="D1011" t="s">
        <v>23</v>
      </c>
      <c r="E1011" t="s">
        <v>18</v>
      </c>
      <c r="F1011" t="s">
        <v>308</v>
      </c>
      <c r="G1011">
        <v>971899354</v>
      </c>
      <c r="H1011" t="s">
        <v>308</v>
      </c>
      <c r="I1011">
        <v>5471</v>
      </c>
      <c r="J1011">
        <v>152.58000000000001</v>
      </c>
      <c r="K1011">
        <v>97.44</v>
      </c>
      <c r="L1011">
        <v>834765.18</v>
      </c>
      <c r="M1011">
        <v>533094.24</v>
      </c>
      <c r="N1011">
        <v>301670.94</v>
      </c>
    </row>
    <row r="1012" spans="1:14" x14ac:dyDescent="0.3">
      <c r="A1012" t="s">
        <v>14</v>
      </c>
      <c r="B1012" t="s">
        <v>15</v>
      </c>
      <c r="C1012" t="s">
        <v>32</v>
      </c>
      <c r="D1012" t="s">
        <v>23</v>
      </c>
      <c r="E1012" t="s">
        <v>24</v>
      </c>
      <c r="F1012" t="s">
        <v>1529</v>
      </c>
      <c r="G1012">
        <v>521681344</v>
      </c>
      <c r="H1012" t="s">
        <v>1530</v>
      </c>
      <c r="I1012">
        <v>5957</v>
      </c>
      <c r="J1012">
        <v>651.21</v>
      </c>
      <c r="K1012">
        <v>524.96</v>
      </c>
      <c r="L1012">
        <v>3879257.97</v>
      </c>
      <c r="M1012">
        <v>3127186.72</v>
      </c>
      <c r="N1012">
        <v>752071.25</v>
      </c>
    </row>
    <row r="1013" spans="1:14" x14ac:dyDescent="0.3">
      <c r="A1013" t="s">
        <v>14</v>
      </c>
      <c r="B1013" t="s">
        <v>223</v>
      </c>
      <c r="C1013" t="s">
        <v>32</v>
      </c>
      <c r="D1013" t="s">
        <v>17</v>
      </c>
      <c r="E1013" t="s">
        <v>33</v>
      </c>
      <c r="F1013" t="s">
        <v>1198</v>
      </c>
      <c r="G1013">
        <v>239554154</v>
      </c>
      <c r="H1013" t="s">
        <v>898</v>
      </c>
      <c r="I1013">
        <v>8253</v>
      </c>
      <c r="J1013">
        <v>651.21</v>
      </c>
      <c r="K1013">
        <v>524.96</v>
      </c>
      <c r="L1013">
        <v>5374436.1299999999</v>
      </c>
      <c r="M1013">
        <v>4332494.88</v>
      </c>
      <c r="N1013">
        <v>1041941.25</v>
      </c>
    </row>
    <row r="1014" spans="1:14" x14ac:dyDescent="0.3">
      <c r="A1014" t="s">
        <v>14</v>
      </c>
      <c r="B1014" t="s">
        <v>138</v>
      </c>
      <c r="C1014" t="s">
        <v>32</v>
      </c>
      <c r="D1014" t="s">
        <v>23</v>
      </c>
      <c r="E1014" t="s">
        <v>24</v>
      </c>
      <c r="F1014" t="s">
        <v>1531</v>
      </c>
      <c r="G1014">
        <v>982566821</v>
      </c>
      <c r="H1014" t="s">
        <v>1397</v>
      </c>
      <c r="I1014">
        <v>2212</v>
      </c>
      <c r="J1014">
        <v>651.21</v>
      </c>
      <c r="K1014">
        <v>524.96</v>
      </c>
      <c r="L1014">
        <v>1440476.52</v>
      </c>
      <c r="M1014">
        <v>1161211.52</v>
      </c>
      <c r="N1014">
        <v>279265</v>
      </c>
    </row>
    <row r="1015" spans="1:14" x14ac:dyDescent="0.3">
      <c r="A1015" t="s">
        <v>14</v>
      </c>
      <c r="B1015" t="s">
        <v>94</v>
      </c>
      <c r="C1015" t="s">
        <v>75</v>
      </c>
      <c r="D1015" t="s">
        <v>23</v>
      </c>
      <c r="E1015" t="s">
        <v>18</v>
      </c>
      <c r="F1015" t="s">
        <v>1532</v>
      </c>
      <c r="G1015">
        <v>887501180</v>
      </c>
      <c r="H1015" t="s">
        <v>963</v>
      </c>
      <c r="I1015">
        <v>176</v>
      </c>
      <c r="J1015">
        <v>437.2</v>
      </c>
      <c r="K1015">
        <v>263.33</v>
      </c>
      <c r="L1015">
        <v>76947.199999999997</v>
      </c>
      <c r="M1015">
        <v>46346.080000000002</v>
      </c>
      <c r="N1015">
        <v>30601.119999999999</v>
      </c>
    </row>
    <row r="1016" spans="1:14" x14ac:dyDescent="0.3">
      <c r="A1016" t="s">
        <v>14</v>
      </c>
      <c r="B1016" t="s">
        <v>181</v>
      </c>
      <c r="C1016" t="s">
        <v>37</v>
      </c>
      <c r="D1016" t="s">
        <v>23</v>
      </c>
      <c r="E1016" t="s">
        <v>54</v>
      </c>
      <c r="F1016" t="s">
        <v>171</v>
      </c>
      <c r="G1016">
        <v>278513133</v>
      </c>
      <c r="H1016" t="s">
        <v>893</v>
      </c>
      <c r="I1016">
        <v>7080</v>
      </c>
      <c r="J1016">
        <v>9.33</v>
      </c>
      <c r="K1016">
        <v>6.92</v>
      </c>
      <c r="L1016">
        <v>66056.399999999994</v>
      </c>
      <c r="M1016">
        <v>48993.599999999999</v>
      </c>
      <c r="N1016">
        <v>17062.8</v>
      </c>
    </row>
    <row r="1017" spans="1:14" x14ac:dyDescent="0.3">
      <c r="A1017" t="s">
        <v>14</v>
      </c>
      <c r="B1017" t="s">
        <v>141</v>
      </c>
      <c r="C1017" t="s">
        <v>64</v>
      </c>
      <c r="D1017" t="s">
        <v>17</v>
      </c>
      <c r="E1017" t="s">
        <v>33</v>
      </c>
      <c r="F1017" t="s">
        <v>1496</v>
      </c>
      <c r="G1017">
        <v>152191388</v>
      </c>
      <c r="H1017" t="s">
        <v>552</v>
      </c>
      <c r="I1017">
        <v>5669</v>
      </c>
      <c r="J1017">
        <v>255.28</v>
      </c>
      <c r="K1017">
        <v>159.41999999999999</v>
      </c>
      <c r="L1017">
        <v>1447182.32</v>
      </c>
      <c r="M1017">
        <v>903751.98</v>
      </c>
      <c r="N1017">
        <v>543430.34</v>
      </c>
    </row>
    <row r="1018" spans="1:14" x14ac:dyDescent="0.3">
      <c r="A1018" t="s">
        <v>14</v>
      </c>
      <c r="B1018" t="s">
        <v>232</v>
      </c>
      <c r="C1018" t="s">
        <v>102</v>
      </c>
      <c r="D1018" t="s">
        <v>17</v>
      </c>
      <c r="E1018" t="s">
        <v>18</v>
      </c>
      <c r="F1018" t="s">
        <v>1092</v>
      </c>
      <c r="G1018">
        <v>309655511</v>
      </c>
      <c r="H1018" t="s">
        <v>1533</v>
      </c>
      <c r="I1018">
        <v>2802</v>
      </c>
      <c r="J1018">
        <v>81.73</v>
      </c>
      <c r="K1018">
        <v>56.67</v>
      </c>
      <c r="L1018">
        <v>229007.46</v>
      </c>
      <c r="M1018">
        <v>158789.34</v>
      </c>
      <c r="N1018">
        <v>70218.12</v>
      </c>
    </row>
    <row r="1019" spans="1:14" x14ac:dyDescent="0.3">
      <c r="A1019" t="s">
        <v>14</v>
      </c>
      <c r="B1019" t="s">
        <v>45</v>
      </c>
      <c r="C1019" t="s">
        <v>50</v>
      </c>
      <c r="D1019" t="s">
        <v>17</v>
      </c>
      <c r="E1019" t="s">
        <v>24</v>
      </c>
      <c r="F1019" t="s">
        <v>516</v>
      </c>
      <c r="G1019">
        <v>469129359</v>
      </c>
      <c r="H1019" t="s">
        <v>1534</v>
      </c>
      <c r="I1019">
        <v>4657</v>
      </c>
      <c r="J1019">
        <v>421.89</v>
      </c>
      <c r="K1019">
        <v>364.69</v>
      </c>
      <c r="L1019">
        <v>1964741.73</v>
      </c>
      <c r="M1019">
        <v>1698361.33</v>
      </c>
      <c r="N1019">
        <v>266380.40000000002</v>
      </c>
    </row>
    <row r="1020" spans="1:14" x14ac:dyDescent="0.3">
      <c r="A1020" t="s">
        <v>14</v>
      </c>
      <c r="B1020" t="s">
        <v>122</v>
      </c>
      <c r="C1020" t="s">
        <v>58</v>
      </c>
      <c r="D1020" t="s">
        <v>23</v>
      </c>
      <c r="E1020" t="s">
        <v>33</v>
      </c>
      <c r="F1020" t="s">
        <v>1535</v>
      </c>
      <c r="G1020">
        <v>951698243</v>
      </c>
      <c r="H1020" t="s">
        <v>214</v>
      </c>
      <c r="I1020">
        <v>7514</v>
      </c>
      <c r="J1020">
        <v>152.58000000000001</v>
      </c>
      <c r="K1020">
        <v>97.44</v>
      </c>
      <c r="L1020">
        <v>1146486.1200000001</v>
      </c>
      <c r="M1020">
        <v>732164.16</v>
      </c>
      <c r="N1020">
        <v>414321.96</v>
      </c>
    </row>
    <row r="1021" spans="1:14" x14ac:dyDescent="0.3">
      <c r="A1021" t="s">
        <v>14</v>
      </c>
      <c r="B1021" t="s">
        <v>100</v>
      </c>
      <c r="C1021" t="s">
        <v>58</v>
      </c>
      <c r="D1021" t="s">
        <v>23</v>
      </c>
      <c r="E1021" t="s">
        <v>33</v>
      </c>
      <c r="F1021" t="s">
        <v>1536</v>
      </c>
      <c r="G1021">
        <v>981808078</v>
      </c>
      <c r="H1021" t="s">
        <v>1537</v>
      </c>
      <c r="I1021">
        <v>7683</v>
      </c>
      <c r="J1021">
        <v>152.58000000000001</v>
      </c>
      <c r="K1021">
        <v>97.44</v>
      </c>
      <c r="L1021">
        <v>1172272.1399999999</v>
      </c>
      <c r="M1021">
        <v>748631.52</v>
      </c>
      <c r="N1021">
        <v>423640.62</v>
      </c>
    </row>
    <row r="1022" spans="1:14" x14ac:dyDescent="0.3">
      <c r="A1022" t="s">
        <v>14</v>
      </c>
      <c r="B1022" t="s">
        <v>105</v>
      </c>
      <c r="C1022" t="s">
        <v>28</v>
      </c>
      <c r="D1022" t="s">
        <v>23</v>
      </c>
      <c r="E1022" t="s">
        <v>24</v>
      </c>
      <c r="F1022" t="s">
        <v>716</v>
      </c>
      <c r="G1022">
        <v>833706796</v>
      </c>
      <c r="H1022" t="s">
        <v>280</v>
      </c>
      <c r="I1022">
        <v>1223</v>
      </c>
      <c r="J1022">
        <v>205.7</v>
      </c>
      <c r="K1022">
        <v>117.11</v>
      </c>
      <c r="L1022">
        <v>251571.1</v>
      </c>
      <c r="M1022">
        <v>143225.53</v>
      </c>
      <c r="N1022">
        <v>108345.57</v>
      </c>
    </row>
    <row r="1023" spans="1:14" x14ac:dyDescent="0.3">
      <c r="A1023" t="s">
        <v>14</v>
      </c>
      <c r="B1023" t="s">
        <v>232</v>
      </c>
      <c r="C1023" t="s">
        <v>32</v>
      </c>
      <c r="D1023" t="s">
        <v>23</v>
      </c>
      <c r="E1023" t="s">
        <v>54</v>
      </c>
      <c r="F1023" t="s">
        <v>1538</v>
      </c>
      <c r="G1023">
        <v>650078475</v>
      </c>
      <c r="H1023" t="s">
        <v>1539</v>
      </c>
      <c r="I1023">
        <v>1522</v>
      </c>
      <c r="J1023">
        <v>651.21</v>
      </c>
      <c r="K1023">
        <v>524.96</v>
      </c>
      <c r="L1023">
        <v>991141.62</v>
      </c>
      <c r="M1023">
        <v>798989.12</v>
      </c>
      <c r="N1023">
        <v>192152.5</v>
      </c>
    </row>
    <row r="1024" spans="1:14" x14ac:dyDescent="0.3">
      <c r="A1024" t="s">
        <v>14</v>
      </c>
      <c r="B1024" t="s">
        <v>169</v>
      </c>
      <c r="C1024" t="s">
        <v>58</v>
      </c>
      <c r="D1024" t="s">
        <v>17</v>
      </c>
      <c r="E1024" t="s">
        <v>54</v>
      </c>
      <c r="F1024" t="s">
        <v>1540</v>
      </c>
      <c r="G1024">
        <v>507531726</v>
      </c>
      <c r="H1024" t="s">
        <v>1541</v>
      </c>
      <c r="I1024">
        <v>8771</v>
      </c>
      <c r="J1024">
        <v>152.58000000000001</v>
      </c>
      <c r="K1024">
        <v>97.44</v>
      </c>
      <c r="L1024">
        <v>1338279.18</v>
      </c>
      <c r="M1024">
        <v>854646.24</v>
      </c>
      <c r="N1024">
        <v>483632.94</v>
      </c>
    </row>
    <row r="1025" spans="1:14" x14ac:dyDescent="0.3">
      <c r="A1025" t="s">
        <v>14</v>
      </c>
      <c r="B1025" t="s">
        <v>67</v>
      </c>
      <c r="C1025" t="s">
        <v>102</v>
      </c>
      <c r="D1025" t="s">
        <v>23</v>
      </c>
      <c r="E1025" t="s">
        <v>18</v>
      </c>
      <c r="F1025" t="s">
        <v>1542</v>
      </c>
      <c r="G1025">
        <v>544741475</v>
      </c>
      <c r="H1025" t="s">
        <v>497</v>
      </c>
      <c r="I1025">
        <v>9963</v>
      </c>
      <c r="J1025">
        <v>81.73</v>
      </c>
      <c r="K1025">
        <v>56.67</v>
      </c>
      <c r="L1025">
        <v>814275.99</v>
      </c>
      <c r="M1025">
        <v>564603.21</v>
      </c>
      <c r="N1025">
        <v>249672.78</v>
      </c>
    </row>
    <row r="1026" spans="1:14" x14ac:dyDescent="0.3">
      <c r="A1026" t="s">
        <v>14</v>
      </c>
      <c r="B1026" t="s">
        <v>185</v>
      </c>
      <c r="C1026" t="s">
        <v>64</v>
      </c>
      <c r="D1026" t="s">
        <v>23</v>
      </c>
      <c r="E1026" t="s">
        <v>54</v>
      </c>
      <c r="F1026" t="s">
        <v>1543</v>
      </c>
      <c r="G1026">
        <v>926826655</v>
      </c>
      <c r="H1026" t="s">
        <v>1544</v>
      </c>
      <c r="I1026">
        <v>7458</v>
      </c>
      <c r="J1026">
        <v>255.28</v>
      </c>
      <c r="K1026">
        <v>159.41999999999999</v>
      </c>
      <c r="L1026">
        <v>1903878.24</v>
      </c>
      <c r="M1026">
        <v>1188954.3600000001</v>
      </c>
      <c r="N1026">
        <v>714923.88</v>
      </c>
    </row>
    <row r="1027" spans="1:14" x14ac:dyDescent="0.3">
      <c r="A1027" t="s">
        <v>14</v>
      </c>
      <c r="B1027" t="s">
        <v>15</v>
      </c>
      <c r="C1027" t="s">
        <v>71</v>
      </c>
      <c r="D1027" t="s">
        <v>23</v>
      </c>
      <c r="E1027" t="s">
        <v>33</v>
      </c>
      <c r="F1027" t="s">
        <v>1545</v>
      </c>
      <c r="G1027">
        <v>759086453</v>
      </c>
      <c r="H1027" t="s">
        <v>1546</v>
      </c>
      <c r="I1027">
        <v>9405</v>
      </c>
      <c r="J1027">
        <v>668.27</v>
      </c>
      <c r="K1027">
        <v>502.54</v>
      </c>
      <c r="L1027">
        <v>6285079.3499999996</v>
      </c>
      <c r="M1027">
        <v>4726388.7</v>
      </c>
      <c r="N1027">
        <v>1558690.65</v>
      </c>
    </row>
    <row r="1028" spans="1:14" x14ac:dyDescent="0.3">
      <c r="A1028" t="s">
        <v>14</v>
      </c>
      <c r="B1028" t="s">
        <v>196</v>
      </c>
      <c r="C1028" t="s">
        <v>64</v>
      </c>
      <c r="D1028" t="s">
        <v>17</v>
      </c>
      <c r="E1028" t="s">
        <v>18</v>
      </c>
      <c r="F1028" t="s">
        <v>1547</v>
      </c>
      <c r="G1028">
        <v>523899209</v>
      </c>
      <c r="H1028" t="s">
        <v>1548</v>
      </c>
      <c r="I1028">
        <v>2273</v>
      </c>
      <c r="J1028">
        <v>255.28</v>
      </c>
      <c r="K1028">
        <v>159.41999999999999</v>
      </c>
      <c r="L1028">
        <v>580251.43999999994</v>
      </c>
      <c r="M1028">
        <v>362361.66</v>
      </c>
      <c r="N1028">
        <v>217889.78</v>
      </c>
    </row>
    <row r="1029" spans="1:14" x14ac:dyDescent="0.3">
      <c r="A1029" t="s">
        <v>14</v>
      </c>
      <c r="B1029" t="s">
        <v>141</v>
      </c>
      <c r="C1029" t="s">
        <v>22</v>
      </c>
      <c r="D1029" t="s">
        <v>23</v>
      </c>
      <c r="E1029" t="s">
        <v>24</v>
      </c>
      <c r="F1029" t="s">
        <v>1549</v>
      </c>
      <c r="G1029">
        <v>647943866</v>
      </c>
      <c r="H1029" t="s">
        <v>1401</v>
      </c>
      <c r="I1029">
        <v>9843</v>
      </c>
      <c r="J1029">
        <v>109.28</v>
      </c>
      <c r="K1029">
        <v>35.840000000000003</v>
      </c>
      <c r="L1029">
        <v>1075643.04</v>
      </c>
      <c r="M1029">
        <v>352773.12</v>
      </c>
      <c r="N1029">
        <v>722869.92</v>
      </c>
    </row>
    <row r="1030" spans="1:14" x14ac:dyDescent="0.3">
      <c r="A1030" t="s">
        <v>14</v>
      </c>
      <c r="B1030" t="s">
        <v>342</v>
      </c>
      <c r="C1030" t="s">
        <v>28</v>
      </c>
      <c r="D1030" t="s">
        <v>17</v>
      </c>
      <c r="E1030" t="s">
        <v>18</v>
      </c>
      <c r="F1030" t="s">
        <v>1550</v>
      </c>
      <c r="G1030">
        <v>812632358</v>
      </c>
      <c r="H1030" t="s">
        <v>1551</v>
      </c>
      <c r="I1030">
        <v>4828</v>
      </c>
      <c r="J1030">
        <v>205.7</v>
      </c>
      <c r="K1030">
        <v>117.11</v>
      </c>
      <c r="L1030">
        <v>993119.6</v>
      </c>
      <c r="M1030">
        <v>565407.07999999996</v>
      </c>
      <c r="N1030">
        <v>427712.52</v>
      </c>
    </row>
    <row r="1031" spans="1:14" x14ac:dyDescent="0.3">
      <c r="A1031" t="s">
        <v>14</v>
      </c>
      <c r="B1031" t="s">
        <v>264</v>
      </c>
      <c r="C1031" t="s">
        <v>75</v>
      </c>
      <c r="D1031" t="s">
        <v>23</v>
      </c>
      <c r="E1031" t="s">
        <v>33</v>
      </c>
      <c r="F1031" t="s">
        <v>1552</v>
      </c>
      <c r="G1031">
        <v>231861150</v>
      </c>
      <c r="H1031" t="s">
        <v>1547</v>
      </c>
      <c r="I1031">
        <v>1722</v>
      </c>
      <c r="J1031">
        <v>437.2</v>
      </c>
      <c r="K1031">
        <v>263.33</v>
      </c>
      <c r="L1031">
        <v>752858.4</v>
      </c>
      <c r="M1031">
        <v>453454.26</v>
      </c>
      <c r="N1031">
        <v>299404.14</v>
      </c>
    </row>
    <row r="1032" spans="1:14" x14ac:dyDescent="0.3">
      <c r="A1032" t="s">
        <v>14</v>
      </c>
      <c r="B1032" t="s">
        <v>220</v>
      </c>
      <c r="C1032" t="s">
        <v>58</v>
      </c>
      <c r="D1032" t="s">
        <v>23</v>
      </c>
      <c r="E1032" t="s">
        <v>24</v>
      </c>
      <c r="F1032" t="s">
        <v>1311</v>
      </c>
      <c r="G1032">
        <v>348080623</v>
      </c>
      <c r="H1032" t="s">
        <v>1553</v>
      </c>
      <c r="I1032">
        <v>3646</v>
      </c>
      <c r="J1032">
        <v>152.58000000000001</v>
      </c>
      <c r="K1032">
        <v>97.44</v>
      </c>
      <c r="L1032">
        <v>556306.68000000005</v>
      </c>
      <c r="M1032">
        <v>355266.24</v>
      </c>
      <c r="N1032">
        <v>201040.44</v>
      </c>
    </row>
    <row r="1033" spans="1:14" x14ac:dyDescent="0.3">
      <c r="A1033" t="s">
        <v>14</v>
      </c>
      <c r="B1033" t="s">
        <v>196</v>
      </c>
      <c r="C1033" t="s">
        <v>32</v>
      </c>
      <c r="D1033" t="s">
        <v>23</v>
      </c>
      <c r="E1033" t="s">
        <v>33</v>
      </c>
      <c r="F1033" t="s">
        <v>1554</v>
      </c>
      <c r="G1033">
        <v>368865811</v>
      </c>
      <c r="H1033" t="s">
        <v>1555</v>
      </c>
      <c r="I1033">
        <v>4445</v>
      </c>
      <c r="J1033">
        <v>651.21</v>
      </c>
      <c r="K1033">
        <v>524.96</v>
      </c>
      <c r="L1033">
        <v>2894628.45</v>
      </c>
      <c r="M1033">
        <v>2333447.2000000002</v>
      </c>
      <c r="N1033">
        <v>561181.25</v>
      </c>
    </row>
    <row r="1034" spans="1:14" x14ac:dyDescent="0.3">
      <c r="A1034" t="s">
        <v>14</v>
      </c>
      <c r="B1034" t="s">
        <v>127</v>
      </c>
      <c r="C1034" t="s">
        <v>102</v>
      </c>
      <c r="D1034" t="s">
        <v>23</v>
      </c>
      <c r="E1034" t="s">
        <v>33</v>
      </c>
      <c r="F1034" t="s">
        <v>352</v>
      </c>
      <c r="G1034">
        <v>478840672</v>
      </c>
      <c r="H1034" t="s">
        <v>1099</v>
      </c>
      <c r="I1034">
        <v>8451</v>
      </c>
      <c r="J1034">
        <v>81.73</v>
      </c>
      <c r="K1034">
        <v>56.67</v>
      </c>
      <c r="L1034">
        <v>690700.23</v>
      </c>
      <c r="M1034">
        <v>478918.17</v>
      </c>
      <c r="N1034">
        <v>211782.06</v>
      </c>
    </row>
    <row r="1035" spans="1:14" x14ac:dyDescent="0.3">
      <c r="A1035" t="s">
        <v>14</v>
      </c>
      <c r="B1035" t="s">
        <v>169</v>
      </c>
      <c r="C1035" t="s">
        <v>28</v>
      </c>
      <c r="D1035" t="s">
        <v>23</v>
      </c>
      <c r="E1035" t="s">
        <v>33</v>
      </c>
      <c r="F1035" t="s">
        <v>1556</v>
      </c>
      <c r="G1035">
        <v>772643411</v>
      </c>
      <c r="H1035" t="s">
        <v>779</v>
      </c>
      <c r="I1035">
        <v>1210</v>
      </c>
      <c r="J1035">
        <v>205.7</v>
      </c>
      <c r="K1035">
        <v>117.11</v>
      </c>
      <c r="L1035">
        <v>248897</v>
      </c>
      <c r="M1035">
        <v>141703.1</v>
      </c>
      <c r="N1035">
        <v>107193.9</v>
      </c>
    </row>
    <row r="1036" spans="1:14" x14ac:dyDescent="0.3">
      <c r="A1036" t="s">
        <v>14</v>
      </c>
      <c r="B1036" t="s">
        <v>89</v>
      </c>
      <c r="C1036" t="s">
        <v>16</v>
      </c>
      <c r="D1036" t="s">
        <v>23</v>
      </c>
      <c r="E1036" t="s">
        <v>24</v>
      </c>
      <c r="F1036" t="s">
        <v>1557</v>
      </c>
      <c r="G1036">
        <v>742843854</v>
      </c>
      <c r="H1036" t="s">
        <v>1558</v>
      </c>
      <c r="I1036">
        <v>2859</v>
      </c>
      <c r="J1036">
        <v>47.45</v>
      </c>
      <c r="K1036">
        <v>31.79</v>
      </c>
      <c r="L1036">
        <v>135659.54999999999</v>
      </c>
      <c r="M1036">
        <v>90887.61</v>
      </c>
      <c r="N1036">
        <v>44771.94</v>
      </c>
    </row>
    <row r="1037" spans="1:14" x14ac:dyDescent="0.3">
      <c r="A1037" t="s">
        <v>14</v>
      </c>
      <c r="B1037" t="s">
        <v>83</v>
      </c>
      <c r="C1037" t="s">
        <v>16</v>
      </c>
      <c r="D1037" t="s">
        <v>17</v>
      </c>
      <c r="E1037" t="s">
        <v>18</v>
      </c>
      <c r="F1037" t="s">
        <v>1234</v>
      </c>
      <c r="G1037">
        <v>308582627</v>
      </c>
      <c r="H1037" t="s">
        <v>408</v>
      </c>
      <c r="I1037">
        <v>5312</v>
      </c>
      <c r="J1037">
        <v>47.45</v>
      </c>
      <c r="K1037">
        <v>31.79</v>
      </c>
      <c r="L1037">
        <v>252054.39999999999</v>
      </c>
      <c r="M1037">
        <v>168868.48000000001</v>
      </c>
      <c r="N1037">
        <v>83185.919999999998</v>
      </c>
    </row>
    <row r="1038" spans="1:14" x14ac:dyDescent="0.3">
      <c r="A1038" t="s">
        <v>14</v>
      </c>
      <c r="B1038" t="s">
        <v>80</v>
      </c>
      <c r="C1038" t="s">
        <v>102</v>
      </c>
      <c r="D1038" t="s">
        <v>23</v>
      </c>
      <c r="E1038" t="s">
        <v>33</v>
      </c>
      <c r="F1038" t="s">
        <v>885</v>
      </c>
      <c r="G1038">
        <v>140499961</v>
      </c>
      <c r="H1038" t="s">
        <v>1559</v>
      </c>
      <c r="I1038">
        <v>5915</v>
      </c>
      <c r="J1038">
        <v>81.73</v>
      </c>
      <c r="K1038">
        <v>56.67</v>
      </c>
      <c r="L1038">
        <v>483432.95</v>
      </c>
      <c r="M1038">
        <v>335203.05</v>
      </c>
      <c r="N1038">
        <v>148229.9</v>
      </c>
    </row>
    <row r="1039" spans="1:14" x14ac:dyDescent="0.3">
      <c r="A1039" t="s">
        <v>14</v>
      </c>
      <c r="B1039" t="s">
        <v>92</v>
      </c>
      <c r="C1039" t="s">
        <v>28</v>
      </c>
      <c r="D1039" t="s">
        <v>23</v>
      </c>
      <c r="E1039" t="s">
        <v>24</v>
      </c>
      <c r="F1039" t="s">
        <v>1560</v>
      </c>
      <c r="G1039">
        <v>856648051</v>
      </c>
      <c r="H1039" t="s">
        <v>549</v>
      </c>
      <c r="I1039">
        <v>50</v>
      </c>
      <c r="J1039">
        <v>205.7</v>
      </c>
      <c r="K1039">
        <v>117.11</v>
      </c>
      <c r="L1039">
        <v>10285</v>
      </c>
      <c r="M1039">
        <v>5855.5</v>
      </c>
      <c r="N1039">
        <v>4429.5</v>
      </c>
    </row>
    <row r="1040" spans="1:14" x14ac:dyDescent="0.3">
      <c r="A1040" t="s">
        <v>14</v>
      </c>
      <c r="B1040" t="s">
        <v>243</v>
      </c>
      <c r="C1040" t="s">
        <v>75</v>
      </c>
      <c r="D1040" t="s">
        <v>17</v>
      </c>
      <c r="E1040" t="s">
        <v>54</v>
      </c>
      <c r="F1040" t="s">
        <v>873</v>
      </c>
      <c r="G1040">
        <v>780899035</v>
      </c>
      <c r="H1040" t="s">
        <v>1561</v>
      </c>
      <c r="I1040">
        <v>4233</v>
      </c>
      <c r="J1040">
        <v>437.2</v>
      </c>
      <c r="K1040">
        <v>263.33</v>
      </c>
      <c r="L1040">
        <v>1850667.6</v>
      </c>
      <c r="M1040">
        <v>1114675.8899999999</v>
      </c>
      <c r="N1040">
        <v>735991.71</v>
      </c>
    </row>
    <row r="1041" spans="1:14" x14ac:dyDescent="0.3">
      <c r="A1041" t="s">
        <v>14</v>
      </c>
      <c r="B1041" t="s">
        <v>110</v>
      </c>
      <c r="C1041" t="s">
        <v>50</v>
      </c>
      <c r="D1041" t="s">
        <v>17</v>
      </c>
      <c r="E1041" t="s">
        <v>33</v>
      </c>
      <c r="F1041" t="s">
        <v>1562</v>
      </c>
      <c r="G1041">
        <v>177147090</v>
      </c>
      <c r="H1041" t="s">
        <v>1563</v>
      </c>
      <c r="I1041">
        <v>615</v>
      </c>
      <c r="J1041">
        <v>421.89</v>
      </c>
      <c r="K1041">
        <v>364.69</v>
      </c>
      <c r="L1041">
        <v>259462.35</v>
      </c>
      <c r="M1041">
        <v>224284.35</v>
      </c>
      <c r="N1041">
        <v>35178</v>
      </c>
    </row>
    <row r="1042" spans="1:14" x14ac:dyDescent="0.3">
      <c r="A1042" t="s">
        <v>14</v>
      </c>
      <c r="B1042" t="s">
        <v>86</v>
      </c>
      <c r="C1042" t="s">
        <v>32</v>
      </c>
      <c r="D1042" t="s">
        <v>17</v>
      </c>
      <c r="E1042" t="s">
        <v>18</v>
      </c>
      <c r="F1042" t="s">
        <v>1564</v>
      </c>
      <c r="G1042">
        <v>775849616</v>
      </c>
      <c r="H1042" t="s">
        <v>990</v>
      </c>
      <c r="I1042">
        <v>9997</v>
      </c>
      <c r="J1042">
        <v>651.21</v>
      </c>
      <c r="K1042">
        <v>524.96</v>
      </c>
      <c r="L1042">
        <v>6510146.3700000001</v>
      </c>
      <c r="M1042">
        <v>5248025.12</v>
      </c>
      <c r="N1042">
        <v>1262121.25</v>
      </c>
    </row>
    <row r="1043" spans="1:14" x14ac:dyDescent="0.3">
      <c r="A1043" t="s">
        <v>14</v>
      </c>
      <c r="B1043" t="s">
        <v>181</v>
      </c>
      <c r="C1043" t="s">
        <v>50</v>
      </c>
      <c r="D1043" t="s">
        <v>23</v>
      </c>
      <c r="E1043" t="s">
        <v>18</v>
      </c>
      <c r="F1043" t="s">
        <v>659</v>
      </c>
      <c r="G1043">
        <v>979200112</v>
      </c>
      <c r="H1043" t="s">
        <v>756</v>
      </c>
      <c r="I1043">
        <v>5928</v>
      </c>
      <c r="J1043">
        <v>421.89</v>
      </c>
      <c r="K1043">
        <v>364.69</v>
      </c>
      <c r="L1043">
        <v>2500963.92</v>
      </c>
      <c r="M1043">
        <v>2161882.3199999998</v>
      </c>
      <c r="N1043">
        <v>339081.6</v>
      </c>
    </row>
    <row r="1044" spans="1:14" x14ac:dyDescent="0.3">
      <c r="A1044" t="s">
        <v>14</v>
      </c>
      <c r="B1044" t="s">
        <v>257</v>
      </c>
      <c r="C1044" t="s">
        <v>58</v>
      </c>
      <c r="D1044" t="s">
        <v>17</v>
      </c>
      <c r="E1044" t="s">
        <v>24</v>
      </c>
      <c r="F1044" t="s">
        <v>117</v>
      </c>
      <c r="G1044">
        <v>429123675</v>
      </c>
      <c r="H1044" t="s">
        <v>1565</v>
      </c>
      <c r="I1044">
        <v>6086</v>
      </c>
      <c r="J1044">
        <v>152.58000000000001</v>
      </c>
      <c r="K1044">
        <v>97.44</v>
      </c>
      <c r="L1044">
        <v>928601.88</v>
      </c>
      <c r="M1044">
        <v>593019.84</v>
      </c>
      <c r="N1044">
        <v>335582.04</v>
      </c>
    </row>
    <row r="1045" spans="1:14" x14ac:dyDescent="0.3">
      <c r="A1045" t="s">
        <v>14</v>
      </c>
      <c r="B1045" t="s">
        <v>61</v>
      </c>
      <c r="C1045" t="s">
        <v>46</v>
      </c>
      <c r="D1045" t="s">
        <v>17</v>
      </c>
      <c r="E1045" t="s">
        <v>33</v>
      </c>
      <c r="F1045" t="s">
        <v>1378</v>
      </c>
      <c r="G1045">
        <v>515771901</v>
      </c>
      <c r="H1045" t="s">
        <v>1566</v>
      </c>
      <c r="I1045">
        <v>7222</v>
      </c>
      <c r="J1045">
        <v>154.06</v>
      </c>
      <c r="K1045">
        <v>90.93</v>
      </c>
      <c r="L1045">
        <v>1112621.32</v>
      </c>
      <c r="M1045">
        <v>656696.46</v>
      </c>
      <c r="N1045">
        <v>455924.86</v>
      </c>
    </row>
    <row r="1046" spans="1:14" x14ac:dyDescent="0.3">
      <c r="A1046" t="s">
        <v>14</v>
      </c>
      <c r="B1046" t="s">
        <v>74</v>
      </c>
      <c r="C1046" t="s">
        <v>28</v>
      </c>
      <c r="D1046" t="s">
        <v>23</v>
      </c>
      <c r="E1046" t="s">
        <v>18</v>
      </c>
      <c r="F1046" t="s">
        <v>1567</v>
      </c>
      <c r="G1046">
        <v>626109397</v>
      </c>
      <c r="H1046" t="s">
        <v>1568</v>
      </c>
      <c r="I1046">
        <v>8539</v>
      </c>
      <c r="J1046">
        <v>205.7</v>
      </c>
      <c r="K1046">
        <v>117.11</v>
      </c>
      <c r="L1046">
        <v>1756472.3</v>
      </c>
      <c r="M1046">
        <v>1000002.29</v>
      </c>
      <c r="N1046">
        <v>756470.01</v>
      </c>
    </row>
    <row r="1047" spans="1:14" x14ac:dyDescent="0.3">
      <c r="A1047" t="s">
        <v>14</v>
      </c>
      <c r="B1047" t="s">
        <v>15</v>
      </c>
      <c r="C1047" t="s">
        <v>71</v>
      </c>
      <c r="D1047" t="s">
        <v>17</v>
      </c>
      <c r="E1047" t="s">
        <v>54</v>
      </c>
      <c r="F1047" t="s">
        <v>1569</v>
      </c>
      <c r="G1047">
        <v>574247491</v>
      </c>
      <c r="H1047" t="s">
        <v>847</v>
      </c>
      <c r="I1047">
        <v>1448</v>
      </c>
      <c r="J1047">
        <v>668.27</v>
      </c>
      <c r="K1047">
        <v>502.54</v>
      </c>
      <c r="L1047">
        <v>967654.96</v>
      </c>
      <c r="M1047">
        <v>727677.92</v>
      </c>
      <c r="N1047">
        <v>239977.04</v>
      </c>
    </row>
    <row r="1048" spans="1:14" x14ac:dyDescent="0.3">
      <c r="A1048" t="s">
        <v>14</v>
      </c>
      <c r="B1048" t="s">
        <v>70</v>
      </c>
      <c r="C1048" t="s">
        <v>58</v>
      </c>
      <c r="D1048" t="s">
        <v>23</v>
      </c>
      <c r="E1048" t="s">
        <v>24</v>
      </c>
      <c r="F1048" t="s">
        <v>203</v>
      </c>
      <c r="G1048">
        <v>941933286</v>
      </c>
      <c r="H1048" t="s">
        <v>1030</v>
      </c>
      <c r="I1048">
        <v>7846</v>
      </c>
      <c r="J1048">
        <v>152.58000000000001</v>
      </c>
      <c r="K1048">
        <v>97.44</v>
      </c>
      <c r="L1048">
        <v>1197142.68</v>
      </c>
      <c r="M1048">
        <v>764514.24</v>
      </c>
      <c r="N1048">
        <v>432628.44</v>
      </c>
    </row>
    <row r="1049" spans="1:14" x14ac:dyDescent="0.3">
      <c r="A1049" t="s">
        <v>14</v>
      </c>
      <c r="B1049" t="s">
        <v>163</v>
      </c>
      <c r="C1049" t="s">
        <v>28</v>
      </c>
      <c r="D1049" t="s">
        <v>17</v>
      </c>
      <c r="E1049" t="s">
        <v>33</v>
      </c>
      <c r="F1049" t="s">
        <v>1570</v>
      </c>
      <c r="G1049">
        <v>797718417</v>
      </c>
      <c r="H1049" t="s">
        <v>1571</v>
      </c>
      <c r="I1049">
        <v>1462</v>
      </c>
      <c r="J1049">
        <v>205.7</v>
      </c>
      <c r="K1049">
        <v>117.11</v>
      </c>
      <c r="L1049">
        <v>300733.40000000002</v>
      </c>
      <c r="M1049">
        <v>171214.82</v>
      </c>
      <c r="N1049">
        <v>129518.58</v>
      </c>
    </row>
    <row r="1050" spans="1:14" x14ac:dyDescent="0.3">
      <c r="A1050" t="s">
        <v>14</v>
      </c>
      <c r="B1050" t="s">
        <v>36</v>
      </c>
      <c r="C1050" t="s">
        <v>28</v>
      </c>
      <c r="D1050" t="s">
        <v>23</v>
      </c>
      <c r="E1050" t="s">
        <v>18</v>
      </c>
      <c r="F1050" t="s">
        <v>25</v>
      </c>
      <c r="G1050">
        <v>220607459</v>
      </c>
      <c r="H1050" t="s">
        <v>636</v>
      </c>
      <c r="I1050">
        <v>1504</v>
      </c>
      <c r="J1050">
        <v>205.7</v>
      </c>
      <c r="K1050">
        <v>117.11</v>
      </c>
      <c r="L1050">
        <v>309372.79999999999</v>
      </c>
      <c r="M1050">
        <v>176133.44</v>
      </c>
      <c r="N1050">
        <v>133239.35999999999</v>
      </c>
    </row>
    <row r="1051" spans="1:14" x14ac:dyDescent="0.3">
      <c r="A1051" t="s">
        <v>14</v>
      </c>
      <c r="B1051" t="s">
        <v>271</v>
      </c>
      <c r="C1051" t="s">
        <v>64</v>
      </c>
      <c r="D1051" t="s">
        <v>17</v>
      </c>
      <c r="E1051" t="s">
        <v>33</v>
      </c>
      <c r="F1051" t="s">
        <v>1556</v>
      </c>
      <c r="G1051">
        <v>629301440</v>
      </c>
      <c r="H1051" t="s">
        <v>1572</v>
      </c>
      <c r="I1051">
        <v>3135</v>
      </c>
      <c r="J1051">
        <v>255.28</v>
      </c>
      <c r="K1051">
        <v>159.41999999999999</v>
      </c>
      <c r="L1051">
        <v>800302.8</v>
      </c>
      <c r="M1051">
        <v>499781.7</v>
      </c>
      <c r="N1051">
        <v>300521.09999999998</v>
      </c>
    </row>
    <row r="1052" spans="1:14" x14ac:dyDescent="0.3">
      <c r="A1052" t="s">
        <v>14</v>
      </c>
      <c r="B1052" t="s">
        <v>181</v>
      </c>
      <c r="C1052" t="s">
        <v>22</v>
      </c>
      <c r="D1052" t="s">
        <v>17</v>
      </c>
      <c r="E1052" t="s">
        <v>54</v>
      </c>
      <c r="F1052" t="s">
        <v>458</v>
      </c>
      <c r="G1052">
        <v>431432092</v>
      </c>
      <c r="H1052" t="s">
        <v>891</v>
      </c>
      <c r="I1052">
        <v>9198</v>
      </c>
      <c r="J1052">
        <v>109.28</v>
      </c>
      <c r="K1052">
        <v>35.840000000000003</v>
      </c>
      <c r="L1052">
        <v>1005157.44</v>
      </c>
      <c r="M1052">
        <v>329656.32000000001</v>
      </c>
      <c r="N1052">
        <v>675501.12</v>
      </c>
    </row>
    <row r="1053" spans="1:14" x14ac:dyDescent="0.3">
      <c r="A1053" t="s">
        <v>14</v>
      </c>
      <c r="B1053" t="s">
        <v>220</v>
      </c>
      <c r="C1053" t="s">
        <v>64</v>
      </c>
      <c r="D1053" t="s">
        <v>23</v>
      </c>
      <c r="E1053" t="s">
        <v>54</v>
      </c>
      <c r="F1053" t="s">
        <v>892</v>
      </c>
      <c r="G1053">
        <v>442318427</v>
      </c>
      <c r="H1053" t="s">
        <v>1573</v>
      </c>
      <c r="I1053">
        <v>707</v>
      </c>
      <c r="J1053">
        <v>255.28</v>
      </c>
      <c r="K1053">
        <v>159.41999999999999</v>
      </c>
      <c r="L1053">
        <v>180482.96</v>
      </c>
      <c r="M1053">
        <v>112709.94</v>
      </c>
      <c r="N1053">
        <v>67773.02</v>
      </c>
    </row>
    <row r="1054" spans="1:14" x14ac:dyDescent="0.3">
      <c r="A1054" t="s">
        <v>14</v>
      </c>
      <c r="B1054" t="s">
        <v>27</v>
      </c>
      <c r="C1054" t="s">
        <v>75</v>
      </c>
      <c r="D1054" t="s">
        <v>17</v>
      </c>
      <c r="E1054" t="s">
        <v>33</v>
      </c>
      <c r="F1054" t="s">
        <v>662</v>
      </c>
      <c r="G1054">
        <v>540982520</v>
      </c>
      <c r="H1054" t="s">
        <v>664</v>
      </c>
      <c r="I1054">
        <v>7604</v>
      </c>
      <c r="J1054">
        <v>437.2</v>
      </c>
      <c r="K1054">
        <v>263.33</v>
      </c>
      <c r="L1054">
        <v>3324468.8</v>
      </c>
      <c r="M1054">
        <v>2002361.32</v>
      </c>
      <c r="N1054">
        <v>1322107.48</v>
      </c>
    </row>
    <row r="1055" spans="1:14" x14ac:dyDescent="0.3">
      <c r="A1055" t="s">
        <v>14</v>
      </c>
      <c r="B1055" t="s">
        <v>223</v>
      </c>
      <c r="C1055" t="s">
        <v>22</v>
      </c>
      <c r="D1055" t="s">
        <v>17</v>
      </c>
      <c r="E1055" t="s">
        <v>18</v>
      </c>
      <c r="F1055" t="s">
        <v>1507</v>
      </c>
      <c r="G1055">
        <v>563939225</v>
      </c>
      <c r="H1055" t="s">
        <v>1574</v>
      </c>
      <c r="I1055">
        <v>1004</v>
      </c>
      <c r="J1055">
        <v>109.28</v>
      </c>
      <c r="K1055">
        <v>35.840000000000003</v>
      </c>
      <c r="L1055">
        <v>109717.12</v>
      </c>
      <c r="M1055">
        <v>35983.360000000001</v>
      </c>
      <c r="N1055">
        <v>73733.759999999995</v>
      </c>
    </row>
    <row r="1056" spans="1:14" x14ac:dyDescent="0.3">
      <c r="A1056" t="s">
        <v>14</v>
      </c>
      <c r="B1056" t="s">
        <v>27</v>
      </c>
      <c r="C1056" t="s">
        <v>28</v>
      </c>
      <c r="D1056" t="s">
        <v>23</v>
      </c>
      <c r="E1056" t="s">
        <v>54</v>
      </c>
      <c r="F1056" t="s">
        <v>1575</v>
      </c>
      <c r="G1056">
        <v>323293578</v>
      </c>
      <c r="H1056" t="s">
        <v>1576</v>
      </c>
      <c r="I1056">
        <v>8609</v>
      </c>
      <c r="J1056">
        <v>205.7</v>
      </c>
      <c r="K1056">
        <v>117.11</v>
      </c>
      <c r="L1056">
        <v>1770871.3</v>
      </c>
      <c r="M1056">
        <v>1008199.99</v>
      </c>
      <c r="N1056">
        <v>762671.31</v>
      </c>
    </row>
    <row r="1057" spans="1:14" x14ac:dyDescent="0.3">
      <c r="A1057" t="s">
        <v>14</v>
      </c>
      <c r="B1057" t="s">
        <v>36</v>
      </c>
      <c r="C1057" t="s">
        <v>58</v>
      </c>
      <c r="D1057" t="s">
        <v>23</v>
      </c>
      <c r="E1057" t="s">
        <v>33</v>
      </c>
      <c r="F1057" t="s">
        <v>1577</v>
      </c>
      <c r="G1057">
        <v>507040774</v>
      </c>
      <c r="H1057" t="s">
        <v>582</v>
      </c>
      <c r="I1057">
        <v>3488</v>
      </c>
      <c r="J1057">
        <v>152.58000000000001</v>
      </c>
      <c r="K1057">
        <v>97.44</v>
      </c>
      <c r="L1057">
        <v>532199.04</v>
      </c>
      <c r="M1057">
        <v>339870.71999999997</v>
      </c>
      <c r="N1057">
        <v>192328.32000000001</v>
      </c>
    </row>
    <row r="1058" spans="1:14" x14ac:dyDescent="0.3">
      <c r="A1058" t="s">
        <v>14</v>
      </c>
      <c r="B1058" t="s">
        <v>183</v>
      </c>
      <c r="C1058" t="s">
        <v>32</v>
      </c>
      <c r="D1058" t="s">
        <v>17</v>
      </c>
      <c r="E1058" t="s">
        <v>24</v>
      </c>
      <c r="F1058" t="s">
        <v>1393</v>
      </c>
      <c r="G1058">
        <v>516599738</v>
      </c>
      <c r="H1058" t="s">
        <v>281</v>
      </c>
      <c r="I1058">
        <v>2197</v>
      </c>
      <c r="J1058">
        <v>651.21</v>
      </c>
      <c r="K1058">
        <v>524.96</v>
      </c>
      <c r="L1058">
        <v>1430708.37</v>
      </c>
      <c r="M1058">
        <v>1153337.1200000001</v>
      </c>
      <c r="N1058">
        <v>277371.25</v>
      </c>
    </row>
    <row r="1059" spans="1:14" x14ac:dyDescent="0.3">
      <c r="A1059" t="s">
        <v>14</v>
      </c>
      <c r="B1059" t="s">
        <v>264</v>
      </c>
      <c r="C1059" t="s">
        <v>22</v>
      </c>
      <c r="D1059" t="s">
        <v>23</v>
      </c>
      <c r="E1059" t="s">
        <v>54</v>
      </c>
      <c r="F1059" t="s">
        <v>1578</v>
      </c>
      <c r="G1059">
        <v>383611094</v>
      </c>
      <c r="H1059" t="s">
        <v>1579</v>
      </c>
      <c r="I1059">
        <v>7902</v>
      </c>
      <c r="J1059">
        <v>109.28</v>
      </c>
      <c r="K1059">
        <v>35.840000000000003</v>
      </c>
      <c r="L1059">
        <v>863530.56</v>
      </c>
      <c r="M1059">
        <v>283207.67999999999</v>
      </c>
      <c r="N1059">
        <v>580322.88</v>
      </c>
    </row>
    <row r="1060" spans="1:14" x14ac:dyDescent="0.3">
      <c r="A1060" t="s">
        <v>14</v>
      </c>
      <c r="B1060" t="s">
        <v>61</v>
      </c>
      <c r="C1060" t="s">
        <v>64</v>
      </c>
      <c r="D1060" t="s">
        <v>17</v>
      </c>
      <c r="E1060" t="s">
        <v>24</v>
      </c>
      <c r="F1060" t="s">
        <v>1580</v>
      </c>
      <c r="G1060">
        <v>412416303</v>
      </c>
      <c r="H1060" t="s">
        <v>1581</v>
      </c>
      <c r="I1060">
        <v>2004</v>
      </c>
      <c r="J1060">
        <v>255.28</v>
      </c>
      <c r="K1060">
        <v>159.41999999999999</v>
      </c>
      <c r="L1060">
        <v>511581.12</v>
      </c>
      <c r="M1060">
        <v>319477.68</v>
      </c>
      <c r="N1060">
        <v>192103.44</v>
      </c>
    </row>
    <row r="1061" spans="1:14" x14ac:dyDescent="0.3">
      <c r="A1061" t="s">
        <v>14</v>
      </c>
      <c r="B1061" t="s">
        <v>232</v>
      </c>
      <c r="C1061" t="s">
        <v>75</v>
      </c>
      <c r="D1061" t="s">
        <v>17</v>
      </c>
      <c r="E1061" t="s">
        <v>24</v>
      </c>
      <c r="F1061" t="s">
        <v>1218</v>
      </c>
      <c r="G1061">
        <v>364715468</v>
      </c>
      <c r="H1061" t="s">
        <v>1378</v>
      </c>
      <c r="I1061">
        <v>6267</v>
      </c>
      <c r="J1061">
        <v>437.2</v>
      </c>
      <c r="K1061">
        <v>263.33</v>
      </c>
      <c r="L1061">
        <v>2739932.4</v>
      </c>
      <c r="M1061">
        <v>1650289.11</v>
      </c>
      <c r="N1061">
        <v>1089643.29</v>
      </c>
    </row>
    <row r="1062" spans="1:14" x14ac:dyDescent="0.3">
      <c r="A1062" t="s">
        <v>14</v>
      </c>
      <c r="B1062" t="s">
        <v>67</v>
      </c>
      <c r="C1062" t="s">
        <v>102</v>
      </c>
      <c r="D1062" t="s">
        <v>17</v>
      </c>
      <c r="E1062" t="s">
        <v>54</v>
      </c>
      <c r="F1062" t="s">
        <v>1061</v>
      </c>
      <c r="G1062">
        <v>392752492</v>
      </c>
      <c r="H1062" t="s">
        <v>1582</v>
      </c>
      <c r="I1062">
        <v>3045</v>
      </c>
      <c r="J1062">
        <v>81.73</v>
      </c>
      <c r="K1062">
        <v>56.67</v>
      </c>
      <c r="L1062">
        <v>248867.85</v>
      </c>
      <c r="M1062">
        <v>172560.15</v>
      </c>
      <c r="N1062">
        <v>76307.7</v>
      </c>
    </row>
    <row r="1063" spans="1:14" x14ac:dyDescent="0.3">
      <c r="A1063" t="s">
        <v>14</v>
      </c>
      <c r="B1063" t="s">
        <v>135</v>
      </c>
      <c r="C1063" t="s">
        <v>37</v>
      </c>
      <c r="D1063" t="s">
        <v>17</v>
      </c>
      <c r="E1063" t="s">
        <v>54</v>
      </c>
      <c r="F1063" t="s">
        <v>601</v>
      </c>
      <c r="G1063">
        <v>633992946</v>
      </c>
      <c r="H1063" t="s">
        <v>1583</v>
      </c>
      <c r="I1063">
        <v>1456</v>
      </c>
      <c r="J1063">
        <v>9.33</v>
      </c>
      <c r="K1063">
        <v>6.92</v>
      </c>
      <c r="L1063">
        <v>13584.48</v>
      </c>
      <c r="M1063">
        <v>10075.52</v>
      </c>
      <c r="N1063">
        <v>3508.96</v>
      </c>
    </row>
    <row r="1064" spans="1:14" x14ac:dyDescent="0.3">
      <c r="A1064" t="s">
        <v>14</v>
      </c>
      <c r="B1064" t="s">
        <v>61</v>
      </c>
      <c r="C1064" t="s">
        <v>22</v>
      </c>
      <c r="D1064" t="s">
        <v>23</v>
      </c>
      <c r="E1064" t="s">
        <v>18</v>
      </c>
      <c r="F1064" t="s">
        <v>1584</v>
      </c>
      <c r="G1064">
        <v>937875640</v>
      </c>
      <c r="H1064" t="s">
        <v>1585</v>
      </c>
      <c r="I1064">
        <v>7098</v>
      </c>
      <c r="J1064">
        <v>109.28</v>
      </c>
      <c r="K1064">
        <v>35.840000000000003</v>
      </c>
      <c r="L1064">
        <v>775669.44</v>
      </c>
      <c r="M1064">
        <v>254392.32000000001</v>
      </c>
      <c r="N1064">
        <v>521277.12</v>
      </c>
    </row>
    <row r="1065" spans="1:14" x14ac:dyDescent="0.3">
      <c r="A1065" t="s">
        <v>14</v>
      </c>
      <c r="B1065" t="s">
        <v>264</v>
      </c>
      <c r="C1065" t="s">
        <v>46</v>
      </c>
      <c r="D1065" t="s">
        <v>23</v>
      </c>
      <c r="E1065" t="s">
        <v>18</v>
      </c>
      <c r="F1065" t="s">
        <v>1586</v>
      </c>
      <c r="G1065">
        <v>614054477</v>
      </c>
      <c r="H1065" t="s">
        <v>419</v>
      </c>
      <c r="I1065">
        <v>1220</v>
      </c>
      <c r="J1065">
        <v>154.06</v>
      </c>
      <c r="K1065">
        <v>90.93</v>
      </c>
      <c r="L1065">
        <v>187953.2</v>
      </c>
      <c r="M1065">
        <v>110934.6</v>
      </c>
      <c r="N1065">
        <v>77018.600000000006</v>
      </c>
    </row>
    <row r="1066" spans="1:14" x14ac:dyDescent="0.3">
      <c r="A1066" t="s">
        <v>14</v>
      </c>
      <c r="B1066" t="s">
        <v>169</v>
      </c>
      <c r="C1066" t="s">
        <v>64</v>
      </c>
      <c r="D1066" t="s">
        <v>17</v>
      </c>
      <c r="E1066" t="s">
        <v>54</v>
      </c>
      <c r="F1066" t="s">
        <v>885</v>
      </c>
      <c r="G1066">
        <v>369170081</v>
      </c>
      <c r="H1066" t="s">
        <v>1587</v>
      </c>
      <c r="I1066">
        <v>4486</v>
      </c>
      <c r="J1066">
        <v>255.28</v>
      </c>
      <c r="K1066">
        <v>159.41999999999999</v>
      </c>
      <c r="L1066">
        <v>1145186.08</v>
      </c>
      <c r="M1066">
        <v>715158.12</v>
      </c>
      <c r="N1066">
        <v>430027.96</v>
      </c>
    </row>
    <row r="1067" spans="1:14" x14ac:dyDescent="0.3">
      <c r="A1067" t="s">
        <v>14</v>
      </c>
      <c r="B1067" t="s">
        <v>141</v>
      </c>
      <c r="C1067" t="s">
        <v>22</v>
      </c>
      <c r="D1067" t="s">
        <v>17</v>
      </c>
      <c r="E1067" t="s">
        <v>18</v>
      </c>
      <c r="F1067" t="s">
        <v>413</v>
      </c>
      <c r="G1067">
        <v>357930982</v>
      </c>
      <c r="H1067" t="s">
        <v>1465</v>
      </c>
      <c r="I1067">
        <v>8586</v>
      </c>
      <c r="J1067">
        <v>109.28</v>
      </c>
      <c r="K1067">
        <v>35.840000000000003</v>
      </c>
      <c r="L1067">
        <v>938278.08</v>
      </c>
      <c r="M1067">
        <v>307722.23999999999</v>
      </c>
      <c r="N1067">
        <v>630555.84</v>
      </c>
    </row>
    <row r="1068" spans="1:14" x14ac:dyDescent="0.3">
      <c r="A1068" t="s">
        <v>14</v>
      </c>
      <c r="B1068" t="s">
        <v>70</v>
      </c>
      <c r="C1068" t="s">
        <v>32</v>
      </c>
      <c r="D1068" t="s">
        <v>17</v>
      </c>
      <c r="E1068" t="s">
        <v>24</v>
      </c>
      <c r="F1068" t="s">
        <v>1588</v>
      </c>
      <c r="G1068">
        <v>586812674</v>
      </c>
      <c r="H1068" t="s">
        <v>346</v>
      </c>
      <c r="I1068">
        <v>9766</v>
      </c>
      <c r="J1068">
        <v>651.21</v>
      </c>
      <c r="K1068">
        <v>524.96</v>
      </c>
      <c r="L1068">
        <v>6359716.8600000003</v>
      </c>
      <c r="M1068">
        <v>5126759.3600000003</v>
      </c>
      <c r="N1068">
        <v>1232957.5</v>
      </c>
    </row>
    <row r="1069" spans="1:14" x14ac:dyDescent="0.3">
      <c r="A1069" t="s">
        <v>14</v>
      </c>
      <c r="B1069" t="s">
        <v>169</v>
      </c>
      <c r="C1069" t="s">
        <v>37</v>
      </c>
      <c r="D1069" t="s">
        <v>23</v>
      </c>
      <c r="E1069" t="s">
        <v>33</v>
      </c>
      <c r="F1069" t="s">
        <v>1589</v>
      </c>
      <c r="G1069">
        <v>311221492</v>
      </c>
      <c r="H1069" t="s">
        <v>1590</v>
      </c>
      <c r="I1069">
        <v>6210</v>
      </c>
      <c r="J1069">
        <v>9.33</v>
      </c>
      <c r="K1069">
        <v>6.92</v>
      </c>
      <c r="L1069">
        <v>57939.3</v>
      </c>
      <c r="M1069">
        <v>42973.2</v>
      </c>
      <c r="N1069">
        <v>14966.1</v>
      </c>
    </row>
    <row r="1070" spans="1:14" x14ac:dyDescent="0.3">
      <c r="A1070" t="s">
        <v>14</v>
      </c>
      <c r="B1070" t="s">
        <v>169</v>
      </c>
      <c r="C1070" t="s">
        <v>58</v>
      </c>
      <c r="D1070" t="s">
        <v>23</v>
      </c>
      <c r="E1070" t="s">
        <v>24</v>
      </c>
      <c r="F1070" t="s">
        <v>436</v>
      </c>
      <c r="G1070">
        <v>274989354</v>
      </c>
      <c r="H1070" t="s">
        <v>1591</v>
      </c>
      <c r="I1070">
        <v>4316</v>
      </c>
      <c r="J1070">
        <v>152.58000000000001</v>
      </c>
      <c r="K1070">
        <v>97.44</v>
      </c>
      <c r="L1070">
        <v>658535.28</v>
      </c>
      <c r="M1070">
        <v>420551.04</v>
      </c>
      <c r="N1070">
        <v>237984.24</v>
      </c>
    </row>
    <row r="1071" spans="1:14" x14ac:dyDescent="0.3">
      <c r="A1071" t="s">
        <v>14</v>
      </c>
      <c r="B1071" t="s">
        <v>105</v>
      </c>
      <c r="C1071" t="s">
        <v>32</v>
      </c>
      <c r="D1071" t="s">
        <v>17</v>
      </c>
      <c r="E1071" t="s">
        <v>33</v>
      </c>
      <c r="F1071" t="s">
        <v>1592</v>
      </c>
      <c r="G1071">
        <v>897785842</v>
      </c>
      <c r="H1071" t="s">
        <v>1593</v>
      </c>
      <c r="I1071">
        <v>3636</v>
      </c>
      <c r="J1071">
        <v>651.21</v>
      </c>
      <c r="K1071">
        <v>524.96</v>
      </c>
      <c r="L1071">
        <v>2367799.56</v>
      </c>
      <c r="M1071">
        <v>1908754.56</v>
      </c>
      <c r="N1071">
        <v>459045</v>
      </c>
    </row>
    <row r="1072" spans="1:14" x14ac:dyDescent="0.3">
      <c r="A1072" t="s">
        <v>14</v>
      </c>
      <c r="B1072" t="s">
        <v>342</v>
      </c>
      <c r="C1072" t="s">
        <v>50</v>
      </c>
      <c r="D1072" t="s">
        <v>23</v>
      </c>
      <c r="E1072" t="s">
        <v>54</v>
      </c>
      <c r="F1072" t="s">
        <v>1594</v>
      </c>
      <c r="G1072">
        <v>929812705</v>
      </c>
      <c r="H1072" t="s">
        <v>1595</v>
      </c>
      <c r="I1072">
        <v>1097</v>
      </c>
      <c r="J1072">
        <v>421.89</v>
      </c>
      <c r="K1072">
        <v>364.69</v>
      </c>
      <c r="L1072">
        <v>462813.33</v>
      </c>
      <c r="M1072">
        <v>400064.93</v>
      </c>
      <c r="N1072">
        <v>62748.4</v>
      </c>
    </row>
    <row r="1073" spans="1:14" x14ac:dyDescent="0.3">
      <c r="A1073" t="s">
        <v>14</v>
      </c>
      <c r="B1073" t="s">
        <v>74</v>
      </c>
      <c r="C1073" t="s">
        <v>75</v>
      </c>
      <c r="D1073" t="s">
        <v>23</v>
      </c>
      <c r="E1073" t="s">
        <v>54</v>
      </c>
      <c r="F1073" t="s">
        <v>1596</v>
      </c>
      <c r="G1073">
        <v>202047002</v>
      </c>
      <c r="H1073" t="s">
        <v>1399</v>
      </c>
      <c r="I1073">
        <v>9053</v>
      </c>
      <c r="J1073">
        <v>437.2</v>
      </c>
      <c r="K1073">
        <v>263.33</v>
      </c>
      <c r="L1073">
        <v>3957971.6</v>
      </c>
      <c r="M1073">
        <v>2383926.4900000002</v>
      </c>
      <c r="N1073">
        <v>1574045.11</v>
      </c>
    </row>
    <row r="1074" spans="1:14" x14ac:dyDescent="0.3">
      <c r="A1074" t="s">
        <v>14</v>
      </c>
      <c r="B1074" t="s">
        <v>132</v>
      </c>
      <c r="C1074" t="s">
        <v>37</v>
      </c>
      <c r="D1074" t="s">
        <v>23</v>
      </c>
      <c r="E1074" t="s">
        <v>33</v>
      </c>
      <c r="F1074" t="s">
        <v>919</v>
      </c>
      <c r="G1074">
        <v>919922006</v>
      </c>
      <c r="H1074" t="s">
        <v>326</v>
      </c>
      <c r="I1074">
        <v>4219</v>
      </c>
      <c r="J1074">
        <v>9.33</v>
      </c>
      <c r="K1074">
        <v>6.92</v>
      </c>
      <c r="L1074">
        <v>39363.269999999997</v>
      </c>
      <c r="M1074">
        <v>29195.48</v>
      </c>
      <c r="N1074">
        <v>10167.790000000001</v>
      </c>
    </row>
    <row r="1075" spans="1:14" x14ac:dyDescent="0.3">
      <c r="A1075" t="s">
        <v>14</v>
      </c>
      <c r="B1075" t="s">
        <v>146</v>
      </c>
      <c r="C1075" t="s">
        <v>16</v>
      </c>
      <c r="D1075" t="s">
        <v>17</v>
      </c>
      <c r="E1075" t="s">
        <v>54</v>
      </c>
      <c r="F1075" t="s">
        <v>1597</v>
      </c>
      <c r="G1075">
        <v>243226420</v>
      </c>
      <c r="H1075" t="s">
        <v>1598</v>
      </c>
      <c r="I1075">
        <v>4958</v>
      </c>
      <c r="J1075">
        <v>47.45</v>
      </c>
      <c r="K1075">
        <v>31.79</v>
      </c>
      <c r="L1075">
        <v>235257.1</v>
      </c>
      <c r="M1075">
        <v>157614.82</v>
      </c>
      <c r="N1075">
        <v>77642.28</v>
      </c>
    </row>
    <row r="1076" spans="1:14" x14ac:dyDescent="0.3">
      <c r="A1076" t="s">
        <v>14</v>
      </c>
      <c r="B1076" t="s">
        <v>94</v>
      </c>
      <c r="C1076" t="s">
        <v>22</v>
      </c>
      <c r="D1076" t="s">
        <v>23</v>
      </c>
      <c r="E1076" t="s">
        <v>24</v>
      </c>
      <c r="F1076" t="s">
        <v>1519</v>
      </c>
      <c r="G1076">
        <v>249765861</v>
      </c>
      <c r="H1076" t="s">
        <v>1458</v>
      </c>
      <c r="I1076">
        <v>123</v>
      </c>
      <c r="J1076">
        <v>109.28</v>
      </c>
      <c r="K1076">
        <v>35.840000000000003</v>
      </c>
      <c r="L1076">
        <v>13441.44</v>
      </c>
      <c r="M1076">
        <v>4408.32</v>
      </c>
      <c r="N1076">
        <v>9033.1200000000008</v>
      </c>
    </row>
    <row r="1077" spans="1:14" x14ac:dyDescent="0.3">
      <c r="A1077" t="s">
        <v>14</v>
      </c>
      <c r="B1077" t="s">
        <v>342</v>
      </c>
      <c r="C1077" t="s">
        <v>16</v>
      </c>
      <c r="D1077" t="s">
        <v>23</v>
      </c>
      <c r="E1077" t="s">
        <v>54</v>
      </c>
      <c r="F1077" t="s">
        <v>1326</v>
      </c>
      <c r="G1077">
        <v>253055322</v>
      </c>
      <c r="H1077" t="s">
        <v>1599</v>
      </c>
      <c r="I1077">
        <v>3548</v>
      </c>
      <c r="J1077">
        <v>47.45</v>
      </c>
      <c r="K1077">
        <v>31.79</v>
      </c>
      <c r="L1077">
        <v>168352.6</v>
      </c>
      <c r="M1077">
        <v>112790.92</v>
      </c>
      <c r="N1077">
        <v>55561.68</v>
      </c>
    </row>
    <row r="1078" spans="1:14" x14ac:dyDescent="0.3">
      <c r="A1078" t="s">
        <v>14</v>
      </c>
      <c r="B1078" t="s">
        <v>40</v>
      </c>
      <c r="C1078" t="s">
        <v>16</v>
      </c>
      <c r="D1078" t="s">
        <v>17</v>
      </c>
      <c r="E1078" t="s">
        <v>18</v>
      </c>
      <c r="F1078" t="s">
        <v>1391</v>
      </c>
      <c r="G1078">
        <v>243340575</v>
      </c>
      <c r="H1078" t="s">
        <v>1600</v>
      </c>
      <c r="I1078">
        <v>8739</v>
      </c>
      <c r="J1078">
        <v>47.45</v>
      </c>
      <c r="K1078">
        <v>31.79</v>
      </c>
      <c r="L1078">
        <v>414665.55</v>
      </c>
      <c r="M1078">
        <v>277812.81</v>
      </c>
      <c r="N1078">
        <v>136852.74</v>
      </c>
    </row>
    <row r="1079" spans="1:14" x14ac:dyDescent="0.3">
      <c r="A1079" t="s">
        <v>14</v>
      </c>
      <c r="B1079" t="s">
        <v>15</v>
      </c>
      <c r="C1079" t="s">
        <v>71</v>
      </c>
      <c r="D1079" t="s">
        <v>17</v>
      </c>
      <c r="E1079" t="s">
        <v>54</v>
      </c>
      <c r="F1079" t="s">
        <v>1248</v>
      </c>
      <c r="G1079">
        <v>988599860</v>
      </c>
      <c r="H1079" t="s">
        <v>1429</v>
      </c>
      <c r="I1079">
        <v>7522</v>
      </c>
      <c r="J1079">
        <v>668.27</v>
      </c>
      <c r="K1079">
        <v>502.54</v>
      </c>
      <c r="L1079">
        <v>5026726.9400000004</v>
      </c>
      <c r="M1079">
        <v>3780105.88</v>
      </c>
      <c r="N1079">
        <v>1246621.06</v>
      </c>
    </row>
    <row r="1080" spans="1:14" x14ac:dyDescent="0.3">
      <c r="A1080" t="s">
        <v>14</v>
      </c>
      <c r="B1080" t="s">
        <v>105</v>
      </c>
      <c r="C1080" t="s">
        <v>58</v>
      </c>
      <c r="D1080" t="s">
        <v>23</v>
      </c>
      <c r="E1080" t="s">
        <v>24</v>
      </c>
      <c r="F1080" t="s">
        <v>1401</v>
      </c>
      <c r="G1080">
        <v>581193768</v>
      </c>
      <c r="H1080" t="s">
        <v>1046</v>
      </c>
      <c r="I1080">
        <v>7006</v>
      </c>
      <c r="J1080">
        <v>152.58000000000001</v>
      </c>
      <c r="K1080">
        <v>97.44</v>
      </c>
      <c r="L1080">
        <v>1068975.48</v>
      </c>
      <c r="M1080">
        <v>682664.64</v>
      </c>
      <c r="N1080">
        <v>386310.84</v>
      </c>
    </row>
    <row r="1081" spans="1:14" x14ac:dyDescent="0.3">
      <c r="A1081" t="s">
        <v>14</v>
      </c>
      <c r="B1081" t="s">
        <v>83</v>
      </c>
      <c r="C1081" t="s">
        <v>28</v>
      </c>
      <c r="D1081" t="s">
        <v>17</v>
      </c>
      <c r="E1081" t="s">
        <v>18</v>
      </c>
      <c r="F1081" t="s">
        <v>1525</v>
      </c>
      <c r="G1081">
        <v>100983083</v>
      </c>
      <c r="H1081" t="s">
        <v>1525</v>
      </c>
      <c r="I1081">
        <v>1993</v>
      </c>
      <c r="J1081">
        <v>205.7</v>
      </c>
      <c r="K1081">
        <v>117.11</v>
      </c>
      <c r="L1081">
        <v>409960.1</v>
      </c>
      <c r="M1081">
        <v>233400.23</v>
      </c>
      <c r="N1081">
        <v>176559.87</v>
      </c>
    </row>
    <row r="1082" spans="1:14" x14ac:dyDescent="0.3">
      <c r="A1082" t="s">
        <v>14</v>
      </c>
      <c r="B1082" t="s">
        <v>80</v>
      </c>
      <c r="C1082" t="s">
        <v>102</v>
      </c>
      <c r="D1082" t="s">
        <v>17</v>
      </c>
      <c r="E1082" t="s">
        <v>33</v>
      </c>
      <c r="F1082" t="s">
        <v>732</v>
      </c>
      <c r="G1082">
        <v>936411798</v>
      </c>
      <c r="H1082" t="s">
        <v>937</v>
      </c>
      <c r="I1082">
        <v>3915</v>
      </c>
      <c r="J1082">
        <v>81.73</v>
      </c>
      <c r="K1082">
        <v>56.67</v>
      </c>
      <c r="L1082">
        <v>319972.95</v>
      </c>
      <c r="M1082">
        <v>221863.05</v>
      </c>
      <c r="N1082">
        <v>98109.9</v>
      </c>
    </row>
    <row r="1083" spans="1:14" x14ac:dyDescent="0.3">
      <c r="A1083" t="s">
        <v>14</v>
      </c>
      <c r="B1083" t="s">
        <v>21</v>
      </c>
      <c r="C1083" t="s">
        <v>71</v>
      </c>
      <c r="D1083" t="s">
        <v>17</v>
      </c>
      <c r="E1083" t="s">
        <v>24</v>
      </c>
      <c r="F1083" t="s">
        <v>1240</v>
      </c>
      <c r="G1083">
        <v>261640536</v>
      </c>
      <c r="H1083" t="s">
        <v>247</v>
      </c>
      <c r="I1083">
        <v>4104</v>
      </c>
      <c r="J1083">
        <v>668.27</v>
      </c>
      <c r="K1083">
        <v>502.54</v>
      </c>
      <c r="L1083">
        <v>2742580.08</v>
      </c>
      <c r="M1083">
        <v>2062424.16</v>
      </c>
      <c r="N1083">
        <v>680155.92</v>
      </c>
    </row>
    <row r="1084" spans="1:14" x14ac:dyDescent="0.3">
      <c r="A1084" t="s">
        <v>14</v>
      </c>
      <c r="B1084" t="s">
        <v>53</v>
      </c>
      <c r="C1084" t="s">
        <v>64</v>
      </c>
      <c r="D1084" t="s">
        <v>17</v>
      </c>
      <c r="E1084" t="s">
        <v>33</v>
      </c>
      <c r="F1084" t="s">
        <v>1601</v>
      </c>
      <c r="G1084">
        <v>564173543</v>
      </c>
      <c r="H1084" t="s">
        <v>1602</v>
      </c>
      <c r="I1084">
        <v>343</v>
      </c>
      <c r="J1084">
        <v>255.28</v>
      </c>
      <c r="K1084">
        <v>159.41999999999999</v>
      </c>
      <c r="L1084">
        <v>87561.04</v>
      </c>
      <c r="M1084">
        <v>54681.06</v>
      </c>
      <c r="N1084">
        <v>32879.980000000003</v>
      </c>
    </row>
    <row r="1085" spans="1:14" x14ac:dyDescent="0.3">
      <c r="A1085" t="s">
        <v>14</v>
      </c>
      <c r="B1085" t="s">
        <v>74</v>
      </c>
      <c r="C1085" t="s">
        <v>28</v>
      </c>
      <c r="D1085" t="s">
        <v>17</v>
      </c>
      <c r="E1085" t="s">
        <v>18</v>
      </c>
      <c r="F1085" t="s">
        <v>344</v>
      </c>
      <c r="G1085">
        <v>580463349</v>
      </c>
      <c r="H1085" t="s">
        <v>1603</v>
      </c>
      <c r="I1085">
        <v>859</v>
      </c>
      <c r="J1085">
        <v>205.7</v>
      </c>
      <c r="K1085">
        <v>117.11</v>
      </c>
      <c r="L1085">
        <v>176696.3</v>
      </c>
      <c r="M1085">
        <v>100597.49</v>
      </c>
      <c r="N1085">
        <v>76098.81</v>
      </c>
    </row>
    <row r="1086" spans="1:14" x14ac:dyDescent="0.3">
      <c r="A1086" t="s">
        <v>14</v>
      </c>
      <c r="B1086" t="s">
        <v>163</v>
      </c>
      <c r="C1086" t="s">
        <v>32</v>
      </c>
      <c r="D1086" t="s">
        <v>17</v>
      </c>
      <c r="E1086" t="s">
        <v>24</v>
      </c>
      <c r="F1086" t="s">
        <v>26</v>
      </c>
      <c r="G1086">
        <v>428419864</v>
      </c>
      <c r="H1086" t="s">
        <v>1604</v>
      </c>
      <c r="I1086">
        <v>7813</v>
      </c>
      <c r="J1086">
        <v>651.21</v>
      </c>
      <c r="K1086">
        <v>524.96</v>
      </c>
      <c r="L1086">
        <v>5087903.7300000004</v>
      </c>
      <c r="M1086">
        <v>4101512.48</v>
      </c>
      <c r="N1086">
        <v>986391.25</v>
      </c>
    </row>
    <row r="1087" spans="1:14" x14ac:dyDescent="0.3">
      <c r="A1087" t="s">
        <v>14</v>
      </c>
      <c r="B1087" t="s">
        <v>86</v>
      </c>
      <c r="C1087" t="s">
        <v>64</v>
      </c>
      <c r="D1087" t="s">
        <v>17</v>
      </c>
      <c r="E1087" t="s">
        <v>18</v>
      </c>
      <c r="F1087" t="s">
        <v>629</v>
      </c>
      <c r="G1087">
        <v>479171121</v>
      </c>
      <c r="H1087" t="s">
        <v>1605</v>
      </c>
      <c r="I1087">
        <v>6238</v>
      </c>
      <c r="J1087">
        <v>255.28</v>
      </c>
      <c r="K1087">
        <v>159.41999999999999</v>
      </c>
      <c r="L1087">
        <v>1592436.64</v>
      </c>
      <c r="M1087">
        <v>994461.96</v>
      </c>
      <c r="N1087">
        <v>597974.68000000005</v>
      </c>
    </row>
    <row r="1088" spans="1:14" x14ac:dyDescent="0.3">
      <c r="A1088" t="s">
        <v>14</v>
      </c>
      <c r="B1088" t="s">
        <v>138</v>
      </c>
      <c r="C1088" t="s">
        <v>102</v>
      </c>
      <c r="D1088" t="s">
        <v>23</v>
      </c>
      <c r="E1088" t="s">
        <v>54</v>
      </c>
      <c r="F1088" t="s">
        <v>1606</v>
      </c>
      <c r="G1088">
        <v>120419871</v>
      </c>
      <c r="H1088" t="s">
        <v>1148</v>
      </c>
      <c r="I1088">
        <v>3771</v>
      </c>
      <c r="J1088">
        <v>81.73</v>
      </c>
      <c r="K1088">
        <v>56.67</v>
      </c>
      <c r="L1088">
        <v>308203.83</v>
      </c>
      <c r="M1088">
        <v>213702.57</v>
      </c>
      <c r="N1088">
        <v>94501.26</v>
      </c>
    </row>
    <row r="1089" spans="1:14" x14ac:dyDescent="0.3">
      <c r="A1089" t="s">
        <v>14</v>
      </c>
      <c r="B1089" t="s">
        <v>185</v>
      </c>
      <c r="C1089" t="s">
        <v>22</v>
      </c>
      <c r="D1089" t="s">
        <v>17</v>
      </c>
      <c r="E1089" t="s">
        <v>24</v>
      </c>
      <c r="F1089" t="s">
        <v>1607</v>
      </c>
      <c r="G1089">
        <v>602301251</v>
      </c>
      <c r="H1089" t="s">
        <v>1608</v>
      </c>
      <c r="I1089">
        <v>3180</v>
      </c>
      <c r="J1089">
        <v>109.28</v>
      </c>
      <c r="K1089">
        <v>35.840000000000003</v>
      </c>
      <c r="L1089">
        <v>347510.4</v>
      </c>
      <c r="M1089">
        <v>113971.2</v>
      </c>
      <c r="N1089">
        <v>233539.20000000001</v>
      </c>
    </row>
    <row r="1090" spans="1:14" x14ac:dyDescent="0.3">
      <c r="A1090" t="s">
        <v>14</v>
      </c>
      <c r="B1090" t="s">
        <v>127</v>
      </c>
      <c r="C1090" t="s">
        <v>64</v>
      </c>
      <c r="D1090" t="s">
        <v>23</v>
      </c>
      <c r="E1090" t="s">
        <v>24</v>
      </c>
      <c r="F1090" t="s">
        <v>1609</v>
      </c>
      <c r="G1090">
        <v>471484124</v>
      </c>
      <c r="H1090" t="s">
        <v>1060</v>
      </c>
      <c r="I1090">
        <v>1485</v>
      </c>
      <c r="J1090">
        <v>255.28</v>
      </c>
      <c r="K1090">
        <v>159.41999999999999</v>
      </c>
      <c r="L1090">
        <v>379090.8</v>
      </c>
      <c r="M1090">
        <v>236738.7</v>
      </c>
      <c r="N1090">
        <v>142352.1</v>
      </c>
    </row>
    <row r="1091" spans="1:14" x14ac:dyDescent="0.3">
      <c r="A1091" t="s">
        <v>14</v>
      </c>
      <c r="B1091" t="s">
        <v>135</v>
      </c>
      <c r="C1091" t="s">
        <v>58</v>
      </c>
      <c r="D1091" t="s">
        <v>17</v>
      </c>
      <c r="E1091" t="s">
        <v>24</v>
      </c>
      <c r="F1091" t="s">
        <v>1610</v>
      </c>
      <c r="G1091">
        <v>291611325</v>
      </c>
      <c r="H1091" t="s">
        <v>396</v>
      </c>
      <c r="I1091">
        <v>3126</v>
      </c>
      <c r="J1091">
        <v>152.58000000000001</v>
      </c>
      <c r="K1091">
        <v>97.44</v>
      </c>
      <c r="L1091">
        <v>476965.08</v>
      </c>
      <c r="M1091">
        <v>304597.44</v>
      </c>
      <c r="N1091">
        <v>172367.64</v>
      </c>
    </row>
    <row r="1092" spans="1:14" x14ac:dyDescent="0.3">
      <c r="A1092" t="s">
        <v>14</v>
      </c>
      <c r="B1092" t="s">
        <v>97</v>
      </c>
      <c r="C1092" t="s">
        <v>46</v>
      </c>
      <c r="D1092" t="s">
        <v>17</v>
      </c>
      <c r="E1092" t="s">
        <v>24</v>
      </c>
      <c r="F1092" t="s">
        <v>1062</v>
      </c>
      <c r="G1092">
        <v>691383635</v>
      </c>
      <c r="H1092" t="s">
        <v>1459</v>
      </c>
      <c r="I1092">
        <v>4637</v>
      </c>
      <c r="J1092">
        <v>154.06</v>
      </c>
      <c r="K1092">
        <v>90.93</v>
      </c>
      <c r="L1092">
        <v>714376.22</v>
      </c>
      <c r="M1092">
        <v>421642.41</v>
      </c>
      <c r="N1092">
        <v>292733.81</v>
      </c>
    </row>
    <row r="1093" spans="1:14" x14ac:dyDescent="0.3">
      <c r="A1093" t="s">
        <v>14</v>
      </c>
      <c r="B1093" t="s">
        <v>132</v>
      </c>
      <c r="C1093" t="s">
        <v>58</v>
      </c>
      <c r="D1093" t="s">
        <v>23</v>
      </c>
      <c r="E1093" t="s">
        <v>54</v>
      </c>
      <c r="F1093" t="s">
        <v>296</v>
      </c>
      <c r="G1093">
        <v>783913838</v>
      </c>
      <c r="H1093" t="s">
        <v>1611</v>
      </c>
      <c r="I1093">
        <v>6380</v>
      </c>
      <c r="J1093">
        <v>152.58000000000001</v>
      </c>
      <c r="K1093">
        <v>97.44</v>
      </c>
      <c r="L1093">
        <v>973460.4</v>
      </c>
      <c r="M1093">
        <v>621667.19999999995</v>
      </c>
      <c r="N1093">
        <v>351793.2</v>
      </c>
    </row>
    <row r="1094" spans="1:14" x14ac:dyDescent="0.3">
      <c r="A1094" t="s">
        <v>14</v>
      </c>
      <c r="B1094" t="s">
        <v>181</v>
      </c>
      <c r="C1094" t="s">
        <v>22</v>
      </c>
      <c r="D1094" t="s">
        <v>23</v>
      </c>
      <c r="E1094" t="s">
        <v>18</v>
      </c>
      <c r="F1094" t="s">
        <v>1612</v>
      </c>
      <c r="G1094">
        <v>799109733</v>
      </c>
      <c r="H1094" t="s">
        <v>1089</v>
      </c>
      <c r="I1094">
        <v>3183</v>
      </c>
      <c r="J1094">
        <v>109.28</v>
      </c>
      <c r="K1094">
        <v>35.840000000000003</v>
      </c>
      <c r="L1094">
        <v>347838.24</v>
      </c>
      <c r="M1094">
        <v>114078.72</v>
      </c>
      <c r="N1094">
        <v>233759.52</v>
      </c>
    </row>
    <row r="1095" spans="1:14" x14ac:dyDescent="0.3">
      <c r="A1095" t="s">
        <v>14</v>
      </c>
      <c r="B1095" t="s">
        <v>127</v>
      </c>
      <c r="C1095" t="s">
        <v>16</v>
      </c>
      <c r="D1095" t="s">
        <v>23</v>
      </c>
      <c r="E1095" t="s">
        <v>33</v>
      </c>
      <c r="F1095" t="s">
        <v>954</v>
      </c>
      <c r="G1095">
        <v>223199975</v>
      </c>
      <c r="H1095" t="s">
        <v>1091</v>
      </c>
      <c r="I1095">
        <v>8687</v>
      </c>
      <c r="J1095">
        <v>47.45</v>
      </c>
      <c r="K1095">
        <v>31.79</v>
      </c>
      <c r="L1095">
        <v>412198.15</v>
      </c>
      <c r="M1095">
        <v>276159.73</v>
      </c>
      <c r="N1095">
        <v>136038.42000000001</v>
      </c>
    </row>
    <row r="1096" spans="1:14" x14ac:dyDescent="0.3">
      <c r="A1096" t="s">
        <v>14</v>
      </c>
      <c r="B1096" t="s">
        <v>364</v>
      </c>
      <c r="C1096" t="s">
        <v>28</v>
      </c>
      <c r="D1096" t="s">
        <v>17</v>
      </c>
      <c r="E1096" t="s">
        <v>54</v>
      </c>
      <c r="F1096" t="s">
        <v>1613</v>
      </c>
      <c r="G1096">
        <v>391849982</v>
      </c>
      <c r="H1096" t="s">
        <v>1614</v>
      </c>
      <c r="I1096">
        <v>5972</v>
      </c>
      <c r="J1096">
        <v>205.7</v>
      </c>
      <c r="K1096">
        <v>117.11</v>
      </c>
      <c r="L1096">
        <v>1228440.3999999999</v>
      </c>
      <c r="M1096">
        <v>699380.92</v>
      </c>
      <c r="N1096">
        <v>529059.48</v>
      </c>
    </row>
    <row r="1097" spans="1:14" x14ac:dyDescent="0.3">
      <c r="A1097" t="s">
        <v>14</v>
      </c>
      <c r="B1097" t="s">
        <v>232</v>
      </c>
      <c r="C1097" t="s">
        <v>22</v>
      </c>
      <c r="D1097" t="s">
        <v>23</v>
      </c>
      <c r="E1097" t="s">
        <v>54</v>
      </c>
      <c r="F1097" t="s">
        <v>561</v>
      </c>
      <c r="G1097">
        <v>906508815</v>
      </c>
      <c r="H1097" t="s">
        <v>1615</v>
      </c>
      <c r="I1097">
        <v>4958</v>
      </c>
      <c r="J1097">
        <v>109.28</v>
      </c>
      <c r="K1097">
        <v>35.840000000000003</v>
      </c>
      <c r="L1097">
        <v>541810.24</v>
      </c>
      <c r="M1097">
        <v>177694.72</v>
      </c>
      <c r="N1097">
        <v>364115.52</v>
      </c>
    </row>
    <row r="1098" spans="1:14" x14ac:dyDescent="0.3">
      <c r="A1098" t="s">
        <v>14</v>
      </c>
      <c r="B1098" t="s">
        <v>183</v>
      </c>
      <c r="C1098" t="s">
        <v>28</v>
      </c>
      <c r="D1098" t="s">
        <v>17</v>
      </c>
      <c r="E1098" t="s">
        <v>24</v>
      </c>
      <c r="F1098" t="s">
        <v>1167</v>
      </c>
      <c r="G1098">
        <v>524844634</v>
      </c>
      <c r="H1098" t="s">
        <v>1616</v>
      </c>
      <c r="I1098">
        <v>2045</v>
      </c>
      <c r="J1098">
        <v>205.7</v>
      </c>
      <c r="K1098">
        <v>117.11</v>
      </c>
      <c r="L1098">
        <v>420656.5</v>
      </c>
      <c r="M1098">
        <v>239489.95</v>
      </c>
      <c r="N1098">
        <v>181166.55</v>
      </c>
    </row>
    <row r="1099" spans="1:14" x14ac:dyDescent="0.3">
      <c r="A1099" t="s">
        <v>14</v>
      </c>
      <c r="B1099" t="s">
        <v>223</v>
      </c>
      <c r="C1099" t="s">
        <v>37</v>
      </c>
      <c r="D1099" t="s">
        <v>23</v>
      </c>
      <c r="E1099" t="s">
        <v>54</v>
      </c>
      <c r="F1099" t="s">
        <v>1617</v>
      </c>
      <c r="G1099">
        <v>640476596</v>
      </c>
      <c r="H1099" t="s">
        <v>1618</v>
      </c>
      <c r="I1099">
        <v>112</v>
      </c>
      <c r="J1099">
        <v>9.33</v>
      </c>
      <c r="K1099">
        <v>6.92</v>
      </c>
      <c r="L1099">
        <v>1044.96</v>
      </c>
      <c r="M1099">
        <v>775.04</v>
      </c>
      <c r="N1099">
        <v>269.92</v>
      </c>
    </row>
    <row r="1100" spans="1:14" x14ac:dyDescent="0.3">
      <c r="A1100" t="s">
        <v>14</v>
      </c>
      <c r="B1100" t="s">
        <v>74</v>
      </c>
      <c r="C1100" t="s">
        <v>50</v>
      </c>
      <c r="D1100" t="s">
        <v>23</v>
      </c>
      <c r="E1100" t="s">
        <v>24</v>
      </c>
      <c r="F1100" t="s">
        <v>1619</v>
      </c>
      <c r="G1100">
        <v>733636796</v>
      </c>
      <c r="H1100" t="s">
        <v>1568</v>
      </c>
      <c r="I1100">
        <v>8286</v>
      </c>
      <c r="J1100">
        <v>421.89</v>
      </c>
      <c r="K1100">
        <v>364.69</v>
      </c>
      <c r="L1100">
        <v>3495780.54</v>
      </c>
      <c r="M1100">
        <v>3021821.34</v>
      </c>
      <c r="N1100">
        <v>473959.2</v>
      </c>
    </row>
    <row r="1101" spans="1:14" x14ac:dyDescent="0.3">
      <c r="A1101" t="s">
        <v>14</v>
      </c>
      <c r="B1101" t="s">
        <v>21</v>
      </c>
      <c r="C1101" t="s">
        <v>58</v>
      </c>
      <c r="D1101" t="s">
        <v>23</v>
      </c>
      <c r="E1101" t="s">
        <v>33</v>
      </c>
      <c r="F1101" t="s">
        <v>723</v>
      </c>
      <c r="G1101">
        <v>183778369</v>
      </c>
      <c r="H1101" t="s">
        <v>1620</v>
      </c>
      <c r="I1101">
        <v>2958</v>
      </c>
      <c r="J1101">
        <v>152.58000000000001</v>
      </c>
      <c r="K1101">
        <v>97.44</v>
      </c>
      <c r="L1101">
        <v>451331.64</v>
      </c>
      <c r="M1101">
        <v>288227.52</v>
      </c>
      <c r="N1101">
        <v>163104.12</v>
      </c>
    </row>
    <row r="1102" spans="1:14" x14ac:dyDescent="0.3">
      <c r="A1102" t="s">
        <v>14</v>
      </c>
      <c r="B1102" t="s">
        <v>45</v>
      </c>
      <c r="C1102" t="s">
        <v>58</v>
      </c>
      <c r="D1102" t="s">
        <v>17</v>
      </c>
      <c r="E1102" t="s">
        <v>24</v>
      </c>
      <c r="F1102" t="s">
        <v>1621</v>
      </c>
      <c r="G1102">
        <v>594991052</v>
      </c>
      <c r="H1102" t="s">
        <v>895</v>
      </c>
      <c r="I1102">
        <v>9929</v>
      </c>
      <c r="J1102">
        <v>152.58000000000001</v>
      </c>
      <c r="K1102">
        <v>97.44</v>
      </c>
      <c r="L1102">
        <v>1514966.82</v>
      </c>
      <c r="M1102">
        <v>967481.76</v>
      </c>
      <c r="N1102">
        <v>547485.06000000006</v>
      </c>
    </row>
    <row r="1103" spans="1:14" x14ac:dyDescent="0.3">
      <c r="A1103" t="s">
        <v>14</v>
      </c>
      <c r="B1103" t="s">
        <v>141</v>
      </c>
      <c r="C1103" t="s">
        <v>32</v>
      </c>
      <c r="D1103" t="s">
        <v>23</v>
      </c>
      <c r="E1103" t="s">
        <v>54</v>
      </c>
      <c r="F1103" t="s">
        <v>1622</v>
      </c>
      <c r="G1103">
        <v>246922719</v>
      </c>
      <c r="H1103" t="s">
        <v>1623</v>
      </c>
      <c r="I1103">
        <v>8775</v>
      </c>
      <c r="J1103">
        <v>651.21</v>
      </c>
      <c r="K1103">
        <v>524.96</v>
      </c>
      <c r="L1103">
        <v>5714367.75</v>
      </c>
      <c r="M1103">
        <v>4606524</v>
      </c>
      <c r="N1103">
        <v>1107843.75</v>
      </c>
    </row>
    <row r="1104" spans="1:14" x14ac:dyDescent="0.3">
      <c r="A1104" t="s">
        <v>14</v>
      </c>
      <c r="B1104" t="s">
        <v>243</v>
      </c>
      <c r="C1104" t="s">
        <v>58</v>
      </c>
      <c r="D1104" t="s">
        <v>17</v>
      </c>
      <c r="E1104" t="s">
        <v>33</v>
      </c>
      <c r="F1104" t="s">
        <v>1167</v>
      </c>
      <c r="G1104">
        <v>315066277</v>
      </c>
      <c r="H1104" t="s">
        <v>1624</v>
      </c>
      <c r="I1104">
        <v>3968</v>
      </c>
      <c r="J1104">
        <v>152.58000000000001</v>
      </c>
      <c r="K1104">
        <v>97.44</v>
      </c>
      <c r="L1104">
        <v>605437.43999999994</v>
      </c>
      <c r="M1104">
        <v>386641.91999999998</v>
      </c>
      <c r="N1104">
        <v>218795.51999999999</v>
      </c>
    </row>
    <row r="1105" spans="1:14" x14ac:dyDescent="0.3">
      <c r="A1105" t="s">
        <v>14</v>
      </c>
      <c r="B1105" t="s">
        <v>169</v>
      </c>
      <c r="C1105" t="s">
        <v>71</v>
      </c>
      <c r="D1105" t="s">
        <v>17</v>
      </c>
      <c r="E1105" t="s">
        <v>18</v>
      </c>
      <c r="F1105" t="s">
        <v>941</v>
      </c>
      <c r="G1105">
        <v>766118133</v>
      </c>
      <c r="H1105" t="s">
        <v>1625</v>
      </c>
      <c r="I1105">
        <v>235</v>
      </c>
      <c r="J1105">
        <v>668.27</v>
      </c>
      <c r="K1105">
        <v>502.54</v>
      </c>
      <c r="L1105">
        <v>157043.45000000001</v>
      </c>
      <c r="M1105">
        <v>118096.9</v>
      </c>
      <c r="N1105">
        <v>38946.550000000003</v>
      </c>
    </row>
    <row r="1106" spans="1:14" x14ac:dyDescent="0.3">
      <c r="A1106" t="s">
        <v>14</v>
      </c>
      <c r="B1106" t="s">
        <v>70</v>
      </c>
      <c r="C1106" t="s">
        <v>22</v>
      </c>
      <c r="D1106" t="s">
        <v>17</v>
      </c>
      <c r="E1106" t="s">
        <v>33</v>
      </c>
      <c r="F1106" t="s">
        <v>1626</v>
      </c>
      <c r="G1106">
        <v>138820683</v>
      </c>
      <c r="H1106" t="s">
        <v>1626</v>
      </c>
      <c r="I1106">
        <v>8980</v>
      </c>
      <c r="J1106">
        <v>109.28</v>
      </c>
      <c r="K1106">
        <v>35.840000000000003</v>
      </c>
      <c r="L1106">
        <v>981334.4</v>
      </c>
      <c r="M1106">
        <v>321843.20000000001</v>
      </c>
      <c r="N1106">
        <v>659491.19999999995</v>
      </c>
    </row>
    <row r="1107" spans="1:14" x14ac:dyDescent="0.3">
      <c r="A1107" t="s">
        <v>14</v>
      </c>
      <c r="B1107" t="s">
        <v>45</v>
      </c>
      <c r="C1107" t="s">
        <v>28</v>
      </c>
      <c r="D1107" t="s">
        <v>23</v>
      </c>
      <c r="E1107" t="s">
        <v>24</v>
      </c>
      <c r="F1107" t="s">
        <v>157</v>
      </c>
      <c r="G1107">
        <v>733648812</v>
      </c>
      <c r="H1107" t="s">
        <v>723</v>
      </c>
      <c r="I1107">
        <v>1842</v>
      </c>
      <c r="J1107">
        <v>205.7</v>
      </c>
      <c r="K1107">
        <v>117.11</v>
      </c>
      <c r="L1107">
        <v>378899.4</v>
      </c>
      <c r="M1107">
        <v>215716.62</v>
      </c>
      <c r="N1107">
        <v>163182.78</v>
      </c>
    </row>
    <row r="1108" spans="1:14" x14ac:dyDescent="0.3">
      <c r="A1108" t="s">
        <v>14</v>
      </c>
      <c r="B1108" t="s">
        <v>132</v>
      </c>
      <c r="C1108" t="s">
        <v>32</v>
      </c>
      <c r="D1108" t="s">
        <v>23</v>
      </c>
      <c r="E1108" t="s">
        <v>18</v>
      </c>
      <c r="F1108" t="s">
        <v>684</v>
      </c>
      <c r="G1108">
        <v>580782210</v>
      </c>
      <c r="H1108" t="s">
        <v>1627</v>
      </c>
      <c r="I1108">
        <v>5217</v>
      </c>
      <c r="J1108">
        <v>651.21</v>
      </c>
      <c r="K1108">
        <v>524.96</v>
      </c>
      <c r="L1108">
        <v>3397362.57</v>
      </c>
      <c r="M1108">
        <v>2738716.32</v>
      </c>
      <c r="N1108">
        <v>658646.25</v>
      </c>
    </row>
    <row r="1109" spans="1:14" x14ac:dyDescent="0.3">
      <c r="A1109" t="s">
        <v>14</v>
      </c>
      <c r="B1109" t="s">
        <v>135</v>
      </c>
      <c r="C1109" t="s">
        <v>64</v>
      </c>
      <c r="D1109" t="s">
        <v>17</v>
      </c>
      <c r="E1109" t="s">
        <v>18</v>
      </c>
      <c r="F1109" t="s">
        <v>644</v>
      </c>
      <c r="G1109">
        <v>279703605</v>
      </c>
      <c r="H1109" t="s">
        <v>1101</v>
      </c>
      <c r="I1109">
        <v>9367</v>
      </c>
      <c r="J1109">
        <v>255.28</v>
      </c>
      <c r="K1109">
        <v>159.41999999999999</v>
      </c>
      <c r="L1109">
        <v>2391207.7599999998</v>
      </c>
      <c r="M1109">
        <v>1493287.14</v>
      </c>
      <c r="N1109">
        <v>897920.62</v>
      </c>
    </row>
    <row r="1110" spans="1:14" x14ac:dyDescent="0.3">
      <c r="A1110" t="s">
        <v>14</v>
      </c>
      <c r="B1110" t="s">
        <v>89</v>
      </c>
      <c r="C1110" t="s">
        <v>64</v>
      </c>
      <c r="D1110" t="s">
        <v>17</v>
      </c>
      <c r="E1110" t="s">
        <v>54</v>
      </c>
      <c r="F1110" t="s">
        <v>810</v>
      </c>
      <c r="G1110">
        <v>645956456</v>
      </c>
      <c r="H1110" t="s">
        <v>434</v>
      </c>
      <c r="I1110">
        <v>1725</v>
      </c>
      <c r="J1110">
        <v>255.28</v>
      </c>
      <c r="K1110">
        <v>159.41999999999999</v>
      </c>
      <c r="L1110">
        <v>440358</v>
      </c>
      <c r="M1110">
        <v>274999.5</v>
      </c>
      <c r="N1110">
        <v>165358.5</v>
      </c>
    </row>
    <row r="1111" spans="1:14" x14ac:dyDescent="0.3">
      <c r="A1111" t="s">
        <v>14</v>
      </c>
      <c r="B1111" t="s">
        <v>40</v>
      </c>
      <c r="C1111" t="s">
        <v>22</v>
      </c>
      <c r="D1111" t="s">
        <v>17</v>
      </c>
      <c r="E1111" t="s">
        <v>24</v>
      </c>
      <c r="F1111" t="s">
        <v>1628</v>
      </c>
      <c r="G1111">
        <v>526350104</v>
      </c>
      <c r="H1111" t="s">
        <v>1629</v>
      </c>
      <c r="I1111">
        <v>7547</v>
      </c>
      <c r="J1111">
        <v>109.28</v>
      </c>
      <c r="K1111">
        <v>35.840000000000003</v>
      </c>
      <c r="L1111">
        <v>824736.16</v>
      </c>
      <c r="M1111">
        <v>270484.47999999998</v>
      </c>
      <c r="N1111">
        <v>554251.68000000005</v>
      </c>
    </row>
    <row r="1112" spans="1:14" x14ac:dyDescent="0.3">
      <c r="A1112" t="s">
        <v>14</v>
      </c>
      <c r="B1112" t="s">
        <v>220</v>
      </c>
      <c r="C1112" t="s">
        <v>50</v>
      </c>
      <c r="D1112" t="s">
        <v>23</v>
      </c>
      <c r="E1112" t="s">
        <v>33</v>
      </c>
      <c r="F1112" t="s">
        <v>1276</v>
      </c>
      <c r="G1112">
        <v>212903726</v>
      </c>
      <c r="H1112" t="s">
        <v>1276</v>
      </c>
      <c r="I1112">
        <v>1798</v>
      </c>
      <c r="J1112">
        <v>421.89</v>
      </c>
      <c r="K1112">
        <v>364.69</v>
      </c>
      <c r="L1112">
        <v>758558.22</v>
      </c>
      <c r="M1112">
        <v>655712.62</v>
      </c>
      <c r="N1112">
        <v>102845.6</v>
      </c>
    </row>
    <row r="1113" spans="1:14" x14ac:dyDescent="0.3">
      <c r="A1113" t="s">
        <v>14</v>
      </c>
      <c r="B1113" t="s">
        <v>53</v>
      </c>
      <c r="C1113" t="s">
        <v>46</v>
      </c>
      <c r="D1113" t="s">
        <v>23</v>
      </c>
      <c r="E1113" t="s">
        <v>18</v>
      </c>
      <c r="F1113" t="s">
        <v>1630</v>
      </c>
      <c r="G1113">
        <v>680325210</v>
      </c>
      <c r="H1113" t="s">
        <v>724</v>
      </c>
      <c r="I1113">
        <v>2203</v>
      </c>
      <c r="J1113">
        <v>154.06</v>
      </c>
      <c r="K1113">
        <v>90.93</v>
      </c>
      <c r="L1113">
        <v>339394.18</v>
      </c>
      <c r="M1113">
        <v>200318.79</v>
      </c>
      <c r="N1113">
        <v>139075.39000000001</v>
      </c>
    </row>
    <row r="1114" spans="1:14" x14ac:dyDescent="0.3">
      <c r="A1114" t="s">
        <v>14</v>
      </c>
      <c r="B1114" t="s">
        <v>97</v>
      </c>
      <c r="C1114" t="s">
        <v>16</v>
      </c>
      <c r="D1114" t="s">
        <v>23</v>
      </c>
      <c r="E1114" t="s">
        <v>24</v>
      </c>
      <c r="F1114" t="s">
        <v>1631</v>
      </c>
      <c r="G1114">
        <v>263882005</v>
      </c>
      <c r="H1114" t="s">
        <v>1546</v>
      </c>
      <c r="I1114">
        <v>7404</v>
      </c>
      <c r="J1114">
        <v>47.45</v>
      </c>
      <c r="K1114">
        <v>31.79</v>
      </c>
      <c r="L1114">
        <v>351319.8</v>
      </c>
      <c r="M1114">
        <v>235373.16</v>
      </c>
      <c r="N1114">
        <v>115946.64</v>
      </c>
    </row>
    <row r="1115" spans="1:14" x14ac:dyDescent="0.3">
      <c r="A1115" t="s">
        <v>14</v>
      </c>
      <c r="B1115" t="s">
        <v>97</v>
      </c>
      <c r="C1115" t="s">
        <v>37</v>
      </c>
      <c r="D1115" t="s">
        <v>17</v>
      </c>
      <c r="E1115" t="s">
        <v>33</v>
      </c>
      <c r="F1115" t="s">
        <v>1358</v>
      </c>
      <c r="G1115">
        <v>295168149</v>
      </c>
      <c r="H1115" t="s">
        <v>1632</v>
      </c>
      <c r="I1115">
        <v>5669</v>
      </c>
      <c r="J1115">
        <v>9.33</v>
      </c>
      <c r="K1115">
        <v>6.92</v>
      </c>
      <c r="L1115">
        <v>52891.77</v>
      </c>
      <c r="M1115">
        <v>39229.480000000003</v>
      </c>
      <c r="N1115">
        <v>13662.29</v>
      </c>
    </row>
    <row r="1116" spans="1:14" x14ac:dyDescent="0.3">
      <c r="A1116" t="s">
        <v>14</v>
      </c>
      <c r="B1116" t="s">
        <v>183</v>
      </c>
      <c r="C1116" t="s">
        <v>50</v>
      </c>
      <c r="D1116" t="s">
        <v>17</v>
      </c>
      <c r="E1116" t="s">
        <v>18</v>
      </c>
      <c r="F1116" t="s">
        <v>1633</v>
      </c>
      <c r="G1116">
        <v>645111024</v>
      </c>
      <c r="H1116" t="s">
        <v>1634</v>
      </c>
      <c r="I1116">
        <v>1543</v>
      </c>
      <c r="J1116">
        <v>421.89</v>
      </c>
      <c r="K1116">
        <v>364.69</v>
      </c>
      <c r="L1116">
        <v>650976.27</v>
      </c>
      <c r="M1116">
        <v>562716.67000000004</v>
      </c>
      <c r="N1116">
        <v>88259.6</v>
      </c>
    </row>
    <row r="1117" spans="1:14" x14ac:dyDescent="0.3">
      <c r="A1117" t="s">
        <v>14</v>
      </c>
      <c r="B1117" t="s">
        <v>49</v>
      </c>
      <c r="C1117" t="s">
        <v>64</v>
      </c>
      <c r="D1117" t="s">
        <v>17</v>
      </c>
      <c r="E1117" t="s">
        <v>24</v>
      </c>
      <c r="F1117" t="s">
        <v>1096</v>
      </c>
      <c r="G1117">
        <v>850562655</v>
      </c>
      <c r="H1117" t="s">
        <v>1340</v>
      </c>
      <c r="I1117">
        <v>9246</v>
      </c>
      <c r="J1117">
        <v>255.28</v>
      </c>
      <c r="K1117">
        <v>159.41999999999999</v>
      </c>
      <c r="L1117">
        <v>2360318.88</v>
      </c>
      <c r="M1117">
        <v>1473997.32</v>
      </c>
      <c r="N1117">
        <v>886321.56</v>
      </c>
    </row>
    <row r="1118" spans="1:14" x14ac:dyDescent="0.3">
      <c r="A1118" t="s">
        <v>14</v>
      </c>
      <c r="B1118" t="s">
        <v>271</v>
      </c>
      <c r="C1118" t="s">
        <v>102</v>
      </c>
      <c r="D1118" t="s">
        <v>17</v>
      </c>
      <c r="E1118" t="s">
        <v>33</v>
      </c>
      <c r="F1118" t="s">
        <v>210</v>
      </c>
      <c r="G1118">
        <v>702357947</v>
      </c>
      <c r="H1118" t="s">
        <v>1635</v>
      </c>
      <c r="I1118">
        <v>2179</v>
      </c>
      <c r="J1118">
        <v>81.73</v>
      </c>
      <c r="K1118">
        <v>56.67</v>
      </c>
      <c r="L1118">
        <v>178089.67</v>
      </c>
      <c r="M1118">
        <v>123483.93</v>
      </c>
      <c r="N1118">
        <v>54605.74</v>
      </c>
    </row>
    <row r="1119" spans="1:14" x14ac:dyDescent="0.3">
      <c r="A1119" t="s">
        <v>14</v>
      </c>
      <c r="B1119" t="s">
        <v>40</v>
      </c>
      <c r="C1119" t="s">
        <v>22</v>
      </c>
      <c r="D1119" t="s">
        <v>23</v>
      </c>
      <c r="E1119" t="s">
        <v>33</v>
      </c>
      <c r="F1119" t="s">
        <v>1352</v>
      </c>
      <c r="G1119">
        <v>102230632</v>
      </c>
      <c r="H1119" t="s">
        <v>655</v>
      </c>
      <c r="I1119">
        <v>1171</v>
      </c>
      <c r="J1119">
        <v>109.28</v>
      </c>
      <c r="K1119">
        <v>35.840000000000003</v>
      </c>
      <c r="L1119">
        <v>127966.88</v>
      </c>
      <c r="M1119">
        <v>41968.639999999999</v>
      </c>
      <c r="N1119">
        <v>85998.24</v>
      </c>
    </row>
    <row r="1120" spans="1:14" x14ac:dyDescent="0.3">
      <c r="A1120" t="s">
        <v>14</v>
      </c>
      <c r="B1120" t="s">
        <v>122</v>
      </c>
      <c r="C1120" t="s">
        <v>22</v>
      </c>
      <c r="D1120" t="s">
        <v>23</v>
      </c>
      <c r="E1120" t="s">
        <v>33</v>
      </c>
      <c r="F1120" t="s">
        <v>1636</v>
      </c>
      <c r="G1120">
        <v>231450879</v>
      </c>
      <c r="H1120" t="s">
        <v>1637</v>
      </c>
      <c r="I1120">
        <v>313</v>
      </c>
      <c r="J1120">
        <v>109.28</v>
      </c>
      <c r="K1120">
        <v>35.840000000000003</v>
      </c>
      <c r="L1120">
        <v>34204.639999999999</v>
      </c>
      <c r="M1120">
        <v>11217.92</v>
      </c>
      <c r="N1120">
        <v>22986.720000000001</v>
      </c>
    </row>
    <row r="1121" spans="1:14" x14ac:dyDescent="0.3">
      <c r="A1121" t="s">
        <v>14</v>
      </c>
      <c r="B1121" t="s">
        <v>89</v>
      </c>
      <c r="C1121" t="s">
        <v>22</v>
      </c>
      <c r="D1121" t="s">
        <v>23</v>
      </c>
      <c r="E1121" t="s">
        <v>24</v>
      </c>
      <c r="F1121" t="s">
        <v>813</v>
      </c>
      <c r="G1121">
        <v>880176818</v>
      </c>
      <c r="H1121" t="s">
        <v>1571</v>
      </c>
      <c r="I1121">
        <v>2735</v>
      </c>
      <c r="J1121">
        <v>109.28</v>
      </c>
      <c r="K1121">
        <v>35.840000000000003</v>
      </c>
      <c r="L1121">
        <v>298880.8</v>
      </c>
      <c r="M1121">
        <v>98022.399999999994</v>
      </c>
      <c r="N1121">
        <v>200858.4</v>
      </c>
    </row>
    <row r="1122" spans="1:14" x14ac:dyDescent="0.3">
      <c r="A1122" t="s">
        <v>14</v>
      </c>
      <c r="B1122" t="s">
        <v>185</v>
      </c>
      <c r="C1122" t="s">
        <v>22</v>
      </c>
      <c r="D1122" t="s">
        <v>23</v>
      </c>
      <c r="E1122" t="s">
        <v>54</v>
      </c>
      <c r="F1122" t="s">
        <v>594</v>
      </c>
      <c r="G1122">
        <v>755318915</v>
      </c>
      <c r="H1122" t="s">
        <v>401</v>
      </c>
      <c r="I1122">
        <v>4507</v>
      </c>
      <c r="J1122">
        <v>109.28</v>
      </c>
      <c r="K1122">
        <v>35.840000000000003</v>
      </c>
      <c r="L1122">
        <v>492524.96</v>
      </c>
      <c r="M1122">
        <v>161530.88</v>
      </c>
      <c r="N1122">
        <v>330994.08</v>
      </c>
    </row>
    <row r="1123" spans="1:14" x14ac:dyDescent="0.3">
      <c r="A1123" t="s">
        <v>14</v>
      </c>
      <c r="B1123" t="s">
        <v>220</v>
      </c>
      <c r="C1123" t="s">
        <v>16</v>
      </c>
      <c r="D1123" t="s">
        <v>23</v>
      </c>
      <c r="E1123" t="s">
        <v>54</v>
      </c>
      <c r="F1123" t="s">
        <v>1638</v>
      </c>
      <c r="G1123">
        <v>378873240</v>
      </c>
      <c r="H1123" t="s">
        <v>725</v>
      </c>
      <c r="I1123">
        <v>5866</v>
      </c>
      <c r="J1123">
        <v>47.45</v>
      </c>
      <c r="K1123">
        <v>31.79</v>
      </c>
      <c r="L1123">
        <v>278341.7</v>
      </c>
      <c r="M1123">
        <v>186480.14</v>
      </c>
      <c r="N1123">
        <v>91861.56</v>
      </c>
    </row>
    <row r="1124" spans="1:14" x14ac:dyDescent="0.3">
      <c r="A1124" t="s">
        <v>14</v>
      </c>
      <c r="B1124" t="s">
        <v>105</v>
      </c>
      <c r="C1124" t="s">
        <v>37</v>
      </c>
      <c r="D1124" t="s">
        <v>23</v>
      </c>
      <c r="E1124" t="s">
        <v>33</v>
      </c>
      <c r="F1124" t="s">
        <v>1639</v>
      </c>
      <c r="G1124">
        <v>264856183</v>
      </c>
      <c r="H1124" t="s">
        <v>1640</v>
      </c>
      <c r="I1124">
        <v>5685</v>
      </c>
      <c r="J1124">
        <v>9.33</v>
      </c>
      <c r="K1124">
        <v>6.92</v>
      </c>
      <c r="L1124">
        <v>53041.05</v>
      </c>
      <c r="M1124">
        <v>39340.199999999997</v>
      </c>
      <c r="N1124">
        <v>13700.85</v>
      </c>
    </row>
    <row r="1125" spans="1:14" x14ac:dyDescent="0.3">
      <c r="A1125" t="s">
        <v>14</v>
      </c>
      <c r="B1125" t="s">
        <v>15</v>
      </c>
      <c r="C1125" t="s">
        <v>28</v>
      </c>
      <c r="D1125" t="s">
        <v>23</v>
      </c>
      <c r="E1125" t="s">
        <v>18</v>
      </c>
      <c r="F1125" t="s">
        <v>1290</v>
      </c>
      <c r="G1125">
        <v>118659913</v>
      </c>
      <c r="H1125" t="s">
        <v>1641</v>
      </c>
      <c r="I1125">
        <v>2960</v>
      </c>
      <c r="J1125">
        <v>205.7</v>
      </c>
      <c r="K1125">
        <v>117.11</v>
      </c>
      <c r="L1125">
        <v>608872</v>
      </c>
      <c r="M1125">
        <v>346645.6</v>
      </c>
      <c r="N1125">
        <v>262226.40000000002</v>
      </c>
    </row>
    <row r="1126" spans="1:14" x14ac:dyDescent="0.3">
      <c r="A1126" t="s">
        <v>14</v>
      </c>
      <c r="B1126" t="s">
        <v>61</v>
      </c>
      <c r="C1126" t="s">
        <v>64</v>
      </c>
      <c r="D1126" t="s">
        <v>23</v>
      </c>
      <c r="E1126" t="s">
        <v>33</v>
      </c>
      <c r="F1126" t="s">
        <v>562</v>
      </c>
      <c r="G1126">
        <v>667324435</v>
      </c>
      <c r="H1126" t="s">
        <v>1642</v>
      </c>
      <c r="I1126">
        <v>4985</v>
      </c>
      <c r="J1126">
        <v>255.28</v>
      </c>
      <c r="K1126">
        <v>159.41999999999999</v>
      </c>
      <c r="L1126">
        <v>1272570.8</v>
      </c>
      <c r="M1126">
        <v>794708.7</v>
      </c>
      <c r="N1126">
        <v>477862.1</v>
      </c>
    </row>
    <row r="1127" spans="1:14" x14ac:dyDescent="0.3">
      <c r="A1127" t="s">
        <v>14</v>
      </c>
      <c r="B1127" t="s">
        <v>89</v>
      </c>
      <c r="C1127" t="s">
        <v>64</v>
      </c>
      <c r="D1127" t="s">
        <v>23</v>
      </c>
      <c r="E1127" t="s">
        <v>18</v>
      </c>
      <c r="F1127" t="s">
        <v>1477</v>
      </c>
      <c r="G1127">
        <v>685233008</v>
      </c>
      <c r="H1127" t="s">
        <v>1643</v>
      </c>
      <c r="I1127">
        <v>4529</v>
      </c>
      <c r="J1127">
        <v>255.28</v>
      </c>
      <c r="K1127">
        <v>159.41999999999999</v>
      </c>
      <c r="L1127">
        <v>1156163.1200000001</v>
      </c>
      <c r="M1127">
        <v>722013.18</v>
      </c>
      <c r="N1127">
        <v>434149.94</v>
      </c>
    </row>
    <row r="1128" spans="1:14" x14ac:dyDescent="0.3">
      <c r="A1128" t="s">
        <v>14</v>
      </c>
      <c r="B1128" t="s">
        <v>110</v>
      </c>
      <c r="C1128" t="s">
        <v>16</v>
      </c>
      <c r="D1128" t="s">
        <v>23</v>
      </c>
      <c r="E1128" t="s">
        <v>54</v>
      </c>
      <c r="F1128" t="s">
        <v>1612</v>
      </c>
      <c r="G1128">
        <v>757468974</v>
      </c>
      <c r="H1128" t="s">
        <v>1644</v>
      </c>
      <c r="I1128">
        <v>757</v>
      </c>
      <c r="J1128">
        <v>47.45</v>
      </c>
      <c r="K1128">
        <v>31.79</v>
      </c>
      <c r="L1128">
        <v>35919.65</v>
      </c>
      <c r="M1128">
        <v>24065.03</v>
      </c>
      <c r="N1128">
        <v>11854.62</v>
      </c>
    </row>
    <row r="1129" spans="1:14" x14ac:dyDescent="0.3">
      <c r="A1129" t="s">
        <v>14</v>
      </c>
      <c r="B1129" t="s">
        <v>57</v>
      </c>
      <c r="C1129" t="s">
        <v>50</v>
      </c>
      <c r="D1129" t="s">
        <v>23</v>
      </c>
      <c r="E1129" t="s">
        <v>54</v>
      </c>
      <c r="F1129" t="s">
        <v>1645</v>
      </c>
      <c r="G1129">
        <v>512714612</v>
      </c>
      <c r="H1129" t="s">
        <v>1646</v>
      </c>
      <c r="I1129">
        <v>2502</v>
      </c>
      <c r="J1129">
        <v>421.89</v>
      </c>
      <c r="K1129">
        <v>364.69</v>
      </c>
      <c r="L1129">
        <v>1055568.78</v>
      </c>
      <c r="M1129">
        <v>912454.38</v>
      </c>
      <c r="N1129">
        <v>143114.4</v>
      </c>
    </row>
    <row r="1130" spans="1:14" x14ac:dyDescent="0.3">
      <c r="A1130" t="s">
        <v>14</v>
      </c>
      <c r="B1130" t="s">
        <v>364</v>
      </c>
      <c r="C1130" t="s">
        <v>50</v>
      </c>
      <c r="D1130" t="s">
        <v>17</v>
      </c>
      <c r="E1130" t="s">
        <v>24</v>
      </c>
      <c r="F1130" t="s">
        <v>832</v>
      </c>
      <c r="G1130">
        <v>516485583</v>
      </c>
      <c r="H1130" t="s">
        <v>1647</v>
      </c>
      <c r="I1130">
        <v>8416</v>
      </c>
      <c r="J1130">
        <v>421.89</v>
      </c>
      <c r="K1130">
        <v>364.69</v>
      </c>
      <c r="L1130">
        <v>3550626.24</v>
      </c>
      <c r="M1130">
        <v>3069231.04</v>
      </c>
      <c r="N1130">
        <v>481395.20000000001</v>
      </c>
    </row>
    <row r="1131" spans="1:14" x14ac:dyDescent="0.3">
      <c r="A1131" t="s">
        <v>14</v>
      </c>
      <c r="B1131" t="s">
        <v>132</v>
      </c>
      <c r="C1131" t="s">
        <v>46</v>
      </c>
      <c r="D1131" t="s">
        <v>23</v>
      </c>
      <c r="E1131" t="s">
        <v>54</v>
      </c>
      <c r="F1131" t="s">
        <v>1648</v>
      </c>
      <c r="G1131">
        <v>491547477</v>
      </c>
      <c r="H1131" t="s">
        <v>1648</v>
      </c>
      <c r="I1131">
        <v>8676</v>
      </c>
      <c r="J1131">
        <v>154.06</v>
      </c>
      <c r="K1131">
        <v>90.93</v>
      </c>
      <c r="L1131">
        <v>1336624.56</v>
      </c>
      <c r="M1131">
        <v>788908.68</v>
      </c>
      <c r="N1131">
        <v>547715.88</v>
      </c>
    </row>
    <row r="1132" spans="1:14" x14ac:dyDescent="0.3">
      <c r="A1132" t="s">
        <v>14</v>
      </c>
      <c r="B1132" t="s">
        <v>31</v>
      </c>
      <c r="C1132" t="s">
        <v>37</v>
      </c>
      <c r="D1132" t="s">
        <v>17</v>
      </c>
      <c r="E1132" t="s">
        <v>18</v>
      </c>
      <c r="F1132" t="s">
        <v>735</v>
      </c>
      <c r="G1132">
        <v>911891257</v>
      </c>
      <c r="H1132" t="s">
        <v>1079</v>
      </c>
      <c r="I1132">
        <v>7742</v>
      </c>
      <c r="J1132">
        <v>9.33</v>
      </c>
      <c r="K1132">
        <v>6.92</v>
      </c>
      <c r="L1132">
        <v>72232.86</v>
      </c>
      <c r="M1132">
        <v>53574.64</v>
      </c>
      <c r="N1132">
        <v>18658.22</v>
      </c>
    </row>
    <row r="1133" spans="1:14" x14ac:dyDescent="0.3">
      <c r="A1133" t="s">
        <v>14</v>
      </c>
      <c r="B1133" t="s">
        <v>70</v>
      </c>
      <c r="C1133" t="s">
        <v>58</v>
      </c>
      <c r="D1133" t="s">
        <v>17</v>
      </c>
      <c r="E1133" t="s">
        <v>33</v>
      </c>
      <c r="F1133" t="s">
        <v>897</v>
      </c>
      <c r="G1133">
        <v>214033257</v>
      </c>
      <c r="H1133" t="s">
        <v>1214</v>
      </c>
      <c r="I1133">
        <v>6052</v>
      </c>
      <c r="J1133">
        <v>152.58000000000001</v>
      </c>
      <c r="K1133">
        <v>97.44</v>
      </c>
      <c r="L1133">
        <v>923414.16</v>
      </c>
      <c r="M1133">
        <v>589706.88</v>
      </c>
      <c r="N1133">
        <v>333707.28000000003</v>
      </c>
    </row>
    <row r="1134" spans="1:14" x14ac:dyDescent="0.3">
      <c r="A1134" t="s">
        <v>14</v>
      </c>
      <c r="B1134" t="s">
        <v>74</v>
      </c>
      <c r="C1134" t="s">
        <v>28</v>
      </c>
      <c r="D1134" t="s">
        <v>23</v>
      </c>
      <c r="E1134" t="s">
        <v>54</v>
      </c>
      <c r="F1134" t="s">
        <v>1238</v>
      </c>
      <c r="G1134">
        <v>504024684</v>
      </c>
      <c r="H1134" t="s">
        <v>1649</v>
      </c>
      <c r="I1134">
        <v>959</v>
      </c>
      <c r="J1134">
        <v>205.7</v>
      </c>
      <c r="K1134">
        <v>117.11</v>
      </c>
      <c r="L1134">
        <v>197266.3</v>
      </c>
      <c r="M1134">
        <v>112308.49</v>
      </c>
      <c r="N1134">
        <v>84957.81</v>
      </c>
    </row>
    <row r="1135" spans="1:14" x14ac:dyDescent="0.3">
      <c r="A1135" t="s">
        <v>14</v>
      </c>
      <c r="B1135" t="s">
        <v>138</v>
      </c>
      <c r="C1135" t="s">
        <v>46</v>
      </c>
      <c r="D1135" t="s">
        <v>23</v>
      </c>
      <c r="E1135" t="s">
        <v>33</v>
      </c>
      <c r="F1135" t="s">
        <v>1414</v>
      </c>
      <c r="G1135">
        <v>386601865</v>
      </c>
      <c r="H1135" t="s">
        <v>1223</v>
      </c>
      <c r="I1135">
        <v>2938</v>
      </c>
      <c r="J1135">
        <v>154.06</v>
      </c>
      <c r="K1135">
        <v>90.93</v>
      </c>
      <c r="L1135">
        <v>452628.28</v>
      </c>
      <c r="M1135">
        <v>267152.34000000003</v>
      </c>
      <c r="N1135">
        <v>185475.94</v>
      </c>
    </row>
    <row r="1136" spans="1:14" x14ac:dyDescent="0.3">
      <c r="A1136" t="s">
        <v>14</v>
      </c>
      <c r="B1136" t="s">
        <v>169</v>
      </c>
      <c r="C1136" t="s">
        <v>75</v>
      </c>
      <c r="D1136" t="s">
        <v>17</v>
      </c>
      <c r="E1136" t="s">
        <v>18</v>
      </c>
      <c r="F1136" t="s">
        <v>518</v>
      </c>
      <c r="G1136">
        <v>336813628</v>
      </c>
      <c r="H1136" t="s">
        <v>1650</v>
      </c>
      <c r="I1136">
        <v>9492</v>
      </c>
      <c r="J1136">
        <v>437.2</v>
      </c>
      <c r="K1136">
        <v>263.33</v>
      </c>
      <c r="L1136">
        <v>4149902.4</v>
      </c>
      <c r="M1136">
        <v>2499528.36</v>
      </c>
      <c r="N1136">
        <v>1650374.04</v>
      </c>
    </row>
    <row r="1137" spans="1:14" x14ac:dyDescent="0.3">
      <c r="A1137" t="s">
        <v>14</v>
      </c>
      <c r="B1137" t="s">
        <v>57</v>
      </c>
      <c r="C1137" t="s">
        <v>37</v>
      </c>
      <c r="D1137" t="s">
        <v>23</v>
      </c>
      <c r="E1137" t="s">
        <v>18</v>
      </c>
      <c r="F1137" t="s">
        <v>1051</v>
      </c>
      <c r="G1137">
        <v>309188163</v>
      </c>
      <c r="H1137" t="s">
        <v>1651</v>
      </c>
      <c r="I1137">
        <v>4503</v>
      </c>
      <c r="J1137">
        <v>9.33</v>
      </c>
      <c r="K1137">
        <v>6.92</v>
      </c>
      <c r="L1137">
        <v>42012.99</v>
      </c>
      <c r="M1137">
        <v>31160.76</v>
      </c>
      <c r="N1137">
        <v>10852.23</v>
      </c>
    </row>
    <row r="1138" spans="1:14" x14ac:dyDescent="0.3">
      <c r="A1138" t="s">
        <v>14</v>
      </c>
      <c r="B1138" t="s">
        <v>132</v>
      </c>
      <c r="C1138" t="s">
        <v>32</v>
      </c>
      <c r="D1138" t="s">
        <v>17</v>
      </c>
      <c r="E1138" t="s">
        <v>24</v>
      </c>
      <c r="F1138" t="s">
        <v>284</v>
      </c>
      <c r="G1138">
        <v>760280358</v>
      </c>
      <c r="H1138" t="s">
        <v>1304</v>
      </c>
      <c r="I1138">
        <v>2708</v>
      </c>
      <c r="J1138">
        <v>651.21</v>
      </c>
      <c r="K1138">
        <v>524.96</v>
      </c>
      <c r="L1138">
        <v>1763476.68</v>
      </c>
      <c r="M1138">
        <v>1421591.68</v>
      </c>
      <c r="N1138">
        <v>341885</v>
      </c>
    </row>
    <row r="1139" spans="1:14" x14ac:dyDescent="0.3">
      <c r="A1139" t="s">
        <v>14</v>
      </c>
      <c r="B1139" t="s">
        <v>243</v>
      </c>
      <c r="C1139" t="s">
        <v>16</v>
      </c>
      <c r="D1139" t="s">
        <v>17</v>
      </c>
      <c r="E1139" t="s">
        <v>24</v>
      </c>
      <c r="F1139" t="s">
        <v>1652</v>
      </c>
      <c r="G1139">
        <v>495593106</v>
      </c>
      <c r="H1139" t="s">
        <v>1653</v>
      </c>
      <c r="I1139">
        <v>5868</v>
      </c>
      <c r="J1139">
        <v>47.45</v>
      </c>
      <c r="K1139">
        <v>31.79</v>
      </c>
      <c r="L1139">
        <v>278436.59999999998</v>
      </c>
      <c r="M1139">
        <v>186543.72</v>
      </c>
      <c r="N1139">
        <v>91892.88</v>
      </c>
    </row>
    <row r="1140" spans="1:14" x14ac:dyDescent="0.3">
      <c r="A1140" t="s">
        <v>14</v>
      </c>
      <c r="B1140" t="s">
        <v>105</v>
      </c>
      <c r="C1140" t="s">
        <v>22</v>
      </c>
      <c r="D1140" t="s">
        <v>17</v>
      </c>
      <c r="E1140" t="s">
        <v>33</v>
      </c>
      <c r="F1140" t="s">
        <v>407</v>
      </c>
      <c r="G1140">
        <v>209598815</v>
      </c>
      <c r="H1140" t="s">
        <v>266</v>
      </c>
      <c r="I1140">
        <v>3802</v>
      </c>
      <c r="J1140">
        <v>109.28</v>
      </c>
      <c r="K1140">
        <v>35.840000000000003</v>
      </c>
      <c r="L1140">
        <v>415482.56</v>
      </c>
      <c r="M1140">
        <v>136263.67999999999</v>
      </c>
      <c r="N1140">
        <v>279218.88</v>
      </c>
    </row>
    <row r="1141" spans="1:14" x14ac:dyDescent="0.3">
      <c r="A1141" t="s">
        <v>14</v>
      </c>
      <c r="B1141" t="s">
        <v>364</v>
      </c>
      <c r="C1141" t="s">
        <v>50</v>
      </c>
      <c r="D1141" t="s">
        <v>23</v>
      </c>
      <c r="E1141" t="s">
        <v>54</v>
      </c>
      <c r="F1141" t="s">
        <v>1654</v>
      </c>
      <c r="G1141">
        <v>483438193</v>
      </c>
      <c r="H1141" t="s">
        <v>1655</v>
      </c>
      <c r="I1141">
        <v>8959</v>
      </c>
      <c r="J1141">
        <v>421.89</v>
      </c>
      <c r="K1141">
        <v>364.69</v>
      </c>
      <c r="L1141">
        <v>3779712.51</v>
      </c>
      <c r="M1141">
        <v>3267257.71</v>
      </c>
      <c r="N1141">
        <v>512454.8</v>
      </c>
    </row>
    <row r="1142" spans="1:14" x14ac:dyDescent="0.3">
      <c r="A1142" t="s">
        <v>14</v>
      </c>
      <c r="B1142" t="s">
        <v>49</v>
      </c>
      <c r="C1142" t="s">
        <v>46</v>
      </c>
      <c r="D1142" t="s">
        <v>23</v>
      </c>
      <c r="E1142" t="s">
        <v>33</v>
      </c>
      <c r="F1142" t="s">
        <v>1383</v>
      </c>
      <c r="G1142">
        <v>819037473</v>
      </c>
      <c r="H1142" t="s">
        <v>1383</v>
      </c>
      <c r="I1142">
        <v>244</v>
      </c>
      <c r="J1142">
        <v>154.06</v>
      </c>
      <c r="K1142">
        <v>90.93</v>
      </c>
      <c r="L1142">
        <v>37590.639999999999</v>
      </c>
      <c r="M1142">
        <v>22186.92</v>
      </c>
      <c r="N1142">
        <v>15403.72</v>
      </c>
    </row>
    <row r="1143" spans="1:14" x14ac:dyDescent="0.3">
      <c r="A1143" t="s">
        <v>14</v>
      </c>
      <c r="B1143" t="s">
        <v>92</v>
      </c>
      <c r="C1143" t="s">
        <v>37</v>
      </c>
      <c r="D1143" t="s">
        <v>17</v>
      </c>
      <c r="E1143" t="s">
        <v>54</v>
      </c>
      <c r="F1143" t="s">
        <v>530</v>
      </c>
      <c r="G1143">
        <v>974420630</v>
      </c>
      <c r="H1143" t="s">
        <v>1656</v>
      </c>
      <c r="I1143">
        <v>1573</v>
      </c>
      <c r="J1143">
        <v>9.33</v>
      </c>
      <c r="K1143">
        <v>6.92</v>
      </c>
      <c r="L1143">
        <v>14676.09</v>
      </c>
      <c r="M1143">
        <v>10885.16</v>
      </c>
      <c r="N1143">
        <v>3790.93</v>
      </c>
    </row>
    <row r="1144" spans="1:14" x14ac:dyDescent="0.3">
      <c r="A1144" t="s">
        <v>14</v>
      </c>
      <c r="B1144" t="s">
        <v>70</v>
      </c>
      <c r="C1144" t="s">
        <v>16</v>
      </c>
      <c r="D1144" t="s">
        <v>17</v>
      </c>
      <c r="E1144" t="s">
        <v>33</v>
      </c>
      <c r="F1144" t="s">
        <v>1567</v>
      </c>
      <c r="G1144">
        <v>534641349</v>
      </c>
      <c r="H1144" t="s">
        <v>1657</v>
      </c>
      <c r="I1144">
        <v>1111</v>
      </c>
      <c r="J1144">
        <v>47.45</v>
      </c>
      <c r="K1144">
        <v>31.79</v>
      </c>
      <c r="L1144">
        <v>52716.95</v>
      </c>
      <c r="M1144">
        <v>35318.69</v>
      </c>
      <c r="N1144">
        <v>17398.259999999998</v>
      </c>
    </row>
    <row r="1145" spans="1:14" x14ac:dyDescent="0.3">
      <c r="A1145" t="s">
        <v>14</v>
      </c>
      <c r="B1145" t="s">
        <v>57</v>
      </c>
      <c r="C1145" t="s">
        <v>58</v>
      </c>
      <c r="D1145" t="s">
        <v>23</v>
      </c>
      <c r="E1145" t="s">
        <v>33</v>
      </c>
      <c r="F1145" t="s">
        <v>1658</v>
      </c>
      <c r="G1145">
        <v>921133935</v>
      </c>
      <c r="H1145" t="s">
        <v>1659</v>
      </c>
      <c r="I1145">
        <v>2856</v>
      </c>
      <c r="J1145">
        <v>152.58000000000001</v>
      </c>
      <c r="K1145">
        <v>97.44</v>
      </c>
      <c r="L1145">
        <v>435768.48</v>
      </c>
      <c r="M1145">
        <v>278288.64000000001</v>
      </c>
      <c r="N1145">
        <v>157479.84</v>
      </c>
    </row>
    <row r="1146" spans="1:14" x14ac:dyDescent="0.3">
      <c r="A1146" t="s">
        <v>14</v>
      </c>
      <c r="B1146" t="s">
        <v>61</v>
      </c>
      <c r="C1146" t="s">
        <v>50</v>
      </c>
      <c r="D1146" t="s">
        <v>17</v>
      </c>
      <c r="E1146" t="s">
        <v>33</v>
      </c>
      <c r="F1146" t="s">
        <v>56</v>
      </c>
      <c r="G1146">
        <v>456934964</v>
      </c>
      <c r="H1146" t="s">
        <v>201</v>
      </c>
      <c r="I1146">
        <v>6065</v>
      </c>
      <c r="J1146">
        <v>421.89</v>
      </c>
      <c r="K1146">
        <v>364.69</v>
      </c>
      <c r="L1146">
        <v>2558762.85</v>
      </c>
      <c r="M1146">
        <v>2211844.85</v>
      </c>
      <c r="N1146">
        <v>346918</v>
      </c>
    </row>
    <row r="1147" spans="1:14" x14ac:dyDescent="0.3">
      <c r="A1147" t="s">
        <v>14</v>
      </c>
      <c r="B1147" t="s">
        <v>31</v>
      </c>
      <c r="C1147" t="s">
        <v>37</v>
      </c>
      <c r="D1147" t="s">
        <v>23</v>
      </c>
      <c r="E1147" t="s">
        <v>33</v>
      </c>
      <c r="F1147" t="s">
        <v>1508</v>
      </c>
      <c r="G1147">
        <v>468803632</v>
      </c>
      <c r="H1147" t="s">
        <v>1330</v>
      </c>
      <c r="I1147">
        <v>8267</v>
      </c>
      <c r="J1147">
        <v>9.33</v>
      </c>
      <c r="K1147">
        <v>6.92</v>
      </c>
      <c r="L1147">
        <v>77131.11</v>
      </c>
      <c r="M1147">
        <v>57207.64</v>
      </c>
      <c r="N1147">
        <v>19923.47</v>
      </c>
    </row>
    <row r="1148" spans="1:14" x14ac:dyDescent="0.3">
      <c r="A1148" t="s">
        <v>14</v>
      </c>
      <c r="B1148" t="s">
        <v>53</v>
      </c>
      <c r="C1148" t="s">
        <v>64</v>
      </c>
      <c r="D1148" t="s">
        <v>23</v>
      </c>
      <c r="E1148" t="s">
        <v>24</v>
      </c>
      <c r="F1148" t="s">
        <v>1660</v>
      </c>
      <c r="G1148">
        <v>646981704</v>
      </c>
      <c r="H1148" t="s">
        <v>1661</v>
      </c>
      <c r="I1148">
        <v>5118</v>
      </c>
      <c r="J1148">
        <v>255.28</v>
      </c>
      <c r="K1148">
        <v>159.41999999999999</v>
      </c>
      <c r="L1148">
        <v>1306523.04</v>
      </c>
      <c r="M1148">
        <v>815911.56</v>
      </c>
      <c r="N1148">
        <v>490611.48</v>
      </c>
    </row>
    <row r="1149" spans="1:14" x14ac:dyDescent="0.3">
      <c r="A1149" t="s">
        <v>14</v>
      </c>
      <c r="B1149" t="s">
        <v>53</v>
      </c>
      <c r="C1149" t="s">
        <v>46</v>
      </c>
      <c r="D1149" t="s">
        <v>23</v>
      </c>
      <c r="E1149" t="s">
        <v>33</v>
      </c>
      <c r="F1149" t="s">
        <v>1662</v>
      </c>
      <c r="G1149">
        <v>972452533</v>
      </c>
      <c r="H1149" t="s">
        <v>1663</v>
      </c>
      <c r="I1149">
        <v>9169</v>
      </c>
      <c r="J1149">
        <v>154.06</v>
      </c>
      <c r="K1149">
        <v>90.93</v>
      </c>
      <c r="L1149">
        <v>1412576.14</v>
      </c>
      <c r="M1149">
        <v>833737.17</v>
      </c>
      <c r="N1149">
        <v>578838.97</v>
      </c>
    </row>
    <row r="1150" spans="1:14" x14ac:dyDescent="0.3">
      <c r="A1150" t="s">
        <v>14</v>
      </c>
      <c r="B1150" t="s">
        <v>27</v>
      </c>
      <c r="C1150" t="s">
        <v>102</v>
      </c>
      <c r="D1150" t="s">
        <v>17</v>
      </c>
      <c r="E1150" t="s">
        <v>24</v>
      </c>
      <c r="F1150" t="s">
        <v>1664</v>
      </c>
      <c r="G1150">
        <v>535740411</v>
      </c>
      <c r="H1150" t="s">
        <v>1665</v>
      </c>
      <c r="I1150">
        <v>6348</v>
      </c>
      <c r="J1150">
        <v>81.73</v>
      </c>
      <c r="K1150">
        <v>56.67</v>
      </c>
      <c r="L1150">
        <v>518822.04</v>
      </c>
      <c r="M1150">
        <v>359741.16</v>
      </c>
      <c r="N1150">
        <v>159080.88</v>
      </c>
    </row>
    <row r="1151" spans="1:14" x14ac:dyDescent="0.3">
      <c r="A1151" t="s">
        <v>14</v>
      </c>
      <c r="B1151" t="s">
        <v>271</v>
      </c>
      <c r="C1151" t="s">
        <v>102</v>
      </c>
      <c r="D1151" t="s">
        <v>17</v>
      </c>
      <c r="E1151" t="s">
        <v>54</v>
      </c>
      <c r="F1151" t="s">
        <v>1118</v>
      </c>
      <c r="G1151">
        <v>309285581</v>
      </c>
      <c r="H1151" t="s">
        <v>1284</v>
      </c>
      <c r="I1151">
        <v>3331</v>
      </c>
      <c r="J1151">
        <v>81.73</v>
      </c>
      <c r="K1151">
        <v>56.67</v>
      </c>
      <c r="L1151">
        <v>272242.63</v>
      </c>
      <c r="M1151">
        <v>188767.77</v>
      </c>
      <c r="N1151">
        <v>83474.86</v>
      </c>
    </row>
    <row r="1152" spans="1:14" x14ac:dyDescent="0.3">
      <c r="A1152" t="s">
        <v>14</v>
      </c>
      <c r="B1152" t="s">
        <v>220</v>
      </c>
      <c r="C1152" t="s">
        <v>64</v>
      </c>
      <c r="D1152" t="s">
        <v>17</v>
      </c>
      <c r="E1152" t="s">
        <v>18</v>
      </c>
      <c r="F1152" t="s">
        <v>1221</v>
      </c>
      <c r="G1152">
        <v>380733191</v>
      </c>
      <c r="H1152" t="s">
        <v>1666</v>
      </c>
      <c r="I1152">
        <v>6267</v>
      </c>
      <c r="J1152">
        <v>255.28</v>
      </c>
      <c r="K1152">
        <v>159.41999999999999</v>
      </c>
      <c r="L1152">
        <v>1599839.76</v>
      </c>
      <c r="M1152">
        <v>999085.14</v>
      </c>
      <c r="N1152">
        <v>600754.62</v>
      </c>
    </row>
    <row r="1153" spans="1:14" x14ac:dyDescent="0.3">
      <c r="A1153" t="s">
        <v>14</v>
      </c>
      <c r="B1153" t="s">
        <v>132</v>
      </c>
      <c r="C1153" t="s">
        <v>37</v>
      </c>
      <c r="D1153" t="s">
        <v>23</v>
      </c>
      <c r="E1153" t="s">
        <v>33</v>
      </c>
      <c r="F1153" t="s">
        <v>1495</v>
      </c>
      <c r="G1153">
        <v>989102828</v>
      </c>
      <c r="H1153" t="s">
        <v>283</v>
      </c>
      <c r="I1153">
        <v>6362</v>
      </c>
      <c r="J1153">
        <v>9.33</v>
      </c>
      <c r="K1153">
        <v>6.92</v>
      </c>
      <c r="L1153">
        <v>59357.46</v>
      </c>
      <c r="M1153">
        <v>44025.04</v>
      </c>
      <c r="N1153">
        <v>15332.42</v>
      </c>
    </row>
    <row r="1154" spans="1:14" x14ac:dyDescent="0.3">
      <c r="A1154" t="s">
        <v>14</v>
      </c>
      <c r="B1154" t="s">
        <v>80</v>
      </c>
      <c r="C1154" t="s">
        <v>16</v>
      </c>
      <c r="D1154" t="s">
        <v>23</v>
      </c>
      <c r="E1154" t="s">
        <v>24</v>
      </c>
      <c r="F1154" t="s">
        <v>1217</v>
      </c>
      <c r="G1154">
        <v>862326610</v>
      </c>
      <c r="H1154" t="s">
        <v>436</v>
      </c>
      <c r="I1154">
        <v>461</v>
      </c>
      <c r="J1154">
        <v>47.45</v>
      </c>
      <c r="K1154">
        <v>31.79</v>
      </c>
      <c r="L1154">
        <v>21874.45</v>
      </c>
      <c r="M1154">
        <v>14655.19</v>
      </c>
      <c r="N1154">
        <v>7219.26</v>
      </c>
    </row>
    <row r="1155" spans="1:14" x14ac:dyDescent="0.3">
      <c r="A1155" t="s">
        <v>14</v>
      </c>
      <c r="B1155" t="s">
        <v>169</v>
      </c>
      <c r="C1155" t="s">
        <v>50</v>
      </c>
      <c r="D1155" t="s">
        <v>23</v>
      </c>
      <c r="E1155" t="s">
        <v>54</v>
      </c>
      <c r="F1155" t="s">
        <v>1083</v>
      </c>
      <c r="G1155">
        <v>152411115</v>
      </c>
      <c r="H1155" t="s">
        <v>974</v>
      </c>
      <c r="I1155">
        <v>691</v>
      </c>
      <c r="J1155">
        <v>421.89</v>
      </c>
      <c r="K1155">
        <v>364.69</v>
      </c>
      <c r="L1155">
        <v>291525.99</v>
      </c>
      <c r="M1155">
        <v>252000.79</v>
      </c>
      <c r="N1155">
        <v>39525.199999999997</v>
      </c>
    </row>
    <row r="1156" spans="1:14" x14ac:dyDescent="0.3">
      <c r="A1156" t="s">
        <v>14</v>
      </c>
      <c r="B1156" t="s">
        <v>74</v>
      </c>
      <c r="C1156" t="s">
        <v>32</v>
      </c>
      <c r="D1156" t="s">
        <v>17</v>
      </c>
      <c r="E1156" t="s">
        <v>18</v>
      </c>
      <c r="F1156" t="s">
        <v>515</v>
      </c>
      <c r="G1156">
        <v>862485826</v>
      </c>
      <c r="H1156" t="s">
        <v>971</v>
      </c>
      <c r="I1156">
        <v>7577</v>
      </c>
      <c r="J1156">
        <v>651.21</v>
      </c>
      <c r="K1156">
        <v>524.96</v>
      </c>
      <c r="L1156">
        <v>4934218.17</v>
      </c>
      <c r="M1156">
        <v>3977621.92</v>
      </c>
      <c r="N1156">
        <v>956596.25</v>
      </c>
    </row>
    <row r="1157" spans="1:14" x14ac:dyDescent="0.3">
      <c r="A1157" t="s">
        <v>14</v>
      </c>
      <c r="B1157" t="s">
        <v>257</v>
      </c>
      <c r="C1157" t="s">
        <v>37</v>
      </c>
      <c r="D1157" t="s">
        <v>17</v>
      </c>
      <c r="E1157" t="s">
        <v>24</v>
      </c>
      <c r="F1157" t="s">
        <v>1667</v>
      </c>
      <c r="G1157">
        <v>299739491</v>
      </c>
      <c r="H1157" t="s">
        <v>1313</v>
      </c>
      <c r="I1157">
        <v>8431</v>
      </c>
      <c r="J1157">
        <v>9.33</v>
      </c>
      <c r="K1157">
        <v>6.92</v>
      </c>
      <c r="L1157">
        <v>78661.23</v>
      </c>
      <c r="M1157">
        <v>58342.52</v>
      </c>
      <c r="N1157">
        <v>20318.71</v>
      </c>
    </row>
    <row r="1158" spans="1:14" x14ac:dyDescent="0.3">
      <c r="A1158" t="s">
        <v>14</v>
      </c>
      <c r="B1158" t="s">
        <v>163</v>
      </c>
      <c r="C1158" t="s">
        <v>50</v>
      </c>
      <c r="D1158" t="s">
        <v>17</v>
      </c>
      <c r="E1158" t="s">
        <v>33</v>
      </c>
      <c r="F1158" t="s">
        <v>1037</v>
      </c>
      <c r="G1158">
        <v>633312737</v>
      </c>
      <c r="H1158" t="s">
        <v>1668</v>
      </c>
      <c r="I1158">
        <v>167</v>
      </c>
      <c r="J1158">
        <v>421.89</v>
      </c>
      <c r="K1158">
        <v>364.69</v>
      </c>
      <c r="L1158">
        <v>70455.63</v>
      </c>
      <c r="M1158">
        <v>60903.23</v>
      </c>
      <c r="N1158">
        <v>9552.4</v>
      </c>
    </row>
    <row r="1159" spans="1:14" x14ac:dyDescent="0.3">
      <c r="A1159" t="s">
        <v>14</v>
      </c>
      <c r="B1159" t="s">
        <v>115</v>
      </c>
      <c r="C1159" t="s">
        <v>32</v>
      </c>
      <c r="D1159" t="s">
        <v>17</v>
      </c>
      <c r="E1159" t="s">
        <v>18</v>
      </c>
      <c r="F1159" t="s">
        <v>740</v>
      </c>
      <c r="G1159">
        <v>884192836</v>
      </c>
      <c r="H1159" t="s">
        <v>1669</v>
      </c>
      <c r="I1159">
        <v>1164</v>
      </c>
      <c r="J1159">
        <v>651.21</v>
      </c>
      <c r="K1159">
        <v>524.96</v>
      </c>
      <c r="L1159">
        <v>758008.44</v>
      </c>
      <c r="M1159">
        <v>611053.43999999994</v>
      </c>
      <c r="N1159">
        <v>146955</v>
      </c>
    </row>
    <row r="1160" spans="1:14" x14ac:dyDescent="0.3">
      <c r="A1160" t="s">
        <v>14</v>
      </c>
      <c r="B1160" t="s">
        <v>223</v>
      </c>
      <c r="C1160" t="s">
        <v>50</v>
      </c>
      <c r="D1160" t="s">
        <v>23</v>
      </c>
      <c r="E1160" t="s">
        <v>24</v>
      </c>
      <c r="F1160" t="s">
        <v>1670</v>
      </c>
      <c r="G1160">
        <v>578356206</v>
      </c>
      <c r="H1160" t="s">
        <v>1671</v>
      </c>
      <c r="I1160">
        <v>7309</v>
      </c>
      <c r="J1160">
        <v>421.89</v>
      </c>
      <c r="K1160">
        <v>364.69</v>
      </c>
      <c r="L1160">
        <v>3083594.01</v>
      </c>
      <c r="M1160">
        <v>2665519.21</v>
      </c>
      <c r="N1160">
        <v>418074.8</v>
      </c>
    </row>
    <row r="1161" spans="1:14" x14ac:dyDescent="0.3">
      <c r="A1161" t="s">
        <v>14</v>
      </c>
      <c r="B1161" t="s">
        <v>45</v>
      </c>
      <c r="C1161" t="s">
        <v>102</v>
      </c>
      <c r="D1161" t="s">
        <v>23</v>
      </c>
      <c r="E1161" t="s">
        <v>33</v>
      </c>
      <c r="F1161" t="s">
        <v>1302</v>
      </c>
      <c r="G1161">
        <v>194858253</v>
      </c>
      <c r="H1161" t="s">
        <v>712</v>
      </c>
      <c r="I1161">
        <v>1742</v>
      </c>
      <c r="J1161">
        <v>81.73</v>
      </c>
      <c r="K1161">
        <v>56.67</v>
      </c>
      <c r="L1161">
        <v>142373.66</v>
      </c>
      <c r="M1161">
        <v>98719.14</v>
      </c>
      <c r="N1161">
        <v>43654.52</v>
      </c>
    </row>
    <row r="1162" spans="1:14" x14ac:dyDescent="0.3">
      <c r="A1162" t="s">
        <v>14</v>
      </c>
      <c r="B1162" t="s">
        <v>181</v>
      </c>
      <c r="C1162" t="s">
        <v>28</v>
      </c>
      <c r="D1162" t="s">
        <v>17</v>
      </c>
      <c r="E1162" t="s">
        <v>33</v>
      </c>
      <c r="F1162" t="s">
        <v>1672</v>
      </c>
      <c r="G1162">
        <v>988614022</v>
      </c>
      <c r="H1162" t="s">
        <v>626</v>
      </c>
      <c r="I1162">
        <v>1713</v>
      </c>
      <c r="J1162">
        <v>205.7</v>
      </c>
      <c r="K1162">
        <v>117.11</v>
      </c>
      <c r="L1162">
        <v>352364.1</v>
      </c>
      <c r="M1162">
        <v>200609.43</v>
      </c>
      <c r="N1162">
        <v>151754.67000000001</v>
      </c>
    </row>
    <row r="1163" spans="1:14" x14ac:dyDescent="0.3">
      <c r="A1163" t="s">
        <v>14</v>
      </c>
      <c r="B1163" t="s">
        <v>70</v>
      </c>
      <c r="C1163" t="s">
        <v>28</v>
      </c>
      <c r="D1163" t="s">
        <v>23</v>
      </c>
      <c r="E1163" t="s">
        <v>33</v>
      </c>
      <c r="F1163" t="s">
        <v>1673</v>
      </c>
      <c r="G1163">
        <v>279338395</v>
      </c>
      <c r="H1163" t="s">
        <v>1674</v>
      </c>
      <c r="I1163">
        <v>1293</v>
      </c>
      <c r="J1163">
        <v>205.7</v>
      </c>
      <c r="K1163">
        <v>117.11</v>
      </c>
      <c r="L1163">
        <v>265970.09999999998</v>
      </c>
      <c r="M1163">
        <v>151423.23000000001</v>
      </c>
      <c r="N1163">
        <v>114546.87</v>
      </c>
    </row>
    <row r="1164" spans="1:14" x14ac:dyDescent="0.3">
      <c r="A1164" t="s">
        <v>14</v>
      </c>
      <c r="B1164" t="s">
        <v>36</v>
      </c>
      <c r="C1164" t="s">
        <v>64</v>
      </c>
      <c r="D1164" t="s">
        <v>17</v>
      </c>
      <c r="E1164" t="s">
        <v>24</v>
      </c>
      <c r="F1164" t="s">
        <v>1231</v>
      </c>
      <c r="G1164">
        <v>123086202</v>
      </c>
      <c r="H1164" t="s">
        <v>1675</v>
      </c>
      <c r="I1164">
        <v>2797</v>
      </c>
      <c r="J1164">
        <v>255.28</v>
      </c>
      <c r="K1164">
        <v>159.41999999999999</v>
      </c>
      <c r="L1164">
        <v>714018.16</v>
      </c>
      <c r="M1164">
        <v>445897.74</v>
      </c>
      <c r="N1164">
        <v>268120.42</v>
      </c>
    </row>
    <row r="1165" spans="1:14" x14ac:dyDescent="0.3">
      <c r="A1165" t="s">
        <v>14</v>
      </c>
      <c r="B1165" t="s">
        <v>45</v>
      </c>
      <c r="C1165" t="s">
        <v>50</v>
      </c>
      <c r="D1165" t="s">
        <v>23</v>
      </c>
      <c r="E1165" t="s">
        <v>24</v>
      </c>
      <c r="F1165" t="s">
        <v>1392</v>
      </c>
      <c r="G1165">
        <v>216278588</v>
      </c>
      <c r="H1165" t="s">
        <v>1392</v>
      </c>
      <c r="I1165">
        <v>495</v>
      </c>
      <c r="J1165">
        <v>421.89</v>
      </c>
      <c r="K1165">
        <v>364.69</v>
      </c>
      <c r="L1165">
        <v>208835.55</v>
      </c>
      <c r="M1165">
        <v>180521.55</v>
      </c>
      <c r="N1165">
        <v>28314</v>
      </c>
    </row>
    <row r="1166" spans="1:14" x14ac:dyDescent="0.3">
      <c r="A1166" t="s">
        <v>14</v>
      </c>
      <c r="B1166" t="s">
        <v>342</v>
      </c>
      <c r="C1166" t="s">
        <v>64</v>
      </c>
      <c r="D1166" t="s">
        <v>17</v>
      </c>
      <c r="E1166" t="s">
        <v>54</v>
      </c>
      <c r="F1166" t="s">
        <v>1406</v>
      </c>
      <c r="G1166">
        <v>693831098</v>
      </c>
      <c r="H1166" t="s">
        <v>1676</v>
      </c>
      <c r="I1166">
        <v>8895</v>
      </c>
      <c r="J1166">
        <v>255.28</v>
      </c>
      <c r="K1166">
        <v>159.41999999999999</v>
      </c>
      <c r="L1166">
        <v>2270715.6</v>
      </c>
      <c r="M1166">
        <v>1418040.9</v>
      </c>
      <c r="N1166">
        <v>852674.7</v>
      </c>
    </row>
    <row r="1167" spans="1:14" x14ac:dyDescent="0.3">
      <c r="A1167" t="s">
        <v>14</v>
      </c>
      <c r="B1167" t="s">
        <v>181</v>
      </c>
      <c r="C1167" t="s">
        <v>28</v>
      </c>
      <c r="D1167" t="s">
        <v>23</v>
      </c>
      <c r="E1167" t="s">
        <v>18</v>
      </c>
      <c r="F1167" t="s">
        <v>664</v>
      </c>
      <c r="G1167">
        <v>963219296</v>
      </c>
      <c r="H1167" t="s">
        <v>1179</v>
      </c>
      <c r="I1167">
        <v>6850</v>
      </c>
      <c r="J1167">
        <v>205.7</v>
      </c>
      <c r="K1167">
        <v>117.11</v>
      </c>
      <c r="L1167">
        <v>1409045</v>
      </c>
      <c r="M1167">
        <v>802203.5</v>
      </c>
      <c r="N1167">
        <v>606841.5</v>
      </c>
    </row>
    <row r="1168" spans="1:14" x14ac:dyDescent="0.3">
      <c r="A1168" t="s">
        <v>14</v>
      </c>
      <c r="B1168" t="s">
        <v>27</v>
      </c>
      <c r="C1168" t="s">
        <v>46</v>
      </c>
      <c r="D1168" t="s">
        <v>17</v>
      </c>
      <c r="E1168" t="s">
        <v>24</v>
      </c>
      <c r="F1168" t="s">
        <v>1677</v>
      </c>
      <c r="G1168">
        <v>468320834</v>
      </c>
      <c r="H1168" t="s">
        <v>1678</v>
      </c>
      <c r="I1168">
        <v>5397</v>
      </c>
      <c r="J1168">
        <v>154.06</v>
      </c>
      <c r="K1168">
        <v>90.93</v>
      </c>
      <c r="L1168">
        <v>831461.82</v>
      </c>
      <c r="M1168">
        <v>490749.21</v>
      </c>
      <c r="N1168">
        <v>340712.61</v>
      </c>
    </row>
    <row r="1169" spans="1:14" x14ac:dyDescent="0.3">
      <c r="A1169" t="s">
        <v>14</v>
      </c>
      <c r="B1169" t="s">
        <v>223</v>
      </c>
      <c r="C1169" t="s">
        <v>28</v>
      </c>
      <c r="D1169" t="s">
        <v>23</v>
      </c>
      <c r="E1169" t="s">
        <v>24</v>
      </c>
      <c r="F1169" t="s">
        <v>1243</v>
      </c>
      <c r="G1169">
        <v>203955876</v>
      </c>
      <c r="H1169" t="s">
        <v>237</v>
      </c>
      <c r="I1169">
        <v>3931</v>
      </c>
      <c r="J1169">
        <v>205.7</v>
      </c>
      <c r="K1169">
        <v>117.11</v>
      </c>
      <c r="L1169">
        <v>808606.7</v>
      </c>
      <c r="M1169">
        <v>460359.41</v>
      </c>
      <c r="N1169">
        <v>348247.29</v>
      </c>
    </row>
    <row r="1170" spans="1:14" x14ac:dyDescent="0.3">
      <c r="A1170" t="s">
        <v>14</v>
      </c>
      <c r="B1170" t="s">
        <v>146</v>
      </c>
      <c r="C1170" t="s">
        <v>58</v>
      </c>
      <c r="D1170" t="s">
        <v>17</v>
      </c>
      <c r="E1170" t="s">
        <v>54</v>
      </c>
      <c r="F1170" t="s">
        <v>1289</v>
      </c>
      <c r="G1170">
        <v>583451974</v>
      </c>
      <c r="H1170" t="s">
        <v>1679</v>
      </c>
      <c r="I1170">
        <v>5260</v>
      </c>
      <c r="J1170">
        <v>152.58000000000001</v>
      </c>
      <c r="K1170">
        <v>97.44</v>
      </c>
      <c r="L1170">
        <v>802570.8</v>
      </c>
      <c r="M1170">
        <v>512534.4</v>
      </c>
      <c r="N1170">
        <v>290036.40000000002</v>
      </c>
    </row>
    <row r="1171" spans="1:14" x14ac:dyDescent="0.3">
      <c r="A1171" t="s">
        <v>14</v>
      </c>
      <c r="B1171" t="s">
        <v>45</v>
      </c>
      <c r="C1171" t="s">
        <v>22</v>
      </c>
      <c r="D1171" t="s">
        <v>23</v>
      </c>
      <c r="E1171" t="s">
        <v>24</v>
      </c>
      <c r="F1171" t="s">
        <v>1680</v>
      </c>
      <c r="G1171">
        <v>250848186</v>
      </c>
      <c r="H1171" t="s">
        <v>1221</v>
      </c>
      <c r="I1171">
        <v>407</v>
      </c>
      <c r="J1171">
        <v>109.28</v>
      </c>
      <c r="K1171">
        <v>35.840000000000003</v>
      </c>
      <c r="L1171">
        <v>44476.959999999999</v>
      </c>
      <c r="M1171">
        <v>14586.88</v>
      </c>
      <c r="N1171">
        <v>29890.080000000002</v>
      </c>
    </row>
    <row r="1172" spans="1:14" x14ac:dyDescent="0.3">
      <c r="A1172" t="s">
        <v>14</v>
      </c>
      <c r="B1172" t="s">
        <v>141</v>
      </c>
      <c r="C1172" t="s">
        <v>50</v>
      </c>
      <c r="D1172" t="s">
        <v>23</v>
      </c>
      <c r="E1172" t="s">
        <v>18</v>
      </c>
      <c r="F1172" t="s">
        <v>1681</v>
      </c>
      <c r="G1172">
        <v>863138997</v>
      </c>
      <c r="H1172" t="s">
        <v>1682</v>
      </c>
      <c r="I1172">
        <v>865</v>
      </c>
      <c r="J1172">
        <v>421.89</v>
      </c>
      <c r="K1172">
        <v>364.69</v>
      </c>
      <c r="L1172">
        <v>364934.85</v>
      </c>
      <c r="M1172">
        <v>315456.84999999998</v>
      </c>
      <c r="N1172">
        <v>49478</v>
      </c>
    </row>
    <row r="1173" spans="1:14" x14ac:dyDescent="0.3">
      <c r="A1173" t="s">
        <v>14</v>
      </c>
      <c r="B1173" t="s">
        <v>83</v>
      </c>
      <c r="C1173" t="s">
        <v>71</v>
      </c>
      <c r="D1173" t="s">
        <v>23</v>
      </c>
      <c r="E1173" t="s">
        <v>24</v>
      </c>
      <c r="F1173" t="s">
        <v>1683</v>
      </c>
      <c r="G1173">
        <v>266614854</v>
      </c>
      <c r="H1173" t="s">
        <v>1167</v>
      </c>
      <c r="I1173">
        <v>6115</v>
      </c>
      <c r="J1173">
        <v>668.27</v>
      </c>
      <c r="K1173">
        <v>502.54</v>
      </c>
      <c r="L1173">
        <v>4086471.05</v>
      </c>
      <c r="M1173">
        <v>3073032.1</v>
      </c>
      <c r="N1173">
        <v>1013438.95</v>
      </c>
    </row>
    <row r="1174" spans="1:14" x14ac:dyDescent="0.3">
      <c r="A1174" t="s">
        <v>14</v>
      </c>
      <c r="B1174" t="s">
        <v>220</v>
      </c>
      <c r="C1174" t="s">
        <v>71</v>
      </c>
      <c r="D1174" t="s">
        <v>17</v>
      </c>
      <c r="E1174" t="s">
        <v>33</v>
      </c>
      <c r="F1174" t="s">
        <v>507</v>
      </c>
      <c r="G1174">
        <v>834065997</v>
      </c>
      <c r="H1174" t="s">
        <v>1684</v>
      </c>
      <c r="I1174">
        <v>7518</v>
      </c>
      <c r="J1174">
        <v>668.27</v>
      </c>
      <c r="K1174">
        <v>502.54</v>
      </c>
      <c r="L1174">
        <v>5024053.8600000003</v>
      </c>
      <c r="M1174">
        <v>3778095.72</v>
      </c>
      <c r="N1174">
        <v>1245958.1399999999</v>
      </c>
    </row>
    <row r="1175" spans="1:14" x14ac:dyDescent="0.3">
      <c r="A1175" t="s">
        <v>14</v>
      </c>
      <c r="B1175" t="s">
        <v>138</v>
      </c>
      <c r="C1175" t="s">
        <v>37</v>
      </c>
      <c r="D1175" t="s">
        <v>17</v>
      </c>
      <c r="E1175" t="s">
        <v>24</v>
      </c>
      <c r="F1175" t="s">
        <v>1193</v>
      </c>
      <c r="G1175">
        <v>879845082</v>
      </c>
      <c r="H1175" t="s">
        <v>1342</v>
      </c>
      <c r="I1175">
        <v>4567</v>
      </c>
      <c r="J1175">
        <v>9.33</v>
      </c>
      <c r="K1175">
        <v>6.92</v>
      </c>
      <c r="L1175">
        <v>42610.11</v>
      </c>
      <c r="M1175">
        <v>31603.64</v>
      </c>
      <c r="N1175">
        <v>11006.47</v>
      </c>
    </row>
    <row r="1176" spans="1:14" x14ac:dyDescent="0.3">
      <c r="A1176" t="s">
        <v>14</v>
      </c>
      <c r="B1176" t="s">
        <v>243</v>
      </c>
      <c r="C1176" t="s">
        <v>75</v>
      </c>
      <c r="D1176" t="s">
        <v>17</v>
      </c>
      <c r="E1176" t="s">
        <v>24</v>
      </c>
      <c r="F1176" t="s">
        <v>1639</v>
      </c>
      <c r="G1176">
        <v>146545875</v>
      </c>
      <c r="H1176" t="s">
        <v>425</v>
      </c>
      <c r="I1176">
        <v>5036</v>
      </c>
      <c r="J1176">
        <v>437.2</v>
      </c>
      <c r="K1176">
        <v>263.33</v>
      </c>
      <c r="L1176">
        <v>2201739.2000000002</v>
      </c>
      <c r="M1176">
        <v>1326129.8799999999</v>
      </c>
      <c r="N1176">
        <v>875609.32</v>
      </c>
    </row>
    <row r="1177" spans="1:14" x14ac:dyDescent="0.3">
      <c r="A1177" t="s">
        <v>14</v>
      </c>
      <c r="B1177" t="s">
        <v>342</v>
      </c>
      <c r="C1177" t="s">
        <v>64</v>
      </c>
      <c r="D1177" t="s">
        <v>17</v>
      </c>
      <c r="E1177" t="s">
        <v>18</v>
      </c>
      <c r="F1177" t="s">
        <v>1685</v>
      </c>
      <c r="G1177">
        <v>414359509</v>
      </c>
      <c r="H1177" t="s">
        <v>1686</v>
      </c>
      <c r="I1177">
        <v>7042</v>
      </c>
      <c r="J1177">
        <v>255.28</v>
      </c>
      <c r="K1177">
        <v>159.41999999999999</v>
      </c>
      <c r="L1177">
        <v>1797681.76</v>
      </c>
      <c r="M1177">
        <v>1122635.6399999999</v>
      </c>
      <c r="N1177">
        <v>675046.12</v>
      </c>
    </row>
    <row r="1178" spans="1:14" x14ac:dyDescent="0.3">
      <c r="A1178" t="s">
        <v>14</v>
      </c>
      <c r="B1178" t="s">
        <v>100</v>
      </c>
      <c r="C1178" t="s">
        <v>64</v>
      </c>
      <c r="D1178" t="s">
        <v>17</v>
      </c>
      <c r="E1178" t="s">
        <v>33</v>
      </c>
      <c r="F1178" t="s">
        <v>1687</v>
      </c>
      <c r="G1178">
        <v>276850593</v>
      </c>
      <c r="H1178" t="s">
        <v>1688</v>
      </c>
      <c r="I1178">
        <v>5097</v>
      </c>
      <c r="J1178">
        <v>255.28</v>
      </c>
      <c r="K1178">
        <v>159.41999999999999</v>
      </c>
      <c r="L1178">
        <v>1301162.1599999999</v>
      </c>
      <c r="M1178">
        <v>812563.74</v>
      </c>
      <c r="N1178">
        <v>488598.42</v>
      </c>
    </row>
    <row r="1179" spans="1:14" x14ac:dyDescent="0.3">
      <c r="A1179" t="s">
        <v>14</v>
      </c>
      <c r="B1179" t="s">
        <v>220</v>
      </c>
      <c r="C1179" t="s">
        <v>28</v>
      </c>
      <c r="D1179" t="s">
        <v>23</v>
      </c>
      <c r="E1179" t="s">
        <v>33</v>
      </c>
      <c r="F1179" t="s">
        <v>1689</v>
      </c>
      <c r="G1179">
        <v>556947886</v>
      </c>
      <c r="H1179" t="s">
        <v>1302</v>
      </c>
      <c r="I1179">
        <v>2111</v>
      </c>
      <c r="J1179">
        <v>205.7</v>
      </c>
      <c r="K1179">
        <v>117.11</v>
      </c>
      <c r="L1179">
        <v>434232.7</v>
      </c>
      <c r="M1179">
        <v>247219.21</v>
      </c>
      <c r="N1179">
        <v>187013.49</v>
      </c>
    </row>
    <row r="1180" spans="1:14" x14ac:dyDescent="0.3">
      <c r="A1180" t="s">
        <v>14</v>
      </c>
      <c r="B1180" t="s">
        <v>94</v>
      </c>
      <c r="C1180" t="s">
        <v>71</v>
      </c>
      <c r="D1180" t="s">
        <v>23</v>
      </c>
      <c r="E1180" t="s">
        <v>18</v>
      </c>
      <c r="F1180" t="s">
        <v>56</v>
      </c>
      <c r="G1180">
        <v>548403012</v>
      </c>
      <c r="H1180" t="s">
        <v>1690</v>
      </c>
      <c r="I1180">
        <v>3493</v>
      </c>
      <c r="J1180">
        <v>668.27</v>
      </c>
      <c r="K1180">
        <v>502.54</v>
      </c>
      <c r="L1180">
        <v>2334267.11</v>
      </c>
      <c r="M1180">
        <v>1755372.22</v>
      </c>
      <c r="N1180">
        <v>578894.89</v>
      </c>
    </row>
    <row r="1181" spans="1:14" x14ac:dyDescent="0.3">
      <c r="A1181" t="s">
        <v>14</v>
      </c>
      <c r="B1181" t="s">
        <v>94</v>
      </c>
      <c r="C1181" t="s">
        <v>46</v>
      </c>
      <c r="D1181" t="s">
        <v>23</v>
      </c>
      <c r="E1181" t="s">
        <v>33</v>
      </c>
      <c r="F1181" t="s">
        <v>120</v>
      </c>
      <c r="G1181">
        <v>652252137</v>
      </c>
      <c r="H1181" t="s">
        <v>1147</v>
      </c>
      <c r="I1181">
        <v>4757</v>
      </c>
      <c r="J1181">
        <v>154.06</v>
      </c>
      <c r="K1181">
        <v>90.93</v>
      </c>
      <c r="L1181">
        <v>732863.42</v>
      </c>
      <c r="M1181">
        <v>432554.01</v>
      </c>
      <c r="N1181">
        <v>300309.40999999997</v>
      </c>
    </row>
    <row r="1182" spans="1:14" x14ac:dyDescent="0.3">
      <c r="A1182" t="s">
        <v>14</v>
      </c>
      <c r="B1182" t="s">
        <v>100</v>
      </c>
      <c r="C1182" t="s">
        <v>75</v>
      </c>
      <c r="D1182" t="s">
        <v>23</v>
      </c>
      <c r="E1182" t="s">
        <v>24</v>
      </c>
      <c r="F1182" t="s">
        <v>1301</v>
      </c>
      <c r="G1182">
        <v>284108436</v>
      </c>
      <c r="H1182" t="s">
        <v>1058</v>
      </c>
      <c r="I1182">
        <v>2854</v>
      </c>
      <c r="J1182">
        <v>437.2</v>
      </c>
      <c r="K1182">
        <v>263.33</v>
      </c>
      <c r="L1182">
        <v>1247768.8</v>
      </c>
      <c r="M1182">
        <v>751543.82</v>
      </c>
      <c r="N1182">
        <v>496224.98</v>
      </c>
    </row>
    <row r="1183" spans="1:14" x14ac:dyDescent="0.3">
      <c r="A1183" t="s">
        <v>14</v>
      </c>
      <c r="B1183" t="s">
        <v>115</v>
      </c>
      <c r="C1183" t="s">
        <v>46</v>
      </c>
      <c r="D1183" t="s">
        <v>17</v>
      </c>
      <c r="E1183" t="s">
        <v>54</v>
      </c>
      <c r="F1183" t="s">
        <v>567</v>
      </c>
      <c r="G1183">
        <v>416682088</v>
      </c>
      <c r="H1183" t="s">
        <v>1208</v>
      </c>
      <c r="I1183">
        <v>4344</v>
      </c>
      <c r="J1183">
        <v>154.06</v>
      </c>
      <c r="K1183">
        <v>90.93</v>
      </c>
      <c r="L1183">
        <v>669236.64</v>
      </c>
      <c r="M1183">
        <v>394999.92</v>
      </c>
      <c r="N1183">
        <v>274236.71999999997</v>
      </c>
    </row>
    <row r="1184" spans="1:14" x14ac:dyDescent="0.3">
      <c r="A1184" t="s">
        <v>14</v>
      </c>
      <c r="B1184" t="s">
        <v>105</v>
      </c>
      <c r="C1184" t="s">
        <v>46</v>
      </c>
      <c r="D1184" t="s">
        <v>17</v>
      </c>
      <c r="E1184" t="s">
        <v>24</v>
      </c>
      <c r="F1184" t="s">
        <v>219</v>
      </c>
      <c r="G1184">
        <v>579094779</v>
      </c>
      <c r="H1184" t="s">
        <v>273</v>
      </c>
      <c r="I1184">
        <v>5869</v>
      </c>
      <c r="J1184">
        <v>154.06</v>
      </c>
      <c r="K1184">
        <v>90.93</v>
      </c>
      <c r="L1184">
        <v>904178.14</v>
      </c>
      <c r="M1184">
        <v>533668.17000000004</v>
      </c>
      <c r="N1184">
        <v>370509.97</v>
      </c>
    </row>
    <row r="1185" spans="1:14" x14ac:dyDescent="0.3">
      <c r="A1185" t="s">
        <v>14</v>
      </c>
      <c r="B1185" t="s">
        <v>15</v>
      </c>
      <c r="C1185" t="s">
        <v>37</v>
      </c>
      <c r="D1185" t="s">
        <v>23</v>
      </c>
      <c r="E1185" t="s">
        <v>24</v>
      </c>
      <c r="F1185" t="s">
        <v>149</v>
      </c>
      <c r="G1185">
        <v>192589318</v>
      </c>
      <c r="H1185" t="s">
        <v>758</v>
      </c>
      <c r="I1185">
        <v>314</v>
      </c>
      <c r="J1185">
        <v>9.33</v>
      </c>
      <c r="K1185">
        <v>6.92</v>
      </c>
      <c r="L1185">
        <v>2929.62</v>
      </c>
      <c r="M1185">
        <v>2172.88</v>
      </c>
      <c r="N1185">
        <v>756.74</v>
      </c>
    </row>
    <row r="1186" spans="1:14" x14ac:dyDescent="0.3">
      <c r="A1186" t="s">
        <v>14</v>
      </c>
      <c r="B1186" t="s">
        <v>264</v>
      </c>
      <c r="C1186" t="s">
        <v>71</v>
      </c>
      <c r="D1186" t="s">
        <v>17</v>
      </c>
      <c r="E1186" t="s">
        <v>24</v>
      </c>
      <c r="F1186" t="s">
        <v>1346</v>
      </c>
      <c r="G1186">
        <v>785364806</v>
      </c>
      <c r="H1186" t="s">
        <v>932</v>
      </c>
      <c r="I1186">
        <v>5754</v>
      </c>
      <c r="J1186">
        <v>668.27</v>
      </c>
      <c r="K1186">
        <v>502.54</v>
      </c>
      <c r="L1186">
        <v>3845225.58</v>
      </c>
      <c r="M1186">
        <v>2891615.16</v>
      </c>
      <c r="N1186">
        <v>953610.42</v>
      </c>
    </row>
    <row r="1187" spans="1:14" x14ac:dyDescent="0.3">
      <c r="A1187" t="s">
        <v>14</v>
      </c>
      <c r="B1187" t="s">
        <v>70</v>
      </c>
      <c r="C1187" t="s">
        <v>64</v>
      </c>
      <c r="D1187" t="s">
        <v>17</v>
      </c>
      <c r="E1187" t="s">
        <v>24</v>
      </c>
      <c r="F1187" t="s">
        <v>692</v>
      </c>
      <c r="G1187">
        <v>450550019</v>
      </c>
      <c r="H1187" t="s">
        <v>522</v>
      </c>
      <c r="I1187">
        <v>6618</v>
      </c>
      <c r="J1187">
        <v>255.28</v>
      </c>
      <c r="K1187">
        <v>159.41999999999999</v>
      </c>
      <c r="L1187">
        <v>1689443.04</v>
      </c>
      <c r="M1187">
        <v>1055041.56</v>
      </c>
      <c r="N1187">
        <v>634401.48</v>
      </c>
    </row>
    <row r="1188" spans="1:14" x14ac:dyDescent="0.3">
      <c r="A1188" t="s">
        <v>14</v>
      </c>
      <c r="B1188" t="s">
        <v>31</v>
      </c>
      <c r="C1188" t="s">
        <v>46</v>
      </c>
      <c r="D1188" t="s">
        <v>17</v>
      </c>
      <c r="E1188" t="s">
        <v>18</v>
      </c>
      <c r="F1188" t="s">
        <v>1691</v>
      </c>
      <c r="G1188">
        <v>817061221</v>
      </c>
      <c r="H1188" t="s">
        <v>1692</v>
      </c>
      <c r="I1188">
        <v>5427</v>
      </c>
      <c r="J1188">
        <v>154.06</v>
      </c>
      <c r="K1188">
        <v>90.93</v>
      </c>
      <c r="L1188">
        <v>836083.62</v>
      </c>
      <c r="M1188">
        <v>493477.11</v>
      </c>
      <c r="N1188">
        <v>342606.51</v>
      </c>
    </row>
    <row r="1189" spans="1:14" x14ac:dyDescent="0.3">
      <c r="A1189" t="s">
        <v>14</v>
      </c>
      <c r="B1189" t="s">
        <v>243</v>
      </c>
      <c r="C1189" t="s">
        <v>32</v>
      </c>
      <c r="D1189" t="s">
        <v>23</v>
      </c>
      <c r="E1189" t="s">
        <v>54</v>
      </c>
      <c r="F1189" t="s">
        <v>998</v>
      </c>
      <c r="G1189">
        <v>168319404</v>
      </c>
      <c r="H1189" t="s">
        <v>1542</v>
      </c>
      <c r="I1189">
        <v>8307</v>
      </c>
      <c r="J1189">
        <v>651.21</v>
      </c>
      <c r="K1189">
        <v>524.96</v>
      </c>
      <c r="L1189">
        <v>5409601.4699999997</v>
      </c>
      <c r="M1189">
        <v>4360842.72</v>
      </c>
      <c r="N1189">
        <v>1048758.75</v>
      </c>
    </row>
    <row r="1190" spans="1:14" x14ac:dyDescent="0.3">
      <c r="A1190" t="s">
        <v>14</v>
      </c>
      <c r="B1190" t="s">
        <v>232</v>
      </c>
      <c r="C1190" t="s">
        <v>22</v>
      </c>
      <c r="D1190" t="s">
        <v>23</v>
      </c>
      <c r="E1190" t="s">
        <v>18</v>
      </c>
      <c r="F1190" t="s">
        <v>980</v>
      </c>
      <c r="G1190">
        <v>781083571</v>
      </c>
      <c r="H1190" t="s">
        <v>1123</v>
      </c>
      <c r="I1190">
        <v>8841</v>
      </c>
      <c r="J1190">
        <v>109.28</v>
      </c>
      <c r="K1190">
        <v>35.840000000000003</v>
      </c>
      <c r="L1190">
        <v>966144.48</v>
      </c>
      <c r="M1190">
        <v>316861.44</v>
      </c>
      <c r="N1190">
        <v>649283.04</v>
      </c>
    </row>
    <row r="1191" spans="1:14" x14ac:dyDescent="0.3">
      <c r="A1191" t="s">
        <v>14</v>
      </c>
      <c r="B1191" t="s">
        <v>74</v>
      </c>
      <c r="C1191" t="s">
        <v>28</v>
      </c>
      <c r="D1191" t="s">
        <v>17</v>
      </c>
      <c r="E1191" t="s">
        <v>24</v>
      </c>
      <c r="F1191" t="s">
        <v>560</v>
      </c>
      <c r="G1191">
        <v>401993882</v>
      </c>
      <c r="H1191" t="s">
        <v>1693</v>
      </c>
      <c r="I1191">
        <v>7778</v>
      </c>
      <c r="J1191">
        <v>205.7</v>
      </c>
      <c r="K1191">
        <v>117.11</v>
      </c>
      <c r="L1191">
        <v>1599934.6</v>
      </c>
      <c r="M1191">
        <v>910881.58</v>
      </c>
      <c r="N1191">
        <v>689053.02</v>
      </c>
    </row>
    <row r="1192" spans="1:14" x14ac:dyDescent="0.3">
      <c r="A1192" t="s">
        <v>14</v>
      </c>
      <c r="B1192" t="s">
        <v>163</v>
      </c>
      <c r="C1192" t="s">
        <v>32</v>
      </c>
      <c r="D1192" t="s">
        <v>23</v>
      </c>
      <c r="E1192" t="s">
        <v>33</v>
      </c>
      <c r="F1192" t="s">
        <v>1694</v>
      </c>
      <c r="G1192">
        <v>391200673</v>
      </c>
      <c r="H1192" t="s">
        <v>898</v>
      </c>
      <c r="I1192">
        <v>3827</v>
      </c>
      <c r="J1192">
        <v>651.21</v>
      </c>
      <c r="K1192">
        <v>524.96</v>
      </c>
      <c r="L1192">
        <v>2492180.67</v>
      </c>
      <c r="M1192">
        <v>2009021.92</v>
      </c>
      <c r="N1192">
        <v>483158.75</v>
      </c>
    </row>
    <row r="1193" spans="1:14" x14ac:dyDescent="0.3">
      <c r="A1193" t="s">
        <v>14</v>
      </c>
      <c r="B1193" t="s">
        <v>61</v>
      </c>
      <c r="C1193" t="s">
        <v>46</v>
      </c>
      <c r="D1193" t="s">
        <v>17</v>
      </c>
      <c r="E1193" t="s">
        <v>24</v>
      </c>
      <c r="F1193" t="s">
        <v>1695</v>
      </c>
      <c r="G1193">
        <v>408540618</v>
      </c>
      <c r="H1193" t="s">
        <v>905</v>
      </c>
      <c r="I1193">
        <v>5102</v>
      </c>
      <c r="J1193">
        <v>154.06</v>
      </c>
      <c r="K1193">
        <v>90.93</v>
      </c>
      <c r="L1193">
        <v>786014.12</v>
      </c>
      <c r="M1193">
        <v>463924.86</v>
      </c>
      <c r="N1193">
        <v>322089.26</v>
      </c>
    </row>
    <row r="1194" spans="1:14" x14ac:dyDescent="0.3">
      <c r="A1194" t="s">
        <v>14</v>
      </c>
      <c r="B1194" t="s">
        <v>61</v>
      </c>
      <c r="C1194" t="s">
        <v>102</v>
      </c>
      <c r="D1194" t="s">
        <v>23</v>
      </c>
      <c r="E1194" t="s">
        <v>33</v>
      </c>
      <c r="F1194" t="s">
        <v>1414</v>
      </c>
      <c r="G1194">
        <v>239048612</v>
      </c>
      <c r="H1194" t="s">
        <v>1223</v>
      </c>
      <c r="I1194">
        <v>8651</v>
      </c>
      <c r="J1194">
        <v>81.73</v>
      </c>
      <c r="K1194">
        <v>56.67</v>
      </c>
      <c r="L1194">
        <v>707046.23</v>
      </c>
      <c r="M1194">
        <v>490252.17</v>
      </c>
      <c r="N1194">
        <v>216794.06</v>
      </c>
    </row>
    <row r="1195" spans="1:14" x14ac:dyDescent="0.3">
      <c r="A1195" t="s">
        <v>14</v>
      </c>
      <c r="B1195" t="s">
        <v>257</v>
      </c>
      <c r="C1195" t="s">
        <v>75</v>
      </c>
      <c r="D1195" t="s">
        <v>17</v>
      </c>
      <c r="E1195" t="s">
        <v>18</v>
      </c>
      <c r="F1195" t="s">
        <v>525</v>
      </c>
      <c r="G1195">
        <v>292424571</v>
      </c>
      <c r="H1195" t="s">
        <v>1696</v>
      </c>
      <c r="I1195">
        <v>3784</v>
      </c>
      <c r="J1195">
        <v>437.2</v>
      </c>
      <c r="K1195">
        <v>263.33</v>
      </c>
      <c r="L1195">
        <v>1654364.8</v>
      </c>
      <c r="M1195">
        <v>996440.72</v>
      </c>
      <c r="N1195">
        <v>657924.07999999996</v>
      </c>
    </row>
    <row r="1196" spans="1:14" x14ac:dyDescent="0.3">
      <c r="A1196" t="s">
        <v>14</v>
      </c>
      <c r="B1196" t="s">
        <v>21</v>
      </c>
      <c r="C1196" t="s">
        <v>16</v>
      </c>
      <c r="D1196" t="s">
        <v>23</v>
      </c>
      <c r="E1196" t="s">
        <v>24</v>
      </c>
      <c r="F1196" t="s">
        <v>1697</v>
      </c>
      <c r="G1196">
        <v>231341445</v>
      </c>
      <c r="H1196" t="s">
        <v>1137</v>
      </c>
      <c r="I1196">
        <v>7929</v>
      </c>
      <c r="J1196">
        <v>47.45</v>
      </c>
      <c r="K1196">
        <v>31.79</v>
      </c>
      <c r="L1196">
        <v>376231.05</v>
      </c>
      <c r="M1196">
        <v>252062.91</v>
      </c>
      <c r="N1196">
        <v>124168.14</v>
      </c>
    </row>
    <row r="1197" spans="1:14" x14ac:dyDescent="0.3">
      <c r="A1197" t="s">
        <v>14</v>
      </c>
      <c r="B1197" t="s">
        <v>86</v>
      </c>
      <c r="C1197" t="s">
        <v>32</v>
      </c>
      <c r="D1197" t="s">
        <v>23</v>
      </c>
      <c r="E1197" t="s">
        <v>24</v>
      </c>
      <c r="F1197" t="s">
        <v>408</v>
      </c>
      <c r="G1197">
        <v>533597218</v>
      </c>
      <c r="H1197" t="s">
        <v>622</v>
      </c>
      <c r="I1197">
        <v>2130</v>
      </c>
      <c r="J1197">
        <v>651.21</v>
      </c>
      <c r="K1197">
        <v>524.96</v>
      </c>
      <c r="L1197">
        <v>1387077.3</v>
      </c>
      <c r="M1197">
        <v>1118164.8</v>
      </c>
      <c r="N1197">
        <v>268912.5</v>
      </c>
    </row>
    <row r="1198" spans="1:14" x14ac:dyDescent="0.3">
      <c r="A1198" t="s">
        <v>14</v>
      </c>
      <c r="B1198" t="s">
        <v>342</v>
      </c>
      <c r="C1198" t="s">
        <v>50</v>
      </c>
      <c r="D1198" t="s">
        <v>17</v>
      </c>
      <c r="E1198" t="s">
        <v>18</v>
      </c>
      <c r="F1198" t="s">
        <v>413</v>
      </c>
      <c r="G1198">
        <v>682162415</v>
      </c>
      <c r="H1198" t="s">
        <v>1085</v>
      </c>
      <c r="I1198">
        <v>5873</v>
      </c>
      <c r="J1198">
        <v>421.89</v>
      </c>
      <c r="K1198">
        <v>364.69</v>
      </c>
      <c r="L1198">
        <v>2477759.9700000002</v>
      </c>
      <c r="M1198">
        <v>2141824.37</v>
      </c>
      <c r="N1198">
        <v>335935.6</v>
      </c>
    </row>
    <row r="1199" spans="1:14" x14ac:dyDescent="0.3">
      <c r="A1199" t="s">
        <v>14</v>
      </c>
      <c r="B1199" t="s">
        <v>223</v>
      </c>
      <c r="C1199" t="s">
        <v>46</v>
      </c>
      <c r="D1199" t="s">
        <v>17</v>
      </c>
      <c r="E1199" t="s">
        <v>18</v>
      </c>
      <c r="F1199" t="s">
        <v>1698</v>
      </c>
      <c r="G1199">
        <v>706176555</v>
      </c>
      <c r="H1199" t="s">
        <v>1276</v>
      </c>
      <c r="I1199">
        <v>2190</v>
      </c>
      <c r="J1199">
        <v>154.06</v>
      </c>
      <c r="K1199">
        <v>90.93</v>
      </c>
      <c r="L1199">
        <v>337391.4</v>
      </c>
      <c r="M1199">
        <v>199136.7</v>
      </c>
      <c r="N1199">
        <v>138254.70000000001</v>
      </c>
    </row>
    <row r="1200" spans="1:14" x14ac:dyDescent="0.3">
      <c r="A1200" t="s">
        <v>14</v>
      </c>
      <c r="B1200" t="s">
        <v>45</v>
      </c>
      <c r="C1200" t="s">
        <v>32</v>
      </c>
      <c r="D1200" t="s">
        <v>17</v>
      </c>
      <c r="E1200" t="s">
        <v>54</v>
      </c>
      <c r="F1200" t="s">
        <v>1699</v>
      </c>
      <c r="G1200">
        <v>339786803</v>
      </c>
      <c r="H1200" t="s">
        <v>1700</v>
      </c>
      <c r="I1200">
        <v>9321</v>
      </c>
      <c r="J1200">
        <v>651.21</v>
      </c>
      <c r="K1200">
        <v>524.96</v>
      </c>
      <c r="L1200">
        <v>6069928.4100000001</v>
      </c>
      <c r="M1200">
        <v>4893152.16</v>
      </c>
      <c r="N1200">
        <v>1176776.25</v>
      </c>
    </row>
    <row r="1201" spans="1:14" x14ac:dyDescent="0.3">
      <c r="A1201" t="s">
        <v>14</v>
      </c>
      <c r="B1201" t="s">
        <v>100</v>
      </c>
      <c r="C1201" t="s">
        <v>102</v>
      </c>
      <c r="D1201" t="s">
        <v>17</v>
      </c>
      <c r="E1201" t="s">
        <v>18</v>
      </c>
      <c r="F1201" t="s">
        <v>760</v>
      </c>
      <c r="G1201">
        <v>274694526</v>
      </c>
      <c r="H1201" t="s">
        <v>943</v>
      </c>
      <c r="I1201">
        <v>7069</v>
      </c>
      <c r="J1201">
        <v>81.73</v>
      </c>
      <c r="K1201">
        <v>56.67</v>
      </c>
      <c r="L1201">
        <v>577749.37</v>
      </c>
      <c r="M1201">
        <v>400600.23</v>
      </c>
      <c r="N1201">
        <v>177149.14</v>
      </c>
    </row>
    <row r="1202" spans="1:14" x14ac:dyDescent="0.3">
      <c r="A1202" t="s">
        <v>14</v>
      </c>
      <c r="B1202" t="s">
        <v>163</v>
      </c>
      <c r="C1202" t="s">
        <v>22</v>
      </c>
      <c r="D1202" t="s">
        <v>23</v>
      </c>
      <c r="E1202" t="s">
        <v>24</v>
      </c>
      <c r="F1202" t="s">
        <v>1701</v>
      </c>
      <c r="G1202">
        <v>633806264</v>
      </c>
      <c r="H1202" t="s">
        <v>1702</v>
      </c>
      <c r="I1202">
        <v>6213</v>
      </c>
      <c r="J1202">
        <v>109.28</v>
      </c>
      <c r="K1202">
        <v>35.840000000000003</v>
      </c>
      <c r="L1202">
        <v>678956.64</v>
      </c>
      <c r="M1202">
        <v>222673.92000000001</v>
      </c>
      <c r="N1202">
        <v>456282.72</v>
      </c>
    </row>
    <row r="1203" spans="1:14" x14ac:dyDescent="0.3">
      <c r="A1203" t="s">
        <v>14</v>
      </c>
      <c r="B1203" t="s">
        <v>166</v>
      </c>
      <c r="C1203" t="s">
        <v>102</v>
      </c>
      <c r="D1203" t="s">
        <v>23</v>
      </c>
      <c r="E1203" t="s">
        <v>18</v>
      </c>
      <c r="F1203" t="s">
        <v>600</v>
      </c>
      <c r="G1203">
        <v>955466639</v>
      </c>
      <c r="H1203" t="s">
        <v>1251</v>
      </c>
      <c r="I1203">
        <v>2666</v>
      </c>
      <c r="J1203">
        <v>81.73</v>
      </c>
      <c r="K1203">
        <v>56.67</v>
      </c>
      <c r="L1203">
        <v>217892.18</v>
      </c>
      <c r="M1203">
        <v>151082.22</v>
      </c>
      <c r="N1203">
        <v>66809.960000000006</v>
      </c>
    </row>
    <row r="1204" spans="1:14" x14ac:dyDescent="0.3">
      <c r="A1204" t="s">
        <v>14</v>
      </c>
      <c r="B1204" t="s">
        <v>115</v>
      </c>
      <c r="C1204" t="s">
        <v>32</v>
      </c>
      <c r="D1204" t="s">
        <v>23</v>
      </c>
      <c r="E1204" t="s">
        <v>33</v>
      </c>
      <c r="F1204" t="s">
        <v>845</v>
      </c>
      <c r="G1204">
        <v>330590474</v>
      </c>
      <c r="H1204" t="s">
        <v>1703</v>
      </c>
      <c r="I1204">
        <v>7923</v>
      </c>
      <c r="J1204">
        <v>651.21</v>
      </c>
      <c r="K1204">
        <v>524.96</v>
      </c>
      <c r="L1204">
        <v>5159536.83</v>
      </c>
      <c r="M1204">
        <v>4159258.08</v>
      </c>
      <c r="N1204">
        <v>1000278.75</v>
      </c>
    </row>
    <row r="1205" spans="1:14" x14ac:dyDescent="0.3">
      <c r="A1205" t="s">
        <v>14</v>
      </c>
      <c r="B1205" t="s">
        <v>100</v>
      </c>
      <c r="C1205" t="s">
        <v>75</v>
      </c>
      <c r="D1205" t="s">
        <v>17</v>
      </c>
      <c r="E1205" t="s">
        <v>18</v>
      </c>
      <c r="F1205" t="s">
        <v>984</v>
      </c>
      <c r="G1205">
        <v>819516837</v>
      </c>
      <c r="H1205" t="s">
        <v>916</v>
      </c>
      <c r="I1205">
        <v>2098</v>
      </c>
      <c r="J1205">
        <v>437.2</v>
      </c>
      <c r="K1205">
        <v>263.33</v>
      </c>
      <c r="L1205">
        <v>917245.6</v>
      </c>
      <c r="M1205">
        <v>552466.34</v>
      </c>
      <c r="N1205">
        <v>364779.26</v>
      </c>
    </row>
    <row r="1206" spans="1:14" x14ac:dyDescent="0.3">
      <c r="A1206" t="s">
        <v>14</v>
      </c>
      <c r="B1206" t="s">
        <v>132</v>
      </c>
      <c r="C1206" t="s">
        <v>58</v>
      </c>
      <c r="D1206" t="s">
        <v>17</v>
      </c>
      <c r="E1206" t="s">
        <v>18</v>
      </c>
      <c r="F1206" t="s">
        <v>1704</v>
      </c>
      <c r="G1206">
        <v>499101436</v>
      </c>
      <c r="H1206" t="s">
        <v>1000</v>
      </c>
      <c r="I1206">
        <v>4061</v>
      </c>
      <c r="J1206">
        <v>152.58000000000001</v>
      </c>
      <c r="K1206">
        <v>97.44</v>
      </c>
      <c r="L1206">
        <v>619627.38</v>
      </c>
      <c r="M1206">
        <v>395703.84</v>
      </c>
      <c r="N1206">
        <v>223923.54</v>
      </c>
    </row>
    <row r="1207" spans="1:14" x14ac:dyDescent="0.3">
      <c r="A1207" t="s">
        <v>14</v>
      </c>
      <c r="B1207" t="s">
        <v>220</v>
      </c>
      <c r="C1207" t="s">
        <v>22</v>
      </c>
      <c r="D1207" t="s">
        <v>23</v>
      </c>
      <c r="E1207" t="s">
        <v>18</v>
      </c>
      <c r="F1207" t="s">
        <v>963</v>
      </c>
      <c r="G1207">
        <v>190002810</v>
      </c>
      <c r="H1207" t="s">
        <v>995</v>
      </c>
      <c r="I1207">
        <v>4909</v>
      </c>
      <c r="J1207">
        <v>109.28</v>
      </c>
      <c r="K1207">
        <v>35.840000000000003</v>
      </c>
      <c r="L1207">
        <v>536455.52</v>
      </c>
      <c r="M1207">
        <v>175938.56</v>
      </c>
      <c r="N1207">
        <v>360516.96</v>
      </c>
    </row>
    <row r="1208" spans="1:14" x14ac:dyDescent="0.3">
      <c r="A1208" t="s">
        <v>14</v>
      </c>
      <c r="B1208" t="s">
        <v>181</v>
      </c>
      <c r="C1208" t="s">
        <v>16</v>
      </c>
      <c r="D1208" t="s">
        <v>17</v>
      </c>
      <c r="E1208" t="s">
        <v>24</v>
      </c>
      <c r="F1208" t="s">
        <v>165</v>
      </c>
      <c r="G1208">
        <v>653152501</v>
      </c>
      <c r="H1208" t="s">
        <v>1705</v>
      </c>
      <c r="I1208">
        <v>1194</v>
      </c>
      <c r="J1208">
        <v>47.45</v>
      </c>
      <c r="K1208">
        <v>31.79</v>
      </c>
      <c r="L1208">
        <v>56655.3</v>
      </c>
      <c r="M1208">
        <v>37957.26</v>
      </c>
      <c r="N1208">
        <v>18698.04</v>
      </c>
    </row>
    <row r="1209" spans="1:14" x14ac:dyDescent="0.3">
      <c r="A1209" t="s">
        <v>14</v>
      </c>
      <c r="B1209" t="s">
        <v>27</v>
      </c>
      <c r="C1209" t="s">
        <v>46</v>
      </c>
      <c r="D1209" t="s">
        <v>17</v>
      </c>
      <c r="E1209" t="s">
        <v>18</v>
      </c>
      <c r="F1209" t="s">
        <v>920</v>
      </c>
      <c r="G1209">
        <v>489600837</v>
      </c>
      <c r="H1209" t="s">
        <v>372</v>
      </c>
      <c r="I1209">
        <v>2622</v>
      </c>
      <c r="J1209">
        <v>154.06</v>
      </c>
      <c r="K1209">
        <v>90.93</v>
      </c>
      <c r="L1209">
        <v>403945.32</v>
      </c>
      <c r="M1209">
        <v>238418.46</v>
      </c>
      <c r="N1209">
        <v>165526.85999999999</v>
      </c>
    </row>
    <row r="1210" spans="1:14" x14ac:dyDescent="0.3">
      <c r="A1210" t="s">
        <v>14</v>
      </c>
      <c r="B1210" t="s">
        <v>40</v>
      </c>
      <c r="C1210" t="s">
        <v>64</v>
      </c>
      <c r="D1210" t="s">
        <v>23</v>
      </c>
      <c r="E1210" t="s">
        <v>24</v>
      </c>
      <c r="F1210" t="s">
        <v>1441</v>
      </c>
      <c r="G1210">
        <v>750959146</v>
      </c>
      <c r="H1210" t="s">
        <v>388</v>
      </c>
      <c r="I1210">
        <v>4354</v>
      </c>
      <c r="J1210">
        <v>255.28</v>
      </c>
      <c r="K1210">
        <v>159.41999999999999</v>
      </c>
      <c r="L1210">
        <v>1111489.1200000001</v>
      </c>
      <c r="M1210">
        <v>694114.68</v>
      </c>
      <c r="N1210">
        <v>417374.44</v>
      </c>
    </row>
    <row r="1211" spans="1:14" x14ac:dyDescent="0.3">
      <c r="A1211" t="s">
        <v>14</v>
      </c>
      <c r="B1211" t="s">
        <v>21</v>
      </c>
      <c r="C1211" t="s">
        <v>102</v>
      </c>
      <c r="D1211" t="s">
        <v>17</v>
      </c>
      <c r="E1211" t="s">
        <v>33</v>
      </c>
      <c r="F1211" t="s">
        <v>650</v>
      </c>
      <c r="G1211">
        <v>356413495</v>
      </c>
      <c r="H1211" t="s">
        <v>519</v>
      </c>
      <c r="I1211">
        <v>9528</v>
      </c>
      <c r="J1211">
        <v>81.73</v>
      </c>
      <c r="K1211">
        <v>56.67</v>
      </c>
      <c r="L1211">
        <v>778723.44</v>
      </c>
      <c r="M1211">
        <v>539951.76</v>
      </c>
      <c r="N1211">
        <v>238771.68</v>
      </c>
    </row>
    <row r="1212" spans="1:14" x14ac:dyDescent="0.3">
      <c r="A1212" t="s">
        <v>14</v>
      </c>
      <c r="B1212" t="s">
        <v>21</v>
      </c>
      <c r="C1212" t="s">
        <v>32</v>
      </c>
      <c r="D1212" t="s">
        <v>17</v>
      </c>
      <c r="E1212" t="s">
        <v>33</v>
      </c>
      <c r="F1212" t="s">
        <v>1117</v>
      </c>
      <c r="G1212">
        <v>288656175</v>
      </c>
      <c r="H1212" t="s">
        <v>1706</v>
      </c>
      <c r="I1212">
        <v>8632</v>
      </c>
      <c r="J1212">
        <v>651.21</v>
      </c>
      <c r="K1212">
        <v>524.96</v>
      </c>
      <c r="L1212">
        <v>5621244.7199999997</v>
      </c>
      <c r="M1212">
        <v>4531454.72</v>
      </c>
      <c r="N1212">
        <v>1089790</v>
      </c>
    </row>
    <row r="1213" spans="1:14" x14ac:dyDescent="0.3">
      <c r="A1213" t="s">
        <v>14</v>
      </c>
      <c r="B1213" t="s">
        <v>70</v>
      </c>
      <c r="C1213" t="s">
        <v>75</v>
      </c>
      <c r="D1213" t="s">
        <v>17</v>
      </c>
      <c r="E1213" t="s">
        <v>18</v>
      </c>
      <c r="F1213" t="s">
        <v>387</v>
      </c>
      <c r="G1213">
        <v>659671771</v>
      </c>
      <c r="H1213" t="s">
        <v>1623</v>
      </c>
      <c r="I1213">
        <v>391</v>
      </c>
      <c r="J1213">
        <v>437.2</v>
      </c>
      <c r="K1213">
        <v>263.33</v>
      </c>
      <c r="L1213">
        <v>170945.2</v>
      </c>
      <c r="M1213">
        <v>102962.03</v>
      </c>
      <c r="N1213">
        <v>67983.17</v>
      </c>
    </row>
    <row r="1214" spans="1:14" x14ac:dyDescent="0.3">
      <c r="A1214" t="s">
        <v>14</v>
      </c>
      <c r="B1214" t="s">
        <v>67</v>
      </c>
      <c r="C1214" t="s">
        <v>22</v>
      </c>
      <c r="D1214" t="s">
        <v>17</v>
      </c>
      <c r="E1214" t="s">
        <v>54</v>
      </c>
      <c r="F1214" t="s">
        <v>1223</v>
      </c>
      <c r="G1214">
        <v>513611114</v>
      </c>
      <c r="H1214" t="s">
        <v>292</v>
      </c>
      <c r="I1214">
        <v>7797</v>
      </c>
      <c r="J1214">
        <v>109.28</v>
      </c>
      <c r="K1214">
        <v>35.840000000000003</v>
      </c>
      <c r="L1214">
        <v>852056.16</v>
      </c>
      <c r="M1214">
        <v>279444.47999999998</v>
      </c>
      <c r="N1214">
        <v>572611.68000000005</v>
      </c>
    </row>
    <row r="1215" spans="1:14" x14ac:dyDescent="0.3">
      <c r="A1215" t="s">
        <v>14</v>
      </c>
      <c r="B1215" t="s">
        <v>70</v>
      </c>
      <c r="C1215" t="s">
        <v>16</v>
      </c>
      <c r="D1215" t="s">
        <v>17</v>
      </c>
      <c r="E1215" t="s">
        <v>24</v>
      </c>
      <c r="F1215" t="s">
        <v>1707</v>
      </c>
      <c r="G1215">
        <v>543322694</v>
      </c>
      <c r="H1215" t="s">
        <v>1708</v>
      </c>
      <c r="I1215">
        <v>114</v>
      </c>
      <c r="J1215">
        <v>47.45</v>
      </c>
      <c r="K1215">
        <v>31.79</v>
      </c>
      <c r="L1215">
        <v>5409.3</v>
      </c>
      <c r="M1215">
        <v>3624.06</v>
      </c>
      <c r="N1215">
        <v>1785.24</v>
      </c>
    </row>
    <row r="1216" spans="1:14" x14ac:dyDescent="0.3">
      <c r="A1216" t="s">
        <v>14</v>
      </c>
      <c r="B1216" t="s">
        <v>110</v>
      </c>
      <c r="C1216" t="s">
        <v>46</v>
      </c>
      <c r="D1216" t="s">
        <v>17</v>
      </c>
      <c r="E1216" t="s">
        <v>18</v>
      </c>
      <c r="F1216" t="s">
        <v>482</v>
      </c>
      <c r="G1216">
        <v>671616399</v>
      </c>
      <c r="H1216" t="s">
        <v>1709</v>
      </c>
      <c r="I1216">
        <v>5072</v>
      </c>
      <c r="J1216">
        <v>154.06</v>
      </c>
      <c r="K1216">
        <v>90.93</v>
      </c>
      <c r="L1216">
        <v>781392.32</v>
      </c>
      <c r="M1216">
        <v>461196.96</v>
      </c>
      <c r="N1216">
        <v>320195.36</v>
      </c>
    </row>
    <row r="1217" spans="1:14" x14ac:dyDescent="0.3">
      <c r="A1217" t="s">
        <v>14</v>
      </c>
      <c r="B1217" t="s">
        <v>181</v>
      </c>
      <c r="C1217" t="s">
        <v>16</v>
      </c>
      <c r="D1217" t="s">
        <v>17</v>
      </c>
      <c r="E1217" t="s">
        <v>33</v>
      </c>
      <c r="F1217" t="s">
        <v>1710</v>
      </c>
      <c r="G1217">
        <v>212319648</v>
      </c>
      <c r="H1217" t="s">
        <v>1239</v>
      </c>
      <c r="I1217">
        <v>8957</v>
      </c>
      <c r="J1217">
        <v>47.45</v>
      </c>
      <c r="K1217">
        <v>31.79</v>
      </c>
      <c r="L1217">
        <v>425009.65</v>
      </c>
      <c r="M1217">
        <v>284743.03000000003</v>
      </c>
      <c r="N1217">
        <v>140266.62</v>
      </c>
    </row>
    <row r="1218" spans="1:14" x14ac:dyDescent="0.3">
      <c r="A1218" t="s">
        <v>14</v>
      </c>
      <c r="B1218" t="s">
        <v>110</v>
      </c>
      <c r="C1218" t="s">
        <v>71</v>
      </c>
      <c r="D1218" t="s">
        <v>23</v>
      </c>
      <c r="E1218" t="s">
        <v>33</v>
      </c>
      <c r="F1218" t="s">
        <v>155</v>
      </c>
      <c r="G1218">
        <v>971578347</v>
      </c>
      <c r="H1218" t="s">
        <v>1711</v>
      </c>
      <c r="I1218">
        <v>478</v>
      </c>
      <c r="J1218">
        <v>668.27</v>
      </c>
      <c r="K1218">
        <v>502.54</v>
      </c>
      <c r="L1218">
        <v>319433.06</v>
      </c>
      <c r="M1218">
        <v>240214.12</v>
      </c>
      <c r="N1218">
        <v>79218.94</v>
      </c>
    </row>
    <row r="1219" spans="1:14" x14ac:dyDescent="0.3">
      <c r="A1219" t="s">
        <v>14</v>
      </c>
      <c r="B1219" t="s">
        <v>185</v>
      </c>
      <c r="C1219" t="s">
        <v>37</v>
      </c>
      <c r="D1219" t="s">
        <v>17</v>
      </c>
      <c r="E1219" t="s">
        <v>33</v>
      </c>
      <c r="F1219" t="s">
        <v>1712</v>
      </c>
      <c r="G1219">
        <v>704233348</v>
      </c>
      <c r="H1219" t="s">
        <v>605</v>
      </c>
      <c r="I1219">
        <v>7152</v>
      </c>
      <c r="J1219">
        <v>9.33</v>
      </c>
      <c r="K1219">
        <v>6.92</v>
      </c>
      <c r="L1219">
        <v>66728.160000000003</v>
      </c>
      <c r="M1219">
        <v>49491.839999999997</v>
      </c>
      <c r="N1219">
        <v>17236.32</v>
      </c>
    </row>
    <row r="1220" spans="1:14" x14ac:dyDescent="0.3">
      <c r="A1220" t="s">
        <v>14</v>
      </c>
      <c r="B1220" t="s">
        <v>31</v>
      </c>
      <c r="C1220" t="s">
        <v>58</v>
      </c>
      <c r="D1220" t="s">
        <v>23</v>
      </c>
      <c r="E1220" t="s">
        <v>18</v>
      </c>
      <c r="F1220" t="s">
        <v>1364</v>
      </c>
      <c r="G1220">
        <v>768230426</v>
      </c>
      <c r="H1220" t="s">
        <v>1713</v>
      </c>
      <c r="I1220">
        <v>5310</v>
      </c>
      <c r="J1220">
        <v>152.58000000000001</v>
      </c>
      <c r="K1220">
        <v>97.44</v>
      </c>
      <c r="L1220">
        <v>810199.8</v>
      </c>
      <c r="M1220">
        <v>517406.4</v>
      </c>
      <c r="N1220">
        <v>292793.40000000002</v>
      </c>
    </row>
    <row r="1221" spans="1:14" x14ac:dyDescent="0.3">
      <c r="A1221" t="s">
        <v>14</v>
      </c>
      <c r="B1221" t="s">
        <v>45</v>
      </c>
      <c r="C1221" t="s">
        <v>37</v>
      </c>
      <c r="D1221" t="s">
        <v>17</v>
      </c>
      <c r="E1221" t="s">
        <v>24</v>
      </c>
      <c r="F1221" t="s">
        <v>1714</v>
      </c>
      <c r="G1221">
        <v>707661855</v>
      </c>
      <c r="H1221" t="s">
        <v>1087</v>
      </c>
      <c r="I1221">
        <v>1723</v>
      </c>
      <c r="J1221">
        <v>9.33</v>
      </c>
      <c r="K1221">
        <v>6.92</v>
      </c>
      <c r="L1221">
        <v>16075.59</v>
      </c>
      <c r="M1221">
        <v>11923.16</v>
      </c>
      <c r="N1221">
        <v>4152.43</v>
      </c>
    </row>
    <row r="1222" spans="1:14" x14ac:dyDescent="0.3">
      <c r="A1222" t="s">
        <v>14</v>
      </c>
      <c r="B1222" t="s">
        <v>135</v>
      </c>
      <c r="C1222" t="s">
        <v>37</v>
      </c>
      <c r="D1222" t="s">
        <v>17</v>
      </c>
      <c r="E1222" t="s">
        <v>24</v>
      </c>
      <c r="F1222" t="s">
        <v>1715</v>
      </c>
      <c r="G1222">
        <v>628595054</v>
      </c>
      <c r="H1222" t="s">
        <v>499</v>
      </c>
      <c r="I1222">
        <v>4100</v>
      </c>
      <c r="J1222">
        <v>9.33</v>
      </c>
      <c r="K1222">
        <v>6.92</v>
      </c>
      <c r="L1222">
        <v>38253</v>
      </c>
      <c r="M1222">
        <v>28372</v>
      </c>
      <c r="N1222">
        <v>9881</v>
      </c>
    </row>
    <row r="1223" spans="1:14" x14ac:dyDescent="0.3">
      <c r="A1223" t="s">
        <v>14</v>
      </c>
      <c r="B1223" t="s">
        <v>183</v>
      </c>
      <c r="C1223" t="s">
        <v>16</v>
      </c>
      <c r="D1223" t="s">
        <v>17</v>
      </c>
      <c r="E1223" t="s">
        <v>54</v>
      </c>
      <c r="F1223" t="s">
        <v>244</v>
      </c>
      <c r="G1223">
        <v>795141351</v>
      </c>
      <c r="H1223" t="s">
        <v>1716</v>
      </c>
      <c r="I1223">
        <v>8850</v>
      </c>
      <c r="J1223">
        <v>47.45</v>
      </c>
      <c r="K1223">
        <v>31.79</v>
      </c>
      <c r="L1223">
        <v>419932.5</v>
      </c>
      <c r="M1223">
        <v>281341.5</v>
      </c>
      <c r="N1223">
        <v>138591</v>
      </c>
    </row>
    <row r="1224" spans="1:14" x14ac:dyDescent="0.3">
      <c r="A1224" t="s">
        <v>14</v>
      </c>
      <c r="B1224" t="s">
        <v>57</v>
      </c>
      <c r="C1224" t="s">
        <v>50</v>
      </c>
      <c r="D1224" t="s">
        <v>17</v>
      </c>
      <c r="E1224" t="s">
        <v>24</v>
      </c>
      <c r="F1224" t="s">
        <v>1717</v>
      </c>
      <c r="G1224">
        <v>164259612</v>
      </c>
      <c r="H1224" t="s">
        <v>1718</v>
      </c>
      <c r="I1224">
        <v>6924</v>
      </c>
      <c r="J1224">
        <v>421.89</v>
      </c>
      <c r="K1224">
        <v>364.69</v>
      </c>
      <c r="L1224">
        <v>2921166.36</v>
      </c>
      <c r="M1224">
        <v>2525113.56</v>
      </c>
      <c r="N1224">
        <v>396052.8</v>
      </c>
    </row>
    <row r="1225" spans="1:14" x14ac:dyDescent="0.3">
      <c r="A1225" t="s">
        <v>14</v>
      </c>
      <c r="B1225" t="s">
        <v>115</v>
      </c>
      <c r="C1225" t="s">
        <v>58</v>
      </c>
      <c r="D1225" t="s">
        <v>23</v>
      </c>
      <c r="E1225" t="s">
        <v>54</v>
      </c>
      <c r="F1225" t="s">
        <v>602</v>
      </c>
      <c r="G1225">
        <v>750439441</v>
      </c>
      <c r="H1225" t="s">
        <v>1719</v>
      </c>
      <c r="I1225">
        <v>562</v>
      </c>
      <c r="J1225">
        <v>152.58000000000001</v>
      </c>
      <c r="K1225">
        <v>97.44</v>
      </c>
      <c r="L1225">
        <v>85749.96</v>
      </c>
      <c r="M1225">
        <v>54761.279999999999</v>
      </c>
      <c r="N1225">
        <v>30988.68</v>
      </c>
    </row>
    <row r="1226" spans="1:14" x14ac:dyDescent="0.3">
      <c r="A1226" t="s">
        <v>14</v>
      </c>
      <c r="B1226" t="s">
        <v>122</v>
      </c>
      <c r="C1226" t="s">
        <v>37</v>
      </c>
      <c r="D1226" t="s">
        <v>17</v>
      </c>
      <c r="E1226" t="s">
        <v>18</v>
      </c>
      <c r="F1226" t="s">
        <v>704</v>
      </c>
      <c r="G1226">
        <v>362258565</v>
      </c>
      <c r="H1226" t="s">
        <v>1720</v>
      </c>
      <c r="I1226">
        <v>9214</v>
      </c>
      <c r="J1226">
        <v>9.33</v>
      </c>
      <c r="K1226">
        <v>6.92</v>
      </c>
      <c r="L1226">
        <v>85966.62</v>
      </c>
      <c r="M1226">
        <v>63760.88</v>
      </c>
      <c r="N1226">
        <v>22205.74</v>
      </c>
    </row>
    <row r="1227" spans="1:14" x14ac:dyDescent="0.3">
      <c r="A1227" t="s">
        <v>14</v>
      </c>
      <c r="B1227" t="s">
        <v>243</v>
      </c>
      <c r="C1227" t="s">
        <v>28</v>
      </c>
      <c r="D1227" t="s">
        <v>23</v>
      </c>
      <c r="E1227" t="s">
        <v>54</v>
      </c>
      <c r="F1227" t="s">
        <v>1013</v>
      </c>
      <c r="G1227">
        <v>209357202</v>
      </c>
      <c r="H1227" t="s">
        <v>875</v>
      </c>
      <c r="I1227">
        <v>2303</v>
      </c>
      <c r="J1227">
        <v>205.7</v>
      </c>
      <c r="K1227">
        <v>117.11</v>
      </c>
      <c r="L1227">
        <v>473727.1</v>
      </c>
      <c r="M1227">
        <v>269704.33</v>
      </c>
      <c r="N1227">
        <v>204022.77</v>
      </c>
    </row>
    <row r="1228" spans="1:14" x14ac:dyDescent="0.3">
      <c r="A1228" t="s">
        <v>14</v>
      </c>
      <c r="B1228" t="s">
        <v>86</v>
      </c>
      <c r="C1228" t="s">
        <v>75</v>
      </c>
      <c r="D1228" t="s">
        <v>17</v>
      </c>
      <c r="E1228" t="s">
        <v>33</v>
      </c>
      <c r="F1228" t="s">
        <v>282</v>
      </c>
      <c r="G1228">
        <v>450041043</v>
      </c>
      <c r="H1228" t="s">
        <v>1721</v>
      </c>
      <c r="I1228">
        <v>6000</v>
      </c>
      <c r="J1228">
        <v>437.2</v>
      </c>
      <c r="K1228">
        <v>263.33</v>
      </c>
      <c r="L1228">
        <v>2623200</v>
      </c>
      <c r="M1228">
        <v>1579980</v>
      </c>
      <c r="N1228">
        <v>1043220</v>
      </c>
    </row>
    <row r="1229" spans="1:14" x14ac:dyDescent="0.3">
      <c r="A1229" t="s">
        <v>14</v>
      </c>
      <c r="B1229" t="s">
        <v>243</v>
      </c>
      <c r="C1229" t="s">
        <v>32</v>
      </c>
      <c r="D1229" t="s">
        <v>23</v>
      </c>
      <c r="E1229" t="s">
        <v>54</v>
      </c>
      <c r="F1229" t="s">
        <v>1722</v>
      </c>
      <c r="G1229">
        <v>103450715</v>
      </c>
      <c r="H1229" t="s">
        <v>1321</v>
      </c>
      <c r="I1229">
        <v>2220</v>
      </c>
      <c r="J1229">
        <v>651.21</v>
      </c>
      <c r="K1229">
        <v>524.96</v>
      </c>
      <c r="L1229">
        <v>1445686.2</v>
      </c>
      <c r="M1229">
        <v>1165411.2</v>
      </c>
      <c r="N1229">
        <v>280275</v>
      </c>
    </row>
    <row r="1230" spans="1:14" x14ac:dyDescent="0.3">
      <c r="A1230" t="s">
        <v>14</v>
      </c>
      <c r="B1230" t="s">
        <v>45</v>
      </c>
      <c r="C1230" t="s">
        <v>37</v>
      </c>
      <c r="D1230" t="s">
        <v>23</v>
      </c>
      <c r="E1230" t="s">
        <v>24</v>
      </c>
      <c r="F1230" t="s">
        <v>1723</v>
      </c>
      <c r="G1230">
        <v>384601581</v>
      </c>
      <c r="H1230" t="s">
        <v>1724</v>
      </c>
      <c r="I1230">
        <v>1009</v>
      </c>
      <c r="J1230">
        <v>9.33</v>
      </c>
      <c r="K1230">
        <v>6.92</v>
      </c>
      <c r="L1230">
        <v>9413.9699999999993</v>
      </c>
      <c r="M1230">
        <v>6982.28</v>
      </c>
      <c r="N1230">
        <v>2431.69</v>
      </c>
    </row>
    <row r="1231" spans="1:14" x14ac:dyDescent="0.3">
      <c r="A1231" t="s">
        <v>14</v>
      </c>
      <c r="B1231" t="s">
        <v>127</v>
      </c>
      <c r="C1231" t="s">
        <v>46</v>
      </c>
      <c r="D1231" t="s">
        <v>23</v>
      </c>
      <c r="E1231" t="s">
        <v>33</v>
      </c>
      <c r="F1231" t="s">
        <v>1725</v>
      </c>
      <c r="G1231">
        <v>186079490</v>
      </c>
      <c r="H1231" t="s">
        <v>1199</v>
      </c>
      <c r="I1231">
        <v>3911</v>
      </c>
      <c r="J1231">
        <v>154.06</v>
      </c>
      <c r="K1231">
        <v>90.93</v>
      </c>
      <c r="L1231">
        <v>602528.66</v>
      </c>
      <c r="M1231">
        <v>355627.23</v>
      </c>
      <c r="N1231">
        <v>246901.43</v>
      </c>
    </row>
    <row r="1232" spans="1:14" x14ac:dyDescent="0.3">
      <c r="A1232" t="s">
        <v>14</v>
      </c>
      <c r="B1232" t="s">
        <v>31</v>
      </c>
      <c r="C1232" t="s">
        <v>32</v>
      </c>
      <c r="D1232" t="s">
        <v>23</v>
      </c>
      <c r="E1232" t="s">
        <v>24</v>
      </c>
      <c r="F1232" t="s">
        <v>861</v>
      </c>
      <c r="G1232">
        <v>513026177</v>
      </c>
      <c r="H1232" t="s">
        <v>1696</v>
      </c>
      <c r="I1232">
        <v>4701</v>
      </c>
      <c r="J1232">
        <v>651.21</v>
      </c>
      <c r="K1232">
        <v>524.96</v>
      </c>
      <c r="L1232">
        <v>3061338.21</v>
      </c>
      <c r="M1232">
        <v>2467836.96</v>
      </c>
      <c r="N1232">
        <v>593501.25</v>
      </c>
    </row>
    <row r="1233" spans="1:14" x14ac:dyDescent="0.3">
      <c r="A1233" t="s">
        <v>14</v>
      </c>
      <c r="B1233" t="s">
        <v>100</v>
      </c>
      <c r="C1233" t="s">
        <v>64</v>
      </c>
      <c r="D1233" t="s">
        <v>17</v>
      </c>
      <c r="E1233" t="s">
        <v>33</v>
      </c>
      <c r="F1233" t="s">
        <v>618</v>
      </c>
      <c r="G1233">
        <v>222720611</v>
      </c>
      <c r="H1233" t="s">
        <v>48</v>
      </c>
      <c r="I1233">
        <v>6833</v>
      </c>
      <c r="J1233">
        <v>255.28</v>
      </c>
      <c r="K1233">
        <v>159.41999999999999</v>
      </c>
      <c r="L1233">
        <v>1744328.24</v>
      </c>
      <c r="M1233">
        <v>1089316.8600000001</v>
      </c>
      <c r="N1233">
        <v>655011.38</v>
      </c>
    </row>
    <row r="1234" spans="1:14" x14ac:dyDescent="0.3">
      <c r="A1234" t="s">
        <v>14</v>
      </c>
      <c r="B1234" t="s">
        <v>21</v>
      </c>
      <c r="C1234" t="s">
        <v>71</v>
      </c>
      <c r="D1234" t="s">
        <v>17</v>
      </c>
      <c r="E1234" t="s">
        <v>24</v>
      </c>
      <c r="F1234" t="s">
        <v>336</v>
      </c>
      <c r="G1234">
        <v>891681563</v>
      </c>
      <c r="H1234" t="s">
        <v>369</v>
      </c>
      <c r="I1234">
        <v>7245</v>
      </c>
      <c r="J1234">
        <v>668.27</v>
      </c>
      <c r="K1234">
        <v>502.54</v>
      </c>
      <c r="L1234">
        <v>4841616.1500000004</v>
      </c>
      <c r="M1234">
        <v>3640902.3</v>
      </c>
      <c r="N1234">
        <v>1200713.8500000001</v>
      </c>
    </row>
    <row r="1235" spans="1:14" x14ac:dyDescent="0.3">
      <c r="A1235" t="s">
        <v>14</v>
      </c>
      <c r="B1235" t="s">
        <v>132</v>
      </c>
      <c r="C1235" t="s">
        <v>16</v>
      </c>
      <c r="D1235" t="s">
        <v>17</v>
      </c>
      <c r="E1235" t="s">
        <v>24</v>
      </c>
      <c r="F1235" t="s">
        <v>174</v>
      </c>
      <c r="G1235">
        <v>129169023</v>
      </c>
      <c r="H1235" t="s">
        <v>1298</v>
      </c>
      <c r="I1235">
        <v>2839</v>
      </c>
      <c r="J1235">
        <v>47.45</v>
      </c>
      <c r="K1235">
        <v>31.79</v>
      </c>
      <c r="L1235">
        <v>134710.54999999999</v>
      </c>
      <c r="M1235">
        <v>90251.81</v>
      </c>
      <c r="N1235">
        <v>44458.74</v>
      </c>
    </row>
    <row r="1236" spans="1:14" x14ac:dyDescent="0.3">
      <c r="A1236" t="s">
        <v>14</v>
      </c>
      <c r="B1236" t="s">
        <v>163</v>
      </c>
      <c r="C1236" t="s">
        <v>28</v>
      </c>
      <c r="D1236" t="s">
        <v>23</v>
      </c>
      <c r="E1236" t="s">
        <v>18</v>
      </c>
      <c r="F1236" t="s">
        <v>285</v>
      </c>
      <c r="G1236">
        <v>764811360</v>
      </c>
      <c r="H1236" t="s">
        <v>1292</v>
      </c>
      <c r="I1236">
        <v>3532</v>
      </c>
      <c r="J1236">
        <v>205.7</v>
      </c>
      <c r="K1236">
        <v>117.11</v>
      </c>
      <c r="L1236">
        <v>726532.4</v>
      </c>
      <c r="M1236">
        <v>413632.52</v>
      </c>
      <c r="N1236">
        <v>312899.88</v>
      </c>
    </row>
    <row r="1237" spans="1:14" x14ac:dyDescent="0.3">
      <c r="A1237" t="s">
        <v>14</v>
      </c>
      <c r="B1237" t="s">
        <v>92</v>
      </c>
      <c r="C1237" t="s">
        <v>46</v>
      </c>
      <c r="D1237" t="s">
        <v>17</v>
      </c>
      <c r="E1237" t="s">
        <v>18</v>
      </c>
      <c r="F1237" t="s">
        <v>636</v>
      </c>
      <c r="G1237">
        <v>801925837</v>
      </c>
      <c r="H1237" t="s">
        <v>993</v>
      </c>
      <c r="I1237">
        <v>6531</v>
      </c>
      <c r="J1237">
        <v>154.06</v>
      </c>
      <c r="K1237">
        <v>90.93</v>
      </c>
      <c r="L1237">
        <v>1006165.86</v>
      </c>
      <c r="M1237">
        <v>593863.82999999996</v>
      </c>
      <c r="N1237">
        <v>412302.03</v>
      </c>
    </row>
    <row r="1238" spans="1:14" x14ac:dyDescent="0.3">
      <c r="A1238" t="s">
        <v>14</v>
      </c>
      <c r="B1238" t="s">
        <v>61</v>
      </c>
      <c r="C1238" t="s">
        <v>32</v>
      </c>
      <c r="D1238" t="s">
        <v>17</v>
      </c>
      <c r="E1238" t="s">
        <v>18</v>
      </c>
      <c r="F1238" t="s">
        <v>1726</v>
      </c>
      <c r="G1238">
        <v>881194770</v>
      </c>
      <c r="H1238" t="s">
        <v>1604</v>
      </c>
      <c r="I1238">
        <v>3969</v>
      </c>
      <c r="J1238">
        <v>651.21</v>
      </c>
      <c r="K1238">
        <v>524.96</v>
      </c>
      <c r="L1238">
        <v>2584652.4900000002</v>
      </c>
      <c r="M1238">
        <v>2083566.24</v>
      </c>
      <c r="N1238">
        <v>501086.25</v>
      </c>
    </row>
    <row r="1239" spans="1:14" x14ac:dyDescent="0.3">
      <c r="A1239" t="s">
        <v>14</v>
      </c>
      <c r="B1239" t="s">
        <v>27</v>
      </c>
      <c r="C1239" t="s">
        <v>46</v>
      </c>
      <c r="D1239" t="s">
        <v>17</v>
      </c>
      <c r="E1239" t="s">
        <v>18</v>
      </c>
      <c r="F1239" t="s">
        <v>1727</v>
      </c>
      <c r="G1239">
        <v>917835032</v>
      </c>
      <c r="H1239" t="s">
        <v>1728</v>
      </c>
      <c r="I1239">
        <v>6637</v>
      </c>
      <c r="J1239">
        <v>154.06</v>
      </c>
      <c r="K1239">
        <v>90.93</v>
      </c>
      <c r="L1239">
        <v>1022496.22</v>
      </c>
      <c r="M1239">
        <v>603502.41</v>
      </c>
      <c r="N1239">
        <v>418993.81</v>
      </c>
    </row>
    <row r="1240" spans="1:14" x14ac:dyDescent="0.3">
      <c r="A1240" t="s">
        <v>14</v>
      </c>
      <c r="B1240" t="s">
        <v>49</v>
      </c>
      <c r="C1240" t="s">
        <v>37</v>
      </c>
      <c r="D1240" t="s">
        <v>23</v>
      </c>
      <c r="E1240" t="s">
        <v>54</v>
      </c>
      <c r="F1240" t="s">
        <v>111</v>
      </c>
      <c r="G1240">
        <v>159232509</v>
      </c>
      <c r="H1240" t="s">
        <v>583</v>
      </c>
      <c r="I1240">
        <v>9293</v>
      </c>
      <c r="J1240">
        <v>9.33</v>
      </c>
      <c r="K1240">
        <v>6.92</v>
      </c>
      <c r="L1240">
        <v>86703.69</v>
      </c>
      <c r="M1240">
        <v>64307.56</v>
      </c>
      <c r="N1240">
        <v>22396.13</v>
      </c>
    </row>
    <row r="1241" spans="1:14" x14ac:dyDescent="0.3">
      <c r="A1241" t="s">
        <v>14</v>
      </c>
      <c r="B1241" t="s">
        <v>83</v>
      </c>
      <c r="C1241" t="s">
        <v>46</v>
      </c>
      <c r="D1241" t="s">
        <v>23</v>
      </c>
      <c r="E1241" t="s">
        <v>33</v>
      </c>
      <c r="F1241" t="s">
        <v>1729</v>
      </c>
      <c r="G1241">
        <v>917639768</v>
      </c>
      <c r="H1241" t="s">
        <v>659</v>
      </c>
      <c r="I1241">
        <v>8854</v>
      </c>
      <c r="J1241">
        <v>154.06</v>
      </c>
      <c r="K1241">
        <v>90.93</v>
      </c>
      <c r="L1241">
        <v>1364047.24</v>
      </c>
      <c r="M1241">
        <v>805094.22</v>
      </c>
      <c r="N1241">
        <v>558953.02</v>
      </c>
    </row>
    <row r="1242" spans="1:14" x14ac:dyDescent="0.3">
      <c r="A1242" t="s">
        <v>14</v>
      </c>
      <c r="B1242" t="s">
        <v>138</v>
      </c>
      <c r="C1242" t="s">
        <v>37</v>
      </c>
      <c r="D1242" t="s">
        <v>23</v>
      </c>
      <c r="E1242" t="s">
        <v>24</v>
      </c>
      <c r="F1242" t="s">
        <v>926</v>
      </c>
      <c r="G1242">
        <v>965796363</v>
      </c>
      <c r="H1242" t="s">
        <v>1730</v>
      </c>
      <c r="I1242">
        <v>9461</v>
      </c>
      <c r="J1242">
        <v>9.33</v>
      </c>
      <c r="K1242">
        <v>6.92</v>
      </c>
      <c r="L1242">
        <v>88271.13</v>
      </c>
      <c r="M1242">
        <v>65470.12</v>
      </c>
      <c r="N1242">
        <v>22801.01</v>
      </c>
    </row>
    <row r="1243" spans="1:14" x14ac:dyDescent="0.3">
      <c r="A1243" t="s">
        <v>14</v>
      </c>
      <c r="B1243" t="s">
        <v>21</v>
      </c>
      <c r="C1243" t="s">
        <v>64</v>
      </c>
      <c r="D1243" t="s">
        <v>23</v>
      </c>
      <c r="E1243" t="s">
        <v>33</v>
      </c>
      <c r="F1243" t="s">
        <v>1632</v>
      </c>
      <c r="G1243">
        <v>551118266</v>
      </c>
      <c r="H1243" t="s">
        <v>1731</v>
      </c>
      <c r="I1243">
        <v>6997</v>
      </c>
      <c r="J1243">
        <v>255.28</v>
      </c>
      <c r="K1243">
        <v>159.41999999999999</v>
      </c>
      <c r="L1243">
        <v>1786194.16</v>
      </c>
      <c r="M1243">
        <v>1115461.74</v>
      </c>
      <c r="N1243">
        <v>670732.42000000004</v>
      </c>
    </row>
    <row r="1244" spans="1:14" x14ac:dyDescent="0.3">
      <c r="A1244" t="s">
        <v>14</v>
      </c>
      <c r="B1244" t="s">
        <v>141</v>
      </c>
      <c r="C1244" t="s">
        <v>32</v>
      </c>
      <c r="D1244" t="s">
        <v>23</v>
      </c>
      <c r="E1244" t="s">
        <v>24</v>
      </c>
      <c r="F1244" t="s">
        <v>1732</v>
      </c>
      <c r="G1244">
        <v>849454581</v>
      </c>
      <c r="H1244" t="s">
        <v>371</v>
      </c>
      <c r="I1244">
        <v>1342</v>
      </c>
      <c r="J1244">
        <v>651.21</v>
      </c>
      <c r="K1244">
        <v>524.96</v>
      </c>
      <c r="L1244">
        <v>873923.82</v>
      </c>
      <c r="M1244">
        <v>704496.32</v>
      </c>
      <c r="N1244">
        <v>169427.5</v>
      </c>
    </row>
    <row r="1245" spans="1:14" x14ac:dyDescent="0.3">
      <c r="A1245" t="s">
        <v>14</v>
      </c>
      <c r="B1245" t="s">
        <v>364</v>
      </c>
      <c r="C1245" t="s">
        <v>28</v>
      </c>
      <c r="D1245" t="s">
        <v>17</v>
      </c>
      <c r="E1245" t="s">
        <v>24</v>
      </c>
      <c r="F1245" t="s">
        <v>267</v>
      </c>
      <c r="G1245">
        <v>962560546</v>
      </c>
      <c r="H1245" t="s">
        <v>1273</v>
      </c>
      <c r="I1245">
        <v>1911</v>
      </c>
      <c r="J1245">
        <v>205.7</v>
      </c>
      <c r="K1245">
        <v>117.11</v>
      </c>
      <c r="L1245">
        <v>393092.7</v>
      </c>
      <c r="M1245">
        <v>223797.21</v>
      </c>
      <c r="N1245">
        <v>169295.49</v>
      </c>
    </row>
    <row r="1246" spans="1:14" x14ac:dyDescent="0.3">
      <c r="A1246" t="s">
        <v>14</v>
      </c>
      <c r="B1246" t="s">
        <v>92</v>
      </c>
      <c r="C1246" t="s">
        <v>46</v>
      </c>
      <c r="D1246" t="s">
        <v>17</v>
      </c>
      <c r="E1246" t="s">
        <v>54</v>
      </c>
      <c r="F1246" t="s">
        <v>113</v>
      </c>
      <c r="G1246">
        <v>927351081</v>
      </c>
      <c r="H1246" t="s">
        <v>1023</v>
      </c>
      <c r="I1246">
        <v>2647</v>
      </c>
      <c r="J1246">
        <v>154.06</v>
      </c>
      <c r="K1246">
        <v>90.93</v>
      </c>
      <c r="L1246">
        <v>407796.82</v>
      </c>
      <c r="M1246">
        <v>240691.71</v>
      </c>
      <c r="N1246">
        <v>167105.10999999999</v>
      </c>
    </row>
    <row r="1247" spans="1:14" x14ac:dyDescent="0.3">
      <c r="A1247" t="s">
        <v>14</v>
      </c>
      <c r="B1247" t="s">
        <v>45</v>
      </c>
      <c r="C1247" t="s">
        <v>71</v>
      </c>
      <c r="D1247" t="s">
        <v>23</v>
      </c>
      <c r="E1247" t="s">
        <v>54</v>
      </c>
      <c r="F1247" t="s">
        <v>1733</v>
      </c>
      <c r="G1247">
        <v>840781390</v>
      </c>
      <c r="H1247" t="s">
        <v>1734</v>
      </c>
      <c r="I1247">
        <v>4752</v>
      </c>
      <c r="J1247">
        <v>668.27</v>
      </c>
      <c r="K1247">
        <v>502.54</v>
      </c>
      <c r="L1247">
        <v>3175619.04</v>
      </c>
      <c r="M1247">
        <v>2388070.08</v>
      </c>
      <c r="N1247">
        <v>787548.96</v>
      </c>
    </row>
    <row r="1248" spans="1:14" x14ac:dyDescent="0.3">
      <c r="A1248" t="s">
        <v>14</v>
      </c>
      <c r="B1248" t="s">
        <v>166</v>
      </c>
      <c r="C1248" t="s">
        <v>46</v>
      </c>
      <c r="D1248" t="s">
        <v>23</v>
      </c>
      <c r="E1248" t="s">
        <v>54</v>
      </c>
      <c r="F1248" t="s">
        <v>1735</v>
      </c>
      <c r="G1248">
        <v>722233331</v>
      </c>
      <c r="H1248" t="s">
        <v>1736</v>
      </c>
      <c r="I1248">
        <v>3747</v>
      </c>
      <c r="J1248">
        <v>154.06</v>
      </c>
      <c r="K1248">
        <v>90.93</v>
      </c>
      <c r="L1248">
        <v>577262.81999999995</v>
      </c>
      <c r="M1248">
        <v>340714.71</v>
      </c>
      <c r="N1248">
        <v>236548.11</v>
      </c>
    </row>
    <row r="1249" spans="1:14" x14ac:dyDescent="0.3">
      <c r="A1249" t="s">
        <v>14</v>
      </c>
      <c r="B1249" t="s">
        <v>86</v>
      </c>
      <c r="C1249" t="s">
        <v>50</v>
      </c>
      <c r="D1249" t="s">
        <v>23</v>
      </c>
      <c r="E1249" t="s">
        <v>54</v>
      </c>
      <c r="F1249" t="s">
        <v>345</v>
      </c>
      <c r="G1249">
        <v>663080108</v>
      </c>
      <c r="H1249" t="s">
        <v>1265</v>
      </c>
      <c r="I1249">
        <v>8994</v>
      </c>
      <c r="J1249">
        <v>421.89</v>
      </c>
      <c r="K1249">
        <v>364.69</v>
      </c>
      <c r="L1249">
        <v>3794478.66</v>
      </c>
      <c r="M1249">
        <v>3280021.86</v>
      </c>
      <c r="N1249">
        <v>514456.8</v>
      </c>
    </row>
    <row r="1250" spans="1:14" x14ac:dyDescent="0.3">
      <c r="A1250" t="s">
        <v>14</v>
      </c>
      <c r="B1250" t="s">
        <v>89</v>
      </c>
      <c r="C1250" t="s">
        <v>28</v>
      </c>
      <c r="D1250" t="s">
        <v>23</v>
      </c>
      <c r="E1250" t="s">
        <v>33</v>
      </c>
      <c r="F1250" t="s">
        <v>809</v>
      </c>
      <c r="G1250">
        <v>439640080</v>
      </c>
      <c r="H1250" t="s">
        <v>1737</v>
      </c>
      <c r="I1250">
        <v>8124</v>
      </c>
      <c r="J1250">
        <v>205.7</v>
      </c>
      <c r="K1250">
        <v>117.11</v>
      </c>
      <c r="L1250">
        <v>1671106.8</v>
      </c>
      <c r="M1250">
        <v>951401.64</v>
      </c>
      <c r="N1250">
        <v>719705.16</v>
      </c>
    </row>
    <row r="1251" spans="1:14" x14ac:dyDescent="0.3">
      <c r="A1251" t="s">
        <v>14</v>
      </c>
      <c r="B1251" t="s">
        <v>342</v>
      </c>
      <c r="C1251" t="s">
        <v>71</v>
      </c>
      <c r="D1251" t="s">
        <v>17</v>
      </c>
      <c r="E1251" t="s">
        <v>54</v>
      </c>
      <c r="F1251" t="s">
        <v>936</v>
      </c>
      <c r="G1251">
        <v>765858924</v>
      </c>
      <c r="H1251" t="s">
        <v>1258</v>
      </c>
      <c r="I1251">
        <v>3530</v>
      </c>
      <c r="J1251">
        <v>668.27</v>
      </c>
      <c r="K1251">
        <v>502.54</v>
      </c>
      <c r="L1251">
        <v>2358993.1</v>
      </c>
      <c r="M1251">
        <v>1773966.2</v>
      </c>
      <c r="N1251">
        <v>585026.9</v>
      </c>
    </row>
    <row r="1252" spans="1:14" x14ac:dyDescent="0.3">
      <c r="A1252" t="s">
        <v>14</v>
      </c>
      <c r="B1252" t="s">
        <v>27</v>
      </c>
      <c r="C1252" t="s">
        <v>28</v>
      </c>
      <c r="D1252" t="s">
        <v>23</v>
      </c>
      <c r="E1252" t="s">
        <v>24</v>
      </c>
      <c r="F1252" t="s">
        <v>1738</v>
      </c>
      <c r="G1252">
        <v>123544108</v>
      </c>
      <c r="H1252" t="s">
        <v>1713</v>
      </c>
      <c r="I1252">
        <v>8302</v>
      </c>
      <c r="J1252">
        <v>205.7</v>
      </c>
      <c r="K1252">
        <v>117.11</v>
      </c>
      <c r="L1252">
        <v>1707721.4</v>
      </c>
      <c r="M1252">
        <v>972247.22</v>
      </c>
      <c r="N1252">
        <v>735474.18</v>
      </c>
    </row>
    <row r="1253" spans="1:14" x14ac:dyDescent="0.3">
      <c r="A1253" t="s">
        <v>14</v>
      </c>
      <c r="B1253" t="s">
        <v>80</v>
      </c>
      <c r="C1253" t="s">
        <v>58</v>
      </c>
      <c r="D1253" t="s">
        <v>17</v>
      </c>
      <c r="E1253" t="s">
        <v>24</v>
      </c>
      <c r="F1253" t="s">
        <v>1739</v>
      </c>
      <c r="G1253">
        <v>569170606</v>
      </c>
      <c r="H1253" t="s">
        <v>760</v>
      </c>
      <c r="I1253">
        <v>9085</v>
      </c>
      <c r="J1253">
        <v>152.58000000000001</v>
      </c>
      <c r="K1253">
        <v>97.44</v>
      </c>
      <c r="L1253">
        <v>1386189.3</v>
      </c>
      <c r="M1253">
        <v>885242.4</v>
      </c>
      <c r="N1253">
        <v>500946.9</v>
      </c>
    </row>
    <row r="1254" spans="1:14" x14ac:dyDescent="0.3">
      <c r="A1254" t="s">
        <v>14</v>
      </c>
      <c r="B1254" t="s">
        <v>61</v>
      </c>
      <c r="C1254" t="s">
        <v>102</v>
      </c>
      <c r="D1254" t="s">
        <v>23</v>
      </c>
      <c r="E1254" t="s">
        <v>33</v>
      </c>
      <c r="F1254" t="s">
        <v>139</v>
      </c>
      <c r="G1254">
        <v>185947310</v>
      </c>
      <c r="H1254" t="s">
        <v>1536</v>
      </c>
      <c r="I1254">
        <v>4796</v>
      </c>
      <c r="J1254">
        <v>81.73</v>
      </c>
      <c r="K1254">
        <v>56.67</v>
      </c>
      <c r="L1254">
        <v>391977.08</v>
      </c>
      <c r="M1254">
        <v>271789.32</v>
      </c>
      <c r="N1254">
        <v>120187.76</v>
      </c>
    </row>
    <row r="1255" spans="1:14" x14ac:dyDescent="0.3">
      <c r="A1255" t="s">
        <v>14</v>
      </c>
      <c r="B1255" t="s">
        <v>89</v>
      </c>
      <c r="C1255" t="s">
        <v>46</v>
      </c>
      <c r="D1255" t="s">
        <v>23</v>
      </c>
      <c r="E1255" t="s">
        <v>54</v>
      </c>
      <c r="F1255" t="s">
        <v>668</v>
      </c>
      <c r="G1255">
        <v>534709155</v>
      </c>
      <c r="H1255" t="s">
        <v>1034</v>
      </c>
      <c r="I1255">
        <v>1176</v>
      </c>
      <c r="J1255">
        <v>154.06</v>
      </c>
      <c r="K1255">
        <v>90.93</v>
      </c>
      <c r="L1255">
        <v>181174.56</v>
      </c>
      <c r="M1255">
        <v>106933.68</v>
      </c>
      <c r="N1255">
        <v>74240.88</v>
      </c>
    </row>
    <row r="1256" spans="1:14" x14ac:dyDescent="0.3">
      <c r="A1256" t="s">
        <v>14</v>
      </c>
      <c r="B1256" t="s">
        <v>67</v>
      </c>
      <c r="C1256" t="s">
        <v>32</v>
      </c>
      <c r="D1256" t="s">
        <v>23</v>
      </c>
      <c r="E1256" t="s">
        <v>18</v>
      </c>
      <c r="F1256" t="s">
        <v>1740</v>
      </c>
      <c r="G1256">
        <v>138182103</v>
      </c>
      <c r="H1256" t="s">
        <v>1232</v>
      </c>
      <c r="I1256">
        <v>10</v>
      </c>
      <c r="J1256">
        <v>651.21</v>
      </c>
      <c r="K1256">
        <v>524.96</v>
      </c>
      <c r="L1256">
        <v>6512.1</v>
      </c>
      <c r="M1256">
        <v>5249.6</v>
      </c>
      <c r="N1256">
        <v>1262.5</v>
      </c>
    </row>
    <row r="1257" spans="1:14" x14ac:dyDescent="0.3">
      <c r="A1257" t="s">
        <v>14</v>
      </c>
      <c r="B1257" t="s">
        <v>31</v>
      </c>
      <c r="C1257" t="s">
        <v>50</v>
      </c>
      <c r="D1257" t="s">
        <v>17</v>
      </c>
      <c r="E1257" t="s">
        <v>54</v>
      </c>
      <c r="F1257" t="s">
        <v>357</v>
      </c>
      <c r="G1257">
        <v>780590045</v>
      </c>
      <c r="H1257" t="s">
        <v>1741</v>
      </c>
      <c r="I1257">
        <v>2796</v>
      </c>
      <c r="J1257">
        <v>421.89</v>
      </c>
      <c r="K1257">
        <v>364.69</v>
      </c>
      <c r="L1257">
        <v>1179604.44</v>
      </c>
      <c r="M1257">
        <v>1019673.24</v>
      </c>
      <c r="N1257">
        <v>159931.20000000001</v>
      </c>
    </row>
    <row r="1258" spans="1:14" x14ac:dyDescent="0.3">
      <c r="A1258" t="s">
        <v>14</v>
      </c>
      <c r="B1258" t="s">
        <v>183</v>
      </c>
      <c r="C1258" t="s">
        <v>37</v>
      </c>
      <c r="D1258" t="s">
        <v>23</v>
      </c>
      <c r="E1258" t="s">
        <v>33</v>
      </c>
      <c r="F1258" t="s">
        <v>1350</v>
      </c>
      <c r="G1258">
        <v>643448483</v>
      </c>
      <c r="H1258" t="s">
        <v>1742</v>
      </c>
      <c r="I1258">
        <v>9560</v>
      </c>
      <c r="J1258">
        <v>9.33</v>
      </c>
      <c r="K1258">
        <v>6.92</v>
      </c>
      <c r="L1258">
        <v>89194.8</v>
      </c>
      <c r="M1258">
        <v>66155.199999999997</v>
      </c>
      <c r="N1258">
        <v>23039.599999999999</v>
      </c>
    </row>
    <row r="1259" spans="1:14" x14ac:dyDescent="0.3">
      <c r="A1259" t="s">
        <v>14</v>
      </c>
      <c r="B1259" t="s">
        <v>271</v>
      </c>
      <c r="C1259" t="s">
        <v>32</v>
      </c>
      <c r="D1259" t="s">
        <v>23</v>
      </c>
      <c r="E1259" t="s">
        <v>18</v>
      </c>
      <c r="F1259" t="s">
        <v>863</v>
      </c>
      <c r="G1259">
        <v>144978606</v>
      </c>
      <c r="H1259" t="s">
        <v>1029</v>
      </c>
      <c r="I1259">
        <v>1246</v>
      </c>
      <c r="J1259">
        <v>651.21</v>
      </c>
      <c r="K1259">
        <v>524.96</v>
      </c>
      <c r="L1259">
        <v>811407.66</v>
      </c>
      <c r="M1259">
        <v>654100.16</v>
      </c>
      <c r="N1259">
        <v>157307.5</v>
      </c>
    </row>
    <row r="1260" spans="1:14" x14ac:dyDescent="0.3">
      <c r="A1260" t="s">
        <v>14</v>
      </c>
      <c r="B1260" t="s">
        <v>86</v>
      </c>
      <c r="C1260" t="s">
        <v>71</v>
      </c>
      <c r="D1260" t="s">
        <v>23</v>
      </c>
      <c r="E1260" t="s">
        <v>24</v>
      </c>
      <c r="F1260" t="s">
        <v>601</v>
      </c>
      <c r="G1260">
        <v>444798934</v>
      </c>
      <c r="H1260" t="s">
        <v>1743</v>
      </c>
      <c r="I1260">
        <v>4744</v>
      </c>
      <c r="J1260">
        <v>668.27</v>
      </c>
      <c r="K1260">
        <v>502.54</v>
      </c>
      <c r="L1260">
        <v>3170272.88</v>
      </c>
      <c r="M1260">
        <v>2384049.7599999998</v>
      </c>
      <c r="N1260">
        <v>786223.12</v>
      </c>
    </row>
    <row r="1261" spans="1:14" x14ac:dyDescent="0.3">
      <c r="A1261" t="s">
        <v>14</v>
      </c>
      <c r="B1261" t="s">
        <v>92</v>
      </c>
      <c r="C1261" t="s">
        <v>50</v>
      </c>
      <c r="D1261" t="s">
        <v>23</v>
      </c>
      <c r="E1261" t="s">
        <v>18</v>
      </c>
      <c r="F1261" t="s">
        <v>1071</v>
      </c>
      <c r="G1261">
        <v>543396508</v>
      </c>
      <c r="H1261" t="s">
        <v>978</v>
      </c>
      <c r="I1261">
        <v>1957</v>
      </c>
      <c r="J1261">
        <v>421.89</v>
      </c>
      <c r="K1261">
        <v>364.69</v>
      </c>
      <c r="L1261">
        <v>825638.73</v>
      </c>
      <c r="M1261">
        <v>713698.33</v>
      </c>
      <c r="N1261">
        <v>111940.4</v>
      </c>
    </row>
    <row r="1262" spans="1:14" x14ac:dyDescent="0.3">
      <c r="A1262" t="s">
        <v>14</v>
      </c>
      <c r="B1262" t="s">
        <v>27</v>
      </c>
      <c r="C1262" t="s">
        <v>50</v>
      </c>
      <c r="D1262" t="s">
        <v>23</v>
      </c>
      <c r="E1262" t="s">
        <v>54</v>
      </c>
      <c r="F1262" t="s">
        <v>658</v>
      </c>
      <c r="G1262">
        <v>866396272</v>
      </c>
      <c r="H1262" t="s">
        <v>1080</v>
      </c>
      <c r="I1262">
        <v>4765</v>
      </c>
      <c r="J1262">
        <v>421.89</v>
      </c>
      <c r="K1262">
        <v>364.69</v>
      </c>
      <c r="L1262">
        <v>2010305.85</v>
      </c>
      <c r="M1262">
        <v>1737747.85</v>
      </c>
      <c r="N1262">
        <v>272558</v>
      </c>
    </row>
    <row r="1263" spans="1:14" x14ac:dyDescent="0.3">
      <c r="A1263" t="s">
        <v>14</v>
      </c>
      <c r="B1263" t="s">
        <v>271</v>
      </c>
      <c r="C1263" t="s">
        <v>28</v>
      </c>
      <c r="D1263" t="s">
        <v>23</v>
      </c>
      <c r="E1263" t="s">
        <v>54</v>
      </c>
      <c r="F1263" t="s">
        <v>1744</v>
      </c>
      <c r="G1263">
        <v>946823489</v>
      </c>
      <c r="H1263" t="s">
        <v>1745</v>
      </c>
      <c r="I1263">
        <v>4966</v>
      </c>
      <c r="J1263">
        <v>205.7</v>
      </c>
      <c r="K1263">
        <v>117.11</v>
      </c>
      <c r="L1263">
        <v>1021506.2</v>
      </c>
      <c r="M1263">
        <v>581568.26</v>
      </c>
      <c r="N1263">
        <v>439937.94</v>
      </c>
    </row>
    <row r="1264" spans="1:14" x14ac:dyDescent="0.3">
      <c r="A1264" t="s">
        <v>14</v>
      </c>
      <c r="B1264" t="s">
        <v>61</v>
      </c>
      <c r="C1264" t="s">
        <v>75</v>
      </c>
      <c r="D1264" t="s">
        <v>23</v>
      </c>
      <c r="E1264" t="s">
        <v>54</v>
      </c>
      <c r="F1264" t="s">
        <v>1746</v>
      </c>
      <c r="G1264">
        <v>228211200</v>
      </c>
      <c r="H1264" t="s">
        <v>1447</v>
      </c>
      <c r="I1264">
        <v>1620</v>
      </c>
      <c r="J1264">
        <v>437.2</v>
      </c>
      <c r="K1264">
        <v>263.33</v>
      </c>
      <c r="L1264">
        <v>708264</v>
      </c>
      <c r="M1264">
        <v>426594.6</v>
      </c>
      <c r="N1264">
        <v>281669.40000000002</v>
      </c>
    </row>
    <row r="1265" spans="1:14" x14ac:dyDescent="0.3">
      <c r="A1265" t="s">
        <v>14</v>
      </c>
      <c r="B1265" t="s">
        <v>257</v>
      </c>
      <c r="C1265" t="s">
        <v>28</v>
      </c>
      <c r="D1265" t="s">
        <v>23</v>
      </c>
      <c r="E1265" t="s">
        <v>24</v>
      </c>
      <c r="F1265" t="s">
        <v>1747</v>
      </c>
      <c r="G1265">
        <v>547587192</v>
      </c>
      <c r="H1265" t="s">
        <v>918</v>
      </c>
      <c r="I1265">
        <v>2073</v>
      </c>
      <c r="J1265">
        <v>205.7</v>
      </c>
      <c r="K1265">
        <v>117.11</v>
      </c>
      <c r="L1265">
        <v>426416.1</v>
      </c>
      <c r="M1265">
        <v>242769.03</v>
      </c>
      <c r="N1265">
        <v>183647.07</v>
      </c>
    </row>
    <row r="1266" spans="1:14" x14ac:dyDescent="0.3">
      <c r="A1266" t="s">
        <v>14</v>
      </c>
      <c r="B1266" t="s">
        <v>185</v>
      </c>
      <c r="C1266" t="s">
        <v>22</v>
      </c>
      <c r="D1266" t="s">
        <v>23</v>
      </c>
      <c r="E1266" t="s">
        <v>54</v>
      </c>
      <c r="F1266" t="s">
        <v>1101</v>
      </c>
      <c r="G1266">
        <v>689421546</v>
      </c>
      <c r="H1266" t="s">
        <v>651</v>
      </c>
      <c r="I1266">
        <v>4011</v>
      </c>
      <c r="J1266">
        <v>109.28</v>
      </c>
      <c r="K1266">
        <v>35.840000000000003</v>
      </c>
      <c r="L1266">
        <v>438322.08</v>
      </c>
      <c r="M1266">
        <v>143754.23999999999</v>
      </c>
      <c r="N1266">
        <v>294567.84000000003</v>
      </c>
    </row>
    <row r="1267" spans="1:14" x14ac:dyDescent="0.3">
      <c r="A1267" t="s">
        <v>14</v>
      </c>
      <c r="B1267" t="s">
        <v>232</v>
      </c>
      <c r="C1267" t="s">
        <v>50</v>
      </c>
      <c r="D1267" t="s">
        <v>23</v>
      </c>
      <c r="E1267" t="s">
        <v>24</v>
      </c>
      <c r="F1267" t="s">
        <v>1682</v>
      </c>
      <c r="G1267">
        <v>530882394</v>
      </c>
      <c r="H1267" t="s">
        <v>1328</v>
      </c>
      <c r="I1267">
        <v>8753</v>
      </c>
      <c r="J1267">
        <v>421.89</v>
      </c>
      <c r="K1267">
        <v>364.69</v>
      </c>
      <c r="L1267">
        <v>3692803.17</v>
      </c>
      <c r="M1267">
        <v>3192131.57</v>
      </c>
      <c r="N1267">
        <v>500671.6</v>
      </c>
    </row>
    <row r="1268" spans="1:14" x14ac:dyDescent="0.3">
      <c r="A1268" t="s">
        <v>14</v>
      </c>
      <c r="B1268" t="s">
        <v>243</v>
      </c>
      <c r="C1268" t="s">
        <v>58</v>
      </c>
      <c r="D1268" t="s">
        <v>17</v>
      </c>
      <c r="E1268" t="s">
        <v>24</v>
      </c>
      <c r="F1268" t="s">
        <v>594</v>
      </c>
      <c r="G1268">
        <v>765552079</v>
      </c>
      <c r="H1268" t="s">
        <v>1037</v>
      </c>
      <c r="I1268">
        <v>2727</v>
      </c>
      <c r="J1268">
        <v>152.58000000000001</v>
      </c>
      <c r="K1268">
        <v>97.44</v>
      </c>
      <c r="L1268">
        <v>416085.66</v>
      </c>
      <c r="M1268">
        <v>265718.88</v>
      </c>
      <c r="N1268">
        <v>150366.78</v>
      </c>
    </row>
    <row r="1269" spans="1:14" x14ac:dyDescent="0.3">
      <c r="A1269" t="s">
        <v>14</v>
      </c>
      <c r="B1269" t="s">
        <v>169</v>
      </c>
      <c r="C1269" t="s">
        <v>64</v>
      </c>
      <c r="D1269" t="s">
        <v>17</v>
      </c>
      <c r="E1269" t="s">
        <v>24</v>
      </c>
      <c r="F1269" t="s">
        <v>1748</v>
      </c>
      <c r="G1269">
        <v>469974792</v>
      </c>
      <c r="H1269" t="s">
        <v>1749</v>
      </c>
      <c r="I1269">
        <v>4840</v>
      </c>
      <c r="J1269">
        <v>255.28</v>
      </c>
      <c r="K1269">
        <v>159.41999999999999</v>
      </c>
      <c r="L1269">
        <v>1235555.2</v>
      </c>
      <c r="M1269">
        <v>771592.8</v>
      </c>
      <c r="N1269">
        <v>463962.4</v>
      </c>
    </row>
    <row r="1270" spans="1:14" x14ac:dyDescent="0.3">
      <c r="A1270" t="s">
        <v>14</v>
      </c>
      <c r="B1270" t="s">
        <v>97</v>
      </c>
      <c r="C1270" t="s">
        <v>102</v>
      </c>
      <c r="D1270" t="s">
        <v>17</v>
      </c>
      <c r="E1270" t="s">
        <v>24</v>
      </c>
      <c r="F1270" t="s">
        <v>1750</v>
      </c>
      <c r="G1270">
        <v>700304019</v>
      </c>
      <c r="H1270" t="s">
        <v>1404</v>
      </c>
      <c r="I1270">
        <v>4376</v>
      </c>
      <c r="J1270">
        <v>81.73</v>
      </c>
      <c r="K1270">
        <v>56.67</v>
      </c>
      <c r="L1270">
        <v>357650.48</v>
      </c>
      <c r="M1270">
        <v>247987.92</v>
      </c>
      <c r="N1270">
        <v>109662.56</v>
      </c>
    </row>
    <row r="1271" spans="1:14" x14ac:dyDescent="0.3">
      <c r="A1271" t="s">
        <v>14</v>
      </c>
      <c r="B1271" t="s">
        <v>115</v>
      </c>
      <c r="C1271" t="s">
        <v>22</v>
      </c>
      <c r="D1271" t="s">
        <v>23</v>
      </c>
      <c r="E1271" t="s">
        <v>54</v>
      </c>
      <c r="F1271" t="s">
        <v>512</v>
      </c>
      <c r="G1271">
        <v>509356057</v>
      </c>
      <c r="H1271" t="s">
        <v>777</v>
      </c>
      <c r="I1271">
        <v>8631</v>
      </c>
      <c r="J1271">
        <v>109.28</v>
      </c>
      <c r="K1271">
        <v>35.840000000000003</v>
      </c>
      <c r="L1271">
        <v>943195.68</v>
      </c>
      <c r="M1271">
        <v>309335.03999999998</v>
      </c>
      <c r="N1271">
        <v>633860.64</v>
      </c>
    </row>
    <row r="1272" spans="1:14" x14ac:dyDescent="0.3">
      <c r="A1272" t="s">
        <v>14</v>
      </c>
      <c r="B1272" t="s">
        <v>122</v>
      </c>
      <c r="C1272" t="s">
        <v>64</v>
      </c>
      <c r="D1272" t="s">
        <v>17</v>
      </c>
      <c r="E1272" t="s">
        <v>24</v>
      </c>
      <c r="F1272" t="s">
        <v>1751</v>
      </c>
      <c r="G1272">
        <v>838788402</v>
      </c>
      <c r="H1272" t="s">
        <v>1102</v>
      </c>
      <c r="I1272">
        <v>4983</v>
      </c>
      <c r="J1272">
        <v>255.28</v>
      </c>
      <c r="K1272">
        <v>159.41999999999999</v>
      </c>
      <c r="L1272">
        <v>1272060.24</v>
      </c>
      <c r="M1272">
        <v>794389.86</v>
      </c>
      <c r="N1272">
        <v>477670.38</v>
      </c>
    </row>
    <row r="1273" spans="1:14" x14ac:dyDescent="0.3">
      <c r="A1273" t="s">
        <v>14</v>
      </c>
      <c r="B1273" t="s">
        <v>31</v>
      </c>
      <c r="C1273" t="s">
        <v>32</v>
      </c>
      <c r="D1273" t="s">
        <v>17</v>
      </c>
      <c r="E1273" t="s">
        <v>18</v>
      </c>
      <c r="F1273" t="s">
        <v>1752</v>
      </c>
      <c r="G1273">
        <v>200507199</v>
      </c>
      <c r="H1273" t="s">
        <v>1753</v>
      </c>
      <c r="I1273">
        <v>3391</v>
      </c>
      <c r="J1273">
        <v>651.21</v>
      </c>
      <c r="K1273">
        <v>524.96</v>
      </c>
      <c r="L1273">
        <v>2208253.11</v>
      </c>
      <c r="M1273">
        <v>1780139.36</v>
      </c>
      <c r="N1273">
        <v>428113.75</v>
      </c>
    </row>
    <row r="1274" spans="1:14" x14ac:dyDescent="0.3">
      <c r="A1274" t="s">
        <v>14</v>
      </c>
      <c r="B1274" t="s">
        <v>220</v>
      </c>
      <c r="C1274" t="s">
        <v>50</v>
      </c>
      <c r="D1274" t="s">
        <v>23</v>
      </c>
      <c r="E1274" t="s">
        <v>24</v>
      </c>
      <c r="F1274" t="s">
        <v>1754</v>
      </c>
      <c r="G1274">
        <v>504973971</v>
      </c>
      <c r="H1274" t="s">
        <v>1737</v>
      </c>
      <c r="I1274">
        <v>1875</v>
      </c>
      <c r="J1274">
        <v>421.89</v>
      </c>
      <c r="K1274">
        <v>364.69</v>
      </c>
      <c r="L1274">
        <v>791043.75</v>
      </c>
      <c r="M1274">
        <v>683793.75</v>
      </c>
      <c r="N1274">
        <v>107250</v>
      </c>
    </row>
    <row r="1275" spans="1:14" x14ac:dyDescent="0.3">
      <c r="A1275" t="s">
        <v>14</v>
      </c>
      <c r="B1275" t="s">
        <v>122</v>
      </c>
      <c r="C1275" t="s">
        <v>28</v>
      </c>
      <c r="D1275" t="s">
        <v>17</v>
      </c>
      <c r="E1275" t="s">
        <v>54</v>
      </c>
      <c r="F1275" t="s">
        <v>793</v>
      </c>
      <c r="G1275">
        <v>477282845</v>
      </c>
      <c r="H1275" t="s">
        <v>1755</v>
      </c>
      <c r="I1275">
        <v>7455</v>
      </c>
      <c r="J1275">
        <v>205.7</v>
      </c>
      <c r="K1275">
        <v>117.11</v>
      </c>
      <c r="L1275">
        <v>1533493.5</v>
      </c>
      <c r="M1275">
        <v>873055.05</v>
      </c>
      <c r="N1275">
        <v>660438.44999999995</v>
      </c>
    </row>
    <row r="1276" spans="1:14" x14ac:dyDescent="0.3">
      <c r="A1276" t="s">
        <v>14</v>
      </c>
      <c r="B1276" t="s">
        <v>243</v>
      </c>
      <c r="C1276" t="s">
        <v>75</v>
      </c>
      <c r="D1276" t="s">
        <v>23</v>
      </c>
      <c r="E1276" t="s">
        <v>33</v>
      </c>
      <c r="F1276" t="s">
        <v>696</v>
      </c>
      <c r="G1276">
        <v>161399304</v>
      </c>
      <c r="H1276" t="s">
        <v>1756</v>
      </c>
      <c r="I1276">
        <v>496</v>
      </c>
      <c r="J1276">
        <v>437.2</v>
      </c>
      <c r="K1276">
        <v>263.33</v>
      </c>
      <c r="L1276">
        <v>216851.20000000001</v>
      </c>
      <c r="M1276">
        <v>130611.68</v>
      </c>
      <c r="N1276">
        <v>86239.52</v>
      </c>
    </row>
    <row r="1277" spans="1:14" x14ac:dyDescent="0.3">
      <c r="A1277" t="s">
        <v>14</v>
      </c>
      <c r="B1277" t="s">
        <v>135</v>
      </c>
      <c r="C1277" t="s">
        <v>32</v>
      </c>
      <c r="D1277" t="s">
        <v>23</v>
      </c>
      <c r="E1277" t="s">
        <v>54</v>
      </c>
      <c r="F1277" t="s">
        <v>1757</v>
      </c>
      <c r="G1277">
        <v>204392325</v>
      </c>
      <c r="H1277" t="s">
        <v>1477</v>
      </c>
      <c r="I1277">
        <v>3086</v>
      </c>
      <c r="J1277">
        <v>651.21</v>
      </c>
      <c r="K1277">
        <v>524.96</v>
      </c>
      <c r="L1277">
        <v>2009634.06</v>
      </c>
      <c r="M1277">
        <v>1620026.56</v>
      </c>
      <c r="N1277">
        <v>389607.5</v>
      </c>
    </row>
    <row r="1278" spans="1:14" x14ac:dyDescent="0.3">
      <c r="A1278" t="s">
        <v>14</v>
      </c>
      <c r="B1278" t="s">
        <v>80</v>
      </c>
      <c r="C1278" t="s">
        <v>28</v>
      </c>
      <c r="D1278" t="s">
        <v>17</v>
      </c>
      <c r="E1278" t="s">
        <v>24</v>
      </c>
      <c r="F1278" t="s">
        <v>1758</v>
      </c>
      <c r="G1278">
        <v>400904691</v>
      </c>
      <c r="H1278" t="s">
        <v>493</v>
      </c>
      <c r="I1278">
        <v>5462</v>
      </c>
      <c r="J1278">
        <v>205.7</v>
      </c>
      <c r="K1278">
        <v>117.11</v>
      </c>
      <c r="L1278">
        <v>1123533.3999999999</v>
      </c>
      <c r="M1278">
        <v>639654.81999999995</v>
      </c>
      <c r="N1278">
        <v>483878.58</v>
      </c>
    </row>
    <row r="1279" spans="1:14" x14ac:dyDescent="0.3">
      <c r="A1279" t="s">
        <v>14</v>
      </c>
      <c r="B1279" t="s">
        <v>57</v>
      </c>
      <c r="C1279" t="s">
        <v>16</v>
      </c>
      <c r="D1279" t="s">
        <v>17</v>
      </c>
      <c r="E1279" t="s">
        <v>33</v>
      </c>
      <c r="F1279" t="s">
        <v>1678</v>
      </c>
      <c r="G1279">
        <v>244023358</v>
      </c>
      <c r="H1279" t="s">
        <v>570</v>
      </c>
      <c r="I1279">
        <v>789</v>
      </c>
      <c r="J1279">
        <v>47.45</v>
      </c>
      <c r="K1279">
        <v>31.79</v>
      </c>
      <c r="L1279">
        <v>37438.050000000003</v>
      </c>
      <c r="M1279">
        <v>25082.31</v>
      </c>
      <c r="N1279">
        <v>12355.74</v>
      </c>
    </row>
    <row r="1280" spans="1:14" x14ac:dyDescent="0.3">
      <c r="A1280" t="s">
        <v>14</v>
      </c>
      <c r="B1280" t="s">
        <v>146</v>
      </c>
      <c r="C1280" t="s">
        <v>75</v>
      </c>
      <c r="D1280" t="s">
        <v>23</v>
      </c>
      <c r="E1280" t="s">
        <v>54</v>
      </c>
      <c r="F1280" t="s">
        <v>1759</v>
      </c>
      <c r="G1280">
        <v>830172288</v>
      </c>
      <c r="H1280" t="s">
        <v>1306</v>
      </c>
      <c r="I1280">
        <v>5283</v>
      </c>
      <c r="J1280">
        <v>437.2</v>
      </c>
      <c r="K1280">
        <v>263.33</v>
      </c>
      <c r="L1280">
        <v>2309727.6</v>
      </c>
      <c r="M1280">
        <v>1391172.39</v>
      </c>
      <c r="N1280">
        <v>918555.21</v>
      </c>
    </row>
    <row r="1281" spans="1:14" x14ac:dyDescent="0.3">
      <c r="A1281" t="s">
        <v>14</v>
      </c>
      <c r="B1281" t="s">
        <v>146</v>
      </c>
      <c r="C1281" t="s">
        <v>50</v>
      </c>
      <c r="D1281" t="s">
        <v>17</v>
      </c>
      <c r="E1281" t="s">
        <v>33</v>
      </c>
      <c r="F1281" t="s">
        <v>1419</v>
      </c>
      <c r="G1281">
        <v>815755307</v>
      </c>
      <c r="H1281" t="s">
        <v>980</v>
      </c>
      <c r="I1281">
        <v>8978</v>
      </c>
      <c r="J1281">
        <v>421.89</v>
      </c>
      <c r="K1281">
        <v>364.69</v>
      </c>
      <c r="L1281">
        <v>3787728.42</v>
      </c>
      <c r="M1281">
        <v>3274186.82</v>
      </c>
      <c r="N1281">
        <v>513541.6</v>
      </c>
    </row>
    <row r="1282" spans="1:14" x14ac:dyDescent="0.3">
      <c r="A1282" t="s">
        <v>14</v>
      </c>
      <c r="B1282" t="s">
        <v>27</v>
      </c>
      <c r="C1282" t="s">
        <v>22</v>
      </c>
      <c r="D1282" t="s">
        <v>23</v>
      </c>
      <c r="E1282" t="s">
        <v>24</v>
      </c>
      <c r="F1282" t="s">
        <v>1760</v>
      </c>
      <c r="G1282">
        <v>870173251</v>
      </c>
      <c r="H1282" t="s">
        <v>1706</v>
      </c>
      <c r="I1282">
        <v>2457</v>
      </c>
      <c r="J1282">
        <v>109.28</v>
      </c>
      <c r="K1282">
        <v>35.840000000000003</v>
      </c>
      <c r="L1282">
        <v>268500.96000000002</v>
      </c>
      <c r="M1282">
        <v>88058.880000000005</v>
      </c>
      <c r="N1282">
        <v>180442.08</v>
      </c>
    </row>
    <row r="1283" spans="1:14" x14ac:dyDescent="0.3">
      <c r="A1283" t="s">
        <v>14</v>
      </c>
      <c r="B1283" t="s">
        <v>183</v>
      </c>
      <c r="C1283" t="s">
        <v>64</v>
      </c>
      <c r="D1283" t="s">
        <v>23</v>
      </c>
      <c r="E1283" t="s">
        <v>24</v>
      </c>
      <c r="F1283" t="s">
        <v>1428</v>
      </c>
      <c r="G1283">
        <v>444234168</v>
      </c>
      <c r="H1283" t="s">
        <v>1761</v>
      </c>
      <c r="I1283">
        <v>7617</v>
      </c>
      <c r="J1283">
        <v>255.28</v>
      </c>
      <c r="K1283">
        <v>159.41999999999999</v>
      </c>
      <c r="L1283">
        <v>1944467.76</v>
      </c>
      <c r="M1283">
        <v>1214302.1399999999</v>
      </c>
      <c r="N1283">
        <v>730165.62</v>
      </c>
    </row>
    <row r="1284" spans="1:14" x14ac:dyDescent="0.3">
      <c r="A1284" t="s">
        <v>14</v>
      </c>
      <c r="B1284" t="s">
        <v>92</v>
      </c>
      <c r="C1284" t="s">
        <v>22</v>
      </c>
      <c r="D1284" t="s">
        <v>17</v>
      </c>
      <c r="E1284" t="s">
        <v>54</v>
      </c>
      <c r="F1284" t="s">
        <v>1336</v>
      </c>
      <c r="G1284">
        <v>545059049</v>
      </c>
      <c r="H1284" t="s">
        <v>1257</v>
      </c>
      <c r="I1284">
        <v>3940</v>
      </c>
      <c r="J1284">
        <v>109.28</v>
      </c>
      <c r="K1284">
        <v>35.840000000000003</v>
      </c>
      <c r="L1284">
        <v>430563.2</v>
      </c>
      <c r="M1284">
        <v>141209.60000000001</v>
      </c>
      <c r="N1284">
        <v>289353.59999999998</v>
      </c>
    </row>
    <row r="1285" spans="1:14" x14ac:dyDescent="0.3">
      <c r="A1285" t="s">
        <v>14</v>
      </c>
      <c r="B1285" t="s">
        <v>94</v>
      </c>
      <c r="C1285" t="s">
        <v>64</v>
      </c>
      <c r="D1285" t="s">
        <v>17</v>
      </c>
      <c r="E1285" t="s">
        <v>24</v>
      </c>
      <c r="F1285" t="s">
        <v>1137</v>
      </c>
      <c r="G1285">
        <v>530702579</v>
      </c>
      <c r="H1285" t="s">
        <v>1762</v>
      </c>
      <c r="I1285">
        <v>5541</v>
      </c>
      <c r="J1285">
        <v>255.28</v>
      </c>
      <c r="K1285">
        <v>159.41999999999999</v>
      </c>
      <c r="L1285">
        <v>1414506.48</v>
      </c>
      <c r="M1285">
        <v>883346.22</v>
      </c>
      <c r="N1285">
        <v>531160.26</v>
      </c>
    </row>
    <row r="1286" spans="1:14" x14ac:dyDescent="0.3">
      <c r="A1286" t="s">
        <v>14</v>
      </c>
      <c r="B1286" t="s">
        <v>223</v>
      </c>
      <c r="C1286" t="s">
        <v>102</v>
      </c>
      <c r="D1286" t="s">
        <v>17</v>
      </c>
      <c r="E1286" t="s">
        <v>33</v>
      </c>
      <c r="F1286" t="s">
        <v>374</v>
      </c>
      <c r="G1286">
        <v>546140086</v>
      </c>
      <c r="H1286" t="s">
        <v>888</v>
      </c>
      <c r="I1286">
        <v>3843</v>
      </c>
      <c r="J1286">
        <v>81.73</v>
      </c>
      <c r="K1286">
        <v>56.67</v>
      </c>
      <c r="L1286">
        <v>314088.39</v>
      </c>
      <c r="M1286">
        <v>217782.81</v>
      </c>
      <c r="N1286">
        <v>96305.58</v>
      </c>
    </row>
    <row r="1287" spans="1:14" x14ac:dyDescent="0.3">
      <c r="A1287" t="s">
        <v>14</v>
      </c>
      <c r="B1287" t="s">
        <v>264</v>
      </c>
      <c r="C1287" t="s">
        <v>46</v>
      </c>
      <c r="D1287" t="s">
        <v>17</v>
      </c>
      <c r="E1287" t="s">
        <v>24</v>
      </c>
      <c r="F1287" t="s">
        <v>1763</v>
      </c>
      <c r="G1287">
        <v>215584218</v>
      </c>
      <c r="H1287" t="s">
        <v>1630</v>
      </c>
      <c r="I1287">
        <v>5016</v>
      </c>
      <c r="J1287">
        <v>154.06</v>
      </c>
      <c r="K1287">
        <v>90.93</v>
      </c>
      <c r="L1287">
        <v>772764.96</v>
      </c>
      <c r="M1287">
        <v>456104.88</v>
      </c>
      <c r="N1287">
        <v>316660.08</v>
      </c>
    </row>
    <row r="1288" spans="1:14" x14ac:dyDescent="0.3">
      <c r="A1288" t="s">
        <v>14</v>
      </c>
      <c r="B1288" t="s">
        <v>169</v>
      </c>
      <c r="C1288" t="s">
        <v>28</v>
      </c>
      <c r="D1288" t="s">
        <v>23</v>
      </c>
      <c r="E1288" t="s">
        <v>33</v>
      </c>
      <c r="F1288" t="s">
        <v>41</v>
      </c>
      <c r="G1288">
        <v>407220542</v>
      </c>
      <c r="H1288" t="s">
        <v>1764</v>
      </c>
      <c r="I1288">
        <v>4463</v>
      </c>
      <c r="J1288">
        <v>205.7</v>
      </c>
      <c r="K1288">
        <v>117.11</v>
      </c>
      <c r="L1288">
        <v>918039.1</v>
      </c>
      <c r="M1288">
        <v>522661.93</v>
      </c>
      <c r="N1288">
        <v>395377.17</v>
      </c>
    </row>
    <row r="1289" spans="1:14" x14ac:dyDescent="0.3">
      <c r="A1289" t="s">
        <v>14</v>
      </c>
      <c r="B1289" t="s">
        <v>271</v>
      </c>
      <c r="C1289" t="s">
        <v>46</v>
      </c>
      <c r="D1289" t="s">
        <v>23</v>
      </c>
      <c r="E1289" t="s">
        <v>33</v>
      </c>
      <c r="F1289" t="s">
        <v>1455</v>
      </c>
      <c r="G1289">
        <v>956969964</v>
      </c>
      <c r="H1289" t="s">
        <v>1765</v>
      </c>
      <c r="I1289">
        <v>7533</v>
      </c>
      <c r="J1289">
        <v>154.06</v>
      </c>
      <c r="K1289">
        <v>90.93</v>
      </c>
      <c r="L1289">
        <v>1160533.98</v>
      </c>
      <c r="M1289">
        <v>684975.69</v>
      </c>
      <c r="N1289">
        <v>475558.29</v>
      </c>
    </row>
    <row r="1290" spans="1:14" x14ac:dyDescent="0.3">
      <c r="A1290" t="s">
        <v>14</v>
      </c>
      <c r="B1290" t="s">
        <v>97</v>
      </c>
      <c r="C1290" t="s">
        <v>37</v>
      </c>
      <c r="D1290" t="s">
        <v>23</v>
      </c>
      <c r="E1290" t="s">
        <v>33</v>
      </c>
      <c r="F1290" t="s">
        <v>1429</v>
      </c>
      <c r="G1290">
        <v>399256312</v>
      </c>
      <c r="H1290" t="s">
        <v>1766</v>
      </c>
      <c r="I1290">
        <v>7670</v>
      </c>
      <c r="J1290">
        <v>9.33</v>
      </c>
      <c r="K1290">
        <v>6.92</v>
      </c>
      <c r="L1290">
        <v>71561.100000000006</v>
      </c>
      <c r="M1290">
        <v>53076.4</v>
      </c>
      <c r="N1290">
        <v>18484.7</v>
      </c>
    </row>
    <row r="1291" spans="1:14" x14ac:dyDescent="0.3">
      <c r="A1291" t="s">
        <v>14</v>
      </c>
      <c r="B1291" t="s">
        <v>232</v>
      </c>
      <c r="C1291" t="s">
        <v>58</v>
      </c>
      <c r="D1291" t="s">
        <v>17</v>
      </c>
      <c r="E1291" t="s">
        <v>24</v>
      </c>
      <c r="F1291" t="s">
        <v>1767</v>
      </c>
      <c r="G1291">
        <v>488815915</v>
      </c>
      <c r="H1291" t="s">
        <v>1531</v>
      </c>
      <c r="I1291">
        <v>347</v>
      </c>
      <c r="J1291">
        <v>152.58000000000001</v>
      </c>
      <c r="K1291">
        <v>97.44</v>
      </c>
      <c r="L1291">
        <v>52945.26</v>
      </c>
      <c r="M1291">
        <v>33811.68</v>
      </c>
      <c r="N1291">
        <v>19133.580000000002</v>
      </c>
    </row>
    <row r="1292" spans="1:14" x14ac:dyDescent="0.3">
      <c r="A1292" t="s">
        <v>14</v>
      </c>
      <c r="B1292" t="s">
        <v>138</v>
      </c>
      <c r="C1292" t="s">
        <v>22</v>
      </c>
      <c r="D1292" t="s">
        <v>17</v>
      </c>
      <c r="E1292" t="s">
        <v>18</v>
      </c>
      <c r="F1292" t="s">
        <v>1007</v>
      </c>
      <c r="G1292">
        <v>530262696</v>
      </c>
      <c r="H1292" t="s">
        <v>1012</v>
      </c>
      <c r="I1292">
        <v>5370</v>
      </c>
      <c r="J1292">
        <v>109.28</v>
      </c>
      <c r="K1292">
        <v>35.840000000000003</v>
      </c>
      <c r="L1292">
        <v>586833.6</v>
      </c>
      <c r="M1292">
        <v>192460.79999999999</v>
      </c>
      <c r="N1292">
        <v>394372.8</v>
      </c>
    </row>
    <row r="1293" spans="1:14" x14ac:dyDescent="0.3">
      <c r="A1293" t="s">
        <v>14</v>
      </c>
      <c r="B1293" t="s">
        <v>49</v>
      </c>
      <c r="C1293" t="s">
        <v>75</v>
      </c>
      <c r="D1293" t="s">
        <v>23</v>
      </c>
      <c r="E1293" t="s">
        <v>33</v>
      </c>
      <c r="F1293" t="s">
        <v>1085</v>
      </c>
      <c r="G1293">
        <v>243521249</v>
      </c>
      <c r="H1293" t="s">
        <v>315</v>
      </c>
      <c r="I1293">
        <v>2204</v>
      </c>
      <c r="J1293">
        <v>437.2</v>
      </c>
      <c r="K1293">
        <v>263.33</v>
      </c>
      <c r="L1293">
        <v>963588.8</v>
      </c>
      <c r="M1293">
        <v>580379.31999999995</v>
      </c>
      <c r="N1293">
        <v>383209.48</v>
      </c>
    </row>
    <row r="1294" spans="1:14" x14ac:dyDescent="0.3">
      <c r="A1294" t="s">
        <v>14</v>
      </c>
      <c r="B1294" t="s">
        <v>223</v>
      </c>
      <c r="C1294" t="s">
        <v>75</v>
      </c>
      <c r="D1294" t="s">
        <v>23</v>
      </c>
      <c r="E1294" t="s">
        <v>24</v>
      </c>
      <c r="F1294" t="s">
        <v>1768</v>
      </c>
      <c r="G1294">
        <v>878614270</v>
      </c>
      <c r="H1294" t="s">
        <v>250</v>
      </c>
      <c r="I1294">
        <v>342</v>
      </c>
      <c r="J1294">
        <v>437.2</v>
      </c>
      <c r="K1294">
        <v>263.33</v>
      </c>
      <c r="L1294">
        <v>149522.4</v>
      </c>
      <c r="M1294">
        <v>90058.86</v>
      </c>
      <c r="N1294">
        <v>59463.54</v>
      </c>
    </row>
    <row r="1295" spans="1:14" x14ac:dyDescent="0.3">
      <c r="A1295" t="s">
        <v>14</v>
      </c>
      <c r="B1295" t="s">
        <v>127</v>
      </c>
      <c r="C1295" t="s">
        <v>46</v>
      </c>
      <c r="D1295" t="s">
        <v>17</v>
      </c>
      <c r="E1295" t="s">
        <v>54</v>
      </c>
      <c r="F1295" t="s">
        <v>1769</v>
      </c>
      <c r="G1295">
        <v>954341828</v>
      </c>
      <c r="H1295" t="s">
        <v>462</v>
      </c>
      <c r="I1295">
        <v>9809</v>
      </c>
      <c r="J1295">
        <v>154.06</v>
      </c>
      <c r="K1295">
        <v>90.93</v>
      </c>
      <c r="L1295">
        <v>1511174.54</v>
      </c>
      <c r="M1295">
        <v>891932.37</v>
      </c>
      <c r="N1295">
        <v>619242.17000000004</v>
      </c>
    </row>
    <row r="1296" spans="1:14" x14ac:dyDescent="0.3">
      <c r="A1296" t="s">
        <v>14</v>
      </c>
      <c r="B1296" t="s">
        <v>146</v>
      </c>
      <c r="C1296" t="s">
        <v>16</v>
      </c>
      <c r="D1296" t="s">
        <v>23</v>
      </c>
      <c r="E1296" t="s">
        <v>54</v>
      </c>
      <c r="F1296" t="s">
        <v>1770</v>
      </c>
      <c r="G1296">
        <v>607620608</v>
      </c>
      <c r="H1296" t="s">
        <v>170</v>
      </c>
      <c r="I1296">
        <v>7296</v>
      </c>
      <c r="J1296">
        <v>47.45</v>
      </c>
      <c r="K1296">
        <v>31.79</v>
      </c>
      <c r="L1296">
        <v>346195.20000000001</v>
      </c>
      <c r="M1296">
        <v>231939.84</v>
      </c>
      <c r="N1296">
        <v>114255.36</v>
      </c>
    </row>
    <row r="1297" spans="1:14" x14ac:dyDescent="0.3">
      <c r="A1297" t="s">
        <v>14</v>
      </c>
      <c r="B1297" t="s">
        <v>105</v>
      </c>
      <c r="C1297" t="s">
        <v>102</v>
      </c>
      <c r="D1297" t="s">
        <v>23</v>
      </c>
      <c r="E1297" t="s">
        <v>33</v>
      </c>
      <c r="F1297" t="s">
        <v>1231</v>
      </c>
      <c r="G1297">
        <v>561534678</v>
      </c>
      <c r="H1297" t="s">
        <v>1771</v>
      </c>
      <c r="I1297">
        <v>9445</v>
      </c>
      <c r="J1297">
        <v>81.73</v>
      </c>
      <c r="K1297">
        <v>56.67</v>
      </c>
      <c r="L1297">
        <v>771939.85</v>
      </c>
      <c r="M1297">
        <v>535248.15</v>
      </c>
      <c r="N1297">
        <v>236691.7</v>
      </c>
    </row>
    <row r="1298" spans="1:14" x14ac:dyDescent="0.3">
      <c r="A1298" t="s">
        <v>14</v>
      </c>
      <c r="B1298" t="s">
        <v>135</v>
      </c>
      <c r="C1298" t="s">
        <v>46</v>
      </c>
      <c r="D1298" t="s">
        <v>17</v>
      </c>
      <c r="E1298" t="s">
        <v>33</v>
      </c>
      <c r="F1298" t="s">
        <v>1583</v>
      </c>
      <c r="G1298">
        <v>768676316</v>
      </c>
      <c r="H1298" t="s">
        <v>421</v>
      </c>
      <c r="I1298">
        <v>7259</v>
      </c>
      <c r="J1298">
        <v>154.06</v>
      </c>
      <c r="K1298">
        <v>90.93</v>
      </c>
      <c r="L1298">
        <v>1118321.54</v>
      </c>
      <c r="M1298">
        <v>660060.87</v>
      </c>
      <c r="N1298">
        <v>458260.67</v>
      </c>
    </row>
    <row r="1299" spans="1:14" x14ac:dyDescent="0.3">
      <c r="A1299" t="s">
        <v>14</v>
      </c>
      <c r="B1299" t="s">
        <v>115</v>
      </c>
      <c r="C1299" t="s">
        <v>75</v>
      </c>
      <c r="D1299" t="s">
        <v>17</v>
      </c>
      <c r="E1299" t="s">
        <v>33</v>
      </c>
      <c r="F1299" t="s">
        <v>1772</v>
      </c>
      <c r="G1299">
        <v>337354791</v>
      </c>
      <c r="H1299" t="s">
        <v>1537</v>
      </c>
      <c r="I1299">
        <v>9634</v>
      </c>
      <c r="J1299">
        <v>437.2</v>
      </c>
      <c r="K1299">
        <v>263.33</v>
      </c>
      <c r="L1299">
        <v>4211984.8</v>
      </c>
      <c r="M1299">
        <v>2536921.2200000002</v>
      </c>
      <c r="N1299">
        <v>1675063.58</v>
      </c>
    </row>
    <row r="1300" spans="1:14" x14ac:dyDescent="0.3">
      <c r="A1300" t="s">
        <v>14</v>
      </c>
      <c r="B1300" t="s">
        <v>115</v>
      </c>
      <c r="C1300" t="s">
        <v>50</v>
      </c>
      <c r="D1300" t="s">
        <v>17</v>
      </c>
      <c r="E1300" t="s">
        <v>24</v>
      </c>
      <c r="F1300" t="s">
        <v>1773</v>
      </c>
      <c r="G1300">
        <v>917874085</v>
      </c>
      <c r="H1300" t="s">
        <v>1774</v>
      </c>
      <c r="I1300">
        <v>8194</v>
      </c>
      <c r="J1300">
        <v>421.89</v>
      </c>
      <c r="K1300">
        <v>364.69</v>
      </c>
      <c r="L1300">
        <v>3456966.66</v>
      </c>
      <c r="M1300">
        <v>2988269.86</v>
      </c>
      <c r="N1300">
        <v>468696.8</v>
      </c>
    </row>
    <row r="1301" spans="1:14" x14ac:dyDescent="0.3">
      <c r="A1301" t="s">
        <v>14</v>
      </c>
      <c r="B1301" t="s">
        <v>89</v>
      </c>
      <c r="C1301" t="s">
        <v>28</v>
      </c>
      <c r="D1301" t="s">
        <v>23</v>
      </c>
      <c r="E1301" t="s">
        <v>18</v>
      </c>
      <c r="F1301" t="s">
        <v>1775</v>
      </c>
      <c r="G1301">
        <v>176050603</v>
      </c>
      <c r="H1301" t="s">
        <v>587</v>
      </c>
      <c r="I1301">
        <v>6140</v>
      </c>
      <c r="J1301">
        <v>205.7</v>
      </c>
      <c r="K1301">
        <v>117.11</v>
      </c>
      <c r="L1301">
        <v>1262998</v>
      </c>
      <c r="M1301">
        <v>719055.4</v>
      </c>
      <c r="N1301">
        <v>543942.6</v>
      </c>
    </row>
    <row r="1302" spans="1:14" x14ac:dyDescent="0.3">
      <c r="A1302" t="s">
        <v>14</v>
      </c>
      <c r="B1302" t="s">
        <v>138</v>
      </c>
      <c r="C1302" t="s">
        <v>50</v>
      </c>
      <c r="D1302" t="s">
        <v>17</v>
      </c>
      <c r="E1302" t="s">
        <v>18</v>
      </c>
      <c r="F1302" t="s">
        <v>244</v>
      </c>
      <c r="G1302">
        <v>930296790</v>
      </c>
      <c r="H1302" t="s">
        <v>222</v>
      </c>
      <c r="I1302">
        <v>4348</v>
      </c>
      <c r="J1302">
        <v>421.89</v>
      </c>
      <c r="K1302">
        <v>364.69</v>
      </c>
      <c r="L1302">
        <v>1834377.72</v>
      </c>
      <c r="M1302">
        <v>1585672.12</v>
      </c>
      <c r="N1302">
        <v>248705.6</v>
      </c>
    </row>
    <row r="1303" spans="1:14" x14ac:dyDescent="0.3">
      <c r="A1303" t="s">
        <v>14</v>
      </c>
      <c r="B1303" t="s">
        <v>342</v>
      </c>
      <c r="C1303" t="s">
        <v>28</v>
      </c>
      <c r="D1303" t="s">
        <v>23</v>
      </c>
      <c r="E1303" t="s">
        <v>33</v>
      </c>
      <c r="F1303" t="s">
        <v>1776</v>
      </c>
      <c r="G1303">
        <v>273940503</v>
      </c>
      <c r="H1303" t="s">
        <v>327</v>
      </c>
      <c r="I1303">
        <v>3937</v>
      </c>
      <c r="J1303">
        <v>205.7</v>
      </c>
      <c r="K1303">
        <v>117.11</v>
      </c>
      <c r="L1303">
        <v>809840.9</v>
      </c>
      <c r="M1303">
        <v>461062.07</v>
      </c>
      <c r="N1303">
        <v>348778.83</v>
      </c>
    </row>
    <row r="1304" spans="1:14" x14ac:dyDescent="0.3">
      <c r="A1304" t="s">
        <v>14</v>
      </c>
      <c r="B1304" t="s">
        <v>183</v>
      </c>
      <c r="C1304" t="s">
        <v>37</v>
      </c>
      <c r="D1304" t="s">
        <v>17</v>
      </c>
      <c r="E1304" t="s">
        <v>18</v>
      </c>
      <c r="F1304" t="s">
        <v>1777</v>
      </c>
      <c r="G1304">
        <v>656244552</v>
      </c>
      <c r="H1304" t="s">
        <v>936</v>
      </c>
      <c r="I1304">
        <v>6201</v>
      </c>
      <c r="J1304">
        <v>9.33</v>
      </c>
      <c r="K1304">
        <v>6.92</v>
      </c>
      <c r="L1304">
        <v>57855.33</v>
      </c>
      <c r="M1304">
        <v>42910.92</v>
      </c>
      <c r="N1304">
        <v>14944.41</v>
      </c>
    </row>
    <row r="1305" spans="1:14" x14ac:dyDescent="0.3">
      <c r="A1305" t="s">
        <v>14</v>
      </c>
      <c r="B1305" t="s">
        <v>181</v>
      </c>
      <c r="C1305" t="s">
        <v>71</v>
      </c>
      <c r="D1305" t="s">
        <v>23</v>
      </c>
      <c r="E1305" t="s">
        <v>18</v>
      </c>
      <c r="F1305" t="s">
        <v>423</v>
      </c>
      <c r="G1305">
        <v>666483724</v>
      </c>
      <c r="H1305" t="s">
        <v>1470</v>
      </c>
      <c r="I1305">
        <v>6199</v>
      </c>
      <c r="J1305">
        <v>668.27</v>
      </c>
      <c r="K1305">
        <v>502.54</v>
      </c>
      <c r="L1305">
        <v>4142605.73</v>
      </c>
      <c r="M1305">
        <v>3115245.46</v>
      </c>
      <c r="N1305">
        <v>1027360.27</v>
      </c>
    </row>
    <row r="1306" spans="1:14" x14ac:dyDescent="0.3">
      <c r="A1306" t="s">
        <v>14</v>
      </c>
      <c r="B1306" t="s">
        <v>100</v>
      </c>
      <c r="C1306" t="s">
        <v>50</v>
      </c>
      <c r="D1306" t="s">
        <v>23</v>
      </c>
      <c r="E1306" t="s">
        <v>54</v>
      </c>
      <c r="F1306" t="s">
        <v>1325</v>
      </c>
      <c r="G1306">
        <v>422568786</v>
      </c>
      <c r="H1306" t="s">
        <v>457</v>
      </c>
      <c r="I1306">
        <v>6349</v>
      </c>
      <c r="J1306">
        <v>421.89</v>
      </c>
      <c r="K1306">
        <v>364.69</v>
      </c>
      <c r="L1306">
        <v>2678579.61</v>
      </c>
      <c r="M1306">
        <v>2315416.81</v>
      </c>
      <c r="N1306">
        <v>363162.8</v>
      </c>
    </row>
    <row r="1307" spans="1:14" x14ac:dyDescent="0.3">
      <c r="A1307" t="s">
        <v>14</v>
      </c>
      <c r="B1307" t="s">
        <v>127</v>
      </c>
      <c r="C1307" t="s">
        <v>46</v>
      </c>
      <c r="D1307" t="s">
        <v>23</v>
      </c>
      <c r="E1307" t="s">
        <v>33</v>
      </c>
      <c r="F1307" t="s">
        <v>1778</v>
      </c>
      <c r="G1307">
        <v>969195258</v>
      </c>
      <c r="H1307" t="s">
        <v>937</v>
      </c>
      <c r="I1307">
        <v>5269</v>
      </c>
      <c r="J1307">
        <v>154.06</v>
      </c>
      <c r="K1307">
        <v>90.93</v>
      </c>
      <c r="L1307">
        <v>811742.14</v>
      </c>
      <c r="M1307">
        <v>479110.17</v>
      </c>
      <c r="N1307">
        <v>332631.96999999997</v>
      </c>
    </row>
    <row r="1308" spans="1:14" x14ac:dyDescent="0.3">
      <c r="A1308" t="s">
        <v>14</v>
      </c>
      <c r="B1308" t="s">
        <v>67</v>
      </c>
      <c r="C1308" t="s">
        <v>32</v>
      </c>
      <c r="D1308" t="s">
        <v>23</v>
      </c>
      <c r="E1308" t="s">
        <v>18</v>
      </c>
      <c r="F1308" t="s">
        <v>1227</v>
      </c>
      <c r="G1308">
        <v>857457864</v>
      </c>
      <c r="H1308" t="s">
        <v>1779</v>
      </c>
      <c r="I1308">
        <v>9691</v>
      </c>
      <c r="J1308">
        <v>651.21</v>
      </c>
      <c r="K1308">
        <v>524.96</v>
      </c>
      <c r="L1308">
        <v>6310876.1100000003</v>
      </c>
      <c r="M1308">
        <v>5087387.3600000003</v>
      </c>
      <c r="N1308">
        <v>1223488.75</v>
      </c>
    </row>
    <row r="1309" spans="1:14" x14ac:dyDescent="0.3">
      <c r="A1309" t="s">
        <v>14</v>
      </c>
      <c r="B1309" t="s">
        <v>135</v>
      </c>
      <c r="C1309" t="s">
        <v>46</v>
      </c>
      <c r="D1309" t="s">
        <v>23</v>
      </c>
      <c r="E1309" t="s">
        <v>24</v>
      </c>
      <c r="F1309" t="s">
        <v>1696</v>
      </c>
      <c r="G1309">
        <v>495631301</v>
      </c>
      <c r="H1309" t="s">
        <v>1298</v>
      </c>
      <c r="I1309">
        <v>7171</v>
      </c>
      <c r="J1309">
        <v>154.06</v>
      </c>
      <c r="K1309">
        <v>90.93</v>
      </c>
      <c r="L1309">
        <v>1104764.26</v>
      </c>
      <c r="M1309">
        <v>652059.03</v>
      </c>
      <c r="N1309">
        <v>452705.23</v>
      </c>
    </row>
    <row r="1310" spans="1:14" x14ac:dyDescent="0.3">
      <c r="A1310" t="s">
        <v>14</v>
      </c>
      <c r="B1310" t="s">
        <v>243</v>
      </c>
      <c r="C1310" t="s">
        <v>32</v>
      </c>
      <c r="D1310" t="s">
        <v>17</v>
      </c>
      <c r="E1310" t="s">
        <v>54</v>
      </c>
      <c r="F1310" t="s">
        <v>797</v>
      </c>
      <c r="G1310">
        <v>224647080</v>
      </c>
      <c r="H1310" t="s">
        <v>1780</v>
      </c>
      <c r="I1310">
        <v>6918</v>
      </c>
      <c r="J1310">
        <v>651.21</v>
      </c>
      <c r="K1310">
        <v>524.96</v>
      </c>
      <c r="L1310">
        <v>4505070.78</v>
      </c>
      <c r="M1310">
        <v>3631673.28</v>
      </c>
      <c r="N1310">
        <v>873397.5</v>
      </c>
    </row>
    <row r="1311" spans="1:14" x14ac:dyDescent="0.3">
      <c r="A1311" t="s">
        <v>14</v>
      </c>
      <c r="B1311" t="s">
        <v>122</v>
      </c>
      <c r="C1311" t="s">
        <v>32</v>
      </c>
      <c r="D1311" t="s">
        <v>17</v>
      </c>
      <c r="E1311" t="s">
        <v>54</v>
      </c>
      <c r="F1311" t="s">
        <v>677</v>
      </c>
      <c r="G1311">
        <v>883504474</v>
      </c>
      <c r="H1311" t="s">
        <v>1781</v>
      </c>
      <c r="I1311">
        <v>7462</v>
      </c>
      <c r="J1311">
        <v>651.21</v>
      </c>
      <c r="K1311">
        <v>524.96</v>
      </c>
      <c r="L1311">
        <v>4859329.0199999996</v>
      </c>
      <c r="M1311">
        <v>3917251.52</v>
      </c>
      <c r="N1311">
        <v>942077.5</v>
      </c>
    </row>
    <row r="1312" spans="1:14" x14ac:dyDescent="0.3">
      <c r="A1312" t="s">
        <v>14</v>
      </c>
      <c r="B1312" t="s">
        <v>27</v>
      </c>
      <c r="C1312" t="s">
        <v>32</v>
      </c>
      <c r="D1312" t="s">
        <v>17</v>
      </c>
      <c r="E1312" t="s">
        <v>18</v>
      </c>
      <c r="F1312" t="s">
        <v>628</v>
      </c>
      <c r="G1312">
        <v>575552117</v>
      </c>
      <c r="H1312" t="s">
        <v>1782</v>
      </c>
      <c r="I1312">
        <v>7516</v>
      </c>
      <c r="J1312">
        <v>651.21</v>
      </c>
      <c r="K1312">
        <v>524.96</v>
      </c>
      <c r="L1312">
        <v>4894494.3600000003</v>
      </c>
      <c r="M1312">
        <v>3945599.36</v>
      </c>
      <c r="N1312">
        <v>948895</v>
      </c>
    </row>
    <row r="1313" spans="1:14" x14ac:dyDescent="0.3">
      <c r="A1313" t="s">
        <v>14</v>
      </c>
      <c r="B1313" t="s">
        <v>220</v>
      </c>
      <c r="C1313" t="s">
        <v>64</v>
      </c>
      <c r="D1313" t="s">
        <v>17</v>
      </c>
      <c r="E1313" t="s">
        <v>54</v>
      </c>
      <c r="F1313" t="s">
        <v>1562</v>
      </c>
      <c r="G1313">
        <v>141764247</v>
      </c>
      <c r="H1313" t="s">
        <v>442</v>
      </c>
      <c r="I1313">
        <v>46</v>
      </c>
      <c r="J1313">
        <v>255.28</v>
      </c>
      <c r="K1313">
        <v>159.41999999999999</v>
      </c>
      <c r="L1313">
        <v>11742.88</v>
      </c>
      <c r="M1313">
        <v>7333.32</v>
      </c>
      <c r="N1313">
        <v>4409.5600000000004</v>
      </c>
    </row>
    <row r="1314" spans="1:14" x14ac:dyDescent="0.3">
      <c r="A1314" t="s">
        <v>14</v>
      </c>
      <c r="B1314" t="s">
        <v>185</v>
      </c>
      <c r="C1314" t="s">
        <v>46</v>
      </c>
      <c r="D1314" t="s">
        <v>17</v>
      </c>
      <c r="E1314" t="s">
        <v>24</v>
      </c>
      <c r="F1314" t="s">
        <v>1589</v>
      </c>
      <c r="G1314">
        <v>608374631</v>
      </c>
      <c r="H1314" t="s">
        <v>1783</v>
      </c>
      <c r="I1314">
        <v>428</v>
      </c>
      <c r="J1314">
        <v>154.06</v>
      </c>
      <c r="K1314">
        <v>90.93</v>
      </c>
      <c r="L1314">
        <v>65937.679999999993</v>
      </c>
      <c r="M1314">
        <v>38918.04</v>
      </c>
      <c r="N1314">
        <v>27019.64</v>
      </c>
    </row>
    <row r="1315" spans="1:14" x14ac:dyDescent="0.3">
      <c r="A1315" t="s">
        <v>14</v>
      </c>
      <c r="B1315" t="s">
        <v>86</v>
      </c>
      <c r="C1315" t="s">
        <v>71</v>
      </c>
      <c r="D1315" t="s">
        <v>23</v>
      </c>
      <c r="E1315" t="s">
        <v>33</v>
      </c>
      <c r="F1315" t="s">
        <v>1784</v>
      </c>
      <c r="G1315">
        <v>200432097</v>
      </c>
      <c r="H1315" t="s">
        <v>1785</v>
      </c>
      <c r="I1315">
        <v>1167</v>
      </c>
      <c r="J1315">
        <v>668.27</v>
      </c>
      <c r="K1315">
        <v>502.54</v>
      </c>
      <c r="L1315">
        <v>779871.09</v>
      </c>
      <c r="M1315">
        <v>586464.18000000005</v>
      </c>
      <c r="N1315">
        <v>193406.91</v>
      </c>
    </row>
    <row r="1316" spans="1:14" x14ac:dyDescent="0.3">
      <c r="A1316" t="s">
        <v>14</v>
      </c>
      <c r="B1316" t="s">
        <v>342</v>
      </c>
      <c r="C1316" t="s">
        <v>58</v>
      </c>
      <c r="D1316" t="s">
        <v>17</v>
      </c>
      <c r="E1316" t="s">
        <v>24</v>
      </c>
      <c r="F1316" t="s">
        <v>1786</v>
      </c>
      <c r="G1316">
        <v>884462773</v>
      </c>
      <c r="H1316" t="s">
        <v>1787</v>
      </c>
      <c r="I1316">
        <v>1044</v>
      </c>
      <c r="J1316">
        <v>152.58000000000001</v>
      </c>
      <c r="K1316">
        <v>97.44</v>
      </c>
      <c r="L1316">
        <v>159293.51999999999</v>
      </c>
      <c r="M1316">
        <v>101727.36</v>
      </c>
      <c r="N1316">
        <v>57566.16</v>
      </c>
    </row>
    <row r="1317" spans="1:14" x14ac:dyDescent="0.3">
      <c r="A1317" t="s">
        <v>14</v>
      </c>
      <c r="B1317" t="s">
        <v>15</v>
      </c>
      <c r="C1317" t="s">
        <v>32</v>
      </c>
      <c r="D1317" t="s">
        <v>17</v>
      </c>
      <c r="E1317" t="s">
        <v>24</v>
      </c>
      <c r="F1317" t="s">
        <v>1788</v>
      </c>
      <c r="G1317">
        <v>885046851</v>
      </c>
      <c r="H1317" t="s">
        <v>1556</v>
      </c>
      <c r="I1317">
        <v>3886</v>
      </c>
      <c r="J1317">
        <v>651.21</v>
      </c>
      <c r="K1317">
        <v>524.96</v>
      </c>
      <c r="L1317">
        <v>2530602.06</v>
      </c>
      <c r="M1317">
        <v>2039994.56</v>
      </c>
      <c r="N1317">
        <v>490607.5</v>
      </c>
    </row>
    <row r="1318" spans="1:14" x14ac:dyDescent="0.3">
      <c r="A1318" t="s">
        <v>14</v>
      </c>
      <c r="B1318" t="s">
        <v>15</v>
      </c>
      <c r="C1318" t="s">
        <v>46</v>
      </c>
      <c r="D1318" t="s">
        <v>23</v>
      </c>
      <c r="E1318" t="s">
        <v>24</v>
      </c>
      <c r="F1318" t="s">
        <v>1789</v>
      </c>
      <c r="G1318">
        <v>527079236</v>
      </c>
      <c r="H1318" t="s">
        <v>1790</v>
      </c>
      <c r="I1318">
        <v>3314</v>
      </c>
      <c r="J1318">
        <v>154.06</v>
      </c>
      <c r="K1318">
        <v>90.93</v>
      </c>
      <c r="L1318">
        <v>510554.84</v>
      </c>
      <c r="M1318">
        <v>301342.02</v>
      </c>
      <c r="N1318">
        <v>209212.82</v>
      </c>
    </row>
    <row r="1319" spans="1:14" x14ac:dyDescent="0.3">
      <c r="A1319" t="s">
        <v>14</v>
      </c>
      <c r="B1319" t="s">
        <v>127</v>
      </c>
      <c r="C1319" t="s">
        <v>22</v>
      </c>
      <c r="D1319" t="s">
        <v>23</v>
      </c>
      <c r="E1319" t="s">
        <v>18</v>
      </c>
      <c r="F1319" t="s">
        <v>1791</v>
      </c>
      <c r="G1319">
        <v>161812150</v>
      </c>
      <c r="H1319" t="s">
        <v>1792</v>
      </c>
      <c r="I1319">
        <v>2666</v>
      </c>
      <c r="J1319">
        <v>109.28</v>
      </c>
      <c r="K1319">
        <v>35.840000000000003</v>
      </c>
      <c r="L1319">
        <v>291340.48</v>
      </c>
      <c r="M1319">
        <v>95549.440000000002</v>
      </c>
      <c r="N1319">
        <v>195791.04</v>
      </c>
    </row>
    <row r="1320" spans="1:14" x14ac:dyDescent="0.3">
      <c r="A1320" t="s">
        <v>14</v>
      </c>
      <c r="B1320" t="s">
        <v>135</v>
      </c>
      <c r="C1320" t="s">
        <v>75</v>
      </c>
      <c r="D1320" t="s">
        <v>17</v>
      </c>
      <c r="E1320" t="s">
        <v>54</v>
      </c>
      <c r="F1320" t="s">
        <v>854</v>
      </c>
      <c r="G1320">
        <v>689349019</v>
      </c>
      <c r="H1320" t="s">
        <v>1793</v>
      </c>
      <c r="I1320">
        <v>2548</v>
      </c>
      <c r="J1320">
        <v>437.2</v>
      </c>
      <c r="K1320">
        <v>263.33</v>
      </c>
      <c r="L1320">
        <v>1113985.6000000001</v>
      </c>
      <c r="M1320">
        <v>670964.84</v>
      </c>
      <c r="N1320">
        <v>443020.76</v>
      </c>
    </row>
    <row r="1321" spans="1:14" x14ac:dyDescent="0.3">
      <c r="A1321" t="s">
        <v>14</v>
      </c>
      <c r="B1321" t="s">
        <v>185</v>
      </c>
      <c r="C1321" t="s">
        <v>71</v>
      </c>
      <c r="D1321" t="s">
        <v>17</v>
      </c>
      <c r="E1321" t="s">
        <v>24</v>
      </c>
      <c r="F1321" t="s">
        <v>707</v>
      </c>
      <c r="G1321">
        <v>677851569</v>
      </c>
      <c r="H1321" t="s">
        <v>1196</v>
      </c>
      <c r="I1321">
        <v>198</v>
      </c>
      <c r="J1321">
        <v>668.27</v>
      </c>
      <c r="K1321">
        <v>502.54</v>
      </c>
      <c r="L1321">
        <v>132317.46</v>
      </c>
      <c r="M1321">
        <v>99502.92</v>
      </c>
      <c r="N1321">
        <v>32814.54</v>
      </c>
    </row>
    <row r="1322" spans="1:14" x14ac:dyDescent="0.3">
      <c r="A1322" t="s">
        <v>14</v>
      </c>
      <c r="B1322" t="s">
        <v>135</v>
      </c>
      <c r="C1322" t="s">
        <v>22</v>
      </c>
      <c r="D1322" t="s">
        <v>17</v>
      </c>
      <c r="E1322" t="s">
        <v>54</v>
      </c>
      <c r="F1322" t="s">
        <v>1794</v>
      </c>
      <c r="G1322">
        <v>538430345</v>
      </c>
      <c r="H1322" t="s">
        <v>1795</v>
      </c>
      <c r="I1322">
        <v>2359</v>
      </c>
      <c r="J1322">
        <v>109.28</v>
      </c>
      <c r="K1322">
        <v>35.840000000000003</v>
      </c>
      <c r="L1322">
        <v>257791.52</v>
      </c>
      <c r="M1322">
        <v>84546.559999999998</v>
      </c>
      <c r="N1322">
        <v>173244.96</v>
      </c>
    </row>
    <row r="1323" spans="1:14" x14ac:dyDescent="0.3">
      <c r="A1323" t="s">
        <v>14</v>
      </c>
      <c r="B1323" t="s">
        <v>49</v>
      </c>
      <c r="C1323" t="s">
        <v>16</v>
      </c>
      <c r="D1323" t="s">
        <v>23</v>
      </c>
      <c r="E1323" t="s">
        <v>54</v>
      </c>
      <c r="F1323" t="s">
        <v>1796</v>
      </c>
      <c r="G1323">
        <v>797461354</v>
      </c>
      <c r="H1323" t="s">
        <v>304</v>
      </c>
      <c r="I1323">
        <v>5391</v>
      </c>
      <c r="J1323">
        <v>47.45</v>
      </c>
      <c r="K1323">
        <v>31.79</v>
      </c>
      <c r="L1323">
        <v>255802.95</v>
      </c>
      <c r="M1323">
        <v>171379.89</v>
      </c>
      <c r="N1323">
        <v>84423.06</v>
      </c>
    </row>
    <row r="1324" spans="1:14" x14ac:dyDescent="0.3">
      <c r="A1324" t="s">
        <v>14</v>
      </c>
      <c r="B1324" t="s">
        <v>49</v>
      </c>
      <c r="C1324" t="s">
        <v>75</v>
      </c>
      <c r="D1324" t="s">
        <v>17</v>
      </c>
      <c r="E1324" t="s">
        <v>18</v>
      </c>
      <c r="F1324" t="s">
        <v>399</v>
      </c>
      <c r="G1324">
        <v>347609412</v>
      </c>
      <c r="H1324" t="s">
        <v>400</v>
      </c>
      <c r="I1324">
        <v>4205</v>
      </c>
      <c r="J1324">
        <v>437.2</v>
      </c>
      <c r="K1324">
        <v>263.33</v>
      </c>
      <c r="L1324">
        <v>1838426</v>
      </c>
      <c r="M1324">
        <v>1107302.6499999999</v>
      </c>
      <c r="N1324">
        <v>731123.35</v>
      </c>
    </row>
    <row r="1325" spans="1:14" x14ac:dyDescent="0.3">
      <c r="A1325" t="s">
        <v>14</v>
      </c>
      <c r="B1325" t="s">
        <v>70</v>
      </c>
      <c r="C1325" t="s">
        <v>102</v>
      </c>
      <c r="D1325" t="s">
        <v>17</v>
      </c>
      <c r="E1325" t="s">
        <v>54</v>
      </c>
      <c r="F1325" t="s">
        <v>827</v>
      </c>
      <c r="G1325">
        <v>473845756</v>
      </c>
      <c r="H1325" t="s">
        <v>1797</v>
      </c>
      <c r="I1325">
        <v>344</v>
      </c>
      <c r="J1325">
        <v>81.73</v>
      </c>
      <c r="K1325">
        <v>56.67</v>
      </c>
      <c r="L1325">
        <v>28115.119999999999</v>
      </c>
      <c r="M1325">
        <v>19494.48</v>
      </c>
      <c r="N1325">
        <v>8620.64</v>
      </c>
    </row>
    <row r="1326" spans="1:14" x14ac:dyDescent="0.3">
      <c r="A1326" t="s">
        <v>14</v>
      </c>
      <c r="B1326" t="s">
        <v>264</v>
      </c>
      <c r="C1326" t="s">
        <v>46</v>
      </c>
      <c r="D1326" t="s">
        <v>23</v>
      </c>
      <c r="E1326" t="s">
        <v>18</v>
      </c>
      <c r="F1326" t="s">
        <v>1798</v>
      </c>
      <c r="G1326">
        <v>180479466</v>
      </c>
      <c r="H1326" t="s">
        <v>1274</v>
      </c>
      <c r="I1326">
        <v>6740</v>
      </c>
      <c r="J1326">
        <v>154.06</v>
      </c>
      <c r="K1326">
        <v>90.93</v>
      </c>
      <c r="L1326">
        <v>1038364.4</v>
      </c>
      <c r="M1326">
        <v>612868.19999999995</v>
      </c>
      <c r="N1326">
        <v>425496.2</v>
      </c>
    </row>
    <row r="1327" spans="1:14" x14ac:dyDescent="0.3">
      <c r="A1327" t="s">
        <v>14</v>
      </c>
      <c r="B1327" t="s">
        <v>115</v>
      </c>
      <c r="C1327" t="s">
        <v>102</v>
      </c>
      <c r="D1327" t="s">
        <v>17</v>
      </c>
      <c r="E1327" t="s">
        <v>24</v>
      </c>
      <c r="F1327" t="s">
        <v>1799</v>
      </c>
      <c r="G1327">
        <v>634033286</v>
      </c>
      <c r="H1327" t="s">
        <v>1800</v>
      </c>
      <c r="I1327">
        <v>3394</v>
      </c>
      <c r="J1327">
        <v>81.73</v>
      </c>
      <c r="K1327">
        <v>56.67</v>
      </c>
      <c r="L1327">
        <v>277391.62</v>
      </c>
      <c r="M1327">
        <v>192337.98</v>
      </c>
      <c r="N1327">
        <v>85053.64</v>
      </c>
    </row>
    <row r="1328" spans="1:14" x14ac:dyDescent="0.3">
      <c r="A1328" t="s">
        <v>14</v>
      </c>
      <c r="B1328" t="s">
        <v>74</v>
      </c>
      <c r="C1328" t="s">
        <v>28</v>
      </c>
      <c r="D1328" t="s">
        <v>17</v>
      </c>
      <c r="E1328" t="s">
        <v>33</v>
      </c>
      <c r="F1328" t="s">
        <v>512</v>
      </c>
      <c r="G1328">
        <v>559183347</v>
      </c>
      <c r="H1328" t="s">
        <v>1533</v>
      </c>
      <c r="I1328">
        <v>3633</v>
      </c>
      <c r="J1328">
        <v>205.7</v>
      </c>
      <c r="K1328">
        <v>117.11</v>
      </c>
      <c r="L1328">
        <v>747308.1</v>
      </c>
      <c r="M1328">
        <v>425460.63</v>
      </c>
      <c r="N1328">
        <v>321847.46999999997</v>
      </c>
    </row>
    <row r="1329" spans="1:14" x14ac:dyDescent="0.3">
      <c r="A1329" t="s">
        <v>14</v>
      </c>
      <c r="B1329" t="s">
        <v>122</v>
      </c>
      <c r="C1329" t="s">
        <v>50</v>
      </c>
      <c r="D1329" t="s">
        <v>17</v>
      </c>
      <c r="E1329" t="s">
        <v>24</v>
      </c>
      <c r="F1329" t="s">
        <v>1762</v>
      </c>
      <c r="G1329">
        <v>781416594</v>
      </c>
      <c r="H1329" t="s">
        <v>1760</v>
      </c>
      <c r="I1329">
        <v>7390</v>
      </c>
      <c r="J1329">
        <v>421.89</v>
      </c>
      <c r="K1329">
        <v>364.69</v>
      </c>
      <c r="L1329">
        <v>3117767.1</v>
      </c>
      <c r="M1329">
        <v>2695059.1</v>
      </c>
      <c r="N1329">
        <v>422708</v>
      </c>
    </row>
    <row r="1330" spans="1:14" x14ac:dyDescent="0.3">
      <c r="A1330" t="s">
        <v>14</v>
      </c>
      <c r="B1330" t="s">
        <v>127</v>
      </c>
      <c r="C1330" t="s">
        <v>22</v>
      </c>
      <c r="D1330" t="s">
        <v>17</v>
      </c>
      <c r="E1330" t="s">
        <v>54</v>
      </c>
      <c r="F1330" t="s">
        <v>1801</v>
      </c>
      <c r="G1330">
        <v>713357150</v>
      </c>
      <c r="H1330" t="s">
        <v>566</v>
      </c>
      <c r="I1330">
        <v>7088</v>
      </c>
      <c r="J1330">
        <v>109.28</v>
      </c>
      <c r="K1330">
        <v>35.840000000000003</v>
      </c>
      <c r="L1330">
        <v>774576.64000000001</v>
      </c>
      <c r="M1330">
        <v>254033.92000000001</v>
      </c>
      <c r="N1330">
        <v>520542.71999999997</v>
      </c>
    </row>
    <row r="1331" spans="1:14" x14ac:dyDescent="0.3">
      <c r="A1331" t="s">
        <v>14</v>
      </c>
      <c r="B1331" t="s">
        <v>53</v>
      </c>
      <c r="C1331" t="s">
        <v>22</v>
      </c>
      <c r="D1331" t="s">
        <v>23</v>
      </c>
      <c r="E1331" t="s">
        <v>33</v>
      </c>
      <c r="F1331" t="s">
        <v>1802</v>
      </c>
      <c r="G1331">
        <v>906794202</v>
      </c>
      <c r="H1331" t="s">
        <v>1803</v>
      </c>
      <c r="I1331">
        <v>9410</v>
      </c>
      <c r="J1331">
        <v>109.28</v>
      </c>
      <c r="K1331">
        <v>35.840000000000003</v>
      </c>
      <c r="L1331">
        <v>1028324.8</v>
      </c>
      <c r="M1331">
        <v>337254.40000000002</v>
      </c>
      <c r="N1331">
        <v>691070.4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F3AA-8876-4CB5-AD10-9D9BB98D175C}">
  <dimension ref="A1:AA1331"/>
  <sheetViews>
    <sheetView topLeftCell="T1" workbookViewId="0">
      <selection activeCell="AD7" sqref="AD7:AH23"/>
    </sheetView>
  </sheetViews>
  <sheetFormatPr defaultRowHeight="14.4" x14ac:dyDescent="0.3"/>
  <cols>
    <col min="1" max="1" width="20.33203125" customWidth="1"/>
    <col min="2" max="2" width="30.109375" customWidth="1"/>
    <col min="3" max="3" width="17" customWidth="1"/>
    <col min="4" max="4" width="14.77734375" bestFit="1" customWidth="1"/>
    <col min="5" max="5" width="16.6640625" customWidth="1"/>
    <col min="6" max="6" width="15.44140625" customWidth="1"/>
    <col min="7" max="7" width="17.88671875" customWidth="1"/>
    <col min="8" max="8" width="12.44140625" customWidth="1"/>
    <col min="9" max="9" width="14.33203125" customWidth="1"/>
    <col min="10" max="10" width="12.88671875" customWidth="1"/>
    <col min="11" max="11" width="23.33203125" customWidth="1"/>
    <col min="12" max="12" width="14.6640625" customWidth="1"/>
    <col min="13" max="13" width="16.33203125" customWidth="1"/>
    <col min="14" max="14" width="13.6640625" customWidth="1"/>
    <col min="15" max="15" width="14.44140625" customWidth="1"/>
    <col min="16" max="16" width="16.5546875" customWidth="1"/>
    <col min="17" max="17" width="20.77734375" customWidth="1"/>
    <col min="18" max="18" width="12.5546875" customWidth="1"/>
    <col min="19" max="19" width="16.44140625" customWidth="1"/>
    <col min="20" max="20" width="14.33203125" customWidth="1"/>
    <col min="21" max="21" width="13.88671875" customWidth="1"/>
    <col min="22" max="22" width="14.21875" customWidth="1"/>
    <col min="23" max="23" width="20" customWidth="1"/>
    <col min="24" max="24" width="19.5546875" customWidth="1"/>
    <col min="25" max="25" width="16" customWidth="1"/>
    <col min="26" max="26" width="17.88671875" customWidth="1"/>
    <col min="27" max="27" width="16" customWidth="1"/>
    <col min="28" max="28" width="12.5546875" customWidth="1"/>
    <col min="29" max="30" width="16.88671875" bestFit="1" customWidth="1"/>
    <col min="31" max="31" width="12.5546875" bestFit="1" customWidth="1"/>
    <col min="32" max="32" width="19.6640625" bestFit="1" customWidth="1"/>
    <col min="33" max="33" width="22.6640625" bestFit="1" customWidth="1"/>
  </cols>
  <sheetData>
    <row r="1" spans="1:27" x14ac:dyDescent="0.3">
      <c r="A1" t="s">
        <v>0</v>
      </c>
      <c r="B1" t="s">
        <v>1</v>
      </c>
      <c r="C1" t="s">
        <v>2</v>
      </c>
      <c r="D1" t="s">
        <v>3</v>
      </c>
      <c r="E1" t="s">
        <v>4</v>
      </c>
      <c r="F1" t="s">
        <v>5</v>
      </c>
      <c r="G1" t="s">
        <v>1819</v>
      </c>
      <c r="H1" t="s">
        <v>1821</v>
      </c>
      <c r="I1" t="s">
        <v>1820</v>
      </c>
      <c r="J1" t="s">
        <v>1822</v>
      </c>
      <c r="K1" t="s">
        <v>1827</v>
      </c>
      <c r="L1" t="s">
        <v>6</v>
      </c>
      <c r="M1" t="s">
        <v>1823</v>
      </c>
      <c r="N1" t="s">
        <v>1824</v>
      </c>
      <c r="O1" t="s">
        <v>1825</v>
      </c>
      <c r="P1" t="s">
        <v>1826</v>
      </c>
      <c r="Q1" t="s">
        <v>1828</v>
      </c>
      <c r="R1" t="s">
        <v>7</v>
      </c>
      <c r="S1" t="s">
        <v>1829</v>
      </c>
      <c r="T1" t="s">
        <v>8</v>
      </c>
      <c r="U1" t="s">
        <v>9</v>
      </c>
      <c r="V1" t="s">
        <v>10</v>
      </c>
      <c r="W1" t="s">
        <v>1831</v>
      </c>
      <c r="X1" t="s">
        <v>11</v>
      </c>
      <c r="Y1" t="s">
        <v>12</v>
      </c>
      <c r="Z1" t="s">
        <v>1830</v>
      </c>
      <c r="AA1" t="s">
        <v>13</v>
      </c>
    </row>
    <row r="2" spans="1:27" x14ac:dyDescent="0.3">
      <c r="A2" t="s">
        <v>14</v>
      </c>
      <c r="B2" t="s">
        <v>15</v>
      </c>
      <c r="C2" t="s">
        <v>16</v>
      </c>
      <c r="D2" t="s">
        <v>17</v>
      </c>
      <c r="E2" t="s">
        <v>18</v>
      </c>
      <c r="F2" t="s">
        <v>19</v>
      </c>
      <c r="G2" s="2">
        <f t="shared" ref="G2:G65" si="0">DATE(
  RIGHT(F2,4),
  LEFT(F2,FIND("/",F2)-1),
  MID(F2,FIND("/",F2)+1, FIND("/",F2,FIND("/",F2)+1)-FIND("/",F2)-1)
)</f>
        <v>40798</v>
      </c>
      <c r="H2">
        <f>DAY(Europe_Sales_Records34[[#This Row],[Order Date Fixed]])</f>
        <v>12</v>
      </c>
      <c r="I2" t="str">
        <f>TEXT(Europe_Sales_Records34[[#This Row],[Order Date Fixed]],"MMM")</f>
        <v>Sep</v>
      </c>
      <c r="J2">
        <f>YEAR(Europe_Sales_Records34[[#This Row],[Order Date Fixed]])</f>
        <v>2011</v>
      </c>
      <c r="K2" t="str">
        <f>TEXT(Europe_Sales_Records34[[#This Row],[Order Date Fixed]],"MMM-YYYY")</f>
        <v>Sep-2011</v>
      </c>
      <c r="L2">
        <v>478051030</v>
      </c>
      <c r="M2" s="2">
        <f t="shared" ref="M2:M65" si="1">DATE(
  RIGHT(R2,4),
  LEFT(R2,FIND("/",R2)-1),
  MID(
      R2,
      FIND("/",R2)+1,
      FIND("/",R2,FIND("/",R2)+1)-FIND("/",R2)-1
     )
)</f>
        <v>40815</v>
      </c>
      <c r="N2">
        <f>DAY(Europe_Sales_Records34[[#This Row],[Ship Date Fixed]])</f>
        <v>29</v>
      </c>
      <c r="O2" t="str">
        <f>TEXT(Europe_Sales_Records34[[#This Row],[Ship Date Fixed]],"MMM")</f>
        <v>Sep</v>
      </c>
      <c r="P2">
        <f>YEAR(Europe_Sales_Records34[[#This Row],[Ship Date Fixed]])</f>
        <v>2011</v>
      </c>
      <c r="Q2" t="str">
        <f>TEXT(Europe_Sales_Records34[[#This Row],[Ship Date Fixed]],"MMM-YYYY")</f>
        <v>Sep-2011</v>
      </c>
      <c r="R2" t="s">
        <v>20</v>
      </c>
      <c r="S2" s="3">
        <f>Europe_Sales_Records34[[#This Row],[Ship Date Fixed]]-Europe_Sales_Records34[[#This Row],[Order Date Fixed]]</f>
        <v>17</v>
      </c>
      <c r="T2">
        <v>4778</v>
      </c>
      <c r="U2">
        <v>47.45</v>
      </c>
      <c r="V2">
        <v>31.79</v>
      </c>
      <c r="W2">
        <f>Europe_Sales_Records34[[#This Row],[Total Revenue]]/Europe_Sales_Records34[[#This Row],[Units Sold]]</f>
        <v>47.45</v>
      </c>
      <c r="X2">
        <v>226716.1</v>
      </c>
      <c r="Y2">
        <v>151892.62</v>
      </c>
      <c r="Z2" s="4">
        <f>Europe_Sales_Records34[[#This Row],[Total Profit]]/Europe_Sales_Records34[[#This Row],[Total Revenue]]</f>
        <v>0.330031612223393</v>
      </c>
      <c r="AA2">
        <v>74823.48</v>
      </c>
    </row>
    <row r="3" spans="1:27" x14ac:dyDescent="0.3">
      <c r="A3" t="s">
        <v>14</v>
      </c>
      <c r="B3" t="s">
        <v>21</v>
      </c>
      <c r="C3" t="s">
        <v>22</v>
      </c>
      <c r="D3" t="s">
        <v>23</v>
      </c>
      <c r="E3" t="s">
        <v>24</v>
      </c>
      <c r="F3" t="s">
        <v>25</v>
      </c>
      <c r="G3" s="2">
        <f t="shared" si="0"/>
        <v>41561</v>
      </c>
      <c r="H3">
        <f>DAY(Europe_Sales_Records34[[#This Row],[Order Date Fixed]])</f>
        <v>14</v>
      </c>
      <c r="I3" t="str">
        <f>TEXT(Europe_Sales_Records34[[#This Row],[Order Date Fixed]],"MMM")</f>
        <v>Oct</v>
      </c>
      <c r="J3">
        <f>YEAR(Europe_Sales_Records34[[#This Row],[Order Date Fixed]])</f>
        <v>2013</v>
      </c>
      <c r="K3" t="str">
        <f>TEXT(Europe_Sales_Records34[[#This Row],[Order Date Fixed]],"MMM-YYYY")</f>
        <v>Oct-2013</v>
      </c>
      <c r="L3">
        <v>919133651</v>
      </c>
      <c r="M3" s="2">
        <f t="shared" si="1"/>
        <v>41582</v>
      </c>
      <c r="N3">
        <f>DAY(Europe_Sales_Records34[[#This Row],[Ship Date Fixed]])</f>
        <v>4</v>
      </c>
      <c r="O3" t="str">
        <f>TEXT(Europe_Sales_Records34[[#This Row],[Ship Date Fixed]],"MMM")</f>
        <v>Nov</v>
      </c>
      <c r="P3">
        <f>YEAR(Europe_Sales_Records34[[#This Row],[Ship Date Fixed]])</f>
        <v>2013</v>
      </c>
      <c r="Q3" t="str">
        <f>TEXT(Europe_Sales_Records34[[#This Row],[Ship Date Fixed]],"MMM-YYYY")</f>
        <v>Nov-2013</v>
      </c>
      <c r="R3" t="s">
        <v>26</v>
      </c>
      <c r="S3" s="3">
        <f>Europe_Sales_Records34[[#This Row],[Ship Date Fixed]]-Europe_Sales_Records34[[#This Row],[Order Date Fixed]]</f>
        <v>21</v>
      </c>
      <c r="T3">
        <v>927</v>
      </c>
      <c r="U3">
        <v>109.28</v>
      </c>
      <c r="V3">
        <v>35.840000000000003</v>
      </c>
      <c r="W3">
        <f>Europe_Sales_Records34[[#This Row],[Total Revenue]]/Europe_Sales_Records34[[#This Row],[Units Sold]]</f>
        <v>109.28</v>
      </c>
      <c r="X3">
        <v>101302.56</v>
      </c>
      <c r="Y3">
        <v>33223.68</v>
      </c>
      <c r="Z3" s="4">
        <f>Europe_Sales_Records34[[#This Row],[Total Profit]]/Europe_Sales_Records34[[#This Row],[Total Revenue]]</f>
        <v>0.67203513909224022</v>
      </c>
      <c r="AA3">
        <v>68078.880000000005</v>
      </c>
    </row>
    <row r="4" spans="1:27" x14ac:dyDescent="0.3">
      <c r="A4" t="s">
        <v>14</v>
      </c>
      <c r="B4" t="s">
        <v>27</v>
      </c>
      <c r="C4" t="s">
        <v>28</v>
      </c>
      <c r="D4" t="s">
        <v>17</v>
      </c>
      <c r="E4" t="s">
        <v>18</v>
      </c>
      <c r="F4" t="s">
        <v>29</v>
      </c>
      <c r="G4" s="2">
        <f t="shared" si="0"/>
        <v>41864</v>
      </c>
      <c r="H4">
        <f>DAY(Europe_Sales_Records34[[#This Row],[Order Date Fixed]])</f>
        <v>13</v>
      </c>
      <c r="I4" t="str">
        <f>TEXT(Europe_Sales_Records34[[#This Row],[Order Date Fixed]],"MMM")</f>
        <v>Aug</v>
      </c>
      <c r="J4">
        <f>YEAR(Europe_Sales_Records34[[#This Row],[Order Date Fixed]])</f>
        <v>2014</v>
      </c>
      <c r="K4" t="str">
        <f>TEXT(Europe_Sales_Records34[[#This Row],[Order Date Fixed]],"MMM-YYYY")</f>
        <v>Aug-2014</v>
      </c>
      <c r="L4">
        <v>987410676</v>
      </c>
      <c r="M4" s="2">
        <f t="shared" si="1"/>
        <v>41888</v>
      </c>
      <c r="N4">
        <f>DAY(Europe_Sales_Records34[[#This Row],[Ship Date Fixed]])</f>
        <v>6</v>
      </c>
      <c r="O4" t="str">
        <f>TEXT(Europe_Sales_Records34[[#This Row],[Ship Date Fixed]],"MMM")</f>
        <v>Sep</v>
      </c>
      <c r="P4">
        <f>YEAR(Europe_Sales_Records34[[#This Row],[Ship Date Fixed]])</f>
        <v>2014</v>
      </c>
      <c r="Q4" t="str">
        <f>TEXT(Europe_Sales_Records34[[#This Row],[Ship Date Fixed]],"MMM-YYYY")</f>
        <v>Sep-2014</v>
      </c>
      <c r="R4" t="s">
        <v>30</v>
      </c>
      <c r="S4" s="3">
        <f>Europe_Sales_Records34[[#This Row],[Ship Date Fixed]]-Europe_Sales_Records34[[#This Row],[Order Date Fixed]]</f>
        <v>24</v>
      </c>
      <c r="T4">
        <v>5616</v>
      </c>
      <c r="U4">
        <v>205.7</v>
      </c>
      <c r="V4">
        <v>117.11</v>
      </c>
      <c r="W4">
        <f>Europe_Sales_Records34[[#This Row],[Total Revenue]]/Europe_Sales_Records34[[#This Row],[Units Sold]]</f>
        <v>205.7</v>
      </c>
      <c r="X4">
        <v>1155211.2</v>
      </c>
      <c r="Y4">
        <v>657689.76</v>
      </c>
      <c r="Z4" s="4">
        <f>Europe_Sales_Records34[[#This Row],[Total Profit]]/Europe_Sales_Records34[[#This Row],[Total Revenue]]</f>
        <v>0.43067574137092857</v>
      </c>
      <c r="AA4">
        <v>497521.44</v>
      </c>
    </row>
    <row r="5" spans="1:27" x14ac:dyDescent="0.3">
      <c r="A5" t="s">
        <v>14</v>
      </c>
      <c r="B5" t="s">
        <v>31</v>
      </c>
      <c r="C5" t="s">
        <v>32</v>
      </c>
      <c r="D5" t="s">
        <v>23</v>
      </c>
      <c r="E5" t="s">
        <v>33</v>
      </c>
      <c r="F5" t="s">
        <v>34</v>
      </c>
      <c r="G5" s="2">
        <f t="shared" si="0"/>
        <v>40482</v>
      </c>
      <c r="H5">
        <f>DAY(Europe_Sales_Records34[[#This Row],[Order Date Fixed]])</f>
        <v>31</v>
      </c>
      <c r="I5" t="str">
        <f>TEXT(Europe_Sales_Records34[[#This Row],[Order Date Fixed]],"MMM")</f>
        <v>Oct</v>
      </c>
      <c r="J5">
        <f>YEAR(Europe_Sales_Records34[[#This Row],[Order Date Fixed]])</f>
        <v>2010</v>
      </c>
      <c r="K5" t="str">
        <f>TEXT(Europe_Sales_Records34[[#This Row],[Order Date Fixed]],"MMM-YYYY")</f>
        <v>Oct-2010</v>
      </c>
      <c r="L5">
        <v>672330081</v>
      </c>
      <c r="M5" s="2">
        <f t="shared" si="1"/>
        <v>40511</v>
      </c>
      <c r="N5">
        <f>DAY(Europe_Sales_Records34[[#This Row],[Ship Date Fixed]])</f>
        <v>29</v>
      </c>
      <c r="O5" t="str">
        <f>TEXT(Europe_Sales_Records34[[#This Row],[Ship Date Fixed]],"MMM")</f>
        <v>Nov</v>
      </c>
      <c r="P5">
        <f>YEAR(Europe_Sales_Records34[[#This Row],[Ship Date Fixed]])</f>
        <v>2010</v>
      </c>
      <c r="Q5" t="str">
        <f>TEXT(Europe_Sales_Records34[[#This Row],[Ship Date Fixed]],"MMM-YYYY")</f>
        <v>Nov-2010</v>
      </c>
      <c r="R5" t="s">
        <v>35</v>
      </c>
      <c r="S5" s="3">
        <f>Europe_Sales_Records34[[#This Row],[Ship Date Fixed]]-Europe_Sales_Records34[[#This Row],[Order Date Fixed]]</f>
        <v>29</v>
      </c>
      <c r="T5">
        <v>6266</v>
      </c>
      <c r="U5">
        <v>651.21</v>
      </c>
      <c r="V5">
        <v>524.96</v>
      </c>
      <c r="W5">
        <f>Europe_Sales_Records34[[#This Row],[Total Revenue]]/Europe_Sales_Records34[[#This Row],[Units Sold]]</f>
        <v>651.20999999999992</v>
      </c>
      <c r="X5">
        <v>4080481.86</v>
      </c>
      <c r="Y5">
        <v>3289399.36</v>
      </c>
      <c r="Z5" s="4">
        <f>Europe_Sales_Records34[[#This Row],[Total Profit]]/Europe_Sales_Records34[[#This Row],[Total Revenue]]</f>
        <v>0.19386987300563566</v>
      </c>
      <c r="AA5">
        <v>791082.5</v>
      </c>
    </row>
    <row r="6" spans="1:27" x14ac:dyDescent="0.3">
      <c r="A6" t="s">
        <v>14</v>
      </c>
      <c r="B6" t="s">
        <v>36</v>
      </c>
      <c r="C6" t="s">
        <v>37</v>
      </c>
      <c r="D6" t="s">
        <v>23</v>
      </c>
      <c r="E6" t="s">
        <v>33</v>
      </c>
      <c r="F6" t="s">
        <v>38</v>
      </c>
      <c r="G6" s="2">
        <f t="shared" si="0"/>
        <v>42641</v>
      </c>
      <c r="H6">
        <f>DAY(Europe_Sales_Records34[[#This Row],[Order Date Fixed]])</f>
        <v>28</v>
      </c>
      <c r="I6" t="str">
        <f>TEXT(Europe_Sales_Records34[[#This Row],[Order Date Fixed]],"MMM")</f>
        <v>Sep</v>
      </c>
      <c r="J6">
        <f>YEAR(Europe_Sales_Records34[[#This Row],[Order Date Fixed]])</f>
        <v>2016</v>
      </c>
      <c r="K6" t="str">
        <f>TEXT(Europe_Sales_Records34[[#This Row],[Order Date Fixed]],"MMM-YYYY")</f>
        <v>Sep-2016</v>
      </c>
      <c r="L6">
        <v>579463422</v>
      </c>
      <c r="M6" s="2">
        <f t="shared" si="1"/>
        <v>42675</v>
      </c>
      <c r="N6">
        <f>DAY(Europe_Sales_Records34[[#This Row],[Ship Date Fixed]])</f>
        <v>1</v>
      </c>
      <c r="O6" t="str">
        <f>TEXT(Europe_Sales_Records34[[#This Row],[Ship Date Fixed]],"MMM")</f>
        <v>Nov</v>
      </c>
      <c r="P6">
        <f>YEAR(Europe_Sales_Records34[[#This Row],[Ship Date Fixed]])</f>
        <v>2016</v>
      </c>
      <c r="Q6" t="str">
        <f>TEXT(Europe_Sales_Records34[[#This Row],[Ship Date Fixed]],"MMM-YYYY")</f>
        <v>Nov-2016</v>
      </c>
      <c r="R6" t="s">
        <v>39</v>
      </c>
      <c r="S6" s="3">
        <f>Europe_Sales_Records34[[#This Row],[Ship Date Fixed]]-Europe_Sales_Records34[[#This Row],[Order Date Fixed]]</f>
        <v>34</v>
      </c>
      <c r="T6">
        <v>4958</v>
      </c>
      <c r="U6">
        <v>9.33</v>
      </c>
      <c r="V6">
        <v>6.92</v>
      </c>
      <c r="W6">
        <f>Europe_Sales_Records34[[#This Row],[Total Revenue]]/Europe_Sales_Records34[[#This Row],[Units Sold]]</f>
        <v>9.33</v>
      </c>
      <c r="X6">
        <v>46258.14</v>
      </c>
      <c r="Y6">
        <v>34309.360000000001</v>
      </c>
      <c r="Z6" s="4">
        <f>Europe_Sales_Records34[[#This Row],[Total Profit]]/Europe_Sales_Records34[[#This Row],[Total Revenue]]</f>
        <v>0.25830653804930331</v>
      </c>
      <c r="AA6">
        <v>11948.78</v>
      </c>
    </row>
    <row r="7" spans="1:27" x14ac:dyDescent="0.3">
      <c r="A7" t="s">
        <v>14</v>
      </c>
      <c r="B7" t="s">
        <v>40</v>
      </c>
      <c r="C7" t="s">
        <v>37</v>
      </c>
      <c r="D7" t="s">
        <v>17</v>
      </c>
      <c r="E7" t="s">
        <v>33</v>
      </c>
      <c r="F7" t="s">
        <v>41</v>
      </c>
      <c r="G7" s="2">
        <f t="shared" si="0"/>
        <v>42519</v>
      </c>
      <c r="H7">
        <f>DAY(Europe_Sales_Records34[[#This Row],[Order Date Fixed]])</f>
        <v>29</v>
      </c>
      <c r="I7" t="str">
        <f>TEXT(Europe_Sales_Records34[[#This Row],[Order Date Fixed]],"MMM")</f>
        <v>May</v>
      </c>
      <c r="J7">
        <f>YEAR(Europe_Sales_Records34[[#This Row],[Order Date Fixed]])</f>
        <v>2016</v>
      </c>
      <c r="K7" t="str">
        <f>TEXT(Europe_Sales_Records34[[#This Row],[Order Date Fixed]],"MMM-YYYY")</f>
        <v>May-2016</v>
      </c>
      <c r="L7">
        <v>313705861</v>
      </c>
      <c r="M7" s="2">
        <f t="shared" si="1"/>
        <v>42561</v>
      </c>
      <c r="N7">
        <f>DAY(Europe_Sales_Records34[[#This Row],[Ship Date Fixed]])</f>
        <v>10</v>
      </c>
      <c r="O7" t="str">
        <f>TEXT(Europe_Sales_Records34[[#This Row],[Ship Date Fixed]],"MMM")</f>
        <v>Jul</v>
      </c>
      <c r="P7">
        <f>YEAR(Europe_Sales_Records34[[#This Row],[Ship Date Fixed]])</f>
        <v>2016</v>
      </c>
      <c r="Q7" t="str">
        <f>TEXT(Europe_Sales_Records34[[#This Row],[Ship Date Fixed]],"MMM-YYYY")</f>
        <v>Jul-2016</v>
      </c>
      <c r="R7" t="s">
        <v>42</v>
      </c>
      <c r="S7" s="3">
        <f>Europe_Sales_Records34[[#This Row],[Ship Date Fixed]]-Europe_Sales_Records34[[#This Row],[Order Date Fixed]]</f>
        <v>42</v>
      </c>
      <c r="T7">
        <v>1390</v>
      </c>
      <c r="U7">
        <v>9.33</v>
      </c>
      <c r="V7">
        <v>6.92</v>
      </c>
      <c r="W7">
        <f>Europe_Sales_Records34[[#This Row],[Total Revenue]]/Europe_Sales_Records34[[#This Row],[Units Sold]]</f>
        <v>9.33</v>
      </c>
      <c r="X7">
        <v>12968.7</v>
      </c>
      <c r="Y7">
        <v>9618.7999999999993</v>
      </c>
      <c r="Z7" s="4">
        <f>Europe_Sales_Records34[[#This Row],[Total Profit]]/Europe_Sales_Records34[[#This Row],[Total Revenue]]</f>
        <v>0.25830653804930331</v>
      </c>
      <c r="AA7">
        <v>3349.9</v>
      </c>
    </row>
    <row r="8" spans="1:27" x14ac:dyDescent="0.3">
      <c r="A8" t="s">
        <v>14</v>
      </c>
      <c r="B8" t="s">
        <v>15</v>
      </c>
      <c r="C8" t="s">
        <v>28</v>
      </c>
      <c r="D8" t="s">
        <v>23</v>
      </c>
      <c r="E8" t="s">
        <v>24</v>
      </c>
      <c r="F8" t="s">
        <v>43</v>
      </c>
      <c r="G8" s="2">
        <f t="shared" si="0"/>
        <v>40732</v>
      </c>
      <c r="H8">
        <f>DAY(Europe_Sales_Records34[[#This Row],[Order Date Fixed]])</f>
        <v>8</v>
      </c>
      <c r="I8" t="str">
        <f>TEXT(Europe_Sales_Records34[[#This Row],[Order Date Fixed]],"MMM")</f>
        <v>Jul</v>
      </c>
      <c r="J8">
        <f>YEAR(Europe_Sales_Records34[[#This Row],[Order Date Fixed]])</f>
        <v>2011</v>
      </c>
      <c r="K8" t="str">
        <f>TEXT(Europe_Sales_Records34[[#This Row],[Order Date Fixed]],"MMM-YYYY")</f>
        <v>Jul-2011</v>
      </c>
      <c r="L8">
        <v>552037513</v>
      </c>
      <c r="M8" s="2">
        <f t="shared" si="1"/>
        <v>40760</v>
      </c>
      <c r="N8">
        <f>DAY(Europe_Sales_Records34[[#This Row],[Ship Date Fixed]])</f>
        <v>5</v>
      </c>
      <c r="O8" t="str">
        <f>TEXT(Europe_Sales_Records34[[#This Row],[Ship Date Fixed]],"MMM")</f>
        <v>Aug</v>
      </c>
      <c r="P8">
        <f>YEAR(Europe_Sales_Records34[[#This Row],[Ship Date Fixed]])</f>
        <v>2011</v>
      </c>
      <c r="Q8" t="str">
        <f>TEXT(Europe_Sales_Records34[[#This Row],[Ship Date Fixed]],"MMM-YYYY")</f>
        <v>Aug-2011</v>
      </c>
      <c r="R8" t="s">
        <v>44</v>
      </c>
      <c r="S8" s="3">
        <f>Europe_Sales_Records34[[#This Row],[Ship Date Fixed]]-Europe_Sales_Records34[[#This Row],[Order Date Fixed]]</f>
        <v>28</v>
      </c>
      <c r="T8">
        <v>9022</v>
      </c>
      <c r="U8">
        <v>205.7</v>
      </c>
      <c r="V8">
        <v>117.11</v>
      </c>
      <c r="W8">
        <f>Europe_Sales_Records34[[#This Row],[Total Revenue]]/Europe_Sales_Records34[[#This Row],[Units Sold]]</f>
        <v>205.7</v>
      </c>
      <c r="X8">
        <v>1855825.4</v>
      </c>
      <c r="Y8">
        <v>1056566.42</v>
      </c>
      <c r="Z8" s="4">
        <f>Europe_Sales_Records34[[#This Row],[Total Profit]]/Europe_Sales_Records34[[#This Row],[Total Revenue]]</f>
        <v>0.43067574137092857</v>
      </c>
      <c r="AA8">
        <v>799258.98</v>
      </c>
    </row>
    <row r="9" spans="1:27" x14ac:dyDescent="0.3">
      <c r="A9" t="s">
        <v>14</v>
      </c>
      <c r="B9" t="s">
        <v>45</v>
      </c>
      <c r="C9" t="s">
        <v>46</v>
      </c>
      <c r="D9" t="s">
        <v>17</v>
      </c>
      <c r="E9" t="s">
        <v>33</v>
      </c>
      <c r="F9" t="s">
        <v>47</v>
      </c>
      <c r="G9" s="2">
        <f t="shared" si="0"/>
        <v>40222</v>
      </c>
      <c r="H9">
        <f>DAY(Europe_Sales_Records34[[#This Row],[Order Date Fixed]])</f>
        <v>13</v>
      </c>
      <c r="I9" t="str">
        <f>TEXT(Europe_Sales_Records34[[#This Row],[Order Date Fixed]],"MMM")</f>
        <v>Feb</v>
      </c>
      <c r="J9">
        <f>YEAR(Europe_Sales_Records34[[#This Row],[Order Date Fixed]])</f>
        <v>2010</v>
      </c>
      <c r="K9" t="str">
        <f>TEXT(Europe_Sales_Records34[[#This Row],[Order Date Fixed]],"MMM-YYYY")</f>
        <v>Feb-2010</v>
      </c>
      <c r="L9">
        <v>744683635</v>
      </c>
      <c r="M9" s="2">
        <f t="shared" si="1"/>
        <v>40269</v>
      </c>
      <c r="N9">
        <f>DAY(Europe_Sales_Records34[[#This Row],[Ship Date Fixed]])</f>
        <v>1</v>
      </c>
      <c r="O9" t="str">
        <f>TEXT(Europe_Sales_Records34[[#This Row],[Ship Date Fixed]],"MMM")</f>
        <v>Apr</v>
      </c>
      <c r="P9">
        <f>YEAR(Europe_Sales_Records34[[#This Row],[Ship Date Fixed]])</f>
        <v>2010</v>
      </c>
      <c r="Q9" t="str">
        <f>TEXT(Europe_Sales_Records34[[#This Row],[Ship Date Fixed]],"MMM-YYYY")</f>
        <v>Apr-2010</v>
      </c>
      <c r="R9" t="s">
        <v>48</v>
      </c>
      <c r="S9" s="3">
        <f>Europe_Sales_Records34[[#This Row],[Ship Date Fixed]]-Europe_Sales_Records34[[#This Row],[Order Date Fixed]]</f>
        <v>47</v>
      </c>
      <c r="T9">
        <v>7291</v>
      </c>
      <c r="U9">
        <v>154.06</v>
      </c>
      <c r="V9">
        <v>90.93</v>
      </c>
      <c r="W9">
        <f>Europe_Sales_Records34[[#This Row],[Total Revenue]]/Europe_Sales_Records34[[#This Row],[Units Sold]]</f>
        <v>154.06</v>
      </c>
      <c r="X9">
        <v>1123251.46</v>
      </c>
      <c r="Y9">
        <v>662970.63</v>
      </c>
      <c r="Z9" s="4">
        <f>Europe_Sales_Records34[[#This Row],[Total Profit]]/Europe_Sales_Records34[[#This Row],[Total Revenue]]</f>
        <v>0.40977541217707392</v>
      </c>
      <c r="AA9">
        <v>460280.83</v>
      </c>
    </row>
    <row r="10" spans="1:27" x14ac:dyDescent="0.3">
      <c r="A10" t="s">
        <v>14</v>
      </c>
      <c r="B10" t="s">
        <v>49</v>
      </c>
      <c r="C10" t="s">
        <v>50</v>
      </c>
      <c r="D10" t="s">
        <v>23</v>
      </c>
      <c r="E10" t="s">
        <v>33</v>
      </c>
      <c r="F10" t="s">
        <v>51</v>
      </c>
      <c r="G10" s="2">
        <f t="shared" si="0"/>
        <v>41719</v>
      </c>
      <c r="H10">
        <f>DAY(Europe_Sales_Records34[[#This Row],[Order Date Fixed]])</f>
        <v>21</v>
      </c>
      <c r="I10" t="str">
        <f>TEXT(Europe_Sales_Records34[[#This Row],[Order Date Fixed]],"MMM")</f>
        <v>Mar</v>
      </c>
      <c r="J10">
        <f>YEAR(Europe_Sales_Records34[[#This Row],[Order Date Fixed]])</f>
        <v>2014</v>
      </c>
      <c r="K10" t="str">
        <f>TEXT(Europe_Sales_Records34[[#This Row],[Order Date Fixed]],"MMM-YYYY")</f>
        <v>Mar-2014</v>
      </c>
      <c r="L10">
        <v>169378983</v>
      </c>
      <c r="M10" s="2">
        <f t="shared" si="1"/>
        <v>41739</v>
      </c>
      <c r="N10">
        <f>DAY(Europe_Sales_Records34[[#This Row],[Ship Date Fixed]])</f>
        <v>10</v>
      </c>
      <c r="O10" t="str">
        <f>TEXT(Europe_Sales_Records34[[#This Row],[Ship Date Fixed]],"MMM")</f>
        <v>Apr</v>
      </c>
      <c r="P10">
        <f>YEAR(Europe_Sales_Records34[[#This Row],[Ship Date Fixed]])</f>
        <v>2014</v>
      </c>
      <c r="Q10" t="str">
        <f>TEXT(Europe_Sales_Records34[[#This Row],[Ship Date Fixed]],"MMM-YYYY")</f>
        <v>Apr-2014</v>
      </c>
      <c r="R10" t="s">
        <v>52</v>
      </c>
      <c r="S10" s="3">
        <f>Europe_Sales_Records34[[#This Row],[Ship Date Fixed]]-Europe_Sales_Records34[[#This Row],[Order Date Fixed]]</f>
        <v>20</v>
      </c>
      <c r="T10">
        <v>1860</v>
      </c>
      <c r="U10">
        <v>421.89</v>
      </c>
      <c r="V10">
        <v>364.69</v>
      </c>
      <c r="W10">
        <f>Europe_Sales_Records34[[#This Row],[Total Revenue]]/Europe_Sales_Records34[[#This Row],[Units Sold]]</f>
        <v>421.89</v>
      </c>
      <c r="X10">
        <v>784715.4</v>
      </c>
      <c r="Y10">
        <v>678323.4</v>
      </c>
      <c r="Z10" s="4">
        <f>Europe_Sales_Records34[[#This Row],[Total Profit]]/Europe_Sales_Records34[[#This Row],[Total Revenue]]</f>
        <v>0.13558036455000119</v>
      </c>
      <c r="AA10">
        <v>106392</v>
      </c>
    </row>
    <row r="11" spans="1:27" x14ac:dyDescent="0.3">
      <c r="A11" t="s">
        <v>14</v>
      </c>
      <c r="B11" t="s">
        <v>53</v>
      </c>
      <c r="C11" t="s">
        <v>16</v>
      </c>
      <c r="D11" t="s">
        <v>23</v>
      </c>
      <c r="E11" t="s">
        <v>54</v>
      </c>
      <c r="F11" t="s">
        <v>55</v>
      </c>
      <c r="G11" s="2">
        <f t="shared" si="0"/>
        <v>40984</v>
      </c>
      <c r="H11">
        <f>DAY(Europe_Sales_Records34[[#This Row],[Order Date Fixed]])</f>
        <v>16</v>
      </c>
      <c r="I11" t="str">
        <f>TEXT(Europe_Sales_Records34[[#This Row],[Order Date Fixed]],"MMM")</f>
        <v>Mar</v>
      </c>
      <c r="J11">
        <f>YEAR(Europe_Sales_Records34[[#This Row],[Order Date Fixed]])</f>
        <v>2012</v>
      </c>
      <c r="K11" t="str">
        <f>TEXT(Europe_Sales_Records34[[#This Row],[Order Date Fixed]],"MMM-YYYY")</f>
        <v>Mar-2012</v>
      </c>
      <c r="L11">
        <v>566428315</v>
      </c>
      <c r="M11" s="2">
        <f t="shared" si="1"/>
        <v>40991</v>
      </c>
      <c r="N11">
        <f>DAY(Europe_Sales_Records34[[#This Row],[Ship Date Fixed]])</f>
        <v>23</v>
      </c>
      <c r="O11" t="str">
        <f>TEXT(Europe_Sales_Records34[[#This Row],[Ship Date Fixed]],"MMM")</f>
        <v>Mar</v>
      </c>
      <c r="P11">
        <f>YEAR(Europe_Sales_Records34[[#This Row],[Ship Date Fixed]])</f>
        <v>2012</v>
      </c>
      <c r="Q11" t="str">
        <f>TEXT(Europe_Sales_Records34[[#This Row],[Ship Date Fixed]],"MMM-YYYY")</f>
        <v>Mar-2012</v>
      </c>
      <c r="R11" t="s">
        <v>56</v>
      </c>
      <c r="S11" s="3">
        <f>Europe_Sales_Records34[[#This Row],[Ship Date Fixed]]-Europe_Sales_Records34[[#This Row],[Order Date Fixed]]</f>
        <v>7</v>
      </c>
      <c r="T11">
        <v>7581</v>
      </c>
      <c r="U11">
        <v>47.45</v>
      </c>
      <c r="V11">
        <v>31.79</v>
      </c>
      <c r="W11">
        <f>Europe_Sales_Records34[[#This Row],[Total Revenue]]/Europe_Sales_Records34[[#This Row],[Units Sold]]</f>
        <v>47.45</v>
      </c>
      <c r="X11">
        <v>359718.45</v>
      </c>
      <c r="Y11">
        <v>240999.99</v>
      </c>
      <c r="Z11" s="4">
        <f>Europe_Sales_Records34[[#This Row],[Total Profit]]/Europe_Sales_Records34[[#This Row],[Total Revenue]]</f>
        <v>0.33003161222339306</v>
      </c>
      <c r="AA11">
        <v>118718.46</v>
      </c>
    </row>
    <row r="12" spans="1:27" x14ac:dyDescent="0.3">
      <c r="A12" t="s">
        <v>14</v>
      </c>
      <c r="B12" t="s">
        <v>57</v>
      </c>
      <c r="C12" t="s">
        <v>58</v>
      </c>
      <c r="D12" t="s">
        <v>23</v>
      </c>
      <c r="E12" t="s">
        <v>24</v>
      </c>
      <c r="F12" t="s">
        <v>59</v>
      </c>
      <c r="G12" s="2">
        <f t="shared" si="0"/>
        <v>42016</v>
      </c>
      <c r="H12">
        <f>DAY(Europe_Sales_Records34[[#This Row],[Order Date Fixed]])</f>
        <v>12</v>
      </c>
      <c r="I12" t="str">
        <f>TEXT(Europe_Sales_Records34[[#This Row],[Order Date Fixed]],"MMM")</f>
        <v>Jan</v>
      </c>
      <c r="J12">
        <f>YEAR(Europe_Sales_Records34[[#This Row],[Order Date Fixed]])</f>
        <v>2015</v>
      </c>
      <c r="K12" t="str">
        <f>TEXT(Europe_Sales_Records34[[#This Row],[Order Date Fixed]],"MMM-YYYY")</f>
        <v>Jan-2015</v>
      </c>
      <c r="L12">
        <v>519380223</v>
      </c>
      <c r="M12" s="2">
        <f t="shared" si="1"/>
        <v>42021</v>
      </c>
      <c r="N12">
        <f>DAY(Europe_Sales_Records34[[#This Row],[Ship Date Fixed]])</f>
        <v>17</v>
      </c>
      <c r="O12" t="str">
        <f>TEXT(Europe_Sales_Records34[[#This Row],[Ship Date Fixed]],"MMM")</f>
        <v>Jan</v>
      </c>
      <c r="P12">
        <f>YEAR(Europe_Sales_Records34[[#This Row],[Ship Date Fixed]])</f>
        <v>2015</v>
      </c>
      <c r="Q12" t="str">
        <f>TEXT(Europe_Sales_Records34[[#This Row],[Ship Date Fixed]],"MMM-YYYY")</f>
        <v>Jan-2015</v>
      </c>
      <c r="R12" t="s">
        <v>60</v>
      </c>
      <c r="S12" s="3">
        <f>Europe_Sales_Records34[[#This Row],[Ship Date Fixed]]-Europe_Sales_Records34[[#This Row],[Order Date Fixed]]</f>
        <v>5</v>
      </c>
      <c r="T12">
        <v>5005</v>
      </c>
      <c r="U12">
        <v>152.58000000000001</v>
      </c>
      <c r="V12">
        <v>97.44</v>
      </c>
      <c r="W12">
        <f>Europe_Sales_Records34[[#This Row],[Total Revenue]]/Europe_Sales_Records34[[#This Row],[Units Sold]]</f>
        <v>152.58000000000001</v>
      </c>
      <c r="X12">
        <v>763662.9</v>
      </c>
      <c r="Y12">
        <v>487687.2</v>
      </c>
      <c r="Z12" s="4">
        <f>Europe_Sales_Records34[[#This Row],[Total Profit]]/Europe_Sales_Records34[[#This Row],[Total Revenue]]</f>
        <v>0.36138419189933152</v>
      </c>
      <c r="AA12">
        <v>275975.7</v>
      </c>
    </row>
    <row r="13" spans="1:27" x14ac:dyDescent="0.3">
      <c r="A13" t="s">
        <v>14</v>
      </c>
      <c r="B13" t="s">
        <v>61</v>
      </c>
      <c r="C13" t="s">
        <v>32</v>
      </c>
      <c r="D13" t="s">
        <v>23</v>
      </c>
      <c r="E13" t="s">
        <v>54</v>
      </c>
      <c r="F13" t="s">
        <v>62</v>
      </c>
      <c r="G13" s="2">
        <f t="shared" si="0"/>
        <v>41742</v>
      </c>
      <c r="H13">
        <f>DAY(Europe_Sales_Records34[[#This Row],[Order Date Fixed]])</f>
        <v>13</v>
      </c>
      <c r="I13" t="str">
        <f>TEXT(Europe_Sales_Records34[[#This Row],[Order Date Fixed]],"MMM")</f>
        <v>Apr</v>
      </c>
      <c r="J13">
        <f>YEAR(Europe_Sales_Records34[[#This Row],[Order Date Fixed]])</f>
        <v>2014</v>
      </c>
      <c r="K13" t="str">
        <f>TEXT(Europe_Sales_Records34[[#This Row],[Order Date Fixed]],"MMM-YYYY")</f>
        <v>Apr-2014</v>
      </c>
      <c r="L13">
        <v>904589211</v>
      </c>
      <c r="M13" s="2">
        <f t="shared" si="1"/>
        <v>41763</v>
      </c>
      <c r="N13">
        <f>DAY(Europe_Sales_Records34[[#This Row],[Ship Date Fixed]])</f>
        <v>4</v>
      </c>
      <c r="O13" t="str">
        <f>TEXT(Europe_Sales_Records34[[#This Row],[Ship Date Fixed]],"MMM")</f>
        <v>May</v>
      </c>
      <c r="P13">
        <f>YEAR(Europe_Sales_Records34[[#This Row],[Ship Date Fixed]])</f>
        <v>2014</v>
      </c>
      <c r="Q13" t="str">
        <f>TEXT(Europe_Sales_Records34[[#This Row],[Ship Date Fixed]],"MMM-YYYY")</f>
        <v>May-2014</v>
      </c>
      <c r="R13" t="s">
        <v>63</v>
      </c>
      <c r="S13" s="3">
        <f>Europe_Sales_Records34[[#This Row],[Ship Date Fixed]]-Europe_Sales_Records34[[#This Row],[Order Date Fixed]]</f>
        <v>21</v>
      </c>
      <c r="T13">
        <v>6905</v>
      </c>
      <c r="U13">
        <v>651.21</v>
      </c>
      <c r="V13">
        <v>524.96</v>
      </c>
      <c r="W13">
        <f>Europe_Sales_Records34[[#This Row],[Total Revenue]]/Europe_Sales_Records34[[#This Row],[Units Sold]]</f>
        <v>651.20999999999992</v>
      </c>
      <c r="X13">
        <v>4496605.05</v>
      </c>
      <c r="Y13">
        <v>3624848.8</v>
      </c>
      <c r="Z13" s="4">
        <f>Europe_Sales_Records34[[#This Row],[Total Profit]]/Europe_Sales_Records34[[#This Row],[Total Revenue]]</f>
        <v>0.19386987300563568</v>
      </c>
      <c r="AA13">
        <v>871756.25</v>
      </c>
    </row>
    <row r="14" spans="1:27" x14ac:dyDescent="0.3">
      <c r="A14" t="s">
        <v>14</v>
      </c>
      <c r="B14" t="s">
        <v>21</v>
      </c>
      <c r="C14" t="s">
        <v>64</v>
      </c>
      <c r="D14" t="s">
        <v>23</v>
      </c>
      <c r="E14" t="s">
        <v>18</v>
      </c>
      <c r="F14" t="s">
        <v>65</v>
      </c>
      <c r="G14" s="2">
        <f t="shared" si="0"/>
        <v>42098</v>
      </c>
      <c r="H14">
        <f>DAY(Europe_Sales_Records34[[#This Row],[Order Date Fixed]])</f>
        <v>4</v>
      </c>
      <c r="I14" t="str">
        <f>TEXT(Europe_Sales_Records34[[#This Row],[Order Date Fixed]],"MMM")</f>
        <v>Apr</v>
      </c>
      <c r="J14">
        <f>YEAR(Europe_Sales_Records34[[#This Row],[Order Date Fixed]])</f>
        <v>2015</v>
      </c>
      <c r="K14" t="str">
        <f>TEXT(Europe_Sales_Records34[[#This Row],[Order Date Fixed]],"MMM-YYYY")</f>
        <v>Apr-2015</v>
      </c>
      <c r="L14">
        <v>184412229</v>
      </c>
      <c r="M14" s="2">
        <f t="shared" si="1"/>
        <v>42101</v>
      </c>
      <c r="N14">
        <f>DAY(Europe_Sales_Records34[[#This Row],[Ship Date Fixed]])</f>
        <v>7</v>
      </c>
      <c r="O14" t="str">
        <f>TEXT(Europe_Sales_Records34[[#This Row],[Ship Date Fixed]],"MMM")</f>
        <v>Apr</v>
      </c>
      <c r="P14">
        <f>YEAR(Europe_Sales_Records34[[#This Row],[Ship Date Fixed]])</f>
        <v>2015</v>
      </c>
      <c r="Q14" t="str">
        <f>TEXT(Europe_Sales_Records34[[#This Row],[Ship Date Fixed]],"MMM-YYYY")</f>
        <v>Apr-2015</v>
      </c>
      <c r="R14" t="s">
        <v>66</v>
      </c>
      <c r="S14" s="3">
        <f>Europe_Sales_Records34[[#This Row],[Ship Date Fixed]]-Europe_Sales_Records34[[#This Row],[Order Date Fixed]]</f>
        <v>3</v>
      </c>
      <c r="T14">
        <v>531</v>
      </c>
      <c r="U14">
        <v>255.28</v>
      </c>
      <c r="V14">
        <v>159.41999999999999</v>
      </c>
      <c r="W14">
        <f>Europe_Sales_Records34[[#This Row],[Total Revenue]]/Europe_Sales_Records34[[#This Row],[Units Sold]]</f>
        <v>255.27999999999997</v>
      </c>
      <c r="X14">
        <v>135553.68</v>
      </c>
      <c r="Y14">
        <v>84652.02</v>
      </c>
      <c r="Z14" s="4">
        <f>Europe_Sales_Records34[[#This Row],[Total Profit]]/Europe_Sales_Records34[[#This Row],[Total Revenue]]</f>
        <v>0.37550924475086184</v>
      </c>
      <c r="AA14">
        <v>50901.66</v>
      </c>
    </row>
    <row r="15" spans="1:27" x14ac:dyDescent="0.3">
      <c r="A15" t="s">
        <v>14</v>
      </c>
      <c r="B15" t="s">
        <v>67</v>
      </c>
      <c r="C15" t="s">
        <v>50</v>
      </c>
      <c r="D15" t="s">
        <v>17</v>
      </c>
      <c r="E15" t="s">
        <v>24</v>
      </c>
      <c r="F15" t="s">
        <v>68</v>
      </c>
      <c r="G15" s="2">
        <f t="shared" si="0"/>
        <v>42802</v>
      </c>
      <c r="H15">
        <f>DAY(Europe_Sales_Records34[[#This Row],[Order Date Fixed]])</f>
        <v>8</v>
      </c>
      <c r="I15" t="str">
        <f>TEXT(Europe_Sales_Records34[[#This Row],[Order Date Fixed]],"MMM")</f>
        <v>Mar</v>
      </c>
      <c r="J15">
        <f>YEAR(Europe_Sales_Records34[[#This Row],[Order Date Fixed]])</f>
        <v>2017</v>
      </c>
      <c r="K15" t="str">
        <f>TEXT(Europe_Sales_Records34[[#This Row],[Order Date Fixed]],"MMM-YYYY")</f>
        <v>Mar-2017</v>
      </c>
      <c r="L15">
        <v>747774398</v>
      </c>
      <c r="M15" s="2">
        <f t="shared" si="1"/>
        <v>42828</v>
      </c>
      <c r="N15">
        <f>DAY(Europe_Sales_Records34[[#This Row],[Ship Date Fixed]])</f>
        <v>3</v>
      </c>
      <c r="O15" t="str">
        <f>TEXT(Europe_Sales_Records34[[#This Row],[Ship Date Fixed]],"MMM")</f>
        <v>Apr</v>
      </c>
      <c r="P15">
        <f>YEAR(Europe_Sales_Records34[[#This Row],[Ship Date Fixed]])</f>
        <v>2017</v>
      </c>
      <c r="Q15" t="str">
        <f>TEXT(Europe_Sales_Records34[[#This Row],[Ship Date Fixed]],"MMM-YYYY")</f>
        <v>Apr-2017</v>
      </c>
      <c r="R15" t="s">
        <v>69</v>
      </c>
      <c r="S15" s="3">
        <f>Europe_Sales_Records34[[#This Row],[Ship Date Fixed]]-Europe_Sales_Records34[[#This Row],[Order Date Fixed]]</f>
        <v>26</v>
      </c>
      <c r="T15">
        <v>1916</v>
      </c>
      <c r="U15">
        <v>421.89</v>
      </c>
      <c r="V15">
        <v>364.69</v>
      </c>
      <c r="W15">
        <f>Europe_Sales_Records34[[#This Row],[Total Revenue]]/Europe_Sales_Records34[[#This Row],[Units Sold]]</f>
        <v>421.89</v>
      </c>
      <c r="X15">
        <v>808341.24</v>
      </c>
      <c r="Y15">
        <v>698746.04</v>
      </c>
      <c r="Z15" s="4">
        <f>Europe_Sales_Records34[[#This Row],[Total Profit]]/Europe_Sales_Records34[[#This Row],[Total Revenue]]</f>
        <v>0.13558036455000119</v>
      </c>
      <c r="AA15">
        <v>109595.2</v>
      </c>
    </row>
    <row r="16" spans="1:27" x14ac:dyDescent="0.3">
      <c r="A16" t="s">
        <v>14</v>
      </c>
      <c r="B16" t="s">
        <v>70</v>
      </c>
      <c r="C16" t="s">
        <v>71</v>
      </c>
      <c r="D16" t="s">
        <v>23</v>
      </c>
      <c r="E16" t="s">
        <v>24</v>
      </c>
      <c r="F16" t="s">
        <v>72</v>
      </c>
      <c r="G16" s="2">
        <f t="shared" si="0"/>
        <v>42926</v>
      </c>
      <c r="H16">
        <f>DAY(Europe_Sales_Records34[[#This Row],[Order Date Fixed]])</f>
        <v>10</v>
      </c>
      <c r="I16" t="str">
        <f>TEXT(Europe_Sales_Records34[[#This Row],[Order Date Fixed]],"MMM")</f>
        <v>Jul</v>
      </c>
      <c r="J16">
        <f>YEAR(Europe_Sales_Records34[[#This Row],[Order Date Fixed]])</f>
        <v>2017</v>
      </c>
      <c r="K16" t="str">
        <f>TEXT(Europe_Sales_Records34[[#This Row],[Order Date Fixed]],"MMM-YYYY")</f>
        <v>Jul-2017</v>
      </c>
      <c r="L16">
        <v>194176757</v>
      </c>
      <c r="M16" s="2">
        <f t="shared" si="1"/>
        <v>42967</v>
      </c>
      <c r="N16">
        <f>DAY(Europe_Sales_Records34[[#This Row],[Ship Date Fixed]])</f>
        <v>20</v>
      </c>
      <c r="O16" t="str">
        <f>TEXT(Europe_Sales_Records34[[#This Row],[Ship Date Fixed]],"MMM")</f>
        <v>Aug</v>
      </c>
      <c r="P16">
        <f>YEAR(Europe_Sales_Records34[[#This Row],[Ship Date Fixed]])</f>
        <v>2017</v>
      </c>
      <c r="Q16" t="str">
        <f>TEXT(Europe_Sales_Records34[[#This Row],[Ship Date Fixed]],"MMM-YYYY")</f>
        <v>Aug-2017</v>
      </c>
      <c r="R16" t="s">
        <v>73</v>
      </c>
      <c r="S16" s="3">
        <f>Europe_Sales_Records34[[#This Row],[Ship Date Fixed]]-Europe_Sales_Records34[[#This Row],[Order Date Fixed]]</f>
        <v>41</v>
      </c>
      <c r="T16">
        <v>72</v>
      </c>
      <c r="U16">
        <v>668.27</v>
      </c>
      <c r="V16">
        <v>502.54</v>
      </c>
      <c r="W16">
        <f>Europe_Sales_Records34[[#This Row],[Total Revenue]]/Europe_Sales_Records34[[#This Row],[Units Sold]]</f>
        <v>668.27</v>
      </c>
      <c r="X16">
        <v>48115.44</v>
      </c>
      <c r="Y16">
        <v>36182.879999999997</v>
      </c>
      <c r="Z16" s="4">
        <f>Europe_Sales_Records34[[#This Row],[Total Profit]]/Europe_Sales_Records34[[#This Row],[Total Revenue]]</f>
        <v>0.24799856345489096</v>
      </c>
      <c r="AA16">
        <v>11932.56</v>
      </c>
    </row>
    <row r="17" spans="1:27" x14ac:dyDescent="0.3">
      <c r="A17" t="s">
        <v>14</v>
      </c>
      <c r="B17" t="s">
        <v>74</v>
      </c>
      <c r="C17" t="s">
        <v>75</v>
      </c>
      <c r="D17" t="s">
        <v>23</v>
      </c>
      <c r="E17" t="s">
        <v>54</v>
      </c>
      <c r="F17" t="s">
        <v>76</v>
      </c>
      <c r="G17" s="2">
        <f t="shared" si="0"/>
        <v>40565</v>
      </c>
      <c r="H17">
        <f>DAY(Europe_Sales_Records34[[#This Row],[Order Date Fixed]])</f>
        <v>22</v>
      </c>
      <c r="I17" t="str">
        <f>TEXT(Europe_Sales_Records34[[#This Row],[Order Date Fixed]],"MMM")</f>
        <v>Jan</v>
      </c>
      <c r="J17">
        <f>YEAR(Europe_Sales_Records34[[#This Row],[Order Date Fixed]])</f>
        <v>2011</v>
      </c>
      <c r="K17" t="str">
        <f>TEXT(Europe_Sales_Records34[[#This Row],[Order Date Fixed]],"MMM-YYYY")</f>
        <v>Jan-2011</v>
      </c>
      <c r="L17">
        <v>773645913</v>
      </c>
      <c r="M17" s="2">
        <f t="shared" si="1"/>
        <v>40571</v>
      </c>
      <c r="N17">
        <f>DAY(Europe_Sales_Records34[[#This Row],[Ship Date Fixed]])</f>
        <v>28</v>
      </c>
      <c r="O17" t="str">
        <f>TEXT(Europe_Sales_Records34[[#This Row],[Ship Date Fixed]],"MMM")</f>
        <v>Jan</v>
      </c>
      <c r="P17">
        <f>YEAR(Europe_Sales_Records34[[#This Row],[Ship Date Fixed]])</f>
        <v>2011</v>
      </c>
      <c r="Q17" t="str">
        <f>TEXT(Europe_Sales_Records34[[#This Row],[Ship Date Fixed]],"MMM-YYYY")</f>
        <v>Jan-2011</v>
      </c>
      <c r="R17" t="s">
        <v>77</v>
      </c>
      <c r="S17" s="3">
        <f>Europe_Sales_Records34[[#This Row],[Ship Date Fixed]]-Europe_Sales_Records34[[#This Row],[Order Date Fixed]]</f>
        <v>6</v>
      </c>
      <c r="T17">
        <v>7873</v>
      </c>
      <c r="U17">
        <v>437.2</v>
      </c>
      <c r="V17">
        <v>263.33</v>
      </c>
      <c r="W17">
        <f>Europe_Sales_Records34[[#This Row],[Total Revenue]]/Europe_Sales_Records34[[#This Row],[Units Sold]]</f>
        <v>437.2</v>
      </c>
      <c r="X17">
        <v>3442075.6</v>
      </c>
      <c r="Y17">
        <v>2073197.09</v>
      </c>
      <c r="Z17" s="4">
        <f>Europe_Sales_Records34[[#This Row],[Total Profit]]/Europe_Sales_Records34[[#This Row],[Total Revenue]]</f>
        <v>0.39768984446477584</v>
      </c>
      <c r="AA17">
        <v>1368878.51</v>
      </c>
    </row>
    <row r="18" spans="1:27" x14ac:dyDescent="0.3">
      <c r="A18" t="s">
        <v>14</v>
      </c>
      <c r="B18" t="s">
        <v>21</v>
      </c>
      <c r="C18" t="s">
        <v>50</v>
      </c>
      <c r="D18" t="s">
        <v>23</v>
      </c>
      <c r="E18" t="s">
        <v>54</v>
      </c>
      <c r="F18" t="s">
        <v>78</v>
      </c>
      <c r="G18" s="2">
        <f t="shared" si="0"/>
        <v>41114</v>
      </c>
      <c r="H18">
        <f>DAY(Europe_Sales_Records34[[#This Row],[Order Date Fixed]])</f>
        <v>24</v>
      </c>
      <c r="I18" t="str">
        <f>TEXT(Europe_Sales_Records34[[#This Row],[Order Date Fixed]],"MMM")</f>
        <v>Jul</v>
      </c>
      <c r="J18">
        <f>YEAR(Europe_Sales_Records34[[#This Row],[Order Date Fixed]])</f>
        <v>2012</v>
      </c>
      <c r="K18" t="str">
        <f>TEXT(Europe_Sales_Records34[[#This Row],[Order Date Fixed]],"MMM-YYYY")</f>
        <v>Jul-2012</v>
      </c>
      <c r="L18">
        <v>410740888</v>
      </c>
      <c r="M18" s="2">
        <f t="shared" si="1"/>
        <v>41153</v>
      </c>
      <c r="N18">
        <f>DAY(Europe_Sales_Records34[[#This Row],[Ship Date Fixed]])</f>
        <v>1</v>
      </c>
      <c r="O18" t="str">
        <f>TEXT(Europe_Sales_Records34[[#This Row],[Ship Date Fixed]],"MMM")</f>
        <v>Sep</v>
      </c>
      <c r="P18">
        <f>YEAR(Europe_Sales_Records34[[#This Row],[Ship Date Fixed]])</f>
        <v>2012</v>
      </c>
      <c r="Q18" t="str">
        <f>TEXT(Europe_Sales_Records34[[#This Row],[Ship Date Fixed]],"MMM-YYYY")</f>
        <v>Sep-2012</v>
      </c>
      <c r="R18" t="s">
        <v>79</v>
      </c>
      <c r="S18" s="3">
        <f>Europe_Sales_Records34[[#This Row],[Ship Date Fixed]]-Europe_Sales_Records34[[#This Row],[Order Date Fixed]]</f>
        <v>39</v>
      </c>
      <c r="T18">
        <v>6211</v>
      </c>
      <c r="U18">
        <v>421.89</v>
      </c>
      <c r="V18">
        <v>364.69</v>
      </c>
      <c r="W18">
        <f>Europe_Sales_Records34[[#This Row],[Total Revenue]]/Europe_Sales_Records34[[#This Row],[Units Sold]]</f>
        <v>421.89</v>
      </c>
      <c r="X18">
        <v>2620358.79</v>
      </c>
      <c r="Y18">
        <v>2265089.59</v>
      </c>
      <c r="Z18" s="4">
        <f>Europe_Sales_Records34[[#This Row],[Total Profit]]/Europe_Sales_Records34[[#This Row],[Total Revenue]]</f>
        <v>0.13558036455000119</v>
      </c>
      <c r="AA18">
        <v>355269.2</v>
      </c>
    </row>
    <row r="19" spans="1:27" x14ac:dyDescent="0.3">
      <c r="A19" t="s">
        <v>14</v>
      </c>
      <c r="B19" t="s">
        <v>80</v>
      </c>
      <c r="C19" t="s">
        <v>50</v>
      </c>
      <c r="D19" t="s">
        <v>17</v>
      </c>
      <c r="E19" t="s">
        <v>24</v>
      </c>
      <c r="F19" t="s">
        <v>81</v>
      </c>
      <c r="G19" s="2">
        <f t="shared" si="0"/>
        <v>40892</v>
      </c>
      <c r="H19">
        <f>DAY(Europe_Sales_Records34[[#This Row],[Order Date Fixed]])</f>
        <v>15</v>
      </c>
      <c r="I19" t="str">
        <f>TEXT(Europe_Sales_Records34[[#This Row],[Order Date Fixed]],"MMM")</f>
        <v>Dec</v>
      </c>
      <c r="J19">
        <f>YEAR(Europe_Sales_Records34[[#This Row],[Order Date Fixed]])</f>
        <v>2011</v>
      </c>
      <c r="K19" t="str">
        <f>TEXT(Europe_Sales_Records34[[#This Row],[Order Date Fixed]],"MMM-YYYY")</f>
        <v>Dec-2011</v>
      </c>
      <c r="L19">
        <v>847317397</v>
      </c>
      <c r="M19" s="2">
        <f t="shared" si="1"/>
        <v>40895</v>
      </c>
      <c r="N19">
        <f>DAY(Europe_Sales_Records34[[#This Row],[Ship Date Fixed]])</f>
        <v>18</v>
      </c>
      <c r="O19" t="str">
        <f>TEXT(Europe_Sales_Records34[[#This Row],[Ship Date Fixed]],"MMM")</f>
        <v>Dec</v>
      </c>
      <c r="P19">
        <f>YEAR(Europe_Sales_Records34[[#This Row],[Ship Date Fixed]])</f>
        <v>2011</v>
      </c>
      <c r="Q19" t="str">
        <f>TEXT(Europe_Sales_Records34[[#This Row],[Ship Date Fixed]],"MMM-YYYY")</f>
        <v>Dec-2011</v>
      </c>
      <c r="R19" t="s">
        <v>82</v>
      </c>
      <c r="S19" s="3">
        <f>Europe_Sales_Records34[[#This Row],[Ship Date Fixed]]-Europe_Sales_Records34[[#This Row],[Order Date Fixed]]</f>
        <v>3</v>
      </c>
      <c r="T19">
        <v>8902</v>
      </c>
      <c r="U19">
        <v>421.89</v>
      </c>
      <c r="V19">
        <v>364.69</v>
      </c>
      <c r="W19">
        <f>Europe_Sales_Records34[[#This Row],[Total Revenue]]/Europe_Sales_Records34[[#This Row],[Units Sold]]</f>
        <v>421.89</v>
      </c>
      <c r="X19">
        <v>3755664.78</v>
      </c>
      <c r="Y19">
        <v>3246470.38</v>
      </c>
      <c r="Z19" s="4">
        <f>Europe_Sales_Records34[[#This Row],[Total Profit]]/Europe_Sales_Records34[[#This Row],[Total Revenue]]</f>
        <v>0.13558036455000119</v>
      </c>
      <c r="AA19">
        <v>509194.4</v>
      </c>
    </row>
    <row r="20" spans="1:27" x14ac:dyDescent="0.3">
      <c r="A20" t="s">
        <v>14</v>
      </c>
      <c r="B20" t="s">
        <v>83</v>
      </c>
      <c r="C20" t="s">
        <v>16</v>
      </c>
      <c r="D20" t="s">
        <v>23</v>
      </c>
      <c r="E20" t="s">
        <v>33</v>
      </c>
      <c r="F20" t="s">
        <v>84</v>
      </c>
      <c r="G20" s="2">
        <f t="shared" si="0"/>
        <v>41155</v>
      </c>
      <c r="H20">
        <f>DAY(Europe_Sales_Records34[[#This Row],[Order Date Fixed]])</f>
        <v>3</v>
      </c>
      <c r="I20" t="str">
        <f>TEXT(Europe_Sales_Records34[[#This Row],[Order Date Fixed]],"MMM")</f>
        <v>Sep</v>
      </c>
      <c r="J20">
        <f>YEAR(Europe_Sales_Records34[[#This Row],[Order Date Fixed]])</f>
        <v>2012</v>
      </c>
      <c r="K20" t="str">
        <f>TEXT(Europe_Sales_Records34[[#This Row],[Order Date Fixed]],"MMM-YYYY")</f>
        <v>Sep-2012</v>
      </c>
      <c r="L20">
        <v>599624192</v>
      </c>
      <c r="M20" s="2">
        <f t="shared" si="1"/>
        <v>41173</v>
      </c>
      <c r="N20">
        <f>DAY(Europe_Sales_Records34[[#This Row],[Ship Date Fixed]])</f>
        <v>21</v>
      </c>
      <c r="O20" t="str">
        <f>TEXT(Europe_Sales_Records34[[#This Row],[Ship Date Fixed]],"MMM")</f>
        <v>Sep</v>
      </c>
      <c r="P20">
        <f>YEAR(Europe_Sales_Records34[[#This Row],[Ship Date Fixed]])</f>
        <v>2012</v>
      </c>
      <c r="Q20" t="str">
        <f>TEXT(Europe_Sales_Records34[[#This Row],[Ship Date Fixed]],"MMM-YYYY")</f>
        <v>Sep-2012</v>
      </c>
      <c r="R20" t="s">
        <v>85</v>
      </c>
      <c r="S20" s="3">
        <f>Europe_Sales_Records34[[#This Row],[Ship Date Fixed]]-Europe_Sales_Records34[[#This Row],[Order Date Fixed]]</f>
        <v>18</v>
      </c>
      <c r="T20">
        <v>978</v>
      </c>
      <c r="U20">
        <v>47.45</v>
      </c>
      <c r="V20">
        <v>31.79</v>
      </c>
      <c r="W20">
        <f>Europe_Sales_Records34[[#This Row],[Total Revenue]]/Europe_Sales_Records34[[#This Row],[Units Sold]]</f>
        <v>47.449999999999996</v>
      </c>
      <c r="X20">
        <v>46406.1</v>
      </c>
      <c r="Y20">
        <v>31090.62</v>
      </c>
      <c r="Z20" s="4">
        <f>Europe_Sales_Records34[[#This Row],[Total Profit]]/Europe_Sales_Records34[[#This Row],[Total Revenue]]</f>
        <v>0.33003161222339306</v>
      </c>
      <c r="AA20">
        <v>15315.48</v>
      </c>
    </row>
    <row r="21" spans="1:27" x14ac:dyDescent="0.3">
      <c r="A21" t="s">
        <v>14</v>
      </c>
      <c r="B21" t="s">
        <v>86</v>
      </c>
      <c r="C21" t="s">
        <v>32</v>
      </c>
      <c r="D21" t="s">
        <v>23</v>
      </c>
      <c r="E21" t="s">
        <v>24</v>
      </c>
      <c r="F21" t="s">
        <v>87</v>
      </c>
      <c r="G21" s="2">
        <f t="shared" si="0"/>
        <v>41660</v>
      </c>
      <c r="H21">
        <f>DAY(Europe_Sales_Records34[[#This Row],[Order Date Fixed]])</f>
        <v>21</v>
      </c>
      <c r="I21" t="str">
        <f>TEXT(Europe_Sales_Records34[[#This Row],[Order Date Fixed]],"MMM")</f>
        <v>Jan</v>
      </c>
      <c r="J21">
        <f>YEAR(Europe_Sales_Records34[[#This Row],[Order Date Fixed]])</f>
        <v>2014</v>
      </c>
      <c r="K21" t="str">
        <f>TEXT(Europe_Sales_Records34[[#This Row],[Order Date Fixed]],"MMM-YYYY")</f>
        <v>Jan-2014</v>
      </c>
      <c r="L21">
        <v>734318292</v>
      </c>
      <c r="M21" s="2">
        <f t="shared" si="1"/>
        <v>41702</v>
      </c>
      <c r="N21">
        <f>DAY(Europe_Sales_Records34[[#This Row],[Ship Date Fixed]])</f>
        <v>4</v>
      </c>
      <c r="O21" t="str">
        <f>TEXT(Europe_Sales_Records34[[#This Row],[Ship Date Fixed]],"MMM")</f>
        <v>Mar</v>
      </c>
      <c r="P21">
        <f>YEAR(Europe_Sales_Records34[[#This Row],[Ship Date Fixed]])</f>
        <v>2014</v>
      </c>
      <c r="Q21" t="str">
        <f>TEXT(Europe_Sales_Records34[[#This Row],[Ship Date Fixed]],"MMM-YYYY")</f>
        <v>Mar-2014</v>
      </c>
      <c r="R21" t="s">
        <v>88</v>
      </c>
      <c r="S21" s="3">
        <f>Europe_Sales_Records34[[#This Row],[Ship Date Fixed]]-Europe_Sales_Records34[[#This Row],[Order Date Fixed]]</f>
        <v>42</v>
      </c>
      <c r="T21">
        <v>9956</v>
      </c>
      <c r="U21">
        <v>651.21</v>
      </c>
      <c r="V21">
        <v>524.96</v>
      </c>
      <c r="W21">
        <f>Europe_Sales_Records34[[#This Row],[Total Revenue]]/Europe_Sales_Records34[[#This Row],[Units Sold]]</f>
        <v>651.20999999999992</v>
      </c>
      <c r="X21">
        <v>6483446.7599999998</v>
      </c>
      <c r="Y21">
        <v>5226501.76</v>
      </c>
      <c r="Z21" s="4">
        <f>Europe_Sales_Records34[[#This Row],[Total Profit]]/Europe_Sales_Records34[[#This Row],[Total Revenue]]</f>
        <v>0.19386987300563566</v>
      </c>
      <c r="AA21">
        <v>1256945</v>
      </c>
    </row>
    <row r="22" spans="1:27" x14ac:dyDescent="0.3">
      <c r="A22" t="s">
        <v>14</v>
      </c>
      <c r="B22" t="s">
        <v>89</v>
      </c>
      <c r="C22" t="s">
        <v>71</v>
      </c>
      <c r="D22" t="s">
        <v>17</v>
      </c>
      <c r="E22" t="s">
        <v>33</v>
      </c>
      <c r="F22" t="s">
        <v>90</v>
      </c>
      <c r="G22" s="2">
        <f t="shared" si="0"/>
        <v>42923</v>
      </c>
      <c r="H22">
        <f>DAY(Europe_Sales_Records34[[#This Row],[Order Date Fixed]])</f>
        <v>7</v>
      </c>
      <c r="I22" t="str">
        <f>TEXT(Europe_Sales_Records34[[#This Row],[Order Date Fixed]],"MMM")</f>
        <v>Jul</v>
      </c>
      <c r="J22">
        <f>YEAR(Europe_Sales_Records34[[#This Row],[Order Date Fixed]])</f>
        <v>2017</v>
      </c>
      <c r="K22" t="str">
        <f>TEXT(Europe_Sales_Records34[[#This Row],[Order Date Fixed]],"MMM-YYYY")</f>
        <v>Jul-2017</v>
      </c>
      <c r="L22">
        <v>232196319</v>
      </c>
      <c r="M22" s="2">
        <f t="shared" si="1"/>
        <v>42951</v>
      </c>
      <c r="N22">
        <f>DAY(Europe_Sales_Records34[[#This Row],[Ship Date Fixed]])</f>
        <v>4</v>
      </c>
      <c r="O22" t="str">
        <f>TEXT(Europe_Sales_Records34[[#This Row],[Ship Date Fixed]],"MMM")</f>
        <v>Aug</v>
      </c>
      <c r="P22">
        <f>YEAR(Europe_Sales_Records34[[#This Row],[Ship Date Fixed]])</f>
        <v>2017</v>
      </c>
      <c r="Q22" t="str">
        <f>TEXT(Europe_Sales_Records34[[#This Row],[Ship Date Fixed]],"MMM-YYYY")</f>
        <v>Aug-2017</v>
      </c>
      <c r="R22" t="s">
        <v>91</v>
      </c>
      <c r="S22" s="3">
        <f>Europe_Sales_Records34[[#This Row],[Ship Date Fixed]]-Europe_Sales_Records34[[#This Row],[Order Date Fixed]]</f>
        <v>28</v>
      </c>
      <c r="T22">
        <v>905</v>
      </c>
      <c r="U22">
        <v>668.27</v>
      </c>
      <c r="V22">
        <v>502.54</v>
      </c>
      <c r="W22">
        <f>Europe_Sales_Records34[[#This Row],[Total Revenue]]/Europe_Sales_Records34[[#This Row],[Units Sold]]</f>
        <v>668.27</v>
      </c>
      <c r="X22">
        <v>604784.35</v>
      </c>
      <c r="Y22">
        <v>454798.7</v>
      </c>
      <c r="Z22" s="4">
        <f>Europe_Sales_Records34[[#This Row],[Total Profit]]/Europe_Sales_Records34[[#This Row],[Total Revenue]]</f>
        <v>0.24799856345489099</v>
      </c>
      <c r="AA22">
        <v>149985.65</v>
      </c>
    </row>
    <row r="23" spans="1:27" x14ac:dyDescent="0.3">
      <c r="A23" t="s">
        <v>14</v>
      </c>
      <c r="B23" t="s">
        <v>92</v>
      </c>
      <c r="C23" t="s">
        <v>75</v>
      </c>
      <c r="D23" t="s">
        <v>23</v>
      </c>
      <c r="E23" t="s">
        <v>33</v>
      </c>
      <c r="F23" t="s">
        <v>93</v>
      </c>
      <c r="G23" s="2">
        <f t="shared" si="0"/>
        <v>41105</v>
      </c>
      <c r="H23">
        <f>DAY(Europe_Sales_Records34[[#This Row],[Order Date Fixed]])</f>
        <v>15</v>
      </c>
      <c r="I23" t="str">
        <f>TEXT(Europe_Sales_Records34[[#This Row],[Order Date Fixed]],"MMM")</f>
        <v>Jul</v>
      </c>
      <c r="J23">
        <f>YEAR(Europe_Sales_Records34[[#This Row],[Order Date Fixed]])</f>
        <v>2012</v>
      </c>
      <c r="K23" t="str">
        <f>TEXT(Europe_Sales_Records34[[#This Row],[Order Date Fixed]],"MMM-YYYY")</f>
        <v>Jul-2012</v>
      </c>
      <c r="L23">
        <v>229693067</v>
      </c>
      <c r="M23" s="2">
        <f t="shared" si="1"/>
        <v>41105</v>
      </c>
      <c r="N23">
        <f>DAY(Europe_Sales_Records34[[#This Row],[Ship Date Fixed]])</f>
        <v>15</v>
      </c>
      <c r="O23" t="str">
        <f>TEXT(Europe_Sales_Records34[[#This Row],[Ship Date Fixed]],"MMM")</f>
        <v>Jul</v>
      </c>
      <c r="P23">
        <f>YEAR(Europe_Sales_Records34[[#This Row],[Ship Date Fixed]])</f>
        <v>2012</v>
      </c>
      <c r="Q23" t="str">
        <f>TEXT(Europe_Sales_Records34[[#This Row],[Ship Date Fixed]],"MMM-YYYY")</f>
        <v>Jul-2012</v>
      </c>
      <c r="R23" t="s">
        <v>93</v>
      </c>
      <c r="S23" s="3">
        <f>Europe_Sales_Records34[[#This Row],[Ship Date Fixed]]-Europe_Sales_Records34[[#This Row],[Order Date Fixed]]</f>
        <v>0</v>
      </c>
      <c r="T23">
        <v>138</v>
      </c>
      <c r="U23">
        <v>437.2</v>
      </c>
      <c r="V23">
        <v>263.33</v>
      </c>
      <c r="W23">
        <f>Europe_Sales_Records34[[#This Row],[Total Revenue]]/Europe_Sales_Records34[[#This Row],[Units Sold]]</f>
        <v>437.2</v>
      </c>
      <c r="X23">
        <v>60333.599999999999</v>
      </c>
      <c r="Y23">
        <v>36339.54</v>
      </c>
      <c r="Z23" s="4">
        <f>Europe_Sales_Records34[[#This Row],[Total Profit]]/Europe_Sales_Records34[[#This Row],[Total Revenue]]</f>
        <v>0.3976898444647759</v>
      </c>
      <c r="AA23">
        <v>23994.06</v>
      </c>
    </row>
    <row r="24" spans="1:27" x14ac:dyDescent="0.3">
      <c r="A24" t="s">
        <v>14</v>
      </c>
      <c r="B24" t="s">
        <v>94</v>
      </c>
      <c r="C24" t="s">
        <v>16</v>
      </c>
      <c r="D24" t="s">
        <v>23</v>
      </c>
      <c r="E24" t="s">
        <v>18</v>
      </c>
      <c r="F24" t="s">
        <v>95</v>
      </c>
      <c r="G24" s="2">
        <f t="shared" si="0"/>
        <v>42833</v>
      </c>
      <c r="H24">
        <f>DAY(Europe_Sales_Records34[[#This Row],[Order Date Fixed]])</f>
        <v>8</v>
      </c>
      <c r="I24" t="str">
        <f>TEXT(Europe_Sales_Records34[[#This Row],[Order Date Fixed]],"MMM")</f>
        <v>Apr</v>
      </c>
      <c r="J24">
        <f>YEAR(Europe_Sales_Records34[[#This Row],[Order Date Fixed]])</f>
        <v>2017</v>
      </c>
      <c r="K24" t="str">
        <f>TEXT(Europe_Sales_Records34[[#This Row],[Order Date Fixed]],"MMM-YYYY")</f>
        <v>Apr-2017</v>
      </c>
      <c r="L24">
        <v>121945512</v>
      </c>
      <c r="M24" s="2">
        <f t="shared" si="1"/>
        <v>42837</v>
      </c>
      <c r="N24">
        <f>DAY(Europe_Sales_Records34[[#This Row],[Ship Date Fixed]])</f>
        <v>12</v>
      </c>
      <c r="O24" t="str">
        <f>TEXT(Europe_Sales_Records34[[#This Row],[Ship Date Fixed]],"MMM")</f>
        <v>Apr</v>
      </c>
      <c r="P24">
        <f>YEAR(Europe_Sales_Records34[[#This Row],[Ship Date Fixed]])</f>
        <v>2017</v>
      </c>
      <c r="Q24" t="str">
        <f>TEXT(Europe_Sales_Records34[[#This Row],[Ship Date Fixed]],"MMM-YYYY")</f>
        <v>Apr-2017</v>
      </c>
      <c r="R24" t="s">
        <v>96</v>
      </c>
      <c r="S24" s="3">
        <f>Europe_Sales_Records34[[#This Row],[Ship Date Fixed]]-Europe_Sales_Records34[[#This Row],[Order Date Fixed]]</f>
        <v>4</v>
      </c>
      <c r="T24">
        <v>5242</v>
      </c>
      <c r="U24">
        <v>47.45</v>
      </c>
      <c r="V24">
        <v>31.79</v>
      </c>
      <c r="W24">
        <f>Europe_Sales_Records34[[#This Row],[Total Revenue]]/Europe_Sales_Records34[[#This Row],[Units Sold]]</f>
        <v>47.449999999999996</v>
      </c>
      <c r="X24">
        <v>248732.9</v>
      </c>
      <c r="Y24">
        <v>166643.18</v>
      </c>
      <c r="Z24" s="4">
        <f>Europe_Sales_Records34[[#This Row],[Total Profit]]/Europe_Sales_Records34[[#This Row],[Total Revenue]]</f>
        <v>0.33003161222339306</v>
      </c>
      <c r="AA24">
        <v>82089.72</v>
      </c>
    </row>
    <row r="25" spans="1:27" x14ac:dyDescent="0.3">
      <c r="A25" t="s">
        <v>14</v>
      </c>
      <c r="B25" t="s">
        <v>97</v>
      </c>
      <c r="C25" t="s">
        <v>37</v>
      </c>
      <c r="D25" t="s">
        <v>23</v>
      </c>
      <c r="E25" t="s">
        <v>54</v>
      </c>
      <c r="F25" t="s">
        <v>98</v>
      </c>
      <c r="G25" s="2">
        <f t="shared" si="0"/>
        <v>41204</v>
      </c>
      <c r="H25">
        <f>DAY(Europe_Sales_Records34[[#This Row],[Order Date Fixed]])</f>
        <v>22</v>
      </c>
      <c r="I25" t="str">
        <f>TEXT(Europe_Sales_Records34[[#This Row],[Order Date Fixed]],"MMM")</f>
        <v>Oct</v>
      </c>
      <c r="J25">
        <f>YEAR(Europe_Sales_Records34[[#This Row],[Order Date Fixed]])</f>
        <v>2012</v>
      </c>
      <c r="K25" t="str">
        <f>TEXT(Europe_Sales_Records34[[#This Row],[Order Date Fixed]],"MMM-YYYY")</f>
        <v>Oct-2012</v>
      </c>
      <c r="L25">
        <v>169799983</v>
      </c>
      <c r="M25" s="2">
        <f t="shared" si="1"/>
        <v>41233</v>
      </c>
      <c r="N25">
        <f>DAY(Europe_Sales_Records34[[#This Row],[Ship Date Fixed]])</f>
        <v>20</v>
      </c>
      <c r="O25" t="str">
        <f>TEXT(Europe_Sales_Records34[[#This Row],[Ship Date Fixed]],"MMM")</f>
        <v>Nov</v>
      </c>
      <c r="P25">
        <f>YEAR(Europe_Sales_Records34[[#This Row],[Ship Date Fixed]])</f>
        <v>2012</v>
      </c>
      <c r="Q25" t="str">
        <f>TEXT(Europe_Sales_Records34[[#This Row],[Ship Date Fixed]],"MMM-YYYY")</f>
        <v>Nov-2012</v>
      </c>
      <c r="R25" t="s">
        <v>99</v>
      </c>
      <c r="S25" s="3">
        <f>Europe_Sales_Records34[[#This Row],[Ship Date Fixed]]-Europe_Sales_Records34[[#This Row],[Order Date Fixed]]</f>
        <v>29</v>
      </c>
      <c r="T25">
        <v>6443</v>
      </c>
      <c r="U25">
        <v>9.33</v>
      </c>
      <c r="V25">
        <v>6.92</v>
      </c>
      <c r="W25">
        <f>Europe_Sales_Records34[[#This Row],[Total Revenue]]/Europe_Sales_Records34[[#This Row],[Units Sold]]</f>
        <v>9.33</v>
      </c>
      <c r="X25">
        <v>60113.19</v>
      </c>
      <c r="Y25">
        <v>44585.56</v>
      </c>
      <c r="Z25" s="4">
        <f>Europe_Sales_Records34[[#This Row],[Total Profit]]/Europe_Sales_Records34[[#This Row],[Total Revenue]]</f>
        <v>0.25830653804930331</v>
      </c>
      <c r="AA25">
        <v>15527.63</v>
      </c>
    </row>
    <row r="26" spans="1:27" x14ac:dyDescent="0.3">
      <c r="A26" t="s">
        <v>14</v>
      </c>
      <c r="B26" t="s">
        <v>100</v>
      </c>
      <c r="C26" t="s">
        <v>46</v>
      </c>
      <c r="D26" t="s">
        <v>23</v>
      </c>
      <c r="E26" t="s">
        <v>24</v>
      </c>
      <c r="F26" t="s">
        <v>101</v>
      </c>
      <c r="G26" s="2">
        <f t="shared" si="0"/>
        <v>41709</v>
      </c>
      <c r="H26">
        <f>DAY(Europe_Sales_Records34[[#This Row],[Order Date Fixed]])</f>
        <v>11</v>
      </c>
      <c r="I26" t="str">
        <f>TEXT(Europe_Sales_Records34[[#This Row],[Order Date Fixed]],"MMM")</f>
        <v>Mar</v>
      </c>
      <c r="J26">
        <f>YEAR(Europe_Sales_Records34[[#This Row],[Order Date Fixed]])</f>
        <v>2014</v>
      </c>
      <c r="K26" t="str">
        <f>TEXT(Europe_Sales_Records34[[#This Row],[Order Date Fixed]],"MMM-YYYY")</f>
        <v>Mar-2014</v>
      </c>
      <c r="L26">
        <v>894589078</v>
      </c>
      <c r="M26" s="2">
        <f t="shared" si="1"/>
        <v>41739</v>
      </c>
      <c r="N26">
        <f>DAY(Europe_Sales_Records34[[#This Row],[Ship Date Fixed]])</f>
        <v>10</v>
      </c>
      <c r="O26" t="str">
        <f>TEXT(Europe_Sales_Records34[[#This Row],[Ship Date Fixed]],"MMM")</f>
        <v>Apr</v>
      </c>
      <c r="P26">
        <f>YEAR(Europe_Sales_Records34[[#This Row],[Ship Date Fixed]])</f>
        <v>2014</v>
      </c>
      <c r="Q26" t="str">
        <f>TEXT(Europe_Sales_Records34[[#This Row],[Ship Date Fixed]],"MMM-YYYY")</f>
        <v>Apr-2014</v>
      </c>
      <c r="R26" t="s">
        <v>52</v>
      </c>
      <c r="S26" s="3">
        <f>Europe_Sales_Records34[[#This Row],[Ship Date Fixed]]-Europe_Sales_Records34[[#This Row],[Order Date Fixed]]</f>
        <v>30</v>
      </c>
      <c r="T26">
        <v>7643</v>
      </c>
      <c r="U26">
        <v>154.06</v>
      </c>
      <c r="V26">
        <v>90.93</v>
      </c>
      <c r="W26">
        <f>Europe_Sales_Records34[[#This Row],[Total Revenue]]/Europe_Sales_Records34[[#This Row],[Units Sold]]</f>
        <v>154.06</v>
      </c>
      <c r="X26">
        <v>1177480.58</v>
      </c>
      <c r="Y26">
        <v>694977.99</v>
      </c>
      <c r="Z26" s="4">
        <f>Europe_Sales_Records34[[#This Row],[Total Profit]]/Europe_Sales_Records34[[#This Row],[Total Revenue]]</f>
        <v>0.40977541217707386</v>
      </c>
      <c r="AA26">
        <v>482502.59</v>
      </c>
    </row>
    <row r="27" spans="1:27" x14ac:dyDescent="0.3">
      <c r="A27" t="s">
        <v>14</v>
      </c>
      <c r="B27" t="s">
        <v>74</v>
      </c>
      <c r="C27" t="s">
        <v>102</v>
      </c>
      <c r="D27" t="s">
        <v>23</v>
      </c>
      <c r="E27" t="s">
        <v>24</v>
      </c>
      <c r="F27" t="s">
        <v>103</v>
      </c>
      <c r="G27" s="2">
        <f t="shared" si="0"/>
        <v>40375</v>
      </c>
      <c r="H27">
        <f>DAY(Europe_Sales_Records34[[#This Row],[Order Date Fixed]])</f>
        <v>16</v>
      </c>
      <c r="I27" t="str">
        <f>TEXT(Europe_Sales_Records34[[#This Row],[Order Date Fixed]],"MMM")</f>
        <v>Jul</v>
      </c>
      <c r="J27">
        <f>YEAR(Europe_Sales_Records34[[#This Row],[Order Date Fixed]])</f>
        <v>2010</v>
      </c>
      <c r="K27" t="str">
        <f>TEXT(Europe_Sales_Records34[[#This Row],[Order Date Fixed]],"MMM-YYYY")</f>
        <v>Jul-2010</v>
      </c>
      <c r="L27">
        <v>987459170</v>
      </c>
      <c r="M27" s="2">
        <f t="shared" si="1"/>
        <v>40417</v>
      </c>
      <c r="N27">
        <f>DAY(Europe_Sales_Records34[[#This Row],[Ship Date Fixed]])</f>
        <v>27</v>
      </c>
      <c r="O27" t="str">
        <f>TEXT(Europe_Sales_Records34[[#This Row],[Ship Date Fixed]],"MMM")</f>
        <v>Aug</v>
      </c>
      <c r="P27">
        <f>YEAR(Europe_Sales_Records34[[#This Row],[Ship Date Fixed]])</f>
        <v>2010</v>
      </c>
      <c r="Q27" t="str">
        <f>TEXT(Europe_Sales_Records34[[#This Row],[Ship Date Fixed]],"MMM-YYYY")</f>
        <v>Aug-2010</v>
      </c>
      <c r="R27" t="s">
        <v>104</v>
      </c>
      <c r="S27" s="3">
        <f>Europe_Sales_Records34[[#This Row],[Ship Date Fixed]]-Europe_Sales_Records34[[#This Row],[Order Date Fixed]]</f>
        <v>42</v>
      </c>
      <c r="T27">
        <v>9967</v>
      </c>
      <c r="U27">
        <v>81.73</v>
      </c>
      <c r="V27">
        <v>56.67</v>
      </c>
      <c r="W27">
        <f>Europe_Sales_Records34[[#This Row],[Total Revenue]]/Europe_Sales_Records34[[#This Row],[Units Sold]]</f>
        <v>81.73</v>
      </c>
      <c r="X27">
        <v>814602.91</v>
      </c>
      <c r="Y27">
        <v>564829.89</v>
      </c>
      <c r="Z27" s="4">
        <f>Europe_Sales_Records34[[#This Row],[Total Profit]]/Europe_Sales_Records34[[#This Row],[Total Revenue]]</f>
        <v>0.30661935641747212</v>
      </c>
      <c r="AA27">
        <v>249773.02</v>
      </c>
    </row>
    <row r="28" spans="1:27" x14ac:dyDescent="0.3">
      <c r="A28" t="s">
        <v>14</v>
      </c>
      <c r="B28" t="s">
        <v>105</v>
      </c>
      <c r="C28" t="s">
        <v>37</v>
      </c>
      <c r="D28" t="s">
        <v>17</v>
      </c>
      <c r="E28" t="s">
        <v>24</v>
      </c>
      <c r="F28" t="s">
        <v>106</v>
      </c>
      <c r="G28" s="2">
        <f t="shared" si="0"/>
        <v>42197</v>
      </c>
      <c r="H28">
        <f>DAY(Europe_Sales_Records34[[#This Row],[Order Date Fixed]])</f>
        <v>12</v>
      </c>
      <c r="I28" t="str">
        <f>TEXT(Europe_Sales_Records34[[#This Row],[Order Date Fixed]],"MMM")</f>
        <v>Jul</v>
      </c>
      <c r="J28">
        <f>YEAR(Europe_Sales_Records34[[#This Row],[Order Date Fixed]])</f>
        <v>2015</v>
      </c>
      <c r="K28" t="str">
        <f>TEXT(Europe_Sales_Records34[[#This Row],[Order Date Fixed]],"MMM-YYYY")</f>
        <v>Jul-2015</v>
      </c>
      <c r="L28">
        <v>600515115</v>
      </c>
      <c r="M28" s="2">
        <f t="shared" si="1"/>
        <v>42246</v>
      </c>
      <c r="N28">
        <f>DAY(Europe_Sales_Records34[[#This Row],[Ship Date Fixed]])</f>
        <v>30</v>
      </c>
      <c r="O28" t="str">
        <f>TEXT(Europe_Sales_Records34[[#This Row],[Ship Date Fixed]],"MMM")</f>
        <v>Aug</v>
      </c>
      <c r="P28">
        <f>YEAR(Europe_Sales_Records34[[#This Row],[Ship Date Fixed]])</f>
        <v>2015</v>
      </c>
      <c r="Q28" t="str">
        <f>TEXT(Europe_Sales_Records34[[#This Row],[Ship Date Fixed]],"MMM-YYYY")</f>
        <v>Aug-2015</v>
      </c>
      <c r="R28" t="s">
        <v>107</v>
      </c>
      <c r="S28" s="3">
        <f>Europe_Sales_Records34[[#This Row],[Ship Date Fixed]]-Europe_Sales_Records34[[#This Row],[Order Date Fixed]]</f>
        <v>49</v>
      </c>
      <c r="T28">
        <v>4622</v>
      </c>
      <c r="U28">
        <v>9.33</v>
      </c>
      <c r="V28">
        <v>6.92</v>
      </c>
      <c r="W28">
        <f>Europe_Sales_Records34[[#This Row],[Total Revenue]]/Europe_Sales_Records34[[#This Row],[Units Sold]]</f>
        <v>9.33</v>
      </c>
      <c r="X28">
        <v>43123.26</v>
      </c>
      <c r="Y28">
        <v>31984.240000000002</v>
      </c>
      <c r="Z28" s="4">
        <f>Europe_Sales_Records34[[#This Row],[Total Profit]]/Europe_Sales_Records34[[#This Row],[Total Revenue]]</f>
        <v>0.25830653804930331</v>
      </c>
      <c r="AA28">
        <v>11139.02</v>
      </c>
    </row>
    <row r="29" spans="1:27" x14ac:dyDescent="0.3">
      <c r="A29" t="s">
        <v>14</v>
      </c>
      <c r="B29" t="s">
        <v>89</v>
      </c>
      <c r="C29" t="s">
        <v>32</v>
      </c>
      <c r="D29" t="s">
        <v>17</v>
      </c>
      <c r="E29" t="s">
        <v>24</v>
      </c>
      <c r="F29" t="s">
        <v>108</v>
      </c>
      <c r="G29" s="2">
        <f t="shared" si="0"/>
        <v>42335</v>
      </c>
      <c r="H29">
        <f>DAY(Europe_Sales_Records34[[#This Row],[Order Date Fixed]])</f>
        <v>27</v>
      </c>
      <c r="I29" t="str">
        <f>TEXT(Europe_Sales_Records34[[#This Row],[Order Date Fixed]],"MMM")</f>
        <v>Nov</v>
      </c>
      <c r="J29">
        <f>YEAR(Europe_Sales_Records34[[#This Row],[Order Date Fixed]])</f>
        <v>2015</v>
      </c>
      <c r="K29" t="str">
        <f>TEXT(Europe_Sales_Records34[[#This Row],[Order Date Fixed]],"MMM-YYYY")</f>
        <v>Nov-2015</v>
      </c>
      <c r="L29">
        <v>208365428</v>
      </c>
      <c r="M29" s="2">
        <f t="shared" si="1"/>
        <v>42367</v>
      </c>
      <c r="N29">
        <f>DAY(Europe_Sales_Records34[[#This Row],[Ship Date Fixed]])</f>
        <v>29</v>
      </c>
      <c r="O29" t="str">
        <f>TEXT(Europe_Sales_Records34[[#This Row],[Ship Date Fixed]],"MMM")</f>
        <v>Dec</v>
      </c>
      <c r="P29">
        <f>YEAR(Europe_Sales_Records34[[#This Row],[Ship Date Fixed]])</f>
        <v>2015</v>
      </c>
      <c r="Q29" t="str">
        <f>TEXT(Europe_Sales_Records34[[#This Row],[Ship Date Fixed]],"MMM-YYYY")</f>
        <v>Dec-2015</v>
      </c>
      <c r="R29" t="s">
        <v>109</v>
      </c>
      <c r="S29" s="3">
        <f>Europe_Sales_Records34[[#This Row],[Ship Date Fixed]]-Europe_Sales_Records34[[#This Row],[Order Date Fixed]]</f>
        <v>32</v>
      </c>
      <c r="T29">
        <v>8815</v>
      </c>
      <c r="U29">
        <v>651.21</v>
      </c>
      <c r="V29">
        <v>524.96</v>
      </c>
      <c r="W29">
        <f>Europe_Sales_Records34[[#This Row],[Total Revenue]]/Europe_Sales_Records34[[#This Row],[Units Sold]]</f>
        <v>651.21</v>
      </c>
      <c r="X29">
        <v>5740416.1500000004</v>
      </c>
      <c r="Y29">
        <v>4627522.4000000004</v>
      </c>
      <c r="Z29" s="4">
        <f>Europe_Sales_Records34[[#This Row],[Total Profit]]/Europe_Sales_Records34[[#This Row],[Total Revenue]]</f>
        <v>0.19386987300563566</v>
      </c>
      <c r="AA29">
        <v>1112893.75</v>
      </c>
    </row>
    <row r="30" spans="1:27" x14ac:dyDescent="0.3">
      <c r="A30" t="s">
        <v>14</v>
      </c>
      <c r="B30" t="s">
        <v>110</v>
      </c>
      <c r="C30" t="s">
        <v>102</v>
      </c>
      <c r="D30" t="s">
        <v>23</v>
      </c>
      <c r="E30" t="s">
        <v>33</v>
      </c>
      <c r="F30" t="s">
        <v>111</v>
      </c>
      <c r="G30" s="2">
        <f t="shared" si="0"/>
        <v>41798</v>
      </c>
      <c r="H30">
        <f>DAY(Europe_Sales_Records34[[#This Row],[Order Date Fixed]])</f>
        <v>8</v>
      </c>
      <c r="I30" t="str">
        <f>TEXT(Europe_Sales_Records34[[#This Row],[Order Date Fixed]],"MMM")</f>
        <v>Jun</v>
      </c>
      <c r="J30">
        <f>YEAR(Europe_Sales_Records34[[#This Row],[Order Date Fixed]])</f>
        <v>2014</v>
      </c>
      <c r="K30" t="str">
        <f>TEXT(Europe_Sales_Records34[[#This Row],[Order Date Fixed]],"MMM-YYYY")</f>
        <v>Jun-2014</v>
      </c>
      <c r="L30">
        <v>263098371</v>
      </c>
      <c r="M30" s="2">
        <f t="shared" si="1"/>
        <v>41824</v>
      </c>
      <c r="N30">
        <f>DAY(Europe_Sales_Records34[[#This Row],[Ship Date Fixed]])</f>
        <v>4</v>
      </c>
      <c r="O30" t="str">
        <f>TEXT(Europe_Sales_Records34[[#This Row],[Ship Date Fixed]],"MMM")</f>
        <v>Jul</v>
      </c>
      <c r="P30">
        <f>YEAR(Europe_Sales_Records34[[#This Row],[Ship Date Fixed]])</f>
        <v>2014</v>
      </c>
      <c r="Q30" t="str">
        <f>TEXT(Europe_Sales_Records34[[#This Row],[Ship Date Fixed]],"MMM-YYYY")</f>
        <v>Jul-2014</v>
      </c>
      <c r="R30" t="s">
        <v>112</v>
      </c>
      <c r="S30" s="3">
        <f>Europe_Sales_Records34[[#This Row],[Ship Date Fixed]]-Europe_Sales_Records34[[#This Row],[Order Date Fixed]]</f>
        <v>26</v>
      </c>
      <c r="T30">
        <v>5509</v>
      </c>
      <c r="U30">
        <v>81.73</v>
      </c>
      <c r="V30">
        <v>56.67</v>
      </c>
      <c r="W30">
        <f>Europe_Sales_Records34[[#This Row],[Total Revenue]]/Europe_Sales_Records34[[#This Row],[Units Sold]]</f>
        <v>81.73</v>
      </c>
      <c r="X30">
        <v>450250.57</v>
      </c>
      <c r="Y30">
        <v>312195.03000000003</v>
      </c>
      <c r="Z30" s="4">
        <f>Europe_Sales_Records34[[#This Row],[Total Profit]]/Europe_Sales_Records34[[#This Row],[Total Revenue]]</f>
        <v>0.30661935641747218</v>
      </c>
      <c r="AA30">
        <v>138055.54</v>
      </c>
    </row>
    <row r="31" spans="1:27" x14ac:dyDescent="0.3">
      <c r="A31" t="s">
        <v>14</v>
      </c>
      <c r="B31" t="s">
        <v>36</v>
      </c>
      <c r="C31" t="s">
        <v>75</v>
      </c>
      <c r="D31" t="s">
        <v>23</v>
      </c>
      <c r="E31" t="s">
        <v>18</v>
      </c>
      <c r="F31" t="s">
        <v>113</v>
      </c>
      <c r="G31" s="2">
        <f t="shared" si="0"/>
        <v>40686</v>
      </c>
      <c r="H31">
        <f>DAY(Europe_Sales_Records34[[#This Row],[Order Date Fixed]])</f>
        <v>23</v>
      </c>
      <c r="I31" t="str">
        <f>TEXT(Europe_Sales_Records34[[#This Row],[Order Date Fixed]],"MMM")</f>
        <v>May</v>
      </c>
      <c r="J31">
        <f>YEAR(Europe_Sales_Records34[[#This Row],[Order Date Fixed]])</f>
        <v>2011</v>
      </c>
      <c r="K31" t="str">
        <f>TEXT(Europe_Sales_Records34[[#This Row],[Order Date Fixed]],"MMM-YYYY")</f>
        <v>May-2011</v>
      </c>
      <c r="L31">
        <v>790149009</v>
      </c>
      <c r="M31" s="2">
        <f t="shared" si="1"/>
        <v>40692</v>
      </c>
      <c r="N31">
        <f>DAY(Europe_Sales_Records34[[#This Row],[Ship Date Fixed]])</f>
        <v>29</v>
      </c>
      <c r="O31" t="str">
        <f>TEXT(Europe_Sales_Records34[[#This Row],[Ship Date Fixed]],"MMM")</f>
        <v>May</v>
      </c>
      <c r="P31">
        <f>YEAR(Europe_Sales_Records34[[#This Row],[Ship Date Fixed]])</f>
        <v>2011</v>
      </c>
      <c r="Q31" t="str">
        <f>TEXT(Europe_Sales_Records34[[#This Row],[Ship Date Fixed]],"MMM-YYYY")</f>
        <v>May-2011</v>
      </c>
      <c r="R31" t="s">
        <v>114</v>
      </c>
      <c r="S31" s="3">
        <f>Europe_Sales_Records34[[#This Row],[Ship Date Fixed]]-Europe_Sales_Records34[[#This Row],[Order Date Fixed]]</f>
        <v>6</v>
      </c>
      <c r="T31">
        <v>1505</v>
      </c>
      <c r="U31">
        <v>437.2</v>
      </c>
      <c r="V31">
        <v>263.33</v>
      </c>
      <c r="W31">
        <f>Europe_Sales_Records34[[#This Row],[Total Revenue]]/Europe_Sales_Records34[[#This Row],[Units Sold]]</f>
        <v>437.2</v>
      </c>
      <c r="X31">
        <v>657986</v>
      </c>
      <c r="Y31">
        <v>396311.65</v>
      </c>
      <c r="Z31" s="4">
        <f>Europe_Sales_Records34[[#This Row],[Total Profit]]/Europe_Sales_Records34[[#This Row],[Total Revenue]]</f>
        <v>0.39768984446477584</v>
      </c>
      <c r="AA31">
        <v>261674.35</v>
      </c>
    </row>
    <row r="32" spans="1:27" x14ac:dyDescent="0.3">
      <c r="A32" t="s">
        <v>14</v>
      </c>
      <c r="B32" t="s">
        <v>115</v>
      </c>
      <c r="C32" t="s">
        <v>28</v>
      </c>
      <c r="D32" t="s">
        <v>23</v>
      </c>
      <c r="E32" t="s">
        <v>24</v>
      </c>
      <c r="F32" t="s">
        <v>116</v>
      </c>
      <c r="G32" s="2">
        <f t="shared" si="0"/>
        <v>41920</v>
      </c>
      <c r="H32">
        <f>DAY(Europe_Sales_Records34[[#This Row],[Order Date Fixed]])</f>
        <v>8</v>
      </c>
      <c r="I32" t="str">
        <f>TEXT(Europe_Sales_Records34[[#This Row],[Order Date Fixed]],"MMM")</f>
        <v>Oct</v>
      </c>
      <c r="J32">
        <f>YEAR(Europe_Sales_Records34[[#This Row],[Order Date Fixed]])</f>
        <v>2014</v>
      </c>
      <c r="K32" t="str">
        <f>TEXT(Europe_Sales_Records34[[#This Row],[Order Date Fixed]],"MMM-YYYY")</f>
        <v>Oct-2014</v>
      </c>
      <c r="L32">
        <v>100640618</v>
      </c>
      <c r="M32" s="2">
        <f t="shared" si="1"/>
        <v>41930</v>
      </c>
      <c r="N32">
        <f>DAY(Europe_Sales_Records34[[#This Row],[Ship Date Fixed]])</f>
        <v>18</v>
      </c>
      <c r="O32" t="str">
        <f>TEXT(Europe_Sales_Records34[[#This Row],[Ship Date Fixed]],"MMM")</f>
        <v>Oct</v>
      </c>
      <c r="P32">
        <f>YEAR(Europe_Sales_Records34[[#This Row],[Ship Date Fixed]])</f>
        <v>2014</v>
      </c>
      <c r="Q32" t="str">
        <f>TEXT(Europe_Sales_Records34[[#This Row],[Ship Date Fixed]],"MMM-YYYY")</f>
        <v>Oct-2014</v>
      </c>
      <c r="R32" t="s">
        <v>117</v>
      </c>
      <c r="S32" s="3">
        <f>Europe_Sales_Records34[[#This Row],[Ship Date Fixed]]-Europe_Sales_Records34[[#This Row],[Order Date Fixed]]</f>
        <v>10</v>
      </c>
      <c r="T32">
        <v>650</v>
      </c>
      <c r="U32">
        <v>205.7</v>
      </c>
      <c r="V32">
        <v>117.11</v>
      </c>
      <c r="W32">
        <f>Europe_Sales_Records34[[#This Row],[Total Revenue]]/Europe_Sales_Records34[[#This Row],[Units Sold]]</f>
        <v>205.7</v>
      </c>
      <c r="X32">
        <v>133705</v>
      </c>
      <c r="Y32">
        <v>76121.5</v>
      </c>
      <c r="Z32" s="4">
        <f>Europe_Sales_Records34[[#This Row],[Total Profit]]/Europe_Sales_Records34[[#This Row],[Total Revenue]]</f>
        <v>0.43067574137092851</v>
      </c>
      <c r="AA32">
        <v>57583.5</v>
      </c>
    </row>
    <row r="33" spans="1:27" x14ac:dyDescent="0.3">
      <c r="A33" t="s">
        <v>14</v>
      </c>
      <c r="B33" t="s">
        <v>45</v>
      </c>
      <c r="C33" t="s">
        <v>58</v>
      </c>
      <c r="D33" t="s">
        <v>23</v>
      </c>
      <c r="E33" t="s">
        <v>54</v>
      </c>
      <c r="F33" t="s">
        <v>118</v>
      </c>
      <c r="G33" s="2">
        <f t="shared" si="0"/>
        <v>40575</v>
      </c>
      <c r="H33">
        <f>DAY(Europe_Sales_Records34[[#This Row],[Order Date Fixed]])</f>
        <v>1</v>
      </c>
      <c r="I33" t="str">
        <f>TEXT(Europe_Sales_Records34[[#This Row],[Order Date Fixed]],"MMM")</f>
        <v>Feb</v>
      </c>
      <c r="J33">
        <f>YEAR(Europe_Sales_Records34[[#This Row],[Order Date Fixed]])</f>
        <v>2011</v>
      </c>
      <c r="K33" t="str">
        <f>TEXT(Europe_Sales_Records34[[#This Row],[Order Date Fixed]],"MMM-YYYY")</f>
        <v>Feb-2011</v>
      </c>
      <c r="L33">
        <v>977324712</v>
      </c>
      <c r="M33" s="2">
        <f t="shared" si="1"/>
        <v>40612</v>
      </c>
      <c r="N33">
        <f>DAY(Europe_Sales_Records34[[#This Row],[Ship Date Fixed]])</f>
        <v>10</v>
      </c>
      <c r="O33" t="str">
        <f>TEXT(Europe_Sales_Records34[[#This Row],[Ship Date Fixed]],"MMM")</f>
        <v>Mar</v>
      </c>
      <c r="P33">
        <f>YEAR(Europe_Sales_Records34[[#This Row],[Ship Date Fixed]])</f>
        <v>2011</v>
      </c>
      <c r="Q33" t="str">
        <f>TEXT(Europe_Sales_Records34[[#This Row],[Ship Date Fixed]],"MMM-YYYY")</f>
        <v>Mar-2011</v>
      </c>
      <c r="R33" t="s">
        <v>119</v>
      </c>
      <c r="S33" s="3">
        <f>Europe_Sales_Records34[[#This Row],[Ship Date Fixed]]-Europe_Sales_Records34[[#This Row],[Order Date Fixed]]</f>
        <v>37</v>
      </c>
      <c r="T33">
        <v>955</v>
      </c>
      <c r="U33">
        <v>152.58000000000001</v>
      </c>
      <c r="V33">
        <v>97.44</v>
      </c>
      <c r="W33">
        <f>Europe_Sales_Records34[[#This Row],[Total Revenue]]/Europe_Sales_Records34[[#This Row],[Units Sold]]</f>
        <v>152.57999999999998</v>
      </c>
      <c r="X33">
        <v>145713.9</v>
      </c>
      <c r="Y33">
        <v>93055.2</v>
      </c>
      <c r="Z33" s="4">
        <f>Europe_Sales_Records34[[#This Row],[Total Profit]]/Europe_Sales_Records34[[#This Row],[Total Revenue]]</f>
        <v>0.36138419189933152</v>
      </c>
      <c r="AA33">
        <v>52658.7</v>
      </c>
    </row>
    <row r="34" spans="1:27" x14ac:dyDescent="0.3">
      <c r="A34" t="s">
        <v>14</v>
      </c>
      <c r="B34" t="s">
        <v>45</v>
      </c>
      <c r="C34" t="s">
        <v>58</v>
      </c>
      <c r="D34" t="s">
        <v>23</v>
      </c>
      <c r="E34" t="s">
        <v>54</v>
      </c>
      <c r="F34" t="s">
        <v>120</v>
      </c>
      <c r="G34" s="2">
        <f t="shared" si="0"/>
        <v>40428</v>
      </c>
      <c r="H34">
        <f>DAY(Europe_Sales_Records34[[#This Row],[Order Date Fixed]])</f>
        <v>7</v>
      </c>
      <c r="I34" t="str">
        <f>TEXT(Europe_Sales_Records34[[#This Row],[Order Date Fixed]],"MMM")</f>
        <v>Sep</v>
      </c>
      <c r="J34">
        <f>YEAR(Europe_Sales_Records34[[#This Row],[Order Date Fixed]])</f>
        <v>2010</v>
      </c>
      <c r="K34" t="str">
        <f>TEXT(Europe_Sales_Records34[[#This Row],[Order Date Fixed]],"MMM-YYYY")</f>
        <v>Sep-2010</v>
      </c>
      <c r="L34">
        <v>510956799</v>
      </c>
      <c r="M34" s="2">
        <f t="shared" si="1"/>
        <v>40444</v>
      </c>
      <c r="N34">
        <f>DAY(Europe_Sales_Records34[[#This Row],[Ship Date Fixed]])</f>
        <v>23</v>
      </c>
      <c r="O34" t="str">
        <f>TEXT(Europe_Sales_Records34[[#This Row],[Ship Date Fixed]],"MMM")</f>
        <v>Sep</v>
      </c>
      <c r="P34">
        <f>YEAR(Europe_Sales_Records34[[#This Row],[Ship Date Fixed]])</f>
        <v>2010</v>
      </c>
      <c r="Q34" t="str">
        <f>TEXT(Europe_Sales_Records34[[#This Row],[Ship Date Fixed]],"MMM-YYYY")</f>
        <v>Sep-2010</v>
      </c>
      <c r="R34" t="s">
        <v>121</v>
      </c>
      <c r="S34" s="3">
        <f>Europe_Sales_Records34[[#This Row],[Ship Date Fixed]]-Europe_Sales_Records34[[#This Row],[Order Date Fixed]]</f>
        <v>16</v>
      </c>
      <c r="T34">
        <v>2326</v>
      </c>
      <c r="U34">
        <v>152.58000000000001</v>
      </c>
      <c r="V34">
        <v>97.44</v>
      </c>
      <c r="W34">
        <f>Europe_Sales_Records34[[#This Row],[Total Revenue]]/Europe_Sales_Records34[[#This Row],[Units Sold]]</f>
        <v>152.58000000000001</v>
      </c>
      <c r="X34">
        <v>354901.08</v>
      </c>
      <c r="Y34">
        <v>226645.44</v>
      </c>
      <c r="Z34" s="4">
        <f>Europe_Sales_Records34[[#This Row],[Total Profit]]/Europe_Sales_Records34[[#This Row],[Total Revenue]]</f>
        <v>0.36138419189933146</v>
      </c>
      <c r="AA34">
        <v>128255.64</v>
      </c>
    </row>
    <row r="35" spans="1:27" x14ac:dyDescent="0.3">
      <c r="A35" t="s">
        <v>14</v>
      </c>
      <c r="B35" t="s">
        <v>122</v>
      </c>
      <c r="C35" t="s">
        <v>37</v>
      </c>
      <c r="D35" t="s">
        <v>23</v>
      </c>
      <c r="E35" t="s">
        <v>24</v>
      </c>
      <c r="F35" t="s">
        <v>123</v>
      </c>
      <c r="G35" s="2">
        <f t="shared" si="0"/>
        <v>40625</v>
      </c>
      <c r="H35">
        <f>DAY(Europe_Sales_Records34[[#This Row],[Order Date Fixed]])</f>
        <v>23</v>
      </c>
      <c r="I35" t="str">
        <f>TEXT(Europe_Sales_Records34[[#This Row],[Order Date Fixed]],"MMM")</f>
        <v>Mar</v>
      </c>
      <c r="J35">
        <f>YEAR(Europe_Sales_Records34[[#This Row],[Order Date Fixed]])</f>
        <v>2011</v>
      </c>
      <c r="K35" t="str">
        <f>TEXT(Europe_Sales_Records34[[#This Row],[Order Date Fixed]],"MMM-YYYY")</f>
        <v>Mar-2011</v>
      </c>
      <c r="L35">
        <v>120977771</v>
      </c>
      <c r="M35" s="2">
        <f t="shared" si="1"/>
        <v>40665</v>
      </c>
      <c r="N35">
        <f>DAY(Europe_Sales_Records34[[#This Row],[Ship Date Fixed]])</f>
        <v>2</v>
      </c>
      <c r="O35" t="str">
        <f>TEXT(Europe_Sales_Records34[[#This Row],[Ship Date Fixed]],"MMM")</f>
        <v>May</v>
      </c>
      <c r="P35">
        <f>YEAR(Europe_Sales_Records34[[#This Row],[Ship Date Fixed]])</f>
        <v>2011</v>
      </c>
      <c r="Q35" t="str">
        <f>TEXT(Europe_Sales_Records34[[#This Row],[Ship Date Fixed]],"MMM-YYYY")</f>
        <v>May-2011</v>
      </c>
      <c r="R35" t="s">
        <v>124</v>
      </c>
      <c r="S35" s="3">
        <f>Europe_Sales_Records34[[#This Row],[Ship Date Fixed]]-Europe_Sales_Records34[[#This Row],[Order Date Fixed]]</f>
        <v>40</v>
      </c>
      <c r="T35">
        <v>8866</v>
      </c>
      <c r="U35">
        <v>9.33</v>
      </c>
      <c r="V35">
        <v>6.92</v>
      </c>
      <c r="W35">
        <f>Europe_Sales_Records34[[#This Row],[Total Revenue]]/Europe_Sales_Records34[[#This Row],[Units Sold]]</f>
        <v>9.33</v>
      </c>
      <c r="X35">
        <v>82719.78</v>
      </c>
      <c r="Y35">
        <v>61352.72</v>
      </c>
      <c r="Z35" s="4">
        <f>Europe_Sales_Records34[[#This Row],[Total Profit]]/Europe_Sales_Records34[[#This Row],[Total Revenue]]</f>
        <v>0.25830653804930337</v>
      </c>
      <c r="AA35">
        <v>21367.06</v>
      </c>
    </row>
    <row r="36" spans="1:27" x14ac:dyDescent="0.3">
      <c r="A36" t="s">
        <v>14</v>
      </c>
      <c r="B36" t="s">
        <v>31</v>
      </c>
      <c r="C36" t="s">
        <v>58</v>
      </c>
      <c r="D36" t="s">
        <v>17</v>
      </c>
      <c r="E36" t="s">
        <v>33</v>
      </c>
      <c r="F36" t="s">
        <v>125</v>
      </c>
      <c r="G36" s="2">
        <f t="shared" si="0"/>
        <v>42805</v>
      </c>
      <c r="H36">
        <f>DAY(Europe_Sales_Records34[[#This Row],[Order Date Fixed]])</f>
        <v>11</v>
      </c>
      <c r="I36" t="str">
        <f>TEXT(Europe_Sales_Records34[[#This Row],[Order Date Fixed]],"MMM")</f>
        <v>Mar</v>
      </c>
      <c r="J36">
        <f>YEAR(Europe_Sales_Records34[[#This Row],[Order Date Fixed]])</f>
        <v>2017</v>
      </c>
      <c r="K36" t="str">
        <f>TEXT(Europe_Sales_Records34[[#This Row],[Order Date Fixed]],"MMM-YYYY")</f>
        <v>Mar-2017</v>
      </c>
      <c r="L36">
        <v>476991450</v>
      </c>
      <c r="M36" s="2">
        <f t="shared" si="1"/>
        <v>42821</v>
      </c>
      <c r="N36">
        <f>DAY(Europe_Sales_Records34[[#This Row],[Ship Date Fixed]])</f>
        <v>27</v>
      </c>
      <c r="O36" t="str">
        <f>TEXT(Europe_Sales_Records34[[#This Row],[Ship Date Fixed]],"MMM")</f>
        <v>Mar</v>
      </c>
      <c r="P36">
        <f>YEAR(Europe_Sales_Records34[[#This Row],[Ship Date Fixed]])</f>
        <v>2017</v>
      </c>
      <c r="Q36" t="str">
        <f>TEXT(Europe_Sales_Records34[[#This Row],[Ship Date Fixed]],"MMM-YYYY")</f>
        <v>Mar-2017</v>
      </c>
      <c r="R36" t="s">
        <v>126</v>
      </c>
      <c r="S36" s="3">
        <f>Europe_Sales_Records34[[#This Row],[Ship Date Fixed]]-Europe_Sales_Records34[[#This Row],[Order Date Fixed]]</f>
        <v>16</v>
      </c>
      <c r="T36">
        <v>1225</v>
      </c>
      <c r="U36">
        <v>152.58000000000001</v>
      </c>
      <c r="V36">
        <v>97.44</v>
      </c>
      <c r="W36">
        <f>Europe_Sales_Records34[[#This Row],[Total Revenue]]/Europe_Sales_Records34[[#This Row],[Units Sold]]</f>
        <v>152.58000000000001</v>
      </c>
      <c r="X36">
        <v>186910.5</v>
      </c>
      <c r="Y36">
        <v>119364</v>
      </c>
      <c r="Z36" s="4">
        <f>Europe_Sales_Records34[[#This Row],[Total Profit]]/Europe_Sales_Records34[[#This Row],[Total Revenue]]</f>
        <v>0.36138419189933152</v>
      </c>
      <c r="AA36">
        <v>67546.5</v>
      </c>
    </row>
    <row r="37" spans="1:27" x14ac:dyDescent="0.3">
      <c r="A37" t="s">
        <v>14</v>
      </c>
      <c r="B37" t="s">
        <v>127</v>
      </c>
      <c r="C37" t="s">
        <v>16</v>
      </c>
      <c r="D37" t="s">
        <v>23</v>
      </c>
      <c r="E37" t="s">
        <v>54</v>
      </c>
      <c r="F37" t="s">
        <v>128</v>
      </c>
      <c r="G37" s="2">
        <f t="shared" si="0"/>
        <v>42526</v>
      </c>
      <c r="H37">
        <f>DAY(Europe_Sales_Records34[[#This Row],[Order Date Fixed]])</f>
        <v>5</v>
      </c>
      <c r="I37" t="str">
        <f>TEXT(Europe_Sales_Records34[[#This Row],[Order Date Fixed]],"MMM")</f>
        <v>Jun</v>
      </c>
      <c r="J37">
        <f>YEAR(Europe_Sales_Records34[[#This Row],[Order Date Fixed]])</f>
        <v>2016</v>
      </c>
      <c r="K37" t="str">
        <f>TEXT(Europe_Sales_Records34[[#This Row],[Order Date Fixed]],"MMM-YYYY")</f>
        <v>Jun-2016</v>
      </c>
      <c r="L37">
        <v>973268353</v>
      </c>
      <c r="M37" s="2">
        <f t="shared" si="1"/>
        <v>42547</v>
      </c>
      <c r="N37">
        <f>DAY(Europe_Sales_Records34[[#This Row],[Ship Date Fixed]])</f>
        <v>26</v>
      </c>
      <c r="O37" t="str">
        <f>TEXT(Europe_Sales_Records34[[#This Row],[Ship Date Fixed]],"MMM")</f>
        <v>Jun</v>
      </c>
      <c r="P37">
        <f>YEAR(Europe_Sales_Records34[[#This Row],[Ship Date Fixed]])</f>
        <v>2016</v>
      </c>
      <c r="Q37" t="str">
        <f>TEXT(Europe_Sales_Records34[[#This Row],[Ship Date Fixed]],"MMM-YYYY")</f>
        <v>Jun-2016</v>
      </c>
      <c r="R37" t="s">
        <v>129</v>
      </c>
      <c r="S37" s="3">
        <f>Europe_Sales_Records34[[#This Row],[Ship Date Fixed]]-Europe_Sales_Records34[[#This Row],[Order Date Fixed]]</f>
        <v>21</v>
      </c>
      <c r="T37">
        <v>589</v>
      </c>
      <c r="U37">
        <v>47.45</v>
      </c>
      <c r="V37">
        <v>31.79</v>
      </c>
      <c r="W37">
        <f>Europe_Sales_Records34[[#This Row],[Total Revenue]]/Europe_Sales_Records34[[#This Row],[Units Sold]]</f>
        <v>47.449999999999996</v>
      </c>
      <c r="X37">
        <v>27948.05</v>
      </c>
      <c r="Y37">
        <v>18724.310000000001</v>
      </c>
      <c r="Z37" s="4">
        <f>Europe_Sales_Records34[[#This Row],[Total Profit]]/Europe_Sales_Records34[[#This Row],[Total Revenue]]</f>
        <v>0.33003161222339306</v>
      </c>
      <c r="AA37">
        <v>9223.74</v>
      </c>
    </row>
    <row r="38" spans="1:27" x14ac:dyDescent="0.3">
      <c r="A38" t="s">
        <v>14</v>
      </c>
      <c r="B38" t="s">
        <v>53</v>
      </c>
      <c r="C38" t="s">
        <v>46</v>
      </c>
      <c r="D38" t="s">
        <v>17</v>
      </c>
      <c r="E38" t="s">
        <v>33</v>
      </c>
      <c r="F38" t="s">
        <v>130</v>
      </c>
      <c r="G38" s="2">
        <f t="shared" si="0"/>
        <v>41319</v>
      </c>
      <c r="H38">
        <f>DAY(Europe_Sales_Records34[[#This Row],[Order Date Fixed]])</f>
        <v>14</v>
      </c>
      <c r="I38" t="str">
        <f>TEXT(Europe_Sales_Records34[[#This Row],[Order Date Fixed]],"MMM")</f>
        <v>Feb</v>
      </c>
      <c r="J38">
        <f>YEAR(Europe_Sales_Records34[[#This Row],[Order Date Fixed]])</f>
        <v>2013</v>
      </c>
      <c r="K38" t="str">
        <f>TEXT(Europe_Sales_Records34[[#This Row],[Order Date Fixed]],"MMM-YYYY")</f>
        <v>Feb-2013</v>
      </c>
      <c r="L38">
        <v>771674382</v>
      </c>
      <c r="M38" s="2">
        <f t="shared" si="1"/>
        <v>41354</v>
      </c>
      <c r="N38">
        <f>DAY(Europe_Sales_Records34[[#This Row],[Ship Date Fixed]])</f>
        <v>21</v>
      </c>
      <c r="O38" t="str">
        <f>TEXT(Europe_Sales_Records34[[#This Row],[Ship Date Fixed]],"MMM")</f>
        <v>Mar</v>
      </c>
      <c r="P38">
        <f>YEAR(Europe_Sales_Records34[[#This Row],[Ship Date Fixed]])</f>
        <v>2013</v>
      </c>
      <c r="Q38" t="str">
        <f>TEXT(Europe_Sales_Records34[[#This Row],[Ship Date Fixed]],"MMM-YYYY")</f>
        <v>Mar-2013</v>
      </c>
      <c r="R38" t="s">
        <v>131</v>
      </c>
      <c r="S38" s="3">
        <f>Europe_Sales_Records34[[#This Row],[Ship Date Fixed]]-Europe_Sales_Records34[[#This Row],[Order Date Fixed]]</f>
        <v>35</v>
      </c>
      <c r="T38">
        <v>4453</v>
      </c>
      <c r="U38">
        <v>154.06</v>
      </c>
      <c r="V38">
        <v>90.93</v>
      </c>
      <c r="W38">
        <f>Europe_Sales_Records34[[#This Row],[Total Revenue]]/Europe_Sales_Records34[[#This Row],[Units Sold]]</f>
        <v>154.06</v>
      </c>
      <c r="X38">
        <v>686029.18</v>
      </c>
      <c r="Y38">
        <v>404911.29</v>
      </c>
      <c r="Z38" s="4">
        <f>Europe_Sales_Records34[[#This Row],[Total Profit]]/Europe_Sales_Records34[[#This Row],[Total Revenue]]</f>
        <v>0.40977541217707386</v>
      </c>
      <c r="AA38">
        <v>281117.89</v>
      </c>
    </row>
    <row r="39" spans="1:27" x14ac:dyDescent="0.3">
      <c r="A39" t="s">
        <v>14</v>
      </c>
      <c r="B39" t="s">
        <v>132</v>
      </c>
      <c r="C39" t="s">
        <v>37</v>
      </c>
      <c r="D39" t="s">
        <v>23</v>
      </c>
      <c r="E39" t="s">
        <v>33</v>
      </c>
      <c r="F39" t="s">
        <v>133</v>
      </c>
      <c r="G39" s="2">
        <f t="shared" si="0"/>
        <v>40300</v>
      </c>
      <c r="H39">
        <f>DAY(Europe_Sales_Records34[[#This Row],[Order Date Fixed]])</f>
        <v>2</v>
      </c>
      <c r="I39" t="str">
        <f>TEXT(Europe_Sales_Records34[[#This Row],[Order Date Fixed]],"MMM")</f>
        <v>May</v>
      </c>
      <c r="J39">
        <f>YEAR(Europe_Sales_Records34[[#This Row],[Order Date Fixed]])</f>
        <v>2010</v>
      </c>
      <c r="K39" t="str">
        <f>TEXT(Europe_Sales_Records34[[#This Row],[Order Date Fixed]],"MMM-YYYY")</f>
        <v>May-2010</v>
      </c>
      <c r="L39">
        <v>291995418</v>
      </c>
      <c r="M39" s="2">
        <f t="shared" si="1"/>
        <v>40335</v>
      </c>
      <c r="N39">
        <f>DAY(Europe_Sales_Records34[[#This Row],[Ship Date Fixed]])</f>
        <v>6</v>
      </c>
      <c r="O39" t="str">
        <f>TEXT(Europe_Sales_Records34[[#This Row],[Ship Date Fixed]],"MMM")</f>
        <v>Jun</v>
      </c>
      <c r="P39">
        <f>YEAR(Europe_Sales_Records34[[#This Row],[Ship Date Fixed]])</f>
        <v>2010</v>
      </c>
      <c r="Q39" t="str">
        <f>TEXT(Europe_Sales_Records34[[#This Row],[Ship Date Fixed]],"MMM-YYYY")</f>
        <v>Jun-2010</v>
      </c>
      <c r="R39" t="s">
        <v>134</v>
      </c>
      <c r="S39" s="3">
        <f>Europe_Sales_Records34[[#This Row],[Ship Date Fixed]]-Europe_Sales_Records34[[#This Row],[Order Date Fixed]]</f>
        <v>35</v>
      </c>
      <c r="T39">
        <v>6788</v>
      </c>
      <c r="U39">
        <v>9.33</v>
      </c>
      <c r="V39">
        <v>6.92</v>
      </c>
      <c r="W39">
        <f>Europe_Sales_Records34[[#This Row],[Total Revenue]]/Europe_Sales_Records34[[#This Row],[Units Sold]]</f>
        <v>9.33</v>
      </c>
      <c r="X39">
        <v>63332.04</v>
      </c>
      <c r="Y39">
        <v>46972.959999999999</v>
      </c>
      <c r="Z39" s="4">
        <f>Europe_Sales_Records34[[#This Row],[Total Profit]]/Europe_Sales_Records34[[#This Row],[Total Revenue]]</f>
        <v>0.25830653804930331</v>
      </c>
      <c r="AA39">
        <v>16359.08</v>
      </c>
    </row>
    <row r="40" spans="1:27" x14ac:dyDescent="0.3">
      <c r="A40" t="s">
        <v>14</v>
      </c>
      <c r="B40" t="s">
        <v>135</v>
      </c>
      <c r="C40" t="s">
        <v>64</v>
      </c>
      <c r="D40" t="s">
        <v>23</v>
      </c>
      <c r="E40" t="s">
        <v>24</v>
      </c>
      <c r="F40" t="s">
        <v>136</v>
      </c>
      <c r="G40" s="2">
        <f t="shared" si="0"/>
        <v>40568</v>
      </c>
      <c r="H40">
        <f>DAY(Europe_Sales_Records34[[#This Row],[Order Date Fixed]])</f>
        <v>25</v>
      </c>
      <c r="I40" t="str">
        <f>TEXT(Europe_Sales_Records34[[#This Row],[Order Date Fixed]],"MMM")</f>
        <v>Jan</v>
      </c>
      <c r="J40">
        <f>YEAR(Europe_Sales_Records34[[#This Row],[Order Date Fixed]])</f>
        <v>2011</v>
      </c>
      <c r="K40" t="str">
        <f>TEXT(Europe_Sales_Records34[[#This Row],[Order Date Fixed]],"MMM-YYYY")</f>
        <v>Jan-2011</v>
      </c>
      <c r="L40">
        <v>128686225</v>
      </c>
      <c r="M40" s="2">
        <f t="shared" si="1"/>
        <v>40615</v>
      </c>
      <c r="N40">
        <f>DAY(Europe_Sales_Records34[[#This Row],[Ship Date Fixed]])</f>
        <v>13</v>
      </c>
      <c r="O40" t="str">
        <f>TEXT(Europe_Sales_Records34[[#This Row],[Ship Date Fixed]],"MMM")</f>
        <v>Mar</v>
      </c>
      <c r="P40">
        <f>YEAR(Europe_Sales_Records34[[#This Row],[Ship Date Fixed]])</f>
        <v>2011</v>
      </c>
      <c r="Q40" t="str">
        <f>TEXT(Europe_Sales_Records34[[#This Row],[Ship Date Fixed]],"MMM-YYYY")</f>
        <v>Mar-2011</v>
      </c>
      <c r="R40" t="s">
        <v>137</v>
      </c>
      <c r="S40" s="3">
        <f>Europe_Sales_Records34[[#This Row],[Ship Date Fixed]]-Europe_Sales_Records34[[#This Row],[Order Date Fixed]]</f>
        <v>47</v>
      </c>
      <c r="T40">
        <v>9968</v>
      </c>
      <c r="U40">
        <v>255.28</v>
      </c>
      <c r="V40">
        <v>159.41999999999999</v>
      </c>
      <c r="W40">
        <f>Europe_Sales_Records34[[#This Row],[Total Revenue]]/Europe_Sales_Records34[[#This Row],[Units Sold]]</f>
        <v>255.28</v>
      </c>
      <c r="X40">
        <v>2544631.04</v>
      </c>
      <c r="Y40">
        <v>1589098.56</v>
      </c>
      <c r="Z40" s="4">
        <f>Europe_Sales_Records34[[#This Row],[Total Profit]]/Europe_Sales_Records34[[#This Row],[Total Revenue]]</f>
        <v>0.37550924475086178</v>
      </c>
      <c r="AA40">
        <v>955532.48</v>
      </c>
    </row>
    <row r="41" spans="1:27" x14ac:dyDescent="0.3">
      <c r="A41" t="s">
        <v>14</v>
      </c>
      <c r="B41" t="s">
        <v>138</v>
      </c>
      <c r="C41" t="s">
        <v>75</v>
      </c>
      <c r="D41" t="s">
        <v>17</v>
      </c>
      <c r="E41" t="s">
        <v>33</v>
      </c>
      <c r="F41" t="s">
        <v>139</v>
      </c>
      <c r="G41" s="2">
        <f t="shared" si="0"/>
        <v>40914</v>
      </c>
      <c r="H41">
        <f>DAY(Europe_Sales_Records34[[#This Row],[Order Date Fixed]])</f>
        <v>6</v>
      </c>
      <c r="I41" t="str">
        <f>TEXT(Europe_Sales_Records34[[#This Row],[Order Date Fixed]],"MMM")</f>
        <v>Jan</v>
      </c>
      <c r="J41">
        <f>YEAR(Europe_Sales_Records34[[#This Row],[Order Date Fixed]])</f>
        <v>2012</v>
      </c>
      <c r="K41" t="str">
        <f>TEXT(Europe_Sales_Records34[[#This Row],[Order Date Fixed]],"MMM-YYYY")</f>
        <v>Jan-2012</v>
      </c>
      <c r="L41">
        <v>420875346</v>
      </c>
      <c r="M41" s="2">
        <f t="shared" si="1"/>
        <v>40957</v>
      </c>
      <c r="N41">
        <f>DAY(Europe_Sales_Records34[[#This Row],[Ship Date Fixed]])</f>
        <v>18</v>
      </c>
      <c r="O41" t="str">
        <f>TEXT(Europe_Sales_Records34[[#This Row],[Ship Date Fixed]],"MMM")</f>
        <v>Feb</v>
      </c>
      <c r="P41">
        <f>YEAR(Europe_Sales_Records34[[#This Row],[Ship Date Fixed]])</f>
        <v>2012</v>
      </c>
      <c r="Q41" t="str">
        <f>TEXT(Europe_Sales_Records34[[#This Row],[Ship Date Fixed]],"MMM-YYYY")</f>
        <v>Feb-2012</v>
      </c>
      <c r="R41" t="s">
        <v>140</v>
      </c>
      <c r="S41" s="3">
        <f>Europe_Sales_Records34[[#This Row],[Ship Date Fixed]]-Europe_Sales_Records34[[#This Row],[Order Date Fixed]]</f>
        <v>43</v>
      </c>
      <c r="T41">
        <v>5223</v>
      </c>
      <c r="U41">
        <v>437.2</v>
      </c>
      <c r="V41">
        <v>263.33</v>
      </c>
      <c r="W41">
        <f>Europe_Sales_Records34[[#This Row],[Total Revenue]]/Europe_Sales_Records34[[#This Row],[Units Sold]]</f>
        <v>437.20000000000005</v>
      </c>
      <c r="X41">
        <v>2283495.6</v>
      </c>
      <c r="Y41">
        <v>1375372.59</v>
      </c>
      <c r="Z41" s="4">
        <f>Europe_Sales_Records34[[#This Row],[Total Profit]]/Europe_Sales_Records34[[#This Row],[Total Revenue]]</f>
        <v>0.39768984446477584</v>
      </c>
      <c r="AA41">
        <v>908123.01</v>
      </c>
    </row>
    <row r="42" spans="1:27" x14ac:dyDescent="0.3">
      <c r="A42" t="s">
        <v>14</v>
      </c>
      <c r="B42" t="s">
        <v>141</v>
      </c>
      <c r="C42" t="s">
        <v>46</v>
      </c>
      <c r="D42" t="s">
        <v>23</v>
      </c>
      <c r="E42" t="s">
        <v>18</v>
      </c>
      <c r="F42" t="s">
        <v>142</v>
      </c>
      <c r="G42" s="2">
        <f t="shared" si="0"/>
        <v>41187</v>
      </c>
      <c r="H42">
        <f>DAY(Europe_Sales_Records34[[#This Row],[Order Date Fixed]])</f>
        <v>5</v>
      </c>
      <c r="I42" t="str">
        <f>TEXT(Europe_Sales_Records34[[#This Row],[Order Date Fixed]],"MMM")</f>
        <v>Oct</v>
      </c>
      <c r="J42">
        <f>YEAR(Europe_Sales_Records34[[#This Row],[Order Date Fixed]])</f>
        <v>2012</v>
      </c>
      <c r="K42" t="str">
        <f>TEXT(Europe_Sales_Records34[[#This Row],[Order Date Fixed]],"MMM-YYYY")</f>
        <v>Oct-2012</v>
      </c>
      <c r="L42">
        <v>476633536</v>
      </c>
      <c r="M42" s="2">
        <f t="shared" si="1"/>
        <v>41216</v>
      </c>
      <c r="N42">
        <f>DAY(Europe_Sales_Records34[[#This Row],[Ship Date Fixed]])</f>
        <v>3</v>
      </c>
      <c r="O42" t="str">
        <f>TEXT(Europe_Sales_Records34[[#This Row],[Ship Date Fixed]],"MMM")</f>
        <v>Nov</v>
      </c>
      <c r="P42">
        <f>YEAR(Europe_Sales_Records34[[#This Row],[Ship Date Fixed]])</f>
        <v>2012</v>
      </c>
      <c r="Q42" t="str">
        <f>TEXT(Europe_Sales_Records34[[#This Row],[Ship Date Fixed]],"MMM-YYYY")</f>
        <v>Nov-2012</v>
      </c>
      <c r="R42" t="s">
        <v>143</v>
      </c>
      <c r="S42" s="3">
        <f>Europe_Sales_Records34[[#This Row],[Ship Date Fixed]]-Europe_Sales_Records34[[#This Row],[Order Date Fixed]]</f>
        <v>29</v>
      </c>
      <c r="T42">
        <v>5310</v>
      </c>
      <c r="U42">
        <v>154.06</v>
      </c>
      <c r="V42">
        <v>90.93</v>
      </c>
      <c r="W42">
        <f>Europe_Sales_Records34[[#This Row],[Total Revenue]]/Europe_Sales_Records34[[#This Row],[Units Sold]]</f>
        <v>154.06</v>
      </c>
      <c r="X42">
        <v>818058.6</v>
      </c>
      <c r="Y42">
        <v>482838.3</v>
      </c>
      <c r="Z42" s="4">
        <f>Europe_Sales_Records34[[#This Row],[Total Profit]]/Europe_Sales_Records34[[#This Row],[Total Revenue]]</f>
        <v>0.40977541217707386</v>
      </c>
      <c r="AA42">
        <v>335220.3</v>
      </c>
    </row>
    <row r="43" spans="1:27" x14ac:dyDescent="0.3">
      <c r="A43" t="s">
        <v>14</v>
      </c>
      <c r="B43" t="s">
        <v>105</v>
      </c>
      <c r="C43" t="s">
        <v>46</v>
      </c>
      <c r="D43" t="s">
        <v>17</v>
      </c>
      <c r="E43" t="s">
        <v>18</v>
      </c>
      <c r="F43" t="s">
        <v>144</v>
      </c>
      <c r="G43" s="2">
        <f t="shared" si="0"/>
        <v>41822</v>
      </c>
      <c r="H43">
        <f>DAY(Europe_Sales_Records34[[#This Row],[Order Date Fixed]])</f>
        <v>2</v>
      </c>
      <c r="I43" t="str">
        <f>TEXT(Europe_Sales_Records34[[#This Row],[Order Date Fixed]],"MMM")</f>
        <v>Jul</v>
      </c>
      <c r="J43">
        <f>YEAR(Europe_Sales_Records34[[#This Row],[Order Date Fixed]])</f>
        <v>2014</v>
      </c>
      <c r="K43" t="str">
        <f>TEXT(Europe_Sales_Records34[[#This Row],[Order Date Fixed]],"MMM-YYYY")</f>
        <v>Jul-2014</v>
      </c>
      <c r="L43">
        <v>727997720</v>
      </c>
      <c r="M43" s="2">
        <f t="shared" si="1"/>
        <v>41839</v>
      </c>
      <c r="N43">
        <f>DAY(Europe_Sales_Records34[[#This Row],[Ship Date Fixed]])</f>
        <v>19</v>
      </c>
      <c r="O43" t="str">
        <f>TEXT(Europe_Sales_Records34[[#This Row],[Ship Date Fixed]],"MMM")</f>
        <v>Jul</v>
      </c>
      <c r="P43">
        <f>YEAR(Europe_Sales_Records34[[#This Row],[Ship Date Fixed]])</f>
        <v>2014</v>
      </c>
      <c r="Q43" t="str">
        <f>TEXT(Europe_Sales_Records34[[#This Row],[Ship Date Fixed]],"MMM-YYYY")</f>
        <v>Jul-2014</v>
      </c>
      <c r="R43" t="s">
        <v>145</v>
      </c>
      <c r="S43" s="3">
        <f>Europe_Sales_Records34[[#This Row],[Ship Date Fixed]]-Europe_Sales_Records34[[#This Row],[Order Date Fixed]]</f>
        <v>17</v>
      </c>
      <c r="T43">
        <v>9558</v>
      </c>
      <c r="U43">
        <v>154.06</v>
      </c>
      <c r="V43">
        <v>90.93</v>
      </c>
      <c r="W43">
        <f>Europe_Sales_Records34[[#This Row],[Total Revenue]]/Europe_Sales_Records34[[#This Row],[Units Sold]]</f>
        <v>154.06</v>
      </c>
      <c r="X43">
        <v>1472505.48</v>
      </c>
      <c r="Y43">
        <v>869108.94</v>
      </c>
      <c r="Z43" s="4">
        <f>Europe_Sales_Records34[[#This Row],[Total Profit]]/Europe_Sales_Records34[[#This Row],[Total Revenue]]</f>
        <v>0.40977541217707392</v>
      </c>
      <c r="AA43">
        <v>603396.54</v>
      </c>
    </row>
    <row r="44" spans="1:27" x14ac:dyDescent="0.3">
      <c r="A44" t="s">
        <v>14</v>
      </c>
      <c r="B44" t="s">
        <v>146</v>
      </c>
      <c r="C44" t="s">
        <v>102</v>
      </c>
      <c r="D44" t="s">
        <v>23</v>
      </c>
      <c r="E44" t="s">
        <v>24</v>
      </c>
      <c r="F44" t="s">
        <v>147</v>
      </c>
      <c r="G44" s="2">
        <f t="shared" si="0"/>
        <v>41344</v>
      </c>
      <c r="H44">
        <f>DAY(Europe_Sales_Records34[[#This Row],[Order Date Fixed]])</f>
        <v>11</v>
      </c>
      <c r="I44" t="str">
        <f>TEXT(Europe_Sales_Records34[[#This Row],[Order Date Fixed]],"MMM")</f>
        <v>Mar</v>
      </c>
      <c r="J44">
        <f>YEAR(Europe_Sales_Records34[[#This Row],[Order Date Fixed]])</f>
        <v>2013</v>
      </c>
      <c r="K44" t="str">
        <f>TEXT(Europe_Sales_Records34[[#This Row],[Order Date Fixed]],"MMM-YYYY")</f>
        <v>Mar-2013</v>
      </c>
      <c r="L44">
        <v>467045819</v>
      </c>
      <c r="M44" s="2">
        <f t="shared" si="1"/>
        <v>41376</v>
      </c>
      <c r="N44">
        <f>DAY(Europe_Sales_Records34[[#This Row],[Ship Date Fixed]])</f>
        <v>12</v>
      </c>
      <c r="O44" t="str">
        <f>TEXT(Europe_Sales_Records34[[#This Row],[Ship Date Fixed]],"MMM")</f>
        <v>Apr</v>
      </c>
      <c r="P44">
        <f>YEAR(Europe_Sales_Records34[[#This Row],[Ship Date Fixed]])</f>
        <v>2013</v>
      </c>
      <c r="Q44" t="str">
        <f>TEXT(Europe_Sales_Records34[[#This Row],[Ship Date Fixed]],"MMM-YYYY")</f>
        <v>Apr-2013</v>
      </c>
      <c r="R44" t="s">
        <v>148</v>
      </c>
      <c r="S44" s="3">
        <f>Europe_Sales_Records34[[#This Row],[Ship Date Fixed]]-Europe_Sales_Records34[[#This Row],[Order Date Fixed]]</f>
        <v>32</v>
      </c>
      <c r="T44">
        <v>8092</v>
      </c>
      <c r="U44">
        <v>81.73</v>
      </c>
      <c r="V44">
        <v>56.67</v>
      </c>
      <c r="W44">
        <f>Europe_Sales_Records34[[#This Row],[Total Revenue]]/Europe_Sales_Records34[[#This Row],[Units Sold]]</f>
        <v>81.73</v>
      </c>
      <c r="X44">
        <v>661359.16</v>
      </c>
      <c r="Y44">
        <v>458573.64</v>
      </c>
      <c r="Z44" s="4">
        <f>Europe_Sales_Records34[[#This Row],[Total Profit]]/Europe_Sales_Records34[[#This Row],[Total Revenue]]</f>
        <v>0.30661935641747212</v>
      </c>
      <c r="AA44">
        <v>202785.52</v>
      </c>
    </row>
    <row r="45" spans="1:27" x14ac:dyDescent="0.3">
      <c r="A45" t="s">
        <v>14</v>
      </c>
      <c r="B45" t="s">
        <v>132</v>
      </c>
      <c r="C45" t="s">
        <v>75</v>
      </c>
      <c r="D45" t="s">
        <v>17</v>
      </c>
      <c r="E45" t="s">
        <v>18</v>
      </c>
      <c r="F45" t="s">
        <v>149</v>
      </c>
      <c r="G45" s="2">
        <f t="shared" si="0"/>
        <v>41214</v>
      </c>
      <c r="H45">
        <f>DAY(Europe_Sales_Records34[[#This Row],[Order Date Fixed]])</f>
        <v>1</v>
      </c>
      <c r="I45" t="str">
        <f>TEXT(Europe_Sales_Records34[[#This Row],[Order Date Fixed]],"MMM")</f>
        <v>Nov</v>
      </c>
      <c r="J45">
        <f>YEAR(Europe_Sales_Records34[[#This Row],[Order Date Fixed]])</f>
        <v>2012</v>
      </c>
      <c r="K45" t="str">
        <f>TEXT(Europe_Sales_Records34[[#This Row],[Order Date Fixed]],"MMM-YYYY")</f>
        <v>Nov-2012</v>
      </c>
      <c r="L45">
        <v>813973891</v>
      </c>
      <c r="M45" s="2">
        <f t="shared" si="1"/>
        <v>41226</v>
      </c>
      <c r="N45">
        <f>DAY(Europe_Sales_Records34[[#This Row],[Ship Date Fixed]])</f>
        <v>13</v>
      </c>
      <c r="O45" t="str">
        <f>TEXT(Europe_Sales_Records34[[#This Row],[Ship Date Fixed]],"MMM")</f>
        <v>Nov</v>
      </c>
      <c r="P45">
        <f>YEAR(Europe_Sales_Records34[[#This Row],[Ship Date Fixed]])</f>
        <v>2012</v>
      </c>
      <c r="Q45" t="str">
        <f>TEXT(Europe_Sales_Records34[[#This Row],[Ship Date Fixed]],"MMM-YYYY")</f>
        <v>Nov-2012</v>
      </c>
      <c r="R45" t="s">
        <v>150</v>
      </c>
      <c r="S45" s="3">
        <f>Europe_Sales_Records34[[#This Row],[Ship Date Fixed]]-Europe_Sales_Records34[[#This Row],[Order Date Fixed]]</f>
        <v>12</v>
      </c>
      <c r="T45">
        <v>1818</v>
      </c>
      <c r="U45">
        <v>437.2</v>
      </c>
      <c r="V45">
        <v>263.33</v>
      </c>
      <c r="W45">
        <f>Europe_Sales_Records34[[#This Row],[Total Revenue]]/Europe_Sales_Records34[[#This Row],[Units Sold]]</f>
        <v>437.2</v>
      </c>
      <c r="X45">
        <v>794829.6</v>
      </c>
      <c r="Y45">
        <v>478733.94</v>
      </c>
      <c r="Z45" s="4">
        <f>Europe_Sales_Records34[[#This Row],[Total Profit]]/Europe_Sales_Records34[[#This Row],[Total Revenue]]</f>
        <v>0.39768984446477584</v>
      </c>
      <c r="AA45">
        <v>316095.65999999997</v>
      </c>
    </row>
    <row r="46" spans="1:27" x14ac:dyDescent="0.3">
      <c r="A46" t="s">
        <v>14</v>
      </c>
      <c r="B46" t="s">
        <v>141</v>
      </c>
      <c r="C46" t="s">
        <v>75</v>
      </c>
      <c r="D46" t="s">
        <v>17</v>
      </c>
      <c r="E46" t="s">
        <v>33</v>
      </c>
      <c r="F46" t="s">
        <v>151</v>
      </c>
      <c r="G46" s="2">
        <f t="shared" si="0"/>
        <v>42643</v>
      </c>
      <c r="H46">
        <f>DAY(Europe_Sales_Records34[[#This Row],[Order Date Fixed]])</f>
        <v>30</v>
      </c>
      <c r="I46" t="str">
        <f>TEXT(Europe_Sales_Records34[[#This Row],[Order Date Fixed]],"MMM")</f>
        <v>Sep</v>
      </c>
      <c r="J46">
        <f>YEAR(Europe_Sales_Records34[[#This Row],[Order Date Fixed]])</f>
        <v>2016</v>
      </c>
      <c r="K46" t="str">
        <f>TEXT(Europe_Sales_Records34[[#This Row],[Order Date Fixed]],"MMM-YYYY")</f>
        <v>Sep-2016</v>
      </c>
      <c r="L46">
        <v>576944720</v>
      </c>
      <c r="M46" s="2">
        <f t="shared" si="1"/>
        <v>42652</v>
      </c>
      <c r="N46">
        <f>DAY(Europe_Sales_Records34[[#This Row],[Ship Date Fixed]])</f>
        <v>9</v>
      </c>
      <c r="O46" t="str">
        <f>TEXT(Europe_Sales_Records34[[#This Row],[Ship Date Fixed]],"MMM")</f>
        <v>Oct</v>
      </c>
      <c r="P46">
        <f>YEAR(Europe_Sales_Records34[[#This Row],[Ship Date Fixed]])</f>
        <v>2016</v>
      </c>
      <c r="Q46" t="str">
        <f>TEXT(Europe_Sales_Records34[[#This Row],[Ship Date Fixed]],"MMM-YYYY")</f>
        <v>Oct-2016</v>
      </c>
      <c r="R46" t="s">
        <v>152</v>
      </c>
      <c r="S46" s="3">
        <f>Europe_Sales_Records34[[#This Row],[Ship Date Fixed]]-Europe_Sales_Records34[[#This Row],[Order Date Fixed]]</f>
        <v>9</v>
      </c>
      <c r="T46">
        <v>9619</v>
      </c>
      <c r="U46">
        <v>437.2</v>
      </c>
      <c r="V46">
        <v>263.33</v>
      </c>
      <c r="W46">
        <f>Europe_Sales_Records34[[#This Row],[Total Revenue]]/Europe_Sales_Records34[[#This Row],[Units Sold]]</f>
        <v>437.2</v>
      </c>
      <c r="X46">
        <v>4205426.8</v>
      </c>
      <c r="Y46">
        <v>2532971.27</v>
      </c>
      <c r="Z46" s="4">
        <f>Europe_Sales_Records34[[#This Row],[Total Profit]]/Europe_Sales_Records34[[#This Row],[Total Revenue]]</f>
        <v>0.39768984446477584</v>
      </c>
      <c r="AA46">
        <v>1672455.53</v>
      </c>
    </row>
    <row r="47" spans="1:27" x14ac:dyDescent="0.3">
      <c r="A47" t="s">
        <v>14</v>
      </c>
      <c r="B47" t="s">
        <v>86</v>
      </c>
      <c r="C47" t="s">
        <v>64</v>
      </c>
      <c r="D47" t="s">
        <v>23</v>
      </c>
      <c r="E47" t="s">
        <v>33</v>
      </c>
      <c r="F47" t="s">
        <v>153</v>
      </c>
      <c r="G47" s="2">
        <f t="shared" si="0"/>
        <v>42219</v>
      </c>
      <c r="H47">
        <f>DAY(Europe_Sales_Records34[[#This Row],[Order Date Fixed]])</f>
        <v>3</v>
      </c>
      <c r="I47" t="str">
        <f>TEXT(Europe_Sales_Records34[[#This Row],[Order Date Fixed]],"MMM")</f>
        <v>Aug</v>
      </c>
      <c r="J47">
        <f>YEAR(Europe_Sales_Records34[[#This Row],[Order Date Fixed]])</f>
        <v>2015</v>
      </c>
      <c r="K47" t="str">
        <f>TEXT(Europe_Sales_Records34[[#This Row],[Order Date Fixed]],"MMM-YYYY")</f>
        <v>Aug-2015</v>
      </c>
      <c r="L47">
        <v>404789817</v>
      </c>
      <c r="M47" s="2">
        <f t="shared" si="1"/>
        <v>42255</v>
      </c>
      <c r="N47">
        <f>DAY(Europe_Sales_Records34[[#This Row],[Ship Date Fixed]])</f>
        <v>8</v>
      </c>
      <c r="O47" t="str">
        <f>TEXT(Europe_Sales_Records34[[#This Row],[Ship Date Fixed]],"MMM")</f>
        <v>Sep</v>
      </c>
      <c r="P47">
        <f>YEAR(Europe_Sales_Records34[[#This Row],[Ship Date Fixed]])</f>
        <v>2015</v>
      </c>
      <c r="Q47" t="str">
        <f>TEXT(Europe_Sales_Records34[[#This Row],[Ship Date Fixed]],"MMM-YYYY")</f>
        <v>Sep-2015</v>
      </c>
      <c r="R47" t="s">
        <v>154</v>
      </c>
      <c r="S47" s="3">
        <f>Europe_Sales_Records34[[#This Row],[Ship Date Fixed]]-Europe_Sales_Records34[[#This Row],[Order Date Fixed]]</f>
        <v>36</v>
      </c>
      <c r="T47">
        <v>5157</v>
      </c>
      <c r="U47">
        <v>255.28</v>
      </c>
      <c r="V47">
        <v>159.41999999999999</v>
      </c>
      <c r="W47">
        <f>Europe_Sales_Records34[[#This Row],[Total Revenue]]/Europe_Sales_Records34[[#This Row],[Units Sold]]</f>
        <v>255.28</v>
      </c>
      <c r="X47">
        <v>1316478.96</v>
      </c>
      <c r="Y47">
        <v>822128.94</v>
      </c>
      <c r="Z47" s="4">
        <f>Europe_Sales_Records34[[#This Row],[Total Profit]]/Europe_Sales_Records34[[#This Row],[Total Revenue]]</f>
        <v>0.37550924475086184</v>
      </c>
      <c r="AA47">
        <v>494350.02</v>
      </c>
    </row>
    <row r="48" spans="1:27" x14ac:dyDescent="0.3">
      <c r="A48" t="s">
        <v>14</v>
      </c>
      <c r="B48" t="s">
        <v>21</v>
      </c>
      <c r="C48" t="s">
        <v>64</v>
      </c>
      <c r="D48" t="s">
        <v>23</v>
      </c>
      <c r="E48" t="s">
        <v>18</v>
      </c>
      <c r="F48" t="s">
        <v>155</v>
      </c>
      <c r="G48" s="2">
        <f t="shared" si="0"/>
        <v>41759</v>
      </c>
      <c r="H48">
        <f>DAY(Europe_Sales_Records34[[#This Row],[Order Date Fixed]])</f>
        <v>30</v>
      </c>
      <c r="I48" t="str">
        <f>TEXT(Europe_Sales_Records34[[#This Row],[Order Date Fixed]],"MMM")</f>
        <v>Apr</v>
      </c>
      <c r="J48">
        <f>YEAR(Europe_Sales_Records34[[#This Row],[Order Date Fixed]])</f>
        <v>2014</v>
      </c>
      <c r="K48" t="str">
        <f>TEXT(Europe_Sales_Records34[[#This Row],[Order Date Fixed]],"MMM-YYYY")</f>
        <v>Apr-2014</v>
      </c>
      <c r="L48">
        <v>871923768</v>
      </c>
      <c r="M48" s="2">
        <f t="shared" si="1"/>
        <v>41789</v>
      </c>
      <c r="N48">
        <f>DAY(Europe_Sales_Records34[[#This Row],[Ship Date Fixed]])</f>
        <v>30</v>
      </c>
      <c r="O48" t="str">
        <f>TEXT(Europe_Sales_Records34[[#This Row],[Ship Date Fixed]],"MMM")</f>
        <v>May</v>
      </c>
      <c r="P48">
        <f>YEAR(Europe_Sales_Records34[[#This Row],[Ship Date Fixed]])</f>
        <v>2014</v>
      </c>
      <c r="Q48" t="str">
        <f>TEXT(Europe_Sales_Records34[[#This Row],[Ship Date Fixed]],"MMM-YYYY")</f>
        <v>May-2014</v>
      </c>
      <c r="R48" t="s">
        <v>156</v>
      </c>
      <c r="S48" s="3">
        <f>Europe_Sales_Records34[[#This Row],[Ship Date Fixed]]-Europe_Sales_Records34[[#This Row],[Order Date Fixed]]</f>
        <v>30</v>
      </c>
      <c r="T48">
        <v>474</v>
      </c>
      <c r="U48">
        <v>255.28</v>
      </c>
      <c r="V48">
        <v>159.41999999999999</v>
      </c>
      <c r="W48">
        <f>Europe_Sales_Records34[[#This Row],[Total Revenue]]/Europe_Sales_Records34[[#This Row],[Units Sold]]</f>
        <v>255.28</v>
      </c>
      <c r="X48">
        <v>121002.72</v>
      </c>
      <c r="Y48">
        <v>75565.08</v>
      </c>
      <c r="Z48" s="4">
        <f>Europe_Sales_Records34[[#This Row],[Total Profit]]/Europe_Sales_Records34[[#This Row],[Total Revenue]]</f>
        <v>0.37550924475086178</v>
      </c>
      <c r="AA48">
        <v>45437.64</v>
      </c>
    </row>
    <row r="49" spans="1:27" x14ac:dyDescent="0.3">
      <c r="A49" t="s">
        <v>14</v>
      </c>
      <c r="B49" t="s">
        <v>132</v>
      </c>
      <c r="C49" t="s">
        <v>46</v>
      </c>
      <c r="D49" t="s">
        <v>17</v>
      </c>
      <c r="E49" t="s">
        <v>18</v>
      </c>
      <c r="F49" t="s">
        <v>157</v>
      </c>
      <c r="G49" s="2">
        <f t="shared" si="0"/>
        <v>41261</v>
      </c>
      <c r="H49">
        <f>DAY(Europe_Sales_Records34[[#This Row],[Order Date Fixed]])</f>
        <v>18</v>
      </c>
      <c r="I49" t="str">
        <f>TEXT(Europe_Sales_Records34[[#This Row],[Order Date Fixed]],"MMM")</f>
        <v>Dec</v>
      </c>
      <c r="J49">
        <f>YEAR(Europe_Sales_Records34[[#This Row],[Order Date Fixed]])</f>
        <v>2012</v>
      </c>
      <c r="K49" t="str">
        <f>TEXT(Europe_Sales_Records34[[#This Row],[Order Date Fixed]],"MMM-YYYY")</f>
        <v>Dec-2012</v>
      </c>
      <c r="L49">
        <v>818976962</v>
      </c>
      <c r="M49" s="2">
        <f t="shared" si="1"/>
        <v>41264</v>
      </c>
      <c r="N49">
        <f>DAY(Europe_Sales_Records34[[#This Row],[Ship Date Fixed]])</f>
        <v>21</v>
      </c>
      <c r="O49" t="str">
        <f>TEXT(Europe_Sales_Records34[[#This Row],[Ship Date Fixed]],"MMM")</f>
        <v>Dec</v>
      </c>
      <c r="P49">
        <f>YEAR(Europe_Sales_Records34[[#This Row],[Ship Date Fixed]])</f>
        <v>2012</v>
      </c>
      <c r="Q49" t="str">
        <f>TEXT(Europe_Sales_Records34[[#This Row],[Ship Date Fixed]],"MMM-YYYY")</f>
        <v>Dec-2012</v>
      </c>
      <c r="R49" t="s">
        <v>158</v>
      </c>
      <c r="S49" s="3">
        <f>Europe_Sales_Records34[[#This Row],[Ship Date Fixed]]-Europe_Sales_Records34[[#This Row],[Order Date Fixed]]</f>
        <v>3</v>
      </c>
      <c r="T49">
        <v>2337</v>
      </c>
      <c r="U49">
        <v>154.06</v>
      </c>
      <c r="V49">
        <v>90.93</v>
      </c>
      <c r="W49">
        <f>Europe_Sales_Records34[[#This Row],[Total Revenue]]/Europe_Sales_Records34[[#This Row],[Units Sold]]</f>
        <v>154.05999999999997</v>
      </c>
      <c r="X49">
        <v>360038.22</v>
      </c>
      <c r="Y49">
        <v>212503.41</v>
      </c>
      <c r="Z49" s="4">
        <f>Europe_Sales_Records34[[#This Row],[Total Profit]]/Europe_Sales_Records34[[#This Row],[Total Revenue]]</f>
        <v>0.40977541217707392</v>
      </c>
      <c r="AA49">
        <v>147534.81</v>
      </c>
    </row>
    <row r="50" spans="1:27" x14ac:dyDescent="0.3">
      <c r="A50" t="s">
        <v>14</v>
      </c>
      <c r="B50" t="s">
        <v>49</v>
      </c>
      <c r="C50" t="s">
        <v>75</v>
      </c>
      <c r="D50" t="s">
        <v>23</v>
      </c>
      <c r="E50" t="s">
        <v>18</v>
      </c>
      <c r="F50" t="s">
        <v>159</v>
      </c>
      <c r="G50" s="2">
        <f t="shared" si="0"/>
        <v>42936</v>
      </c>
      <c r="H50">
        <f>DAY(Europe_Sales_Records34[[#This Row],[Order Date Fixed]])</f>
        <v>20</v>
      </c>
      <c r="I50" t="str">
        <f>TEXT(Europe_Sales_Records34[[#This Row],[Order Date Fixed]],"MMM")</f>
        <v>Jul</v>
      </c>
      <c r="J50">
        <f>YEAR(Europe_Sales_Records34[[#This Row],[Order Date Fixed]])</f>
        <v>2017</v>
      </c>
      <c r="K50" t="str">
        <f>TEXT(Europe_Sales_Records34[[#This Row],[Order Date Fixed]],"MMM-YYYY")</f>
        <v>Jul-2017</v>
      </c>
      <c r="L50">
        <v>233811223</v>
      </c>
      <c r="M50" s="2">
        <f t="shared" si="1"/>
        <v>42936</v>
      </c>
      <c r="N50">
        <f>DAY(Europe_Sales_Records34[[#This Row],[Ship Date Fixed]])</f>
        <v>20</v>
      </c>
      <c r="O50" t="str">
        <f>TEXT(Europe_Sales_Records34[[#This Row],[Ship Date Fixed]],"MMM")</f>
        <v>Jul</v>
      </c>
      <c r="P50">
        <f>YEAR(Europe_Sales_Records34[[#This Row],[Ship Date Fixed]])</f>
        <v>2017</v>
      </c>
      <c r="Q50" t="str">
        <f>TEXT(Europe_Sales_Records34[[#This Row],[Ship Date Fixed]],"MMM-YYYY")</f>
        <v>Jul-2017</v>
      </c>
      <c r="R50" t="s">
        <v>159</v>
      </c>
      <c r="S50" s="3">
        <f>Europe_Sales_Records34[[#This Row],[Ship Date Fixed]]-Europe_Sales_Records34[[#This Row],[Order Date Fixed]]</f>
        <v>0</v>
      </c>
      <c r="T50">
        <v>8792</v>
      </c>
      <c r="U50">
        <v>437.2</v>
      </c>
      <c r="V50">
        <v>263.33</v>
      </c>
      <c r="W50">
        <f>Europe_Sales_Records34[[#This Row],[Total Revenue]]/Europe_Sales_Records34[[#This Row],[Units Sold]]</f>
        <v>437.2</v>
      </c>
      <c r="X50">
        <v>3843862.4</v>
      </c>
      <c r="Y50">
        <v>2315197.36</v>
      </c>
      <c r="Z50" s="4">
        <f>Europe_Sales_Records34[[#This Row],[Total Profit]]/Europe_Sales_Records34[[#This Row],[Total Revenue]]</f>
        <v>0.39768984446477584</v>
      </c>
      <c r="AA50">
        <v>1528665.04</v>
      </c>
    </row>
    <row r="51" spans="1:27" x14ac:dyDescent="0.3">
      <c r="A51" t="s">
        <v>14</v>
      </c>
      <c r="B51" t="s">
        <v>138</v>
      </c>
      <c r="C51" t="s">
        <v>32</v>
      </c>
      <c r="D51" t="s">
        <v>17</v>
      </c>
      <c r="E51" t="s">
        <v>18</v>
      </c>
      <c r="F51" t="s">
        <v>160</v>
      </c>
      <c r="G51" s="2">
        <f t="shared" si="0"/>
        <v>42719</v>
      </c>
      <c r="H51">
        <f>DAY(Europe_Sales_Records34[[#This Row],[Order Date Fixed]])</f>
        <v>15</v>
      </c>
      <c r="I51" t="str">
        <f>TEXT(Europe_Sales_Records34[[#This Row],[Order Date Fixed]],"MMM")</f>
        <v>Dec</v>
      </c>
      <c r="J51">
        <f>YEAR(Europe_Sales_Records34[[#This Row],[Order Date Fixed]])</f>
        <v>2016</v>
      </c>
      <c r="K51" t="str">
        <f>TEXT(Europe_Sales_Records34[[#This Row],[Order Date Fixed]],"MMM-YYYY")</f>
        <v>Dec-2016</v>
      </c>
      <c r="L51">
        <v>112330758</v>
      </c>
      <c r="M51" s="2">
        <f t="shared" si="1"/>
        <v>42746</v>
      </c>
      <c r="N51">
        <f>DAY(Europe_Sales_Records34[[#This Row],[Ship Date Fixed]])</f>
        <v>11</v>
      </c>
      <c r="O51" t="str">
        <f>TEXT(Europe_Sales_Records34[[#This Row],[Ship Date Fixed]],"MMM")</f>
        <v>Jan</v>
      </c>
      <c r="P51">
        <f>YEAR(Europe_Sales_Records34[[#This Row],[Ship Date Fixed]])</f>
        <v>2017</v>
      </c>
      <c r="Q51" t="str">
        <f>TEXT(Europe_Sales_Records34[[#This Row],[Ship Date Fixed]],"MMM-YYYY")</f>
        <v>Jan-2017</v>
      </c>
      <c r="R51" t="s">
        <v>161</v>
      </c>
      <c r="S51" s="3">
        <f>Europe_Sales_Records34[[#This Row],[Ship Date Fixed]]-Europe_Sales_Records34[[#This Row],[Order Date Fixed]]</f>
        <v>27</v>
      </c>
      <c r="T51">
        <v>22</v>
      </c>
      <c r="U51">
        <v>651.21</v>
      </c>
      <c r="V51">
        <v>524.96</v>
      </c>
      <c r="W51">
        <f>Europe_Sales_Records34[[#This Row],[Total Revenue]]/Europe_Sales_Records34[[#This Row],[Units Sold]]</f>
        <v>651.21</v>
      </c>
      <c r="X51">
        <v>14326.62</v>
      </c>
      <c r="Y51">
        <v>11549.12</v>
      </c>
      <c r="Z51" s="4">
        <f>Europe_Sales_Records34[[#This Row],[Total Profit]]/Europe_Sales_Records34[[#This Row],[Total Revenue]]</f>
        <v>0.19386987300563566</v>
      </c>
      <c r="AA51">
        <v>2777.5</v>
      </c>
    </row>
    <row r="52" spans="1:27" x14ac:dyDescent="0.3">
      <c r="A52" t="s">
        <v>14</v>
      </c>
      <c r="B52" t="s">
        <v>40</v>
      </c>
      <c r="C52" t="s">
        <v>32</v>
      </c>
      <c r="D52" t="s">
        <v>17</v>
      </c>
      <c r="E52" t="s">
        <v>54</v>
      </c>
      <c r="F52" t="s">
        <v>144</v>
      </c>
      <c r="G52" s="2">
        <f t="shared" si="0"/>
        <v>41822</v>
      </c>
      <c r="H52">
        <f>DAY(Europe_Sales_Records34[[#This Row],[Order Date Fixed]])</f>
        <v>2</v>
      </c>
      <c r="I52" t="str">
        <f>TEXT(Europe_Sales_Records34[[#This Row],[Order Date Fixed]],"MMM")</f>
        <v>Jul</v>
      </c>
      <c r="J52">
        <f>YEAR(Europe_Sales_Records34[[#This Row],[Order Date Fixed]])</f>
        <v>2014</v>
      </c>
      <c r="K52" t="str">
        <f>TEXT(Europe_Sales_Records34[[#This Row],[Order Date Fixed]],"MMM-YYYY")</f>
        <v>Jul-2014</v>
      </c>
      <c r="L52">
        <v>256095016</v>
      </c>
      <c r="M52" s="2">
        <f t="shared" si="1"/>
        <v>41872</v>
      </c>
      <c r="N52">
        <f>DAY(Europe_Sales_Records34[[#This Row],[Ship Date Fixed]])</f>
        <v>21</v>
      </c>
      <c r="O52" t="str">
        <f>TEXT(Europe_Sales_Records34[[#This Row],[Ship Date Fixed]],"MMM")</f>
        <v>Aug</v>
      </c>
      <c r="P52">
        <f>YEAR(Europe_Sales_Records34[[#This Row],[Ship Date Fixed]])</f>
        <v>2014</v>
      </c>
      <c r="Q52" t="str">
        <f>TEXT(Europe_Sales_Records34[[#This Row],[Ship Date Fixed]],"MMM-YYYY")</f>
        <v>Aug-2014</v>
      </c>
      <c r="R52" t="s">
        <v>162</v>
      </c>
      <c r="S52" s="3">
        <f>Europe_Sales_Records34[[#This Row],[Ship Date Fixed]]-Europe_Sales_Records34[[#This Row],[Order Date Fixed]]</f>
        <v>50</v>
      </c>
      <c r="T52">
        <v>3061</v>
      </c>
      <c r="U52">
        <v>651.21</v>
      </c>
      <c r="V52">
        <v>524.96</v>
      </c>
      <c r="W52">
        <f>Europe_Sales_Records34[[#This Row],[Total Revenue]]/Europe_Sales_Records34[[#This Row],[Units Sold]]</f>
        <v>651.21</v>
      </c>
      <c r="X52">
        <v>1993353.81</v>
      </c>
      <c r="Y52">
        <v>1606902.56</v>
      </c>
      <c r="Z52" s="4">
        <f>Europe_Sales_Records34[[#This Row],[Total Profit]]/Europe_Sales_Records34[[#This Row],[Total Revenue]]</f>
        <v>0.19386987300563566</v>
      </c>
      <c r="AA52">
        <v>386451.25</v>
      </c>
    </row>
    <row r="53" spans="1:27" x14ac:dyDescent="0.3">
      <c r="A53" t="s">
        <v>14</v>
      </c>
      <c r="B53" t="s">
        <v>163</v>
      </c>
      <c r="C53" t="s">
        <v>50</v>
      </c>
      <c r="D53" t="s">
        <v>23</v>
      </c>
      <c r="E53" t="s">
        <v>33</v>
      </c>
      <c r="F53" t="s">
        <v>164</v>
      </c>
      <c r="G53" s="2">
        <f t="shared" si="0"/>
        <v>42336</v>
      </c>
      <c r="H53">
        <f>DAY(Europe_Sales_Records34[[#This Row],[Order Date Fixed]])</f>
        <v>28</v>
      </c>
      <c r="I53" t="str">
        <f>TEXT(Europe_Sales_Records34[[#This Row],[Order Date Fixed]],"MMM")</f>
        <v>Nov</v>
      </c>
      <c r="J53">
        <f>YEAR(Europe_Sales_Records34[[#This Row],[Order Date Fixed]])</f>
        <v>2015</v>
      </c>
      <c r="K53" t="str">
        <f>TEXT(Europe_Sales_Records34[[#This Row],[Order Date Fixed]],"MMM-YYYY")</f>
        <v>Nov-2015</v>
      </c>
      <c r="L53">
        <v>245440852</v>
      </c>
      <c r="M53" s="2">
        <f t="shared" si="1"/>
        <v>42355</v>
      </c>
      <c r="N53">
        <f>DAY(Europe_Sales_Records34[[#This Row],[Ship Date Fixed]])</f>
        <v>17</v>
      </c>
      <c r="O53" t="str">
        <f>TEXT(Europe_Sales_Records34[[#This Row],[Ship Date Fixed]],"MMM")</f>
        <v>Dec</v>
      </c>
      <c r="P53">
        <f>YEAR(Europe_Sales_Records34[[#This Row],[Ship Date Fixed]])</f>
        <v>2015</v>
      </c>
      <c r="Q53" t="str">
        <f>TEXT(Europe_Sales_Records34[[#This Row],[Ship Date Fixed]],"MMM-YYYY")</f>
        <v>Dec-2015</v>
      </c>
      <c r="R53" t="s">
        <v>165</v>
      </c>
      <c r="S53" s="3">
        <f>Europe_Sales_Records34[[#This Row],[Ship Date Fixed]]-Europe_Sales_Records34[[#This Row],[Order Date Fixed]]</f>
        <v>19</v>
      </c>
      <c r="T53">
        <v>257</v>
      </c>
      <c r="U53">
        <v>421.89</v>
      </c>
      <c r="V53">
        <v>364.69</v>
      </c>
      <c r="W53">
        <f>Europe_Sales_Records34[[#This Row],[Total Revenue]]/Europe_Sales_Records34[[#This Row],[Units Sold]]</f>
        <v>421.89</v>
      </c>
      <c r="X53">
        <v>108425.73</v>
      </c>
      <c r="Y53">
        <v>93725.33</v>
      </c>
      <c r="Z53" s="4">
        <f>Europe_Sales_Records34[[#This Row],[Total Profit]]/Europe_Sales_Records34[[#This Row],[Total Revenue]]</f>
        <v>0.13558036455000119</v>
      </c>
      <c r="AA53">
        <v>14700.4</v>
      </c>
    </row>
    <row r="54" spans="1:27" x14ac:dyDescent="0.3">
      <c r="A54" t="s">
        <v>14</v>
      </c>
      <c r="B54" t="s">
        <v>166</v>
      </c>
      <c r="C54" t="s">
        <v>37</v>
      </c>
      <c r="D54" t="s">
        <v>23</v>
      </c>
      <c r="E54" t="s">
        <v>54</v>
      </c>
      <c r="F54" t="s">
        <v>167</v>
      </c>
      <c r="G54" s="2">
        <f t="shared" si="0"/>
        <v>40838</v>
      </c>
      <c r="H54">
        <f>DAY(Europe_Sales_Records34[[#This Row],[Order Date Fixed]])</f>
        <v>22</v>
      </c>
      <c r="I54" t="str">
        <f>TEXT(Europe_Sales_Records34[[#This Row],[Order Date Fixed]],"MMM")</f>
        <v>Oct</v>
      </c>
      <c r="J54">
        <f>YEAR(Europe_Sales_Records34[[#This Row],[Order Date Fixed]])</f>
        <v>2011</v>
      </c>
      <c r="K54" t="str">
        <f>TEXT(Europe_Sales_Records34[[#This Row],[Order Date Fixed]],"MMM-YYYY")</f>
        <v>Oct-2011</v>
      </c>
      <c r="L54">
        <v>817006289</v>
      </c>
      <c r="M54" s="2">
        <f t="shared" si="1"/>
        <v>40861</v>
      </c>
      <c r="N54">
        <f>DAY(Europe_Sales_Records34[[#This Row],[Ship Date Fixed]])</f>
        <v>14</v>
      </c>
      <c r="O54" t="str">
        <f>TEXT(Europe_Sales_Records34[[#This Row],[Ship Date Fixed]],"MMM")</f>
        <v>Nov</v>
      </c>
      <c r="P54">
        <f>YEAR(Europe_Sales_Records34[[#This Row],[Ship Date Fixed]])</f>
        <v>2011</v>
      </c>
      <c r="Q54" t="str">
        <f>TEXT(Europe_Sales_Records34[[#This Row],[Ship Date Fixed]],"MMM-YYYY")</f>
        <v>Nov-2011</v>
      </c>
      <c r="R54" t="s">
        <v>168</v>
      </c>
      <c r="S54" s="3">
        <f>Europe_Sales_Records34[[#This Row],[Ship Date Fixed]]-Europe_Sales_Records34[[#This Row],[Order Date Fixed]]</f>
        <v>23</v>
      </c>
      <c r="T54">
        <v>9172</v>
      </c>
      <c r="U54">
        <v>9.33</v>
      </c>
      <c r="V54">
        <v>6.92</v>
      </c>
      <c r="W54">
        <f>Europe_Sales_Records34[[#This Row],[Total Revenue]]/Europe_Sales_Records34[[#This Row],[Units Sold]]</f>
        <v>9.33</v>
      </c>
      <c r="X54">
        <v>85574.76</v>
      </c>
      <c r="Y54">
        <v>63470.239999999998</v>
      </c>
      <c r="Z54" s="4">
        <f>Europe_Sales_Records34[[#This Row],[Total Profit]]/Europe_Sales_Records34[[#This Row],[Total Revenue]]</f>
        <v>0.25830653804930337</v>
      </c>
      <c r="AA54">
        <v>22104.52</v>
      </c>
    </row>
    <row r="55" spans="1:27" x14ac:dyDescent="0.3">
      <c r="A55" t="s">
        <v>14</v>
      </c>
      <c r="B55" t="s">
        <v>169</v>
      </c>
      <c r="C55" t="s">
        <v>46</v>
      </c>
      <c r="D55" t="s">
        <v>23</v>
      </c>
      <c r="E55" t="s">
        <v>54</v>
      </c>
      <c r="F55" t="s">
        <v>170</v>
      </c>
      <c r="G55" s="2">
        <f t="shared" si="0"/>
        <v>40441</v>
      </c>
      <c r="H55">
        <f>DAY(Europe_Sales_Records34[[#This Row],[Order Date Fixed]])</f>
        <v>20</v>
      </c>
      <c r="I55" t="str">
        <f>TEXT(Europe_Sales_Records34[[#This Row],[Order Date Fixed]],"MMM")</f>
        <v>Sep</v>
      </c>
      <c r="J55">
        <f>YEAR(Europe_Sales_Records34[[#This Row],[Order Date Fixed]])</f>
        <v>2010</v>
      </c>
      <c r="K55" t="str">
        <f>TEXT(Europe_Sales_Records34[[#This Row],[Order Date Fixed]],"MMM-YYYY")</f>
        <v>Sep-2010</v>
      </c>
      <c r="L55">
        <v>298228013</v>
      </c>
      <c r="M55" s="2">
        <f t="shared" si="1"/>
        <v>40476</v>
      </c>
      <c r="N55">
        <f>DAY(Europe_Sales_Records34[[#This Row],[Ship Date Fixed]])</f>
        <v>25</v>
      </c>
      <c r="O55" t="str">
        <f>TEXT(Europe_Sales_Records34[[#This Row],[Ship Date Fixed]],"MMM")</f>
        <v>Oct</v>
      </c>
      <c r="P55">
        <f>YEAR(Europe_Sales_Records34[[#This Row],[Ship Date Fixed]])</f>
        <v>2010</v>
      </c>
      <c r="Q55" t="str">
        <f>TEXT(Europe_Sales_Records34[[#This Row],[Ship Date Fixed]],"MMM-YYYY")</f>
        <v>Oct-2010</v>
      </c>
      <c r="R55" t="s">
        <v>171</v>
      </c>
      <c r="S55" s="3">
        <f>Europe_Sales_Records34[[#This Row],[Ship Date Fixed]]-Europe_Sales_Records34[[#This Row],[Order Date Fixed]]</f>
        <v>35</v>
      </c>
      <c r="T55">
        <v>1151</v>
      </c>
      <c r="U55">
        <v>154.06</v>
      </c>
      <c r="V55">
        <v>90.93</v>
      </c>
      <c r="W55">
        <f>Europe_Sales_Records34[[#This Row],[Total Revenue]]/Europe_Sales_Records34[[#This Row],[Units Sold]]</f>
        <v>154.06</v>
      </c>
      <c r="X55">
        <v>177323.06</v>
      </c>
      <c r="Y55">
        <v>104660.43</v>
      </c>
      <c r="Z55" s="4">
        <f>Europe_Sales_Records34[[#This Row],[Total Profit]]/Europe_Sales_Records34[[#This Row],[Total Revenue]]</f>
        <v>0.40977541217707392</v>
      </c>
      <c r="AA55">
        <v>72662.63</v>
      </c>
    </row>
    <row r="56" spans="1:27" x14ac:dyDescent="0.3">
      <c r="A56" t="s">
        <v>14</v>
      </c>
      <c r="B56" t="s">
        <v>80</v>
      </c>
      <c r="C56" t="s">
        <v>58</v>
      </c>
      <c r="D56" t="s">
        <v>23</v>
      </c>
      <c r="E56" t="s">
        <v>18</v>
      </c>
      <c r="F56" t="s">
        <v>172</v>
      </c>
      <c r="G56" s="2">
        <f t="shared" si="0"/>
        <v>42809</v>
      </c>
      <c r="H56">
        <f>DAY(Europe_Sales_Records34[[#This Row],[Order Date Fixed]])</f>
        <v>15</v>
      </c>
      <c r="I56" t="str">
        <f>TEXT(Europe_Sales_Records34[[#This Row],[Order Date Fixed]],"MMM")</f>
        <v>Mar</v>
      </c>
      <c r="J56">
        <f>YEAR(Europe_Sales_Records34[[#This Row],[Order Date Fixed]])</f>
        <v>2017</v>
      </c>
      <c r="K56" t="str">
        <f>TEXT(Europe_Sales_Records34[[#This Row],[Order Date Fixed]],"MMM-YYYY")</f>
        <v>Mar-2017</v>
      </c>
      <c r="L56">
        <v>972981679</v>
      </c>
      <c r="M56" s="2">
        <f t="shared" si="1"/>
        <v>42834</v>
      </c>
      <c r="N56">
        <f>DAY(Europe_Sales_Records34[[#This Row],[Ship Date Fixed]])</f>
        <v>9</v>
      </c>
      <c r="O56" t="str">
        <f>TEXT(Europe_Sales_Records34[[#This Row],[Ship Date Fixed]],"MMM")</f>
        <v>Apr</v>
      </c>
      <c r="P56">
        <f>YEAR(Europe_Sales_Records34[[#This Row],[Ship Date Fixed]])</f>
        <v>2017</v>
      </c>
      <c r="Q56" t="str">
        <f>TEXT(Europe_Sales_Records34[[#This Row],[Ship Date Fixed]],"MMM-YYYY")</f>
        <v>Apr-2017</v>
      </c>
      <c r="R56" t="s">
        <v>173</v>
      </c>
      <c r="S56" s="3">
        <f>Europe_Sales_Records34[[#This Row],[Ship Date Fixed]]-Europe_Sales_Records34[[#This Row],[Order Date Fixed]]</f>
        <v>25</v>
      </c>
      <c r="T56">
        <v>5755</v>
      </c>
      <c r="U56">
        <v>152.58000000000001</v>
      </c>
      <c r="V56">
        <v>97.44</v>
      </c>
      <c r="W56">
        <f>Europe_Sales_Records34[[#This Row],[Total Revenue]]/Europe_Sales_Records34[[#This Row],[Units Sold]]</f>
        <v>152.58000000000001</v>
      </c>
      <c r="X56">
        <v>878097.9</v>
      </c>
      <c r="Y56">
        <v>560767.19999999995</v>
      </c>
      <c r="Z56" s="4">
        <f>Europe_Sales_Records34[[#This Row],[Total Profit]]/Europe_Sales_Records34[[#This Row],[Total Revenue]]</f>
        <v>0.36138419189933152</v>
      </c>
      <c r="AA56">
        <v>317330.7</v>
      </c>
    </row>
    <row r="57" spans="1:27" x14ac:dyDescent="0.3">
      <c r="A57" t="s">
        <v>14</v>
      </c>
      <c r="B57" t="s">
        <v>115</v>
      </c>
      <c r="C57" t="s">
        <v>102</v>
      </c>
      <c r="D57" t="s">
        <v>17</v>
      </c>
      <c r="E57" t="s">
        <v>24</v>
      </c>
      <c r="F57" t="s">
        <v>174</v>
      </c>
      <c r="G57" s="2">
        <f t="shared" si="0"/>
        <v>41068</v>
      </c>
      <c r="H57">
        <f>DAY(Europe_Sales_Records34[[#This Row],[Order Date Fixed]])</f>
        <v>8</v>
      </c>
      <c r="I57" t="str">
        <f>TEXT(Europe_Sales_Records34[[#This Row],[Order Date Fixed]],"MMM")</f>
        <v>Jun</v>
      </c>
      <c r="J57">
        <f>YEAR(Europe_Sales_Records34[[#This Row],[Order Date Fixed]])</f>
        <v>2012</v>
      </c>
      <c r="K57" t="str">
        <f>TEXT(Europe_Sales_Records34[[#This Row],[Order Date Fixed]],"MMM-YYYY")</f>
        <v>Jun-2012</v>
      </c>
      <c r="L57">
        <v>594813811</v>
      </c>
      <c r="M57" s="2">
        <f t="shared" si="1"/>
        <v>41077</v>
      </c>
      <c r="N57">
        <f>DAY(Europe_Sales_Records34[[#This Row],[Ship Date Fixed]])</f>
        <v>17</v>
      </c>
      <c r="O57" t="str">
        <f>TEXT(Europe_Sales_Records34[[#This Row],[Ship Date Fixed]],"MMM")</f>
        <v>Jun</v>
      </c>
      <c r="P57">
        <f>YEAR(Europe_Sales_Records34[[#This Row],[Ship Date Fixed]])</f>
        <v>2012</v>
      </c>
      <c r="Q57" t="str">
        <f>TEXT(Europe_Sales_Records34[[#This Row],[Ship Date Fixed]],"MMM-YYYY")</f>
        <v>Jun-2012</v>
      </c>
      <c r="R57" t="s">
        <v>175</v>
      </c>
      <c r="S57" s="3">
        <f>Europe_Sales_Records34[[#This Row],[Ship Date Fixed]]-Europe_Sales_Records34[[#This Row],[Order Date Fixed]]</f>
        <v>9</v>
      </c>
      <c r="T57">
        <v>7480</v>
      </c>
      <c r="U57">
        <v>81.73</v>
      </c>
      <c r="V57">
        <v>56.67</v>
      </c>
      <c r="W57">
        <f>Europe_Sales_Records34[[#This Row],[Total Revenue]]/Europe_Sales_Records34[[#This Row],[Units Sold]]</f>
        <v>81.73</v>
      </c>
      <c r="X57">
        <v>611340.4</v>
      </c>
      <c r="Y57">
        <v>423891.6</v>
      </c>
      <c r="Z57" s="4">
        <f>Europe_Sales_Records34[[#This Row],[Total Profit]]/Europe_Sales_Records34[[#This Row],[Total Revenue]]</f>
        <v>0.30661935641747212</v>
      </c>
      <c r="AA57">
        <v>187448.8</v>
      </c>
    </row>
    <row r="58" spans="1:27" x14ac:dyDescent="0.3">
      <c r="A58" t="s">
        <v>14</v>
      </c>
      <c r="B58" t="s">
        <v>36</v>
      </c>
      <c r="C58" t="s">
        <v>22</v>
      </c>
      <c r="D58" t="s">
        <v>23</v>
      </c>
      <c r="E58" t="s">
        <v>54</v>
      </c>
      <c r="F58" t="s">
        <v>176</v>
      </c>
      <c r="G58" s="2">
        <f t="shared" si="0"/>
        <v>41160</v>
      </c>
      <c r="H58">
        <f>DAY(Europe_Sales_Records34[[#This Row],[Order Date Fixed]])</f>
        <v>8</v>
      </c>
      <c r="I58" t="str">
        <f>TEXT(Europe_Sales_Records34[[#This Row],[Order Date Fixed]],"MMM")</f>
        <v>Sep</v>
      </c>
      <c r="J58">
        <f>YEAR(Europe_Sales_Records34[[#This Row],[Order Date Fixed]])</f>
        <v>2012</v>
      </c>
      <c r="K58" t="str">
        <f>TEXT(Europe_Sales_Records34[[#This Row],[Order Date Fixed]],"MMM-YYYY")</f>
        <v>Sep-2012</v>
      </c>
      <c r="L58">
        <v>176722657</v>
      </c>
      <c r="M58" s="2">
        <f t="shared" si="1"/>
        <v>41168</v>
      </c>
      <c r="N58">
        <f>DAY(Europe_Sales_Records34[[#This Row],[Ship Date Fixed]])</f>
        <v>16</v>
      </c>
      <c r="O58" t="str">
        <f>TEXT(Europe_Sales_Records34[[#This Row],[Ship Date Fixed]],"MMM")</f>
        <v>Sep</v>
      </c>
      <c r="P58">
        <f>YEAR(Europe_Sales_Records34[[#This Row],[Ship Date Fixed]])</f>
        <v>2012</v>
      </c>
      <c r="Q58" t="str">
        <f>TEXT(Europe_Sales_Records34[[#This Row],[Ship Date Fixed]],"MMM-YYYY")</f>
        <v>Sep-2012</v>
      </c>
      <c r="R58" t="s">
        <v>177</v>
      </c>
      <c r="S58" s="3">
        <f>Europe_Sales_Records34[[#This Row],[Ship Date Fixed]]-Europe_Sales_Records34[[#This Row],[Order Date Fixed]]</f>
        <v>8</v>
      </c>
      <c r="T58">
        <v>5016</v>
      </c>
      <c r="U58">
        <v>109.28</v>
      </c>
      <c r="V58">
        <v>35.840000000000003</v>
      </c>
      <c r="W58">
        <f>Europe_Sales_Records34[[#This Row],[Total Revenue]]/Europe_Sales_Records34[[#This Row],[Units Sold]]</f>
        <v>109.28</v>
      </c>
      <c r="X58">
        <v>548148.47999999998</v>
      </c>
      <c r="Y58">
        <v>179773.44</v>
      </c>
      <c r="Z58" s="4">
        <f>Europe_Sales_Records34[[#This Row],[Total Profit]]/Europe_Sales_Records34[[#This Row],[Total Revenue]]</f>
        <v>0.67203513909224011</v>
      </c>
      <c r="AA58">
        <v>368375.03999999998</v>
      </c>
    </row>
    <row r="59" spans="1:27" x14ac:dyDescent="0.3">
      <c r="A59" t="s">
        <v>14</v>
      </c>
      <c r="B59" t="s">
        <v>100</v>
      </c>
      <c r="C59" t="s">
        <v>102</v>
      </c>
      <c r="D59" t="s">
        <v>17</v>
      </c>
      <c r="E59" t="s">
        <v>24</v>
      </c>
      <c r="F59" t="s">
        <v>178</v>
      </c>
      <c r="G59" s="2">
        <f t="shared" si="0"/>
        <v>40771</v>
      </c>
      <c r="H59">
        <f>DAY(Europe_Sales_Records34[[#This Row],[Order Date Fixed]])</f>
        <v>16</v>
      </c>
      <c r="I59" t="str">
        <f>TEXT(Europe_Sales_Records34[[#This Row],[Order Date Fixed]],"MMM")</f>
        <v>Aug</v>
      </c>
      <c r="J59">
        <f>YEAR(Europe_Sales_Records34[[#This Row],[Order Date Fixed]])</f>
        <v>2011</v>
      </c>
      <c r="K59" t="str">
        <f>TEXT(Europe_Sales_Records34[[#This Row],[Order Date Fixed]],"MMM-YYYY")</f>
        <v>Aug-2011</v>
      </c>
      <c r="L59">
        <v>466988742</v>
      </c>
      <c r="M59" s="2">
        <f t="shared" si="1"/>
        <v>40771</v>
      </c>
      <c r="N59">
        <f>DAY(Europe_Sales_Records34[[#This Row],[Ship Date Fixed]])</f>
        <v>16</v>
      </c>
      <c r="O59" t="str">
        <f>TEXT(Europe_Sales_Records34[[#This Row],[Ship Date Fixed]],"MMM")</f>
        <v>Aug</v>
      </c>
      <c r="P59">
        <f>YEAR(Europe_Sales_Records34[[#This Row],[Ship Date Fixed]])</f>
        <v>2011</v>
      </c>
      <c r="Q59" t="str">
        <f>TEXT(Europe_Sales_Records34[[#This Row],[Ship Date Fixed]],"MMM-YYYY")</f>
        <v>Aug-2011</v>
      </c>
      <c r="R59" t="s">
        <v>178</v>
      </c>
      <c r="S59" s="3">
        <f>Europe_Sales_Records34[[#This Row],[Ship Date Fixed]]-Europe_Sales_Records34[[#This Row],[Order Date Fixed]]</f>
        <v>0</v>
      </c>
      <c r="T59">
        <v>1201</v>
      </c>
      <c r="U59">
        <v>81.73</v>
      </c>
      <c r="V59">
        <v>56.67</v>
      </c>
      <c r="W59">
        <f>Europe_Sales_Records34[[#This Row],[Total Revenue]]/Europe_Sales_Records34[[#This Row],[Units Sold]]</f>
        <v>81.72999999999999</v>
      </c>
      <c r="X59">
        <v>98157.73</v>
      </c>
      <c r="Y59">
        <v>68060.67</v>
      </c>
      <c r="Z59" s="4">
        <f>Europe_Sales_Records34[[#This Row],[Total Profit]]/Europe_Sales_Records34[[#This Row],[Total Revenue]]</f>
        <v>0.30661935641747218</v>
      </c>
      <c r="AA59">
        <v>30097.06</v>
      </c>
    </row>
    <row r="60" spans="1:27" x14ac:dyDescent="0.3">
      <c r="A60" t="s">
        <v>14</v>
      </c>
      <c r="B60" t="s">
        <v>86</v>
      </c>
      <c r="C60" t="s">
        <v>28</v>
      </c>
      <c r="D60" t="s">
        <v>23</v>
      </c>
      <c r="E60" t="s">
        <v>18</v>
      </c>
      <c r="F60" t="s">
        <v>179</v>
      </c>
      <c r="G60" s="2">
        <f t="shared" si="0"/>
        <v>42227</v>
      </c>
      <c r="H60">
        <f>DAY(Europe_Sales_Records34[[#This Row],[Order Date Fixed]])</f>
        <v>11</v>
      </c>
      <c r="I60" t="str">
        <f>TEXT(Europe_Sales_Records34[[#This Row],[Order Date Fixed]],"MMM")</f>
        <v>Aug</v>
      </c>
      <c r="J60">
        <f>YEAR(Europe_Sales_Records34[[#This Row],[Order Date Fixed]])</f>
        <v>2015</v>
      </c>
      <c r="K60" t="str">
        <f>TEXT(Europe_Sales_Records34[[#This Row],[Order Date Fixed]],"MMM-YYYY")</f>
        <v>Aug-2015</v>
      </c>
      <c r="L60">
        <v>615080583</v>
      </c>
      <c r="M60" s="2">
        <f t="shared" si="1"/>
        <v>42266</v>
      </c>
      <c r="N60">
        <f>DAY(Europe_Sales_Records34[[#This Row],[Ship Date Fixed]])</f>
        <v>19</v>
      </c>
      <c r="O60" t="str">
        <f>TEXT(Europe_Sales_Records34[[#This Row],[Ship Date Fixed]],"MMM")</f>
        <v>Sep</v>
      </c>
      <c r="P60">
        <f>YEAR(Europe_Sales_Records34[[#This Row],[Ship Date Fixed]])</f>
        <v>2015</v>
      </c>
      <c r="Q60" t="str">
        <f>TEXT(Europe_Sales_Records34[[#This Row],[Ship Date Fixed]],"MMM-YYYY")</f>
        <v>Sep-2015</v>
      </c>
      <c r="R60" t="s">
        <v>180</v>
      </c>
      <c r="S60" s="3">
        <f>Europe_Sales_Records34[[#This Row],[Ship Date Fixed]]-Europe_Sales_Records34[[#This Row],[Order Date Fixed]]</f>
        <v>39</v>
      </c>
      <c r="T60">
        <v>4868</v>
      </c>
      <c r="U60">
        <v>205.7</v>
      </c>
      <c r="V60">
        <v>117.11</v>
      </c>
      <c r="W60">
        <f>Europe_Sales_Records34[[#This Row],[Total Revenue]]/Europe_Sales_Records34[[#This Row],[Units Sold]]</f>
        <v>205.7</v>
      </c>
      <c r="X60">
        <v>1001347.6</v>
      </c>
      <c r="Y60">
        <v>570091.48</v>
      </c>
      <c r="Z60" s="4">
        <f>Europe_Sales_Records34[[#This Row],[Total Profit]]/Europe_Sales_Records34[[#This Row],[Total Revenue]]</f>
        <v>0.43067574137092857</v>
      </c>
      <c r="AA60">
        <v>431256.12</v>
      </c>
    </row>
    <row r="61" spans="1:27" x14ac:dyDescent="0.3">
      <c r="A61" t="s">
        <v>14</v>
      </c>
      <c r="B61" t="s">
        <v>181</v>
      </c>
      <c r="C61" t="s">
        <v>75</v>
      </c>
      <c r="D61" t="s">
        <v>23</v>
      </c>
      <c r="E61" t="s">
        <v>18</v>
      </c>
      <c r="F61" t="s">
        <v>182</v>
      </c>
      <c r="G61" s="2">
        <f t="shared" si="0"/>
        <v>40538</v>
      </c>
      <c r="H61">
        <f>DAY(Europe_Sales_Records34[[#This Row],[Order Date Fixed]])</f>
        <v>26</v>
      </c>
      <c r="I61" t="str">
        <f>TEXT(Europe_Sales_Records34[[#This Row],[Order Date Fixed]],"MMM")</f>
        <v>Dec</v>
      </c>
      <c r="J61">
        <f>YEAR(Europe_Sales_Records34[[#This Row],[Order Date Fixed]])</f>
        <v>2010</v>
      </c>
      <c r="K61" t="str">
        <f>TEXT(Europe_Sales_Records34[[#This Row],[Order Date Fixed]],"MMM-YYYY")</f>
        <v>Dec-2010</v>
      </c>
      <c r="L61">
        <v>350977408</v>
      </c>
      <c r="M61" s="2">
        <f t="shared" si="1"/>
        <v>40565</v>
      </c>
      <c r="N61">
        <f>DAY(Europe_Sales_Records34[[#This Row],[Ship Date Fixed]])</f>
        <v>22</v>
      </c>
      <c r="O61" t="str">
        <f>TEXT(Europe_Sales_Records34[[#This Row],[Ship Date Fixed]],"MMM")</f>
        <v>Jan</v>
      </c>
      <c r="P61">
        <f>YEAR(Europe_Sales_Records34[[#This Row],[Ship Date Fixed]])</f>
        <v>2011</v>
      </c>
      <c r="Q61" t="str">
        <f>TEXT(Europe_Sales_Records34[[#This Row],[Ship Date Fixed]],"MMM-YYYY")</f>
        <v>Jan-2011</v>
      </c>
      <c r="R61" t="s">
        <v>76</v>
      </c>
      <c r="S61" s="3">
        <f>Europe_Sales_Records34[[#This Row],[Ship Date Fixed]]-Europe_Sales_Records34[[#This Row],[Order Date Fixed]]</f>
        <v>27</v>
      </c>
      <c r="T61">
        <v>869</v>
      </c>
      <c r="U61">
        <v>437.2</v>
      </c>
      <c r="V61">
        <v>263.33</v>
      </c>
      <c r="W61">
        <f>Europe_Sales_Records34[[#This Row],[Total Revenue]]/Europe_Sales_Records34[[#This Row],[Units Sold]]</f>
        <v>437.2</v>
      </c>
      <c r="X61">
        <v>379926.8</v>
      </c>
      <c r="Y61">
        <v>228833.77</v>
      </c>
      <c r="Z61" s="4">
        <f>Europe_Sales_Records34[[#This Row],[Total Profit]]/Europe_Sales_Records34[[#This Row],[Total Revenue]]</f>
        <v>0.39768984446477584</v>
      </c>
      <c r="AA61">
        <v>151093.03</v>
      </c>
    </row>
    <row r="62" spans="1:27" x14ac:dyDescent="0.3">
      <c r="A62" t="s">
        <v>14</v>
      </c>
      <c r="B62" t="s">
        <v>183</v>
      </c>
      <c r="C62" t="s">
        <v>102</v>
      </c>
      <c r="D62" t="s">
        <v>17</v>
      </c>
      <c r="E62" t="s">
        <v>24</v>
      </c>
      <c r="F62" t="s">
        <v>184</v>
      </c>
      <c r="G62" s="2">
        <f t="shared" si="0"/>
        <v>40885</v>
      </c>
      <c r="H62">
        <f>DAY(Europe_Sales_Records34[[#This Row],[Order Date Fixed]])</f>
        <v>8</v>
      </c>
      <c r="I62" t="str">
        <f>TEXT(Europe_Sales_Records34[[#This Row],[Order Date Fixed]],"MMM")</f>
        <v>Dec</v>
      </c>
      <c r="J62">
        <f>YEAR(Europe_Sales_Records34[[#This Row],[Order Date Fixed]])</f>
        <v>2011</v>
      </c>
      <c r="K62" t="str">
        <f>TEXT(Europe_Sales_Records34[[#This Row],[Order Date Fixed]],"MMM-YYYY")</f>
        <v>Dec-2011</v>
      </c>
      <c r="L62">
        <v>701298367</v>
      </c>
      <c r="M62" s="2">
        <f t="shared" si="1"/>
        <v>40914</v>
      </c>
      <c r="N62">
        <f>DAY(Europe_Sales_Records34[[#This Row],[Ship Date Fixed]])</f>
        <v>6</v>
      </c>
      <c r="O62" t="str">
        <f>TEXT(Europe_Sales_Records34[[#This Row],[Ship Date Fixed]],"MMM")</f>
        <v>Jan</v>
      </c>
      <c r="P62">
        <f>YEAR(Europe_Sales_Records34[[#This Row],[Ship Date Fixed]])</f>
        <v>2012</v>
      </c>
      <c r="Q62" t="str">
        <f>TEXT(Europe_Sales_Records34[[#This Row],[Ship Date Fixed]],"MMM-YYYY")</f>
        <v>Jan-2012</v>
      </c>
      <c r="R62" t="s">
        <v>139</v>
      </c>
      <c r="S62" s="3">
        <f>Europe_Sales_Records34[[#This Row],[Ship Date Fixed]]-Europe_Sales_Records34[[#This Row],[Order Date Fixed]]</f>
        <v>29</v>
      </c>
      <c r="T62">
        <v>8626</v>
      </c>
      <c r="U62">
        <v>81.73</v>
      </c>
      <c r="V62">
        <v>56.67</v>
      </c>
      <c r="W62">
        <f>Europe_Sales_Records34[[#This Row],[Total Revenue]]/Europe_Sales_Records34[[#This Row],[Units Sold]]</f>
        <v>81.73</v>
      </c>
      <c r="X62">
        <v>705002.98</v>
      </c>
      <c r="Y62">
        <v>488835.42</v>
      </c>
      <c r="Z62" s="4">
        <f>Europe_Sales_Records34[[#This Row],[Total Profit]]/Europe_Sales_Records34[[#This Row],[Total Revenue]]</f>
        <v>0.30661935641747218</v>
      </c>
      <c r="AA62">
        <v>216167.56</v>
      </c>
    </row>
    <row r="63" spans="1:27" x14ac:dyDescent="0.3">
      <c r="A63" t="s">
        <v>14</v>
      </c>
      <c r="B63" t="s">
        <v>185</v>
      </c>
      <c r="C63" t="s">
        <v>102</v>
      </c>
      <c r="D63" t="s">
        <v>23</v>
      </c>
      <c r="E63" t="s">
        <v>18</v>
      </c>
      <c r="F63" t="s">
        <v>186</v>
      </c>
      <c r="G63" s="2">
        <f t="shared" si="0"/>
        <v>40599</v>
      </c>
      <c r="H63">
        <f>DAY(Europe_Sales_Records34[[#This Row],[Order Date Fixed]])</f>
        <v>25</v>
      </c>
      <c r="I63" t="str">
        <f>TEXT(Europe_Sales_Records34[[#This Row],[Order Date Fixed]],"MMM")</f>
        <v>Feb</v>
      </c>
      <c r="J63">
        <f>YEAR(Europe_Sales_Records34[[#This Row],[Order Date Fixed]])</f>
        <v>2011</v>
      </c>
      <c r="K63" t="str">
        <f>TEXT(Europe_Sales_Records34[[#This Row],[Order Date Fixed]],"MMM-YYYY")</f>
        <v>Feb-2011</v>
      </c>
      <c r="L63">
        <v>309342658</v>
      </c>
      <c r="M63" s="2">
        <f t="shared" si="1"/>
        <v>40630</v>
      </c>
      <c r="N63">
        <f>DAY(Europe_Sales_Records34[[#This Row],[Ship Date Fixed]])</f>
        <v>28</v>
      </c>
      <c r="O63" t="str">
        <f>TEXT(Europe_Sales_Records34[[#This Row],[Ship Date Fixed]],"MMM")</f>
        <v>Mar</v>
      </c>
      <c r="P63">
        <f>YEAR(Europe_Sales_Records34[[#This Row],[Ship Date Fixed]])</f>
        <v>2011</v>
      </c>
      <c r="Q63" t="str">
        <f>TEXT(Europe_Sales_Records34[[#This Row],[Ship Date Fixed]],"MMM-YYYY")</f>
        <v>Mar-2011</v>
      </c>
      <c r="R63" t="s">
        <v>187</v>
      </c>
      <c r="S63" s="3">
        <f>Europe_Sales_Records34[[#This Row],[Ship Date Fixed]]-Europe_Sales_Records34[[#This Row],[Order Date Fixed]]</f>
        <v>31</v>
      </c>
      <c r="T63">
        <v>222</v>
      </c>
      <c r="U63">
        <v>81.73</v>
      </c>
      <c r="V63">
        <v>56.67</v>
      </c>
      <c r="W63">
        <f>Europe_Sales_Records34[[#This Row],[Total Revenue]]/Europe_Sales_Records34[[#This Row],[Units Sold]]</f>
        <v>81.73</v>
      </c>
      <c r="X63">
        <v>18144.060000000001</v>
      </c>
      <c r="Y63">
        <v>12580.74</v>
      </c>
      <c r="Z63" s="4">
        <f>Europe_Sales_Records34[[#This Row],[Total Profit]]/Europe_Sales_Records34[[#This Row],[Total Revenue]]</f>
        <v>0.30661935641747212</v>
      </c>
      <c r="AA63">
        <v>5563.32</v>
      </c>
    </row>
    <row r="64" spans="1:27" x14ac:dyDescent="0.3">
      <c r="A64" t="s">
        <v>14</v>
      </c>
      <c r="B64" t="s">
        <v>115</v>
      </c>
      <c r="C64" t="s">
        <v>71</v>
      </c>
      <c r="D64" t="s">
        <v>17</v>
      </c>
      <c r="E64" t="s">
        <v>24</v>
      </c>
      <c r="F64" t="s">
        <v>188</v>
      </c>
      <c r="G64" s="2">
        <f t="shared" si="0"/>
        <v>40257</v>
      </c>
      <c r="H64">
        <f>DAY(Europe_Sales_Records34[[#This Row],[Order Date Fixed]])</f>
        <v>20</v>
      </c>
      <c r="I64" t="str">
        <f>TEXT(Europe_Sales_Records34[[#This Row],[Order Date Fixed]],"MMM")</f>
        <v>Mar</v>
      </c>
      <c r="J64">
        <f>YEAR(Europe_Sales_Records34[[#This Row],[Order Date Fixed]])</f>
        <v>2010</v>
      </c>
      <c r="K64" t="str">
        <f>TEXT(Europe_Sales_Records34[[#This Row],[Order Date Fixed]],"MMM-YYYY")</f>
        <v>Mar-2010</v>
      </c>
      <c r="L64">
        <v>384128224</v>
      </c>
      <c r="M64" s="2">
        <f t="shared" si="1"/>
        <v>40294</v>
      </c>
      <c r="N64">
        <f>DAY(Europe_Sales_Records34[[#This Row],[Ship Date Fixed]])</f>
        <v>26</v>
      </c>
      <c r="O64" t="str">
        <f>TEXT(Europe_Sales_Records34[[#This Row],[Ship Date Fixed]],"MMM")</f>
        <v>Apr</v>
      </c>
      <c r="P64">
        <f>YEAR(Europe_Sales_Records34[[#This Row],[Ship Date Fixed]])</f>
        <v>2010</v>
      </c>
      <c r="Q64" t="str">
        <f>TEXT(Europe_Sales_Records34[[#This Row],[Ship Date Fixed]],"MMM-YYYY")</f>
        <v>Apr-2010</v>
      </c>
      <c r="R64" t="s">
        <v>189</v>
      </c>
      <c r="S64" s="3">
        <f>Europe_Sales_Records34[[#This Row],[Ship Date Fixed]]-Europe_Sales_Records34[[#This Row],[Order Date Fixed]]</f>
        <v>37</v>
      </c>
      <c r="T64">
        <v>933</v>
      </c>
      <c r="U64">
        <v>668.27</v>
      </c>
      <c r="V64">
        <v>502.54</v>
      </c>
      <c r="W64">
        <f>Europe_Sales_Records34[[#This Row],[Total Revenue]]/Europe_Sales_Records34[[#This Row],[Units Sold]]</f>
        <v>668.27</v>
      </c>
      <c r="X64">
        <v>623495.91</v>
      </c>
      <c r="Y64">
        <v>468869.82</v>
      </c>
      <c r="Z64" s="4">
        <f>Europe_Sales_Records34[[#This Row],[Total Profit]]/Europe_Sales_Records34[[#This Row],[Total Revenue]]</f>
        <v>0.24799856345489096</v>
      </c>
      <c r="AA64">
        <v>154626.09</v>
      </c>
    </row>
    <row r="65" spans="1:27" x14ac:dyDescent="0.3">
      <c r="A65" t="s">
        <v>14</v>
      </c>
      <c r="B65" t="s">
        <v>67</v>
      </c>
      <c r="C65" t="s">
        <v>71</v>
      </c>
      <c r="D65" t="s">
        <v>17</v>
      </c>
      <c r="E65" t="s">
        <v>18</v>
      </c>
      <c r="F65" t="s">
        <v>190</v>
      </c>
      <c r="G65" s="2">
        <f t="shared" si="0"/>
        <v>41656</v>
      </c>
      <c r="H65">
        <f>DAY(Europe_Sales_Records34[[#This Row],[Order Date Fixed]])</f>
        <v>17</v>
      </c>
      <c r="I65" t="str">
        <f>TEXT(Europe_Sales_Records34[[#This Row],[Order Date Fixed]],"MMM")</f>
        <v>Jan</v>
      </c>
      <c r="J65">
        <f>YEAR(Europe_Sales_Records34[[#This Row],[Order Date Fixed]])</f>
        <v>2014</v>
      </c>
      <c r="K65" t="str">
        <f>TEXT(Europe_Sales_Records34[[#This Row],[Order Date Fixed]],"MMM-YYYY")</f>
        <v>Jan-2014</v>
      </c>
      <c r="L65">
        <v>990774810</v>
      </c>
      <c r="M65" s="2">
        <f t="shared" si="1"/>
        <v>41688</v>
      </c>
      <c r="N65">
        <f>DAY(Europe_Sales_Records34[[#This Row],[Ship Date Fixed]])</f>
        <v>18</v>
      </c>
      <c r="O65" t="str">
        <f>TEXT(Europe_Sales_Records34[[#This Row],[Ship Date Fixed]],"MMM")</f>
        <v>Feb</v>
      </c>
      <c r="P65">
        <f>YEAR(Europe_Sales_Records34[[#This Row],[Ship Date Fixed]])</f>
        <v>2014</v>
      </c>
      <c r="Q65" t="str">
        <f>TEXT(Europe_Sales_Records34[[#This Row],[Ship Date Fixed]],"MMM-YYYY")</f>
        <v>Feb-2014</v>
      </c>
      <c r="R65" t="s">
        <v>191</v>
      </c>
      <c r="S65" s="3">
        <f>Europe_Sales_Records34[[#This Row],[Ship Date Fixed]]-Europe_Sales_Records34[[#This Row],[Order Date Fixed]]</f>
        <v>32</v>
      </c>
      <c r="T65">
        <v>1138</v>
      </c>
      <c r="U65">
        <v>668.27</v>
      </c>
      <c r="V65">
        <v>502.54</v>
      </c>
      <c r="W65">
        <f>Europe_Sales_Records34[[#This Row],[Total Revenue]]/Europe_Sales_Records34[[#This Row],[Units Sold]]</f>
        <v>668.27</v>
      </c>
      <c r="X65">
        <v>760491.26</v>
      </c>
      <c r="Y65">
        <v>571890.52</v>
      </c>
      <c r="Z65" s="4">
        <f>Europe_Sales_Records34[[#This Row],[Total Profit]]/Europe_Sales_Records34[[#This Row],[Total Revenue]]</f>
        <v>0.24799856345489096</v>
      </c>
      <c r="AA65">
        <v>188600.74</v>
      </c>
    </row>
    <row r="66" spans="1:27" x14ac:dyDescent="0.3">
      <c r="A66" t="s">
        <v>14</v>
      </c>
      <c r="B66" t="s">
        <v>57</v>
      </c>
      <c r="C66" t="s">
        <v>46</v>
      </c>
      <c r="D66" t="s">
        <v>17</v>
      </c>
      <c r="E66" t="s">
        <v>18</v>
      </c>
      <c r="F66" t="s">
        <v>192</v>
      </c>
      <c r="G66" s="2">
        <f t="shared" ref="G66:G129" si="2">DATE(
  RIGHT(F66,4),
  LEFT(F66,FIND("/",F66)-1),
  MID(F66,FIND("/",F66)+1, FIND("/",F66,FIND("/",F66)+1)-FIND("/",F66)-1)
)</f>
        <v>40903</v>
      </c>
      <c r="H66">
        <f>DAY(Europe_Sales_Records34[[#This Row],[Order Date Fixed]])</f>
        <v>26</v>
      </c>
      <c r="I66" t="str">
        <f>TEXT(Europe_Sales_Records34[[#This Row],[Order Date Fixed]],"MMM")</f>
        <v>Dec</v>
      </c>
      <c r="J66">
        <f>YEAR(Europe_Sales_Records34[[#This Row],[Order Date Fixed]])</f>
        <v>2011</v>
      </c>
      <c r="K66" t="str">
        <f>TEXT(Europe_Sales_Records34[[#This Row],[Order Date Fixed]],"MMM-YYYY")</f>
        <v>Dec-2011</v>
      </c>
      <c r="L66">
        <v>394110763</v>
      </c>
      <c r="M66" s="2">
        <f t="shared" ref="M66:M129" si="3">DATE(
  RIGHT(R66,4),
  LEFT(R66,FIND("/",R66)-1),
  MID(
      R66,
      FIND("/",R66)+1,
      FIND("/",R66,FIND("/",R66)+1)-FIND("/",R66)-1
     )
)</f>
        <v>40906</v>
      </c>
      <c r="N66">
        <f>DAY(Europe_Sales_Records34[[#This Row],[Ship Date Fixed]])</f>
        <v>29</v>
      </c>
      <c r="O66" t="str">
        <f>TEXT(Europe_Sales_Records34[[#This Row],[Ship Date Fixed]],"MMM")</f>
        <v>Dec</v>
      </c>
      <c r="P66">
        <f>YEAR(Europe_Sales_Records34[[#This Row],[Ship Date Fixed]])</f>
        <v>2011</v>
      </c>
      <c r="Q66" t="str">
        <f>TEXT(Europe_Sales_Records34[[#This Row],[Ship Date Fixed]],"MMM-YYYY")</f>
        <v>Dec-2011</v>
      </c>
      <c r="R66" t="s">
        <v>193</v>
      </c>
      <c r="S66" s="3">
        <f>Europe_Sales_Records34[[#This Row],[Ship Date Fixed]]-Europe_Sales_Records34[[#This Row],[Order Date Fixed]]</f>
        <v>3</v>
      </c>
      <c r="T66">
        <v>4988</v>
      </c>
      <c r="U66">
        <v>154.06</v>
      </c>
      <c r="V66">
        <v>90.93</v>
      </c>
      <c r="W66">
        <f>Europe_Sales_Records34[[#This Row],[Total Revenue]]/Europe_Sales_Records34[[#This Row],[Units Sold]]</f>
        <v>154.06</v>
      </c>
      <c r="X66">
        <v>768451.28</v>
      </c>
      <c r="Y66">
        <v>453558.84</v>
      </c>
      <c r="Z66" s="4">
        <f>Europe_Sales_Records34[[#This Row],[Total Profit]]/Europe_Sales_Records34[[#This Row],[Total Revenue]]</f>
        <v>0.40977541217707386</v>
      </c>
      <c r="AA66">
        <v>314892.44</v>
      </c>
    </row>
    <row r="67" spans="1:27" x14ac:dyDescent="0.3">
      <c r="A67" t="s">
        <v>14</v>
      </c>
      <c r="B67" t="s">
        <v>132</v>
      </c>
      <c r="C67" t="s">
        <v>37</v>
      </c>
      <c r="D67" t="s">
        <v>23</v>
      </c>
      <c r="E67" t="s">
        <v>18</v>
      </c>
      <c r="F67" t="s">
        <v>194</v>
      </c>
      <c r="G67" s="2">
        <f t="shared" si="2"/>
        <v>40970</v>
      </c>
      <c r="H67">
        <f>DAY(Europe_Sales_Records34[[#This Row],[Order Date Fixed]])</f>
        <v>2</v>
      </c>
      <c r="I67" t="str">
        <f>TEXT(Europe_Sales_Records34[[#This Row],[Order Date Fixed]],"MMM")</f>
        <v>Mar</v>
      </c>
      <c r="J67">
        <f>YEAR(Europe_Sales_Records34[[#This Row],[Order Date Fixed]])</f>
        <v>2012</v>
      </c>
      <c r="K67" t="str">
        <f>TEXT(Europe_Sales_Records34[[#This Row],[Order Date Fixed]],"MMM-YYYY")</f>
        <v>Mar-2012</v>
      </c>
      <c r="L67">
        <v>899868094</v>
      </c>
      <c r="M67" s="2">
        <f t="shared" si="3"/>
        <v>40994</v>
      </c>
      <c r="N67">
        <f>DAY(Europe_Sales_Records34[[#This Row],[Ship Date Fixed]])</f>
        <v>26</v>
      </c>
      <c r="O67" t="str">
        <f>TEXT(Europe_Sales_Records34[[#This Row],[Ship Date Fixed]],"MMM")</f>
        <v>Mar</v>
      </c>
      <c r="P67">
        <f>YEAR(Europe_Sales_Records34[[#This Row],[Ship Date Fixed]])</f>
        <v>2012</v>
      </c>
      <c r="Q67" t="str">
        <f>TEXT(Europe_Sales_Records34[[#This Row],[Ship Date Fixed]],"MMM-YYYY")</f>
        <v>Mar-2012</v>
      </c>
      <c r="R67" t="s">
        <v>195</v>
      </c>
      <c r="S67" s="3">
        <f>Europe_Sales_Records34[[#This Row],[Ship Date Fixed]]-Europe_Sales_Records34[[#This Row],[Order Date Fixed]]</f>
        <v>24</v>
      </c>
      <c r="T67">
        <v>9821</v>
      </c>
      <c r="U67">
        <v>9.33</v>
      </c>
      <c r="V67">
        <v>6.92</v>
      </c>
      <c r="W67">
        <f>Europe_Sales_Records34[[#This Row],[Total Revenue]]/Europe_Sales_Records34[[#This Row],[Units Sold]]</f>
        <v>9.33</v>
      </c>
      <c r="X67">
        <v>91629.93</v>
      </c>
      <c r="Y67">
        <v>67961.320000000007</v>
      </c>
      <c r="Z67" s="4">
        <f>Europe_Sales_Records34[[#This Row],[Total Profit]]/Europe_Sales_Records34[[#This Row],[Total Revenue]]</f>
        <v>0.25830653804930337</v>
      </c>
      <c r="AA67">
        <v>23668.61</v>
      </c>
    </row>
    <row r="68" spans="1:27" x14ac:dyDescent="0.3">
      <c r="A68" t="s">
        <v>14</v>
      </c>
      <c r="B68" t="s">
        <v>196</v>
      </c>
      <c r="C68" t="s">
        <v>64</v>
      </c>
      <c r="D68" t="s">
        <v>17</v>
      </c>
      <c r="E68" t="s">
        <v>33</v>
      </c>
      <c r="F68" t="s">
        <v>197</v>
      </c>
      <c r="G68" s="2">
        <f t="shared" si="2"/>
        <v>42741</v>
      </c>
      <c r="H68">
        <f>DAY(Europe_Sales_Records34[[#This Row],[Order Date Fixed]])</f>
        <v>6</v>
      </c>
      <c r="I68" t="str">
        <f>TEXT(Europe_Sales_Records34[[#This Row],[Order Date Fixed]],"MMM")</f>
        <v>Jan</v>
      </c>
      <c r="J68">
        <f>YEAR(Europe_Sales_Records34[[#This Row],[Order Date Fixed]])</f>
        <v>2017</v>
      </c>
      <c r="K68" t="str">
        <f>TEXT(Europe_Sales_Records34[[#This Row],[Order Date Fixed]],"MMM-YYYY")</f>
        <v>Jan-2017</v>
      </c>
      <c r="L68">
        <v>361311852</v>
      </c>
      <c r="M68" s="2">
        <f t="shared" si="3"/>
        <v>42781</v>
      </c>
      <c r="N68">
        <f>DAY(Europe_Sales_Records34[[#This Row],[Ship Date Fixed]])</f>
        <v>15</v>
      </c>
      <c r="O68" t="str">
        <f>TEXT(Europe_Sales_Records34[[#This Row],[Ship Date Fixed]],"MMM")</f>
        <v>Feb</v>
      </c>
      <c r="P68">
        <f>YEAR(Europe_Sales_Records34[[#This Row],[Ship Date Fixed]])</f>
        <v>2017</v>
      </c>
      <c r="Q68" t="str">
        <f>TEXT(Europe_Sales_Records34[[#This Row],[Ship Date Fixed]],"MMM-YYYY")</f>
        <v>Feb-2017</v>
      </c>
      <c r="R68" t="s">
        <v>198</v>
      </c>
      <c r="S68" s="3">
        <f>Europe_Sales_Records34[[#This Row],[Ship Date Fixed]]-Europe_Sales_Records34[[#This Row],[Order Date Fixed]]</f>
        <v>40</v>
      </c>
      <c r="T68">
        <v>9061</v>
      </c>
      <c r="U68">
        <v>255.28</v>
      </c>
      <c r="V68">
        <v>159.41999999999999</v>
      </c>
      <c r="W68">
        <f>Europe_Sales_Records34[[#This Row],[Total Revenue]]/Europe_Sales_Records34[[#This Row],[Units Sold]]</f>
        <v>255.28</v>
      </c>
      <c r="X68">
        <v>2313092.08</v>
      </c>
      <c r="Y68">
        <v>1444504.62</v>
      </c>
      <c r="Z68" s="4">
        <f>Europe_Sales_Records34[[#This Row],[Total Profit]]/Europe_Sales_Records34[[#This Row],[Total Revenue]]</f>
        <v>0.37550924475086178</v>
      </c>
      <c r="AA68">
        <v>868587.46</v>
      </c>
    </row>
    <row r="69" spans="1:27" x14ac:dyDescent="0.3">
      <c r="A69" t="s">
        <v>14</v>
      </c>
      <c r="B69" t="s">
        <v>135</v>
      </c>
      <c r="C69" t="s">
        <v>16</v>
      </c>
      <c r="D69" t="s">
        <v>23</v>
      </c>
      <c r="E69" t="s">
        <v>33</v>
      </c>
      <c r="F69" t="s">
        <v>199</v>
      </c>
      <c r="G69" s="2">
        <f t="shared" si="2"/>
        <v>41779</v>
      </c>
      <c r="H69">
        <f>DAY(Europe_Sales_Records34[[#This Row],[Order Date Fixed]])</f>
        <v>20</v>
      </c>
      <c r="I69" t="str">
        <f>TEXT(Europe_Sales_Records34[[#This Row],[Order Date Fixed]],"MMM")</f>
        <v>May</v>
      </c>
      <c r="J69">
        <f>YEAR(Europe_Sales_Records34[[#This Row],[Order Date Fixed]])</f>
        <v>2014</v>
      </c>
      <c r="K69" t="str">
        <f>TEXT(Europe_Sales_Records34[[#This Row],[Order Date Fixed]],"MMM-YYYY")</f>
        <v>May-2014</v>
      </c>
      <c r="L69">
        <v>930136287</v>
      </c>
      <c r="M69" s="2">
        <f t="shared" si="3"/>
        <v>41811</v>
      </c>
      <c r="N69">
        <f>DAY(Europe_Sales_Records34[[#This Row],[Ship Date Fixed]])</f>
        <v>21</v>
      </c>
      <c r="O69" t="str">
        <f>TEXT(Europe_Sales_Records34[[#This Row],[Ship Date Fixed]],"MMM")</f>
        <v>Jun</v>
      </c>
      <c r="P69">
        <f>YEAR(Europe_Sales_Records34[[#This Row],[Ship Date Fixed]])</f>
        <v>2014</v>
      </c>
      <c r="Q69" t="str">
        <f>TEXT(Europe_Sales_Records34[[#This Row],[Ship Date Fixed]],"MMM-YYYY")</f>
        <v>Jun-2014</v>
      </c>
      <c r="R69" t="s">
        <v>200</v>
      </c>
      <c r="S69" s="3">
        <f>Europe_Sales_Records34[[#This Row],[Ship Date Fixed]]-Europe_Sales_Records34[[#This Row],[Order Date Fixed]]</f>
        <v>32</v>
      </c>
      <c r="T69">
        <v>6852</v>
      </c>
      <c r="U69">
        <v>47.45</v>
      </c>
      <c r="V69">
        <v>31.79</v>
      </c>
      <c r="W69">
        <f>Europe_Sales_Records34[[#This Row],[Total Revenue]]/Europe_Sales_Records34[[#This Row],[Units Sold]]</f>
        <v>47.45</v>
      </c>
      <c r="X69">
        <v>325127.40000000002</v>
      </c>
      <c r="Y69">
        <v>217825.08</v>
      </c>
      <c r="Z69" s="4">
        <f>Europe_Sales_Records34[[#This Row],[Total Profit]]/Europe_Sales_Records34[[#This Row],[Total Revenue]]</f>
        <v>0.33003161222339306</v>
      </c>
      <c r="AA69">
        <v>107302.32</v>
      </c>
    </row>
    <row r="70" spans="1:27" x14ac:dyDescent="0.3">
      <c r="A70" t="s">
        <v>14</v>
      </c>
      <c r="B70" t="s">
        <v>31</v>
      </c>
      <c r="C70" t="s">
        <v>75</v>
      </c>
      <c r="D70" t="s">
        <v>23</v>
      </c>
      <c r="E70" t="s">
        <v>18</v>
      </c>
      <c r="F70" t="s">
        <v>201</v>
      </c>
      <c r="G70" s="2">
        <f t="shared" si="2"/>
        <v>41034</v>
      </c>
      <c r="H70">
        <f>DAY(Europe_Sales_Records34[[#This Row],[Order Date Fixed]])</f>
        <v>5</v>
      </c>
      <c r="I70" t="str">
        <f>TEXT(Europe_Sales_Records34[[#This Row],[Order Date Fixed]],"MMM")</f>
        <v>May</v>
      </c>
      <c r="J70">
        <f>YEAR(Europe_Sales_Records34[[#This Row],[Order Date Fixed]])</f>
        <v>2012</v>
      </c>
      <c r="K70" t="str">
        <f>TEXT(Europe_Sales_Records34[[#This Row],[Order Date Fixed]],"MMM-YYYY")</f>
        <v>May-2012</v>
      </c>
      <c r="L70">
        <v>179819428</v>
      </c>
      <c r="M70" s="2">
        <f t="shared" si="3"/>
        <v>41062</v>
      </c>
      <c r="N70">
        <f>DAY(Europe_Sales_Records34[[#This Row],[Ship Date Fixed]])</f>
        <v>2</v>
      </c>
      <c r="O70" t="str">
        <f>TEXT(Europe_Sales_Records34[[#This Row],[Ship Date Fixed]],"MMM")</f>
        <v>Jun</v>
      </c>
      <c r="P70">
        <f>YEAR(Europe_Sales_Records34[[#This Row],[Ship Date Fixed]])</f>
        <v>2012</v>
      </c>
      <c r="Q70" t="str">
        <f>TEXT(Europe_Sales_Records34[[#This Row],[Ship Date Fixed]],"MMM-YYYY")</f>
        <v>Jun-2012</v>
      </c>
      <c r="R70" t="s">
        <v>202</v>
      </c>
      <c r="S70" s="3">
        <f>Europe_Sales_Records34[[#This Row],[Ship Date Fixed]]-Europe_Sales_Records34[[#This Row],[Order Date Fixed]]</f>
        <v>28</v>
      </c>
      <c r="T70">
        <v>1420</v>
      </c>
      <c r="U70">
        <v>437.2</v>
      </c>
      <c r="V70">
        <v>263.33</v>
      </c>
      <c r="W70">
        <f>Europe_Sales_Records34[[#This Row],[Total Revenue]]/Europe_Sales_Records34[[#This Row],[Units Sold]]</f>
        <v>437.2</v>
      </c>
      <c r="X70">
        <v>620824</v>
      </c>
      <c r="Y70">
        <v>373928.6</v>
      </c>
      <c r="Z70" s="4">
        <f>Europe_Sales_Records34[[#This Row],[Total Profit]]/Europe_Sales_Records34[[#This Row],[Total Revenue]]</f>
        <v>0.39768984446477584</v>
      </c>
      <c r="AA70">
        <v>246895.4</v>
      </c>
    </row>
    <row r="71" spans="1:27" x14ac:dyDescent="0.3">
      <c r="A71" t="s">
        <v>14</v>
      </c>
      <c r="B71" t="s">
        <v>21</v>
      </c>
      <c r="C71" t="s">
        <v>37</v>
      </c>
      <c r="D71" t="s">
        <v>23</v>
      </c>
      <c r="E71" t="s">
        <v>54</v>
      </c>
      <c r="F71" t="s">
        <v>203</v>
      </c>
      <c r="G71" s="2">
        <f t="shared" si="2"/>
        <v>41279</v>
      </c>
      <c r="H71">
        <f>DAY(Europe_Sales_Records34[[#This Row],[Order Date Fixed]])</f>
        <v>5</v>
      </c>
      <c r="I71" t="str">
        <f>TEXT(Europe_Sales_Records34[[#This Row],[Order Date Fixed]],"MMM")</f>
        <v>Jan</v>
      </c>
      <c r="J71">
        <f>YEAR(Europe_Sales_Records34[[#This Row],[Order Date Fixed]])</f>
        <v>2013</v>
      </c>
      <c r="K71" t="str">
        <f>TEXT(Europe_Sales_Records34[[#This Row],[Order Date Fixed]],"MMM-YYYY")</f>
        <v>Jan-2013</v>
      </c>
      <c r="L71">
        <v>291305768</v>
      </c>
      <c r="M71" s="2">
        <f t="shared" si="3"/>
        <v>41280</v>
      </c>
      <c r="N71">
        <f>DAY(Europe_Sales_Records34[[#This Row],[Ship Date Fixed]])</f>
        <v>6</v>
      </c>
      <c r="O71" t="str">
        <f>TEXT(Europe_Sales_Records34[[#This Row],[Ship Date Fixed]],"MMM")</f>
        <v>Jan</v>
      </c>
      <c r="P71">
        <f>YEAR(Europe_Sales_Records34[[#This Row],[Ship Date Fixed]])</f>
        <v>2013</v>
      </c>
      <c r="Q71" t="str">
        <f>TEXT(Europe_Sales_Records34[[#This Row],[Ship Date Fixed]],"MMM-YYYY")</f>
        <v>Jan-2013</v>
      </c>
      <c r="R71" t="s">
        <v>204</v>
      </c>
      <c r="S71" s="3">
        <f>Europe_Sales_Records34[[#This Row],[Ship Date Fixed]]-Europe_Sales_Records34[[#This Row],[Order Date Fixed]]</f>
        <v>1</v>
      </c>
      <c r="T71">
        <v>2705</v>
      </c>
      <c r="U71">
        <v>9.33</v>
      </c>
      <c r="V71">
        <v>6.92</v>
      </c>
      <c r="W71">
        <f>Europe_Sales_Records34[[#This Row],[Total Revenue]]/Europe_Sales_Records34[[#This Row],[Units Sold]]</f>
        <v>9.33</v>
      </c>
      <c r="X71">
        <v>25237.65</v>
      </c>
      <c r="Y71">
        <v>18718.599999999999</v>
      </c>
      <c r="Z71" s="4">
        <f>Europe_Sales_Records34[[#This Row],[Total Profit]]/Europe_Sales_Records34[[#This Row],[Total Revenue]]</f>
        <v>0.25830653804930331</v>
      </c>
      <c r="AA71">
        <v>6519.05</v>
      </c>
    </row>
    <row r="72" spans="1:27" x14ac:dyDescent="0.3">
      <c r="A72" t="s">
        <v>14</v>
      </c>
      <c r="B72" t="s">
        <v>70</v>
      </c>
      <c r="C72" t="s">
        <v>102</v>
      </c>
      <c r="D72" t="s">
        <v>23</v>
      </c>
      <c r="E72" t="s">
        <v>33</v>
      </c>
      <c r="F72" t="s">
        <v>205</v>
      </c>
      <c r="G72" s="2">
        <f t="shared" si="2"/>
        <v>42118</v>
      </c>
      <c r="H72">
        <f>DAY(Europe_Sales_Records34[[#This Row],[Order Date Fixed]])</f>
        <v>24</v>
      </c>
      <c r="I72" t="str">
        <f>TEXT(Europe_Sales_Records34[[#This Row],[Order Date Fixed]],"MMM")</f>
        <v>Apr</v>
      </c>
      <c r="J72">
        <f>YEAR(Europe_Sales_Records34[[#This Row],[Order Date Fixed]])</f>
        <v>2015</v>
      </c>
      <c r="K72" t="str">
        <f>TEXT(Europe_Sales_Records34[[#This Row],[Order Date Fixed]],"MMM-YYYY")</f>
        <v>Apr-2015</v>
      </c>
      <c r="L72">
        <v>602357041</v>
      </c>
      <c r="M72" s="2">
        <f t="shared" si="3"/>
        <v>42129</v>
      </c>
      <c r="N72">
        <f>DAY(Europe_Sales_Records34[[#This Row],[Ship Date Fixed]])</f>
        <v>5</v>
      </c>
      <c r="O72" t="str">
        <f>TEXT(Europe_Sales_Records34[[#This Row],[Ship Date Fixed]],"MMM")</f>
        <v>May</v>
      </c>
      <c r="P72">
        <f>YEAR(Europe_Sales_Records34[[#This Row],[Ship Date Fixed]])</f>
        <v>2015</v>
      </c>
      <c r="Q72" t="str">
        <f>TEXT(Europe_Sales_Records34[[#This Row],[Ship Date Fixed]],"MMM-YYYY")</f>
        <v>May-2015</v>
      </c>
      <c r="R72" t="s">
        <v>206</v>
      </c>
      <c r="S72" s="3">
        <f>Europe_Sales_Records34[[#This Row],[Ship Date Fixed]]-Europe_Sales_Records34[[#This Row],[Order Date Fixed]]</f>
        <v>11</v>
      </c>
      <c r="T72">
        <v>9689</v>
      </c>
      <c r="U72">
        <v>81.73</v>
      </c>
      <c r="V72">
        <v>56.67</v>
      </c>
      <c r="W72">
        <f>Europe_Sales_Records34[[#This Row],[Total Revenue]]/Europe_Sales_Records34[[#This Row],[Units Sold]]</f>
        <v>81.73</v>
      </c>
      <c r="X72">
        <v>791881.97</v>
      </c>
      <c r="Y72">
        <v>549075.63</v>
      </c>
      <c r="Z72" s="4">
        <f>Europe_Sales_Records34[[#This Row],[Total Profit]]/Europe_Sales_Records34[[#This Row],[Total Revenue]]</f>
        <v>0.30661935641747218</v>
      </c>
      <c r="AA72">
        <v>242806.34</v>
      </c>
    </row>
    <row r="73" spans="1:27" x14ac:dyDescent="0.3">
      <c r="A73" t="s">
        <v>14</v>
      </c>
      <c r="B73" t="s">
        <v>141</v>
      </c>
      <c r="C73" t="s">
        <v>58</v>
      </c>
      <c r="D73" t="s">
        <v>23</v>
      </c>
      <c r="E73" t="s">
        <v>54</v>
      </c>
      <c r="F73" t="s">
        <v>207</v>
      </c>
      <c r="G73" s="2">
        <f t="shared" si="2"/>
        <v>40514</v>
      </c>
      <c r="H73">
        <f>DAY(Europe_Sales_Records34[[#This Row],[Order Date Fixed]])</f>
        <v>2</v>
      </c>
      <c r="I73" t="str">
        <f>TEXT(Europe_Sales_Records34[[#This Row],[Order Date Fixed]],"MMM")</f>
        <v>Dec</v>
      </c>
      <c r="J73">
        <f>YEAR(Europe_Sales_Records34[[#This Row],[Order Date Fixed]])</f>
        <v>2010</v>
      </c>
      <c r="K73" t="str">
        <f>TEXT(Europe_Sales_Records34[[#This Row],[Order Date Fixed]],"MMM-YYYY")</f>
        <v>Dec-2010</v>
      </c>
      <c r="L73">
        <v>653087270</v>
      </c>
      <c r="M73" s="2">
        <f t="shared" si="3"/>
        <v>40519</v>
      </c>
      <c r="N73">
        <f>DAY(Europe_Sales_Records34[[#This Row],[Ship Date Fixed]])</f>
        <v>7</v>
      </c>
      <c r="O73" t="str">
        <f>TEXT(Europe_Sales_Records34[[#This Row],[Ship Date Fixed]],"MMM")</f>
        <v>Dec</v>
      </c>
      <c r="P73">
        <f>YEAR(Europe_Sales_Records34[[#This Row],[Ship Date Fixed]])</f>
        <v>2010</v>
      </c>
      <c r="Q73" t="str">
        <f>TEXT(Europe_Sales_Records34[[#This Row],[Ship Date Fixed]],"MMM-YYYY")</f>
        <v>Dec-2010</v>
      </c>
      <c r="R73" t="s">
        <v>208</v>
      </c>
      <c r="S73" s="3">
        <f>Europe_Sales_Records34[[#This Row],[Ship Date Fixed]]-Europe_Sales_Records34[[#This Row],[Order Date Fixed]]</f>
        <v>5</v>
      </c>
      <c r="T73">
        <v>1891</v>
      </c>
      <c r="U73">
        <v>152.58000000000001</v>
      </c>
      <c r="V73">
        <v>97.44</v>
      </c>
      <c r="W73">
        <f>Europe_Sales_Records34[[#This Row],[Total Revenue]]/Europe_Sales_Records34[[#This Row],[Units Sold]]</f>
        <v>152.58000000000001</v>
      </c>
      <c r="X73">
        <v>288528.78000000003</v>
      </c>
      <c r="Y73">
        <v>184259.04</v>
      </c>
      <c r="Z73" s="4">
        <f>Europe_Sales_Records34[[#This Row],[Total Profit]]/Europe_Sales_Records34[[#This Row],[Total Revenue]]</f>
        <v>0.36138419189933146</v>
      </c>
      <c r="AA73">
        <v>104269.74</v>
      </c>
    </row>
    <row r="74" spans="1:27" x14ac:dyDescent="0.3">
      <c r="A74" t="s">
        <v>14</v>
      </c>
      <c r="B74" t="s">
        <v>97</v>
      </c>
      <c r="C74" t="s">
        <v>37</v>
      </c>
      <c r="D74" t="s">
        <v>17</v>
      </c>
      <c r="E74" t="s">
        <v>24</v>
      </c>
      <c r="F74" t="s">
        <v>209</v>
      </c>
      <c r="G74" s="2">
        <f t="shared" si="2"/>
        <v>41623</v>
      </c>
      <c r="H74">
        <f>DAY(Europe_Sales_Records34[[#This Row],[Order Date Fixed]])</f>
        <v>15</v>
      </c>
      <c r="I74" t="str">
        <f>TEXT(Europe_Sales_Records34[[#This Row],[Order Date Fixed]],"MMM")</f>
        <v>Dec</v>
      </c>
      <c r="J74">
        <f>YEAR(Europe_Sales_Records34[[#This Row],[Order Date Fixed]])</f>
        <v>2013</v>
      </c>
      <c r="K74" t="str">
        <f>TEXT(Europe_Sales_Records34[[#This Row],[Order Date Fixed]],"MMM-YYYY")</f>
        <v>Dec-2013</v>
      </c>
      <c r="L74">
        <v>812637078</v>
      </c>
      <c r="M74" s="2">
        <f t="shared" si="3"/>
        <v>41644</v>
      </c>
      <c r="N74">
        <f>DAY(Europe_Sales_Records34[[#This Row],[Ship Date Fixed]])</f>
        <v>5</v>
      </c>
      <c r="O74" t="str">
        <f>TEXT(Europe_Sales_Records34[[#This Row],[Ship Date Fixed]],"MMM")</f>
        <v>Jan</v>
      </c>
      <c r="P74">
        <f>YEAR(Europe_Sales_Records34[[#This Row],[Ship Date Fixed]])</f>
        <v>2014</v>
      </c>
      <c r="Q74" t="str">
        <f>TEXT(Europe_Sales_Records34[[#This Row],[Ship Date Fixed]],"MMM-YYYY")</f>
        <v>Jan-2014</v>
      </c>
      <c r="R74" t="s">
        <v>210</v>
      </c>
      <c r="S74" s="3">
        <f>Europe_Sales_Records34[[#This Row],[Ship Date Fixed]]-Europe_Sales_Records34[[#This Row],[Order Date Fixed]]</f>
        <v>21</v>
      </c>
      <c r="T74">
        <v>6225</v>
      </c>
      <c r="U74">
        <v>9.33</v>
      </c>
      <c r="V74">
        <v>6.92</v>
      </c>
      <c r="W74">
        <f>Europe_Sales_Records34[[#This Row],[Total Revenue]]/Europe_Sales_Records34[[#This Row],[Units Sold]]</f>
        <v>9.33</v>
      </c>
      <c r="X74">
        <v>58079.25</v>
      </c>
      <c r="Y74">
        <v>43077</v>
      </c>
      <c r="Z74" s="4">
        <f>Europe_Sales_Records34[[#This Row],[Total Profit]]/Europe_Sales_Records34[[#This Row],[Total Revenue]]</f>
        <v>0.25830653804930331</v>
      </c>
      <c r="AA74">
        <v>15002.25</v>
      </c>
    </row>
    <row r="75" spans="1:27" x14ac:dyDescent="0.3">
      <c r="A75" t="s">
        <v>14</v>
      </c>
      <c r="B75" t="s">
        <v>181</v>
      </c>
      <c r="C75" t="s">
        <v>102</v>
      </c>
      <c r="D75" t="s">
        <v>23</v>
      </c>
      <c r="E75" t="s">
        <v>33</v>
      </c>
      <c r="F75" t="s">
        <v>145</v>
      </c>
      <c r="G75" s="2">
        <f t="shared" si="2"/>
        <v>41839</v>
      </c>
      <c r="H75">
        <f>DAY(Europe_Sales_Records34[[#This Row],[Order Date Fixed]])</f>
        <v>19</v>
      </c>
      <c r="I75" t="str">
        <f>TEXT(Europe_Sales_Records34[[#This Row],[Order Date Fixed]],"MMM")</f>
        <v>Jul</v>
      </c>
      <c r="J75">
        <f>YEAR(Europe_Sales_Records34[[#This Row],[Order Date Fixed]])</f>
        <v>2014</v>
      </c>
      <c r="K75" t="str">
        <f>TEXT(Europe_Sales_Records34[[#This Row],[Order Date Fixed]],"MMM-YYYY")</f>
        <v>Jul-2014</v>
      </c>
      <c r="L75">
        <v>456192958</v>
      </c>
      <c r="M75" s="2">
        <f t="shared" si="3"/>
        <v>41869</v>
      </c>
      <c r="N75">
        <f>DAY(Europe_Sales_Records34[[#This Row],[Ship Date Fixed]])</f>
        <v>18</v>
      </c>
      <c r="O75" t="str">
        <f>TEXT(Europe_Sales_Records34[[#This Row],[Ship Date Fixed]],"MMM")</f>
        <v>Aug</v>
      </c>
      <c r="P75">
        <f>YEAR(Europe_Sales_Records34[[#This Row],[Ship Date Fixed]])</f>
        <v>2014</v>
      </c>
      <c r="Q75" t="str">
        <f>TEXT(Europe_Sales_Records34[[#This Row],[Ship Date Fixed]],"MMM-YYYY")</f>
        <v>Aug-2014</v>
      </c>
      <c r="R75" t="s">
        <v>211</v>
      </c>
      <c r="S75" s="3">
        <f>Europe_Sales_Records34[[#This Row],[Ship Date Fixed]]-Europe_Sales_Records34[[#This Row],[Order Date Fixed]]</f>
        <v>30</v>
      </c>
      <c r="T75">
        <v>6489</v>
      </c>
      <c r="U75">
        <v>81.73</v>
      </c>
      <c r="V75">
        <v>56.67</v>
      </c>
      <c r="W75">
        <f>Europe_Sales_Records34[[#This Row],[Total Revenue]]/Europe_Sales_Records34[[#This Row],[Units Sold]]</f>
        <v>81.72999999999999</v>
      </c>
      <c r="X75">
        <v>530345.97</v>
      </c>
      <c r="Y75">
        <v>367731.63</v>
      </c>
      <c r="Z75" s="4">
        <f>Europe_Sales_Records34[[#This Row],[Total Profit]]/Europe_Sales_Records34[[#This Row],[Total Revenue]]</f>
        <v>0.30661935641747218</v>
      </c>
      <c r="AA75">
        <v>162614.34</v>
      </c>
    </row>
    <row r="76" spans="1:27" x14ac:dyDescent="0.3">
      <c r="A76" t="s">
        <v>14</v>
      </c>
      <c r="B76" t="s">
        <v>141</v>
      </c>
      <c r="C76" t="s">
        <v>50</v>
      </c>
      <c r="D76" t="s">
        <v>17</v>
      </c>
      <c r="E76" t="s">
        <v>54</v>
      </c>
      <c r="F76" t="s">
        <v>212</v>
      </c>
      <c r="G76" s="2">
        <f t="shared" si="2"/>
        <v>41305</v>
      </c>
      <c r="H76">
        <f>DAY(Europe_Sales_Records34[[#This Row],[Order Date Fixed]])</f>
        <v>31</v>
      </c>
      <c r="I76" t="str">
        <f>TEXT(Europe_Sales_Records34[[#This Row],[Order Date Fixed]],"MMM")</f>
        <v>Jan</v>
      </c>
      <c r="J76">
        <f>YEAR(Europe_Sales_Records34[[#This Row],[Order Date Fixed]])</f>
        <v>2013</v>
      </c>
      <c r="K76" t="str">
        <f>TEXT(Europe_Sales_Records34[[#This Row],[Order Date Fixed]],"MMM-YYYY")</f>
        <v>Jan-2013</v>
      </c>
      <c r="L76">
        <v>986449801</v>
      </c>
      <c r="M76" s="2">
        <f t="shared" si="3"/>
        <v>41346</v>
      </c>
      <c r="N76">
        <f>DAY(Europe_Sales_Records34[[#This Row],[Ship Date Fixed]])</f>
        <v>13</v>
      </c>
      <c r="O76" t="str">
        <f>TEXT(Europe_Sales_Records34[[#This Row],[Ship Date Fixed]],"MMM")</f>
        <v>Mar</v>
      </c>
      <c r="P76">
        <f>YEAR(Europe_Sales_Records34[[#This Row],[Ship Date Fixed]])</f>
        <v>2013</v>
      </c>
      <c r="Q76" t="str">
        <f>TEXT(Europe_Sales_Records34[[#This Row],[Ship Date Fixed]],"MMM-YYYY")</f>
        <v>Mar-2013</v>
      </c>
      <c r="R76" t="s">
        <v>213</v>
      </c>
      <c r="S76" s="3">
        <f>Europe_Sales_Records34[[#This Row],[Ship Date Fixed]]-Europe_Sales_Records34[[#This Row],[Order Date Fixed]]</f>
        <v>41</v>
      </c>
      <c r="T76">
        <v>1272</v>
      </c>
      <c r="U76">
        <v>421.89</v>
      </c>
      <c r="V76">
        <v>364.69</v>
      </c>
      <c r="W76">
        <f>Europe_Sales_Records34[[#This Row],[Total Revenue]]/Europe_Sales_Records34[[#This Row],[Units Sold]]</f>
        <v>421.89</v>
      </c>
      <c r="X76">
        <v>536644.07999999996</v>
      </c>
      <c r="Y76">
        <v>463885.68</v>
      </c>
      <c r="Z76" s="4">
        <f>Europe_Sales_Records34[[#This Row],[Total Profit]]/Europe_Sales_Records34[[#This Row],[Total Revenue]]</f>
        <v>0.13558036455000119</v>
      </c>
      <c r="AA76">
        <v>72758.399999999994</v>
      </c>
    </row>
    <row r="77" spans="1:27" x14ac:dyDescent="0.3">
      <c r="A77" t="s">
        <v>14</v>
      </c>
      <c r="B77" t="s">
        <v>169</v>
      </c>
      <c r="C77" t="s">
        <v>75</v>
      </c>
      <c r="D77" t="s">
        <v>23</v>
      </c>
      <c r="E77" t="s">
        <v>33</v>
      </c>
      <c r="F77" t="s">
        <v>214</v>
      </c>
      <c r="G77" s="2">
        <f t="shared" si="2"/>
        <v>42919</v>
      </c>
      <c r="H77">
        <f>DAY(Europe_Sales_Records34[[#This Row],[Order Date Fixed]])</f>
        <v>3</v>
      </c>
      <c r="I77" t="str">
        <f>TEXT(Europe_Sales_Records34[[#This Row],[Order Date Fixed]],"MMM")</f>
        <v>Jul</v>
      </c>
      <c r="J77">
        <f>YEAR(Europe_Sales_Records34[[#This Row],[Order Date Fixed]])</f>
        <v>2017</v>
      </c>
      <c r="K77" t="str">
        <f>TEXT(Europe_Sales_Records34[[#This Row],[Order Date Fixed]],"MMM-YYYY")</f>
        <v>Jul-2017</v>
      </c>
      <c r="L77">
        <v>910610234</v>
      </c>
      <c r="M77" s="2">
        <f t="shared" si="3"/>
        <v>42947</v>
      </c>
      <c r="N77">
        <f>DAY(Europe_Sales_Records34[[#This Row],[Ship Date Fixed]])</f>
        <v>31</v>
      </c>
      <c r="O77" t="str">
        <f>TEXT(Europe_Sales_Records34[[#This Row],[Ship Date Fixed]],"MMM")</f>
        <v>Jul</v>
      </c>
      <c r="P77">
        <f>YEAR(Europe_Sales_Records34[[#This Row],[Ship Date Fixed]])</f>
        <v>2017</v>
      </c>
      <c r="Q77" t="str">
        <f>TEXT(Europe_Sales_Records34[[#This Row],[Ship Date Fixed]],"MMM-YYYY")</f>
        <v>Jul-2017</v>
      </c>
      <c r="R77" t="s">
        <v>215</v>
      </c>
      <c r="S77" s="3">
        <f>Europe_Sales_Records34[[#This Row],[Ship Date Fixed]]-Europe_Sales_Records34[[#This Row],[Order Date Fixed]]</f>
        <v>28</v>
      </c>
      <c r="T77">
        <v>8659</v>
      </c>
      <c r="U77">
        <v>437.2</v>
      </c>
      <c r="V77">
        <v>263.33</v>
      </c>
      <c r="W77">
        <f>Europe_Sales_Records34[[#This Row],[Total Revenue]]/Europe_Sales_Records34[[#This Row],[Units Sold]]</f>
        <v>437.2</v>
      </c>
      <c r="X77">
        <v>3785714.8</v>
      </c>
      <c r="Y77">
        <v>2280174.4700000002</v>
      </c>
      <c r="Z77" s="4">
        <f>Europe_Sales_Records34[[#This Row],[Total Profit]]/Europe_Sales_Records34[[#This Row],[Total Revenue]]</f>
        <v>0.3976898444647759</v>
      </c>
      <c r="AA77">
        <v>1505540.33</v>
      </c>
    </row>
    <row r="78" spans="1:27" x14ac:dyDescent="0.3">
      <c r="A78" t="s">
        <v>14</v>
      </c>
      <c r="B78" t="s">
        <v>115</v>
      </c>
      <c r="C78" t="s">
        <v>50</v>
      </c>
      <c r="D78" t="s">
        <v>23</v>
      </c>
      <c r="E78" t="s">
        <v>24</v>
      </c>
      <c r="F78" t="s">
        <v>216</v>
      </c>
      <c r="G78" s="2">
        <f t="shared" si="2"/>
        <v>42797</v>
      </c>
      <c r="H78">
        <f>DAY(Europe_Sales_Records34[[#This Row],[Order Date Fixed]])</f>
        <v>3</v>
      </c>
      <c r="I78" t="str">
        <f>TEXT(Europe_Sales_Records34[[#This Row],[Order Date Fixed]],"MMM")</f>
        <v>Mar</v>
      </c>
      <c r="J78">
        <f>YEAR(Europe_Sales_Records34[[#This Row],[Order Date Fixed]])</f>
        <v>2017</v>
      </c>
      <c r="K78" t="str">
        <f>TEXT(Europe_Sales_Records34[[#This Row],[Order Date Fixed]],"MMM-YYYY")</f>
        <v>Mar-2017</v>
      </c>
      <c r="L78">
        <v>696844613</v>
      </c>
      <c r="M78" s="2">
        <f t="shared" si="3"/>
        <v>42816</v>
      </c>
      <c r="N78">
        <f>DAY(Europe_Sales_Records34[[#This Row],[Ship Date Fixed]])</f>
        <v>22</v>
      </c>
      <c r="O78" t="str">
        <f>TEXT(Europe_Sales_Records34[[#This Row],[Ship Date Fixed]],"MMM")</f>
        <v>Mar</v>
      </c>
      <c r="P78">
        <f>YEAR(Europe_Sales_Records34[[#This Row],[Ship Date Fixed]])</f>
        <v>2017</v>
      </c>
      <c r="Q78" t="str">
        <f>TEXT(Europe_Sales_Records34[[#This Row],[Ship Date Fixed]],"MMM-YYYY")</f>
        <v>Mar-2017</v>
      </c>
      <c r="R78" t="s">
        <v>217</v>
      </c>
      <c r="S78" s="3">
        <f>Europe_Sales_Records34[[#This Row],[Ship Date Fixed]]-Europe_Sales_Records34[[#This Row],[Order Date Fixed]]</f>
        <v>19</v>
      </c>
      <c r="T78">
        <v>661</v>
      </c>
      <c r="U78">
        <v>421.89</v>
      </c>
      <c r="V78">
        <v>364.69</v>
      </c>
      <c r="W78">
        <f>Europe_Sales_Records34[[#This Row],[Total Revenue]]/Europe_Sales_Records34[[#This Row],[Units Sold]]</f>
        <v>421.89</v>
      </c>
      <c r="X78">
        <v>278869.28999999998</v>
      </c>
      <c r="Y78">
        <v>241060.09</v>
      </c>
      <c r="Z78" s="4">
        <f>Europe_Sales_Records34[[#This Row],[Total Profit]]/Europe_Sales_Records34[[#This Row],[Total Revenue]]</f>
        <v>0.13558036455000119</v>
      </c>
      <c r="AA78">
        <v>37809.199999999997</v>
      </c>
    </row>
    <row r="79" spans="1:27" x14ac:dyDescent="0.3">
      <c r="A79" t="s">
        <v>14</v>
      </c>
      <c r="B79" t="s">
        <v>15</v>
      </c>
      <c r="C79" t="s">
        <v>102</v>
      </c>
      <c r="D79" t="s">
        <v>23</v>
      </c>
      <c r="E79" t="s">
        <v>24</v>
      </c>
      <c r="F79" t="s">
        <v>218</v>
      </c>
      <c r="G79" s="2">
        <f t="shared" si="2"/>
        <v>40516</v>
      </c>
      <c r="H79">
        <f>DAY(Europe_Sales_Records34[[#This Row],[Order Date Fixed]])</f>
        <v>4</v>
      </c>
      <c r="I79" t="str">
        <f>TEXT(Europe_Sales_Records34[[#This Row],[Order Date Fixed]],"MMM")</f>
        <v>Dec</v>
      </c>
      <c r="J79">
        <f>YEAR(Europe_Sales_Records34[[#This Row],[Order Date Fixed]])</f>
        <v>2010</v>
      </c>
      <c r="K79" t="str">
        <f>TEXT(Europe_Sales_Records34[[#This Row],[Order Date Fixed]],"MMM-YYYY")</f>
        <v>Dec-2010</v>
      </c>
      <c r="L79">
        <v>353415429</v>
      </c>
      <c r="M79" s="2">
        <f t="shared" si="3"/>
        <v>40520</v>
      </c>
      <c r="N79">
        <f>DAY(Europe_Sales_Records34[[#This Row],[Ship Date Fixed]])</f>
        <v>8</v>
      </c>
      <c r="O79" t="str">
        <f>TEXT(Europe_Sales_Records34[[#This Row],[Ship Date Fixed]],"MMM")</f>
        <v>Dec</v>
      </c>
      <c r="P79">
        <f>YEAR(Europe_Sales_Records34[[#This Row],[Ship Date Fixed]])</f>
        <v>2010</v>
      </c>
      <c r="Q79" t="str">
        <f>TEXT(Europe_Sales_Records34[[#This Row],[Ship Date Fixed]],"MMM-YYYY")</f>
        <v>Dec-2010</v>
      </c>
      <c r="R79" t="s">
        <v>219</v>
      </c>
      <c r="S79" s="3">
        <f>Europe_Sales_Records34[[#This Row],[Ship Date Fixed]]-Europe_Sales_Records34[[#This Row],[Order Date Fixed]]</f>
        <v>4</v>
      </c>
      <c r="T79">
        <v>2334</v>
      </c>
      <c r="U79">
        <v>81.73</v>
      </c>
      <c r="V79">
        <v>56.67</v>
      </c>
      <c r="W79">
        <f>Europe_Sales_Records34[[#This Row],[Total Revenue]]/Europe_Sales_Records34[[#This Row],[Units Sold]]</f>
        <v>81.73</v>
      </c>
      <c r="X79">
        <v>190757.82</v>
      </c>
      <c r="Y79">
        <v>132267.78</v>
      </c>
      <c r="Z79" s="4">
        <f>Europe_Sales_Records34[[#This Row],[Total Profit]]/Europe_Sales_Records34[[#This Row],[Total Revenue]]</f>
        <v>0.30661935641747218</v>
      </c>
      <c r="AA79">
        <v>58490.04</v>
      </c>
    </row>
    <row r="80" spans="1:27" x14ac:dyDescent="0.3">
      <c r="A80" t="s">
        <v>14</v>
      </c>
      <c r="B80" t="s">
        <v>220</v>
      </c>
      <c r="C80" t="s">
        <v>28</v>
      </c>
      <c r="D80" t="s">
        <v>23</v>
      </c>
      <c r="E80" t="s">
        <v>54</v>
      </c>
      <c r="F80" t="s">
        <v>221</v>
      </c>
      <c r="G80" s="2">
        <f t="shared" si="2"/>
        <v>40256</v>
      </c>
      <c r="H80">
        <f>DAY(Europe_Sales_Records34[[#This Row],[Order Date Fixed]])</f>
        <v>19</v>
      </c>
      <c r="I80" t="str">
        <f>TEXT(Europe_Sales_Records34[[#This Row],[Order Date Fixed]],"MMM")</f>
        <v>Mar</v>
      </c>
      <c r="J80">
        <f>YEAR(Europe_Sales_Records34[[#This Row],[Order Date Fixed]])</f>
        <v>2010</v>
      </c>
      <c r="K80" t="str">
        <f>TEXT(Europe_Sales_Records34[[#This Row],[Order Date Fixed]],"MMM-YYYY")</f>
        <v>Mar-2010</v>
      </c>
      <c r="L80">
        <v>696197879</v>
      </c>
      <c r="M80" s="2">
        <f t="shared" si="3"/>
        <v>40263</v>
      </c>
      <c r="N80">
        <f>DAY(Europe_Sales_Records34[[#This Row],[Ship Date Fixed]])</f>
        <v>26</v>
      </c>
      <c r="O80" t="str">
        <f>TEXT(Europe_Sales_Records34[[#This Row],[Ship Date Fixed]],"MMM")</f>
        <v>Mar</v>
      </c>
      <c r="P80">
        <f>YEAR(Europe_Sales_Records34[[#This Row],[Ship Date Fixed]])</f>
        <v>2010</v>
      </c>
      <c r="Q80" t="str">
        <f>TEXT(Europe_Sales_Records34[[#This Row],[Ship Date Fixed]],"MMM-YYYY")</f>
        <v>Mar-2010</v>
      </c>
      <c r="R80" t="s">
        <v>222</v>
      </c>
      <c r="S80" s="3">
        <f>Europe_Sales_Records34[[#This Row],[Ship Date Fixed]]-Europe_Sales_Records34[[#This Row],[Order Date Fixed]]</f>
        <v>7</v>
      </c>
      <c r="T80">
        <v>9278</v>
      </c>
      <c r="U80">
        <v>205.7</v>
      </c>
      <c r="V80">
        <v>117.11</v>
      </c>
      <c r="W80">
        <f>Europe_Sales_Records34[[#This Row],[Total Revenue]]/Europe_Sales_Records34[[#This Row],[Units Sold]]</f>
        <v>205.70000000000002</v>
      </c>
      <c r="X80">
        <v>1908484.6</v>
      </c>
      <c r="Y80">
        <v>1086546.58</v>
      </c>
      <c r="Z80" s="4">
        <f>Europe_Sales_Records34[[#This Row],[Total Profit]]/Europe_Sales_Records34[[#This Row],[Total Revenue]]</f>
        <v>0.43067574137092851</v>
      </c>
      <c r="AA80">
        <v>821938.02</v>
      </c>
    </row>
    <row r="81" spans="1:27" x14ac:dyDescent="0.3">
      <c r="A81" t="s">
        <v>14</v>
      </c>
      <c r="B81" t="s">
        <v>223</v>
      </c>
      <c r="C81" t="s">
        <v>75</v>
      </c>
      <c r="D81" t="s">
        <v>23</v>
      </c>
      <c r="E81" t="s">
        <v>18</v>
      </c>
      <c r="F81" t="s">
        <v>224</v>
      </c>
      <c r="G81" s="2">
        <f t="shared" si="2"/>
        <v>41004</v>
      </c>
      <c r="H81">
        <f>DAY(Europe_Sales_Records34[[#This Row],[Order Date Fixed]])</f>
        <v>5</v>
      </c>
      <c r="I81" t="str">
        <f>TEXT(Europe_Sales_Records34[[#This Row],[Order Date Fixed]],"MMM")</f>
        <v>Apr</v>
      </c>
      <c r="J81">
        <f>YEAR(Europe_Sales_Records34[[#This Row],[Order Date Fixed]])</f>
        <v>2012</v>
      </c>
      <c r="K81" t="str">
        <f>TEXT(Europe_Sales_Records34[[#This Row],[Order Date Fixed]],"MMM-YYYY")</f>
        <v>Apr-2012</v>
      </c>
      <c r="L81">
        <v>907349526</v>
      </c>
      <c r="M81" s="2">
        <f t="shared" si="3"/>
        <v>41045</v>
      </c>
      <c r="N81">
        <f>DAY(Europe_Sales_Records34[[#This Row],[Ship Date Fixed]])</f>
        <v>16</v>
      </c>
      <c r="O81" t="str">
        <f>TEXT(Europe_Sales_Records34[[#This Row],[Ship Date Fixed]],"MMM")</f>
        <v>May</v>
      </c>
      <c r="P81">
        <f>YEAR(Europe_Sales_Records34[[#This Row],[Ship Date Fixed]])</f>
        <v>2012</v>
      </c>
      <c r="Q81" t="str">
        <f>TEXT(Europe_Sales_Records34[[#This Row],[Ship Date Fixed]],"MMM-YYYY")</f>
        <v>May-2012</v>
      </c>
      <c r="R81" t="s">
        <v>225</v>
      </c>
      <c r="S81" s="3">
        <f>Europe_Sales_Records34[[#This Row],[Ship Date Fixed]]-Europe_Sales_Records34[[#This Row],[Order Date Fixed]]</f>
        <v>41</v>
      </c>
      <c r="T81">
        <v>3743</v>
      </c>
      <c r="U81">
        <v>437.2</v>
      </c>
      <c r="V81">
        <v>263.33</v>
      </c>
      <c r="W81">
        <f>Europe_Sales_Records34[[#This Row],[Total Revenue]]/Europe_Sales_Records34[[#This Row],[Units Sold]]</f>
        <v>437.20000000000005</v>
      </c>
      <c r="X81">
        <v>1636439.6</v>
      </c>
      <c r="Y81">
        <v>985644.19</v>
      </c>
      <c r="Z81" s="4">
        <f>Europe_Sales_Records34[[#This Row],[Total Profit]]/Europe_Sales_Records34[[#This Row],[Total Revenue]]</f>
        <v>0.39768984446477584</v>
      </c>
      <c r="AA81">
        <v>650795.41</v>
      </c>
    </row>
    <row r="82" spans="1:27" x14ac:dyDescent="0.3">
      <c r="A82" t="s">
        <v>14</v>
      </c>
      <c r="B82" t="s">
        <v>89</v>
      </c>
      <c r="C82" t="s">
        <v>102</v>
      </c>
      <c r="D82" t="s">
        <v>17</v>
      </c>
      <c r="E82" t="s">
        <v>18</v>
      </c>
      <c r="F82" t="s">
        <v>226</v>
      </c>
      <c r="G82" s="2">
        <f t="shared" si="2"/>
        <v>41734</v>
      </c>
      <c r="H82">
        <f>DAY(Europe_Sales_Records34[[#This Row],[Order Date Fixed]])</f>
        <v>5</v>
      </c>
      <c r="I82" t="str">
        <f>TEXT(Europe_Sales_Records34[[#This Row],[Order Date Fixed]],"MMM")</f>
        <v>Apr</v>
      </c>
      <c r="J82">
        <f>YEAR(Europe_Sales_Records34[[#This Row],[Order Date Fixed]])</f>
        <v>2014</v>
      </c>
      <c r="K82" t="str">
        <f>TEXT(Europe_Sales_Records34[[#This Row],[Order Date Fixed]],"MMM-YYYY")</f>
        <v>Apr-2014</v>
      </c>
      <c r="L82">
        <v>386440074</v>
      </c>
      <c r="M82" s="2">
        <f t="shared" si="3"/>
        <v>41754</v>
      </c>
      <c r="N82">
        <f>DAY(Europe_Sales_Records34[[#This Row],[Ship Date Fixed]])</f>
        <v>25</v>
      </c>
      <c r="O82" t="str">
        <f>TEXT(Europe_Sales_Records34[[#This Row],[Ship Date Fixed]],"MMM")</f>
        <v>Apr</v>
      </c>
      <c r="P82">
        <f>YEAR(Europe_Sales_Records34[[#This Row],[Ship Date Fixed]])</f>
        <v>2014</v>
      </c>
      <c r="Q82" t="str">
        <f>TEXT(Europe_Sales_Records34[[#This Row],[Ship Date Fixed]],"MMM-YYYY")</f>
        <v>Apr-2014</v>
      </c>
      <c r="R82" t="s">
        <v>227</v>
      </c>
      <c r="S82" s="3">
        <f>Europe_Sales_Records34[[#This Row],[Ship Date Fixed]]-Europe_Sales_Records34[[#This Row],[Order Date Fixed]]</f>
        <v>20</v>
      </c>
      <c r="T82">
        <v>5060</v>
      </c>
      <c r="U82">
        <v>81.73</v>
      </c>
      <c r="V82">
        <v>56.67</v>
      </c>
      <c r="W82">
        <f>Europe_Sales_Records34[[#This Row],[Total Revenue]]/Europe_Sales_Records34[[#This Row],[Units Sold]]</f>
        <v>81.73</v>
      </c>
      <c r="X82">
        <v>413553.8</v>
      </c>
      <c r="Y82">
        <v>286750.2</v>
      </c>
      <c r="Z82" s="4">
        <f>Europe_Sales_Records34[[#This Row],[Total Profit]]/Europe_Sales_Records34[[#This Row],[Total Revenue]]</f>
        <v>0.30661935641747218</v>
      </c>
      <c r="AA82">
        <v>126803.6</v>
      </c>
    </row>
    <row r="83" spans="1:27" x14ac:dyDescent="0.3">
      <c r="A83" t="s">
        <v>14</v>
      </c>
      <c r="B83" t="s">
        <v>53</v>
      </c>
      <c r="C83" t="s">
        <v>46</v>
      </c>
      <c r="D83" t="s">
        <v>23</v>
      </c>
      <c r="E83" t="s">
        <v>54</v>
      </c>
      <c r="F83" t="s">
        <v>228</v>
      </c>
      <c r="G83" s="2">
        <f t="shared" si="2"/>
        <v>41180</v>
      </c>
      <c r="H83">
        <f>DAY(Europe_Sales_Records34[[#This Row],[Order Date Fixed]])</f>
        <v>28</v>
      </c>
      <c r="I83" t="str">
        <f>TEXT(Europe_Sales_Records34[[#This Row],[Order Date Fixed]],"MMM")</f>
        <v>Sep</v>
      </c>
      <c r="J83">
        <f>YEAR(Europe_Sales_Records34[[#This Row],[Order Date Fixed]])</f>
        <v>2012</v>
      </c>
      <c r="K83" t="str">
        <f>TEXT(Europe_Sales_Records34[[#This Row],[Order Date Fixed]],"MMM-YYYY")</f>
        <v>Sep-2012</v>
      </c>
      <c r="L83">
        <v>800352561</v>
      </c>
      <c r="M83" s="2">
        <f t="shared" si="3"/>
        <v>41203</v>
      </c>
      <c r="N83">
        <f>DAY(Europe_Sales_Records34[[#This Row],[Ship Date Fixed]])</f>
        <v>21</v>
      </c>
      <c r="O83" t="str">
        <f>TEXT(Europe_Sales_Records34[[#This Row],[Ship Date Fixed]],"MMM")</f>
        <v>Oct</v>
      </c>
      <c r="P83">
        <f>YEAR(Europe_Sales_Records34[[#This Row],[Ship Date Fixed]])</f>
        <v>2012</v>
      </c>
      <c r="Q83" t="str">
        <f>TEXT(Europe_Sales_Records34[[#This Row],[Ship Date Fixed]],"MMM-YYYY")</f>
        <v>Oct-2012</v>
      </c>
      <c r="R83" t="s">
        <v>229</v>
      </c>
      <c r="S83" s="3">
        <f>Europe_Sales_Records34[[#This Row],[Ship Date Fixed]]-Europe_Sales_Records34[[#This Row],[Order Date Fixed]]</f>
        <v>23</v>
      </c>
      <c r="T83">
        <v>963</v>
      </c>
      <c r="U83">
        <v>154.06</v>
      </c>
      <c r="V83">
        <v>90.93</v>
      </c>
      <c r="W83">
        <f>Europe_Sales_Records34[[#This Row],[Total Revenue]]/Europe_Sales_Records34[[#This Row],[Units Sold]]</f>
        <v>154.06</v>
      </c>
      <c r="X83">
        <v>148359.78</v>
      </c>
      <c r="Y83">
        <v>87565.59</v>
      </c>
      <c r="Z83" s="4">
        <f>Europe_Sales_Records34[[#This Row],[Total Profit]]/Europe_Sales_Records34[[#This Row],[Total Revenue]]</f>
        <v>0.40977541217707386</v>
      </c>
      <c r="AA83">
        <v>60794.19</v>
      </c>
    </row>
    <row r="84" spans="1:27" x14ac:dyDescent="0.3">
      <c r="A84" t="s">
        <v>14</v>
      </c>
      <c r="B84" t="s">
        <v>89</v>
      </c>
      <c r="C84" t="s">
        <v>16</v>
      </c>
      <c r="D84" t="s">
        <v>17</v>
      </c>
      <c r="E84" t="s">
        <v>18</v>
      </c>
      <c r="F84" t="s">
        <v>230</v>
      </c>
      <c r="G84" s="2">
        <f t="shared" si="2"/>
        <v>41647</v>
      </c>
      <c r="H84">
        <f>DAY(Europe_Sales_Records34[[#This Row],[Order Date Fixed]])</f>
        <v>8</v>
      </c>
      <c r="I84" t="str">
        <f>TEXT(Europe_Sales_Records34[[#This Row],[Order Date Fixed]],"MMM")</f>
        <v>Jan</v>
      </c>
      <c r="J84">
        <f>YEAR(Europe_Sales_Records34[[#This Row],[Order Date Fixed]])</f>
        <v>2014</v>
      </c>
      <c r="K84" t="str">
        <f>TEXT(Europe_Sales_Records34[[#This Row],[Order Date Fixed]],"MMM-YYYY")</f>
        <v>Jan-2014</v>
      </c>
      <c r="L84">
        <v>714165675</v>
      </c>
      <c r="M84" s="2">
        <f t="shared" si="3"/>
        <v>41672</v>
      </c>
      <c r="N84">
        <f>DAY(Europe_Sales_Records34[[#This Row],[Ship Date Fixed]])</f>
        <v>2</v>
      </c>
      <c r="O84" t="str">
        <f>TEXT(Europe_Sales_Records34[[#This Row],[Ship Date Fixed]],"MMM")</f>
        <v>Feb</v>
      </c>
      <c r="P84">
        <f>YEAR(Europe_Sales_Records34[[#This Row],[Ship Date Fixed]])</f>
        <v>2014</v>
      </c>
      <c r="Q84" t="str">
        <f>TEXT(Europe_Sales_Records34[[#This Row],[Ship Date Fixed]],"MMM-YYYY")</f>
        <v>Feb-2014</v>
      </c>
      <c r="R84" t="s">
        <v>231</v>
      </c>
      <c r="S84" s="3">
        <f>Europe_Sales_Records34[[#This Row],[Ship Date Fixed]]-Europe_Sales_Records34[[#This Row],[Order Date Fixed]]</f>
        <v>25</v>
      </c>
      <c r="T84">
        <v>6348</v>
      </c>
      <c r="U84">
        <v>47.45</v>
      </c>
      <c r="V84">
        <v>31.79</v>
      </c>
      <c r="W84">
        <f>Europe_Sales_Records34[[#This Row],[Total Revenue]]/Europe_Sales_Records34[[#This Row],[Units Sold]]</f>
        <v>47.449999999999996</v>
      </c>
      <c r="X84">
        <v>301212.59999999998</v>
      </c>
      <c r="Y84">
        <v>201802.92</v>
      </c>
      <c r="Z84" s="4">
        <f>Europe_Sales_Records34[[#This Row],[Total Profit]]/Europe_Sales_Records34[[#This Row],[Total Revenue]]</f>
        <v>0.33003161222339306</v>
      </c>
      <c r="AA84">
        <v>99409.68</v>
      </c>
    </row>
    <row r="85" spans="1:27" x14ac:dyDescent="0.3">
      <c r="A85" t="s">
        <v>14</v>
      </c>
      <c r="B85" t="s">
        <v>232</v>
      </c>
      <c r="C85" t="s">
        <v>16</v>
      </c>
      <c r="D85" t="s">
        <v>17</v>
      </c>
      <c r="E85" t="s">
        <v>33</v>
      </c>
      <c r="F85" t="s">
        <v>233</v>
      </c>
      <c r="G85" s="2">
        <f t="shared" si="2"/>
        <v>41327</v>
      </c>
      <c r="H85">
        <f>DAY(Europe_Sales_Records34[[#This Row],[Order Date Fixed]])</f>
        <v>22</v>
      </c>
      <c r="I85" t="str">
        <f>TEXT(Europe_Sales_Records34[[#This Row],[Order Date Fixed]],"MMM")</f>
        <v>Feb</v>
      </c>
      <c r="J85">
        <f>YEAR(Europe_Sales_Records34[[#This Row],[Order Date Fixed]])</f>
        <v>2013</v>
      </c>
      <c r="K85" t="str">
        <f>TEXT(Europe_Sales_Records34[[#This Row],[Order Date Fixed]],"MMM-YYYY")</f>
        <v>Feb-2013</v>
      </c>
      <c r="L85">
        <v>189924275</v>
      </c>
      <c r="M85" s="2">
        <f t="shared" si="3"/>
        <v>41354</v>
      </c>
      <c r="N85">
        <f>DAY(Europe_Sales_Records34[[#This Row],[Ship Date Fixed]])</f>
        <v>21</v>
      </c>
      <c r="O85" t="str">
        <f>TEXT(Europe_Sales_Records34[[#This Row],[Ship Date Fixed]],"MMM")</f>
        <v>Mar</v>
      </c>
      <c r="P85">
        <f>YEAR(Europe_Sales_Records34[[#This Row],[Ship Date Fixed]])</f>
        <v>2013</v>
      </c>
      <c r="Q85" t="str">
        <f>TEXT(Europe_Sales_Records34[[#This Row],[Ship Date Fixed]],"MMM-YYYY")</f>
        <v>Mar-2013</v>
      </c>
      <c r="R85" t="s">
        <v>131</v>
      </c>
      <c r="S85" s="3">
        <f>Europe_Sales_Records34[[#This Row],[Ship Date Fixed]]-Europe_Sales_Records34[[#This Row],[Order Date Fixed]]</f>
        <v>27</v>
      </c>
      <c r="T85">
        <v>1668</v>
      </c>
      <c r="U85">
        <v>47.45</v>
      </c>
      <c r="V85">
        <v>31.79</v>
      </c>
      <c r="W85">
        <f>Europe_Sales_Records34[[#This Row],[Total Revenue]]/Europe_Sales_Records34[[#This Row],[Units Sold]]</f>
        <v>47.45</v>
      </c>
      <c r="X85">
        <v>79146.600000000006</v>
      </c>
      <c r="Y85">
        <v>53025.72</v>
      </c>
      <c r="Z85" s="4">
        <f>Europe_Sales_Records34[[#This Row],[Total Profit]]/Europe_Sales_Records34[[#This Row],[Total Revenue]]</f>
        <v>0.33003161222339306</v>
      </c>
      <c r="AA85">
        <v>26120.880000000001</v>
      </c>
    </row>
    <row r="86" spans="1:27" x14ac:dyDescent="0.3">
      <c r="A86" t="s">
        <v>14</v>
      </c>
      <c r="B86" t="s">
        <v>89</v>
      </c>
      <c r="C86" t="s">
        <v>50</v>
      </c>
      <c r="D86" t="s">
        <v>23</v>
      </c>
      <c r="E86" t="s">
        <v>54</v>
      </c>
      <c r="F86" t="s">
        <v>234</v>
      </c>
      <c r="G86" s="2">
        <f t="shared" si="2"/>
        <v>41394</v>
      </c>
      <c r="H86">
        <f>DAY(Europe_Sales_Records34[[#This Row],[Order Date Fixed]])</f>
        <v>30</v>
      </c>
      <c r="I86" t="str">
        <f>TEXT(Europe_Sales_Records34[[#This Row],[Order Date Fixed]],"MMM")</f>
        <v>Apr</v>
      </c>
      <c r="J86">
        <f>YEAR(Europe_Sales_Records34[[#This Row],[Order Date Fixed]])</f>
        <v>2013</v>
      </c>
      <c r="K86" t="str">
        <f>TEXT(Europe_Sales_Records34[[#This Row],[Order Date Fixed]],"MMM-YYYY")</f>
        <v>Apr-2013</v>
      </c>
      <c r="L86">
        <v>546081721</v>
      </c>
      <c r="M86" s="2">
        <f t="shared" si="3"/>
        <v>41416</v>
      </c>
      <c r="N86">
        <f>DAY(Europe_Sales_Records34[[#This Row],[Ship Date Fixed]])</f>
        <v>22</v>
      </c>
      <c r="O86" t="str">
        <f>TEXT(Europe_Sales_Records34[[#This Row],[Ship Date Fixed]],"MMM")</f>
        <v>May</v>
      </c>
      <c r="P86">
        <f>YEAR(Europe_Sales_Records34[[#This Row],[Ship Date Fixed]])</f>
        <v>2013</v>
      </c>
      <c r="Q86" t="str">
        <f>TEXT(Europe_Sales_Records34[[#This Row],[Ship Date Fixed]],"MMM-YYYY")</f>
        <v>May-2013</v>
      </c>
      <c r="R86" t="s">
        <v>235</v>
      </c>
      <c r="S86" s="3">
        <f>Europe_Sales_Records34[[#This Row],[Ship Date Fixed]]-Europe_Sales_Records34[[#This Row],[Order Date Fixed]]</f>
        <v>22</v>
      </c>
      <c r="T86">
        <v>6571</v>
      </c>
      <c r="U86">
        <v>421.89</v>
      </c>
      <c r="V86">
        <v>364.69</v>
      </c>
      <c r="W86">
        <f>Europe_Sales_Records34[[#This Row],[Total Revenue]]/Europe_Sales_Records34[[#This Row],[Units Sold]]</f>
        <v>421.89</v>
      </c>
      <c r="X86">
        <v>2772239.19</v>
      </c>
      <c r="Y86">
        <v>2396377.9900000002</v>
      </c>
      <c r="Z86" s="4">
        <f>Europe_Sales_Records34[[#This Row],[Total Profit]]/Europe_Sales_Records34[[#This Row],[Total Revenue]]</f>
        <v>0.13558036455000119</v>
      </c>
      <c r="AA86">
        <v>375861.2</v>
      </c>
    </row>
    <row r="87" spans="1:27" x14ac:dyDescent="0.3">
      <c r="A87" t="s">
        <v>14</v>
      </c>
      <c r="B87" t="s">
        <v>49</v>
      </c>
      <c r="C87" t="s">
        <v>64</v>
      </c>
      <c r="D87" t="s">
        <v>23</v>
      </c>
      <c r="E87" t="s">
        <v>18</v>
      </c>
      <c r="F87" t="s">
        <v>236</v>
      </c>
      <c r="G87" s="2">
        <f t="shared" si="2"/>
        <v>40355</v>
      </c>
      <c r="H87">
        <f>DAY(Europe_Sales_Records34[[#This Row],[Order Date Fixed]])</f>
        <v>26</v>
      </c>
      <c r="I87" t="str">
        <f>TEXT(Europe_Sales_Records34[[#This Row],[Order Date Fixed]],"MMM")</f>
        <v>Jun</v>
      </c>
      <c r="J87">
        <f>YEAR(Europe_Sales_Records34[[#This Row],[Order Date Fixed]])</f>
        <v>2010</v>
      </c>
      <c r="K87" t="str">
        <f>TEXT(Europe_Sales_Records34[[#This Row],[Order Date Fixed]],"MMM-YYYY")</f>
        <v>Jun-2010</v>
      </c>
      <c r="L87">
        <v>979073941</v>
      </c>
      <c r="M87" s="2">
        <f t="shared" si="3"/>
        <v>40377</v>
      </c>
      <c r="N87">
        <f>DAY(Europe_Sales_Records34[[#This Row],[Ship Date Fixed]])</f>
        <v>18</v>
      </c>
      <c r="O87" t="str">
        <f>TEXT(Europe_Sales_Records34[[#This Row],[Ship Date Fixed]],"MMM")</f>
        <v>Jul</v>
      </c>
      <c r="P87">
        <f>YEAR(Europe_Sales_Records34[[#This Row],[Ship Date Fixed]])</f>
        <v>2010</v>
      </c>
      <c r="Q87" t="str">
        <f>TEXT(Europe_Sales_Records34[[#This Row],[Ship Date Fixed]],"MMM-YYYY")</f>
        <v>Jul-2010</v>
      </c>
      <c r="R87" t="s">
        <v>237</v>
      </c>
      <c r="S87" s="3">
        <f>Europe_Sales_Records34[[#This Row],[Ship Date Fixed]]-Europe_Sales_Records34[[#This Row],[Order Date Fixed]]</f>
        <v>22</v>
      </c>
      <c r="T87">
        <v>8591</v>
      </c>
      <c r="U87">
        <v>255.28</v>
      </c>
      <c r="V87">
        <v>159.41999999999999</v>
      </c>
      <c r="W87">
        <f>Europe_Sales_Records34[[#This Row],[Total Revenue]]/Europe_Sales_Records34[[#This Row],[Units Sold]]</f>
        <v>255.28</v>
      </c>
      <c r="X87">
        <v>2193110.48</v>
      </c>
      <c r="Y87">
        <v>1369577.22</v>
      </c>
      <c r="Z87" s="4">
        <f>Europe_Sales_Records34[[#This Row],[Total Profit]]/Europe_Sales_Records34[[#This Row],[Total Revenue]]</f>
        <v>0.37550924475086178</v>
      </c>
      <c r="AA87">
        <v>823533.26</v>
      </c>
    </row>
    <row r="88" spans="1:27" x14ac:dyDescent="0.3">
      <c r="A88" t="s">
        <v>14</v>
      </c>
      <c r="B88" t="s">
        <v>21</v>
      </c>
      <c r="C88" t="s">
        <v>102</v>
      </c>
      <c r="D88" t="s">
        <v>17</v>
      </c>
      <c r="E88" t="s">
        <v>33</v>
      </c>
      <c r="F88" t="s">
        <v>238</v>
      </c>
      <c r="G88" s="2">
        <f t="shared" si="2"/>
        <v>40216</v>
      </c>
      <c r="H88">
        <f>DAY(Europe_Sales_Records34[[#This Row],[Order Date Fixed]])</f>
        <v>7</v>
      </c>
      <c r="I88" t="str">
        <f>TEXT(Europe_Sales_Records34[[#This Row],[Order Date Fixed]],"MMM")</f>
        <v>Feb</v>
      </c>
      <c r="J88">
        <f>YEAR(Europe_Sales_Records34[[#This Row],[Order Date Fixed]])</f>
        <v>2010</v>
      </c>
      <c r="K88" t="str">
        <f>TEXT(Europe_Sales_Records34[[#This Row],[Order Date Fixed]],"MMM-YYYY")</f>
        <v>Feb-2010</v>
      </c>
      <c r="L88">
        <v>396718728</v>
      </c>
      <c r="M88" s="2">
        <f t="shared" si="3"/>
        <v>40255</v>
      </c>
      <c r="N88">
        <f>DAY(Europe_Sales_Records34[[#This Row],[Ship Date Fixed]])</f>
        <v>18</v>
      </c>
      <c r="O88" t="str">
        <f>TEXT(Europe_Sales_Records34[[#This Row],[Ship Date Fixed]],"MMM")</f>
        <v>Mar</v>
      </c>
      <c r="P88">
        <f>YEAR(Europe_Sales_Records34[[#This Row],[Ship Date Fixed]])</f>
        <v>2010</v>
      </c>
      <c r="Q88" t="str">
        <f>TEXT(Europe_Sales_Records34[[#This Row],[Ship Date Fixed]],"MMM-YYYY")</f>
        <v>Mar-2010</v>
      </c>
      <c r="R88" t="s">
        <v>239</v>
      </c>
      <c r="S88" s="3">
        <f>Europe_Sales_Records34[[#This Row],[Ship Date Fixed]]-Europe_Sales_Records34[[#This Row],[Order Date Fixed]]</f>
        <v>39</v>
      </c>
      <c r="T88">
        <v>6742</v>
      </c>
      <c r="U88">
        <v>81.73</v>
      </c>
      <c r="V88">
        <v>56.67</v>
      </c>
      <c r="W88">
        <f>Europe_Sales_Records34[[#This Row],[Total Revenue]]/Europe_Sales_Records34[[#This Row],[Units Sold]]</f>
        <v>81.73</v>
      </c>
      <c r="X88">
        <v>551023.66</v>
      </c>
      <c r="Y88">
        <v>382069.14</v>
      </c>
      <c r="Z88" s="4">
        <f>Europe_Sales_Records34[[#This Row],[Total Profit]]/Europe_Sales_Records34[[#This Row],[Total Revenue]]</f>
        <v>0.30661935641747212</v>
      </c>
      <c r="AA88">
        <v>168954.52</v>
      </c>
    </row>
    <row r="89" spans="1:27" x14ac:dyDescent="0.3">
      <c r="A89" t="s">
        <v>14</v>
      </c>
      <c r="B89" t="s">
        <v>135</v>
      </c>
      <c r="C89" t="s">
        <v>16</v>
      </c>
      <c r="D89" t="s">
        <v>17</v>
      </c>
      <c r="E89" t="s">
        <v>24</v>
      </c>
      <c r="F89" t="s">
        <v>240</v>
      </c>
      <c r="G89" s="2">
        <f t="shared" si="2"/>
        <v>40515</v>
      </c>
      <c r="H89">
        <f>DAY(Europe_Sales_Records34[[#This Row],[Order Date Fixed]])</f>
        <v>3</v>
      </c>
      <c r="I89" t="str">
        <f>TEXT(Europe_Sales_Records34[[#This Row],[Order Date Fixed]],"MMM")</f>
        <v>Dec</v>
      </c>
      <c r="J89">
        <f>YEAR(Europe_Sales_Records34[[#This Row],[Order Date Fixed]])</f>
        <v>2010</v>
      </c>
      <c r="K89" t="str">
        <f>TEXT(Europe_Sales_Records34[[#This Row],[Order Date Fixed]],"MMM-YYYY")</f>
        <v>Dec-2010</v>
      </c>
      <c r="L89">
        <v>948075759</v>
      </c>
      <c r="M89" s="2">
        <f t="shared" si="3"/>
        <v>40547</v>
      </c>
      <c r="N89">
        <f>DAY(Europe_Sales_Records34[[#This Row],[Ship Date Fixed]])</f>
        <v>4</v>
      </c>
      <c r="O89" t="str">
        <f>TEXT(Europe_Sales_Records34[[#This Row],[Ship Date Fixed]],"MMM")</f>
        <v>Jan</v>
      </c>
      <c r="P89">
        <f>YEAR(Europe_Sales_Records34[[#This Row],[Ship Date Fixed]])</f>
        <v>2011</v>
      </c>
      <c r="Q89" t="str">
        <f>TEXT(Europe_Sales_Records34[[#This Row],[Ship Date Fixed]],"MMM-YYYY")</f>
        <v>Jan-2011</v>
      </c>
      <c r="R89" t="s">
        <v>241</v>
      </c>
      <c r="S89" s="3">
        <f>Europe_Sales_Records34[[#This Row],[Ship Date Fixed]]-Europe_Sales_Records34[[#This Row],[Order Date Fixed]]</f>
        <v>32</v>
      </c>
      <c r="T89">
        <v>5540</v>
      </c>
      <c r="U89">
        <v>47.45</v>
      </c>
      <c r="V89">
        <v>31.79</v>
      </c>
      <c r="W89">
        <f>Europe_Sales_Records34[[#This Row],[Total Revenue]]/Europe_Sales_Records34[[#This Row],[Units Sold]]</f>
        <v>47.45</v>
      </c>
      <c r="X89">
        <v>262873</v>
      </c>
      <c r="Y89">
        <v>176116.6</v>
      </c>
      <c r="Z89" s="4">
        <f>Europe_Sales_Records34[[#This Row],[Total Profit]]/Europe_Sales_Records34[[#This Row],[Total Revenue]]</f>
        <v>0.330031612223393</v>
      </c>
      <c r="AA89">
        <v>86756.4</v>
      </c>
    </row>
    <row r="90" spans="1:27" x14ac:dyDescent="0.3">
      <c r="A90" t="s">
        <v>14</v>
      </c>
      <c r="B90" t="s">
        <v>169</v>
      </c>
      <c r="C90" t="s">
        <v>28</v>
      </c>
      <c r="D90" t="s">
        <v>17</v>
      </c>
      <c r="E90" t="s">
        <v>33</v>
      </c>
      <c r="F90" t="s">
        <v>242</v>
      </c>
      <c r="G90" s="2">
        <f t="shared" si="2"/>
        <v>41201</v>
      </c>
      <c r="H90">
        <f>DAY(Europe_Sales_Records34[[#This Row],[Order Date Fixed]])</f>
        <v>19</v>
      </c>
      <c r="I90" t="str">
        <f>TEXT(Europe_Sales_Records34[[#This Row],[Order Date Fixed]],"MMM")</f>
        <v>Oct</v>
      </c>
      <c r="J90">
        <f>YEAR(Europe_Sales_Records34[[#This Row],[Order Date Fixed]])</f>
        <v>2012</v>
      </c>
      <c r="K90" t="str">
        <f>TEXT(Europe_Sales_Records34[[#This Row],[Order Date Fixed]],"MMM-YYYY")</f>
        <v>Oct-2012</v>
      </c>
      <c r="L90">
        <v>737736070</v>
      </c>
      <c r="M90" s="2">
        <f t="shared" si="3"/>
        <v>41216</v>
      </c>
      <c r="N90">
        <f>DAY(Europe_Sales_Records34[[#This Row],[Ship Date Fixed]])</f>
        <v>3</v>
      </c>
      <c r="O90" t="str">
        <f>TEXT(Europe_Sales_Records34[[#This Row],[Ship Date Fixed]],"MMM")</f>
        <v>Nov</v>
      </c>
      <c r="P90">
        <f>YEAR(Europe_Sales_Records34[[#This Row],[Ship Date Fixed]])</f>
        <v>2012</v>
      </c>
      <c r="Q90" t="str">
        <f>TEXT(Europe_Sales_Records34[[#This Row],[Ship Date Fixed]],"MMM-YYYY")</f>
        <v>Nov-2012</v>
      </c>
      <c r="R90" t="s">
        <v>143</v>
      </c>
      <c r="S90" s="3">
        <f>Europe_Sales_Records34[[#This Row],[Ship Date Fixed]]-Europe_Sales_Records34[[#This Row],[Order Date Fixed]]</f>
        <v>15</v>
      </c>
      <c r="T90">
        <v>1352</v>
      </c>
      <c r="U90">
        <v>205.7</v>
      </c>
      <c r="V90">
        <v>117.11</v>
      </c>
      <c r="W90">
        <f>Europe_Sales_Records34[[#This Row],[Total Revenue]]/Europe_Sales_Records34[[#This Row],[Units Sold]]</f>
        <v>205.70000000000002</v>
      </c>
      <c r="X90">
        <v>278106.40000000002</v>
      </c>
      <c r="Y90">
        <v>158332.72</v>
      </c>
      <c r="Z90" s="4">
        <f>Europe_Sales_Records34[[#This Row],[Total Profit]]/Europe_Sales_Records34[[#This Row],[Total Revenue]]</f>
        <v>0.43067574137092846</v>
      </c>
      <c r="AA90">
        <v>119773.68</v>
      </c>
    </row>
    <row r="91" spans="1:27" x14ac:dyDescent="0.3">
      <c r="A91" t="s">
        <v>14</v>
      </c>
      <c r="B91" t="s">
        <v>243</v>
      </c>
      <c r="C91" t="s">
        <v>71</v>
      </c>
      <c r="D91" t="s">
        <v>17</v>
      </c>
      <c r="E91" t="s">
        <v>33</v>
      </c>
      <c r="F91" t="s">
        <v>244</v>
      </c>
      <c r="G91" s="2">
        <f t="shared" si="2"/>
        <v>40229</v>
      </c>
      <c r="H91">
        <f>DAY(Europe_Sales_Records34[[#This Row],[Order Date Fixed]])</f>
        <v>20</v>
      </c>
      <c r="I91" t="str">
        <f>TEXT(Europe_Sales_Records34[[#This Row],[Order Date Fixed]],"MMM")</f>
        <v>Feb</v>
      </c>
      <c r="J91">
        <f>YEAR(Europe_Sales_Records34[[#This Row],[Order Date Fixed]])</f>
        <v>2010</v>
      </c>
      <c r="K91" t="str">
        <f>TEXT(Europe_Sales_Records34[[#This Row],[Order Date Fixed]],"MMM-YYYY")</f>
        <v>Feb-2010</v>
      </c>
      <c r="L91">
        <v>585362994</v>
      </c>
      <c r="M91" s="2">
        <f t="shared" si="3"/>
        <v>40279</v>
      </c>
      <c r="N91">
        <f>DAY(Europe_Sales_Records34[[#This Row],[Ship Date Fixed]])</f>
        <v>11</v>
      </c>
      <c r="O91" t="str">
        <f>TEXT(Europe_Sales_Records34[[#This Row],[Ship Date Fixed]],"MMM")</f>
        <v>Apr</v>
      </c>
      <c r="P91">
        <f>YEAR(Europe_Sales_Records34[[#This Row],[Ship Date Fixed]])</f>
        <v>2010</v>
      </c>
      <c r="Q91" t="str">
        <f>TEXT(Europe_Sales_Records34[[#This Row],[Ship Date Fixed]],"MMM-YYYY")</f>
        <v>Apr-2010</v>
      </c>
      <c r="R91" t="s">
        <v>245</v>
      </c>
      <c r="S91" s="3">
        <f>Europe_Sales_Records34[[#This Row],[Ship Date Fixed]]-Europe_Sales_Records34[[#This Row],[Order Date Fixed]]</f>
        <v>50</v>
      </c>
      <c r="T91">
        <v>773</v>
      </c>
      <c r="U91">
        <v>668.27</v>
      </c>
      <c r="V91">
        <v>502.54</v>
      </c>
      <c r="W91">
        <f>Europe_Sales_Records34[[#This Row],[Total Revenue]]/Europe_Sales_Records34[[#This Row],[Units Sold]]</f>
        <v>668.27</v>
      </c>
      <c r="X91">
        <v>516572.71</v>
      </c>
      <c r="Y91">
        <v>388463.42</v>
      </c>
      <c r="Z91" s="4">
        <f>Europe_Sales_Records34[[#This Row],[Total Profit]]/Europe_Sales_Records34[[#This Row],[Total Revenue]]</f>
        <v>0.24799856345489096</v>
      </c>
      <c r="AA91">
        <v>128109.29</v>
      </c>
    </row>
    <row r="92" spans="1:27" x14ac:dyDescent="0.3">
      <c r="A92" t="s">
        <v>14</v>
      </c>
      <c r="B92" t="s">
        <v>15</v>
      </c>
      <c r="C92" t="s">
        <v>64</v>
      </c>
      <c r="D92" t="s">
        <v>17</v>
      </c>
      <c r="E92" t="s">
        <v>54</v>
      </c>
      <c r="F92" t="s">
        <v>246</v>
      </c>
      <c r="G92" s="2">
        <f t="shared" si="2"/>
        <v>42203</v>
      </c>
      <c r="H92">
        <f>DAY(Europe_Sales_Records34[[#This Row],[Order Date Fixed]])</f>
        <v>18</v>
      </c>
      <c r="I92" t="str">
        <f>TEXT(Europe_Sales_Records34[[#This Row],[Order Date Fixed]],"MMM")</f>
        <v>Jul</v>
      </c>
      <c r="J92">
        <f>YEAR(Europe_Sales_Records34[[#This Row],[Order Date Fixed]])</f>
        <v>2015</v>
      </c>
      <c r="K92" t="str">
        <f>TEXT(Europe_Sales_Records34[[#This Row],[Order Date Fixed]],"MMM-YYYY")</f>
        <v>Jul-2015</v>
      </c>
      <c r="L92">
        <v>850872075</v>
      </c>
      <c r="M92" s="2">
        <f t="shared" si="3"/>
        <v>42217</v>
      </c>
      <c r="N92">
        <f>DAY(Europe_Sales_Records34[[#This Row],[Ship Date Fixed]])</f>
        <v>1</v>
      </c>
      <c r="O92" t="str">
        <f>TEXT(Europe_Sales_Records34[[#This Row],[Ship Date Fixed]],"MMM")</f>
        <v>Aug</v>
      </c>
      <c r="P92">
        <f>YEAR(Europe_Sales_Records34[[#This Row],[Ship Date Fixed]])</f>
        <v>2015</v>
      </c>
      <c r="Q92" t="str">
        <f>TEXT(Europe_Sales_Records34[[#This Row],[Ship Date Fixed]],"MMM-YYYY")</f>
        <v>Aug-2015</v>
      </c>
      <c r="R92" t="s">
        <v>247</v>
      </c>
      <c r="S92" s="3">
        <f>Europe_Sales_Records34[[#This Row],[Ship Date Fixed]]-Europe_Sales_Records34[[#This Row],[Order Date Fixed]]</f>
        <v>14</v>
      </c>
      <c r="T92">
        <v>810</v>
      </c>
      <c r="U92">
        <v>255.28</v>
      </c>
      <c r="V92">
        <v>159.41999999999999</v>
      </c>
      <c r="W92">
        <f>Europe_Sales_Records34[[#This Row],[Total Revenue]]/Europe_Sales_Records34[[#This Row],[Units Sold]]</f>
        <v>255.27999999999997</v>
      </c>
      <c r="X92">
        <v>206776.8</v>
      </c>
      <c r="Y92">
        <v>129130.2</v>
      </c>
      <c r="Z92" s="4">
        <f>Europe_Sales_Records34[[#This Row],[Total Profit]]/Europe_Sales_Records34[[#This Row],[Total Revenue]]</f>
        <v>0.37550924475086184</v>
      </c>
      <c r="AA92">
        <v>77646.600000000006</v>
      </c>
    </row>
    <row r="93" spans="1:27" x14ac:dyDescent="0.3">
      <c r="A93" t="s">
        <v>14</v>
      </c>
      <c r="B93" t="s">
        <v>21</v>
      </c>
      <c r="C93" t="s">
        <v>32</v>
      </c>
      <c r="D93" t="s">
        <v>17</v>
      </c>
      <c r="E93" t="s">
        <v>18</v>
      </c>
      <c r="F93" t="s">
        <v>248</v>
      </c>
      <c r="G93" s="2">
        <f t="shared" si="2"/>
        <v>41221</v>
      </c>
      <c r="H93">
        <f>DAY(Europe_Sales_Records34[[#This Row],[Order Date Fixed]])</f>
        <v>8</v>
      </c>
      <c r="I93" t="str">
        <f>TEXT(Europe_Sales_Records34[[#This Row],[Order Date Fixed]],"MMM")</f>
        <v>Nov</v>
      </c>
      <c r="J93">
        <f>YEAR(Europe_Sales_Records34[[#This Row],[Order Date Fixed]])</f>
        <v>2012</v>
      </c>
      <c r="K93" t="str">
        <f>TEXT(Europe_Sales_Records34[[#This Row],[Order Date Fixed]],"MMM-YYYY")</f>
        <v>Nov-2012</v>
      </c>
      <c r="L93">
        <v>575583016</v>
      </c>
      <c r="M93" s="2">
        <f t="shared" si="3"/>
        <v>41237</v>
      </c>
      <c r="N93">
        <f>DAY(Europe_Sales_Records34[[#This Row],[Ship Date Fixed]])</f>
        <v>24</v>
      </c>
      <c r="O93" t="str">
        <f>TEXT(Europe_Sales_Records34[[#This Row],[Ship Date Fixed]],"MMM")</f>
        <v>Nov</v>
      </c>
      <c r="P93">
        <f>YEAR(Europe_Sales_Records34[[#This Row],[Ship Date Fixed]])</f>
        <v>2012</v>
      </c>
      <c r="Q93" t="str">
        <f>TEXT(Europe_Sales_Records34[[#This Row],[Ship Date Fixed]],"MMM-YYYY")</f>
        <v>Nov-2012</v>
      </c>
      <c r="R93" t="s">
        <v>249</v>
      </c>
      <c r="S93" s="3">
        <f>Europe_Sales_Records34[[#This Row],[Ship Date Fixed]]-Europe_Sales_Records34[[#This Row],[Order Date Fixed]]</f>
        <v>16</v>
      </c>
      <c r="T93">
        <v>6660</v>
      </c>
      <c r="U93">
        <v>651.21</v>
      </c>
      <c r="V93">
        <v>524.96</v>
      </c>
      <c r="W93">
        <f>Europe_Sales_Records34[[#This Row],[Total Revenue]]/Europe_Sales_Records34[[#This Row],[Units Sold]]</f>
        <v>651.20999999999992</v>
      </c>
      <c r="X93">
        <v>4337058.5999999996</v>
      </c>
      <c r="Y93">
        <v>3496233.6</v>
      </c>
      <c r="Z93" s="4">
        <f>Europe_Sales_Records34[[#This Row],[Total Profit]]/Europe_Sales_Records34[[#This Row],[Total Revenue]]</f>
        <v>0.19386987300563568</v>
      </c>
      <c r="AA93">
        <v>840825</v>
      </c>
    </row>
    <row r="94" spans="1:27" x14ac:dyDescent="0.3">
      <c r="A94" t="s">
        <v>14</v>
      </c>
      <c r="B94" t="s">
        <v>132</v>
      </c>
      <c r="C94" t="s">
        <v>50</v>
      </c>
      <c r="D94" t="s">
        <v>17</v>
      </c>
      <c r="E94" t="s">
        <v>54</v>
      </c>
      <c r="F94" t="s">
        <v>118</v>
      </c>
      <c r="G94" s="2">
        <f t="shared" si="2"/>
        <v>40575</v>
      </c>
      <c r="H94">
        <f>DAY(Europe_Sales_Records34[[#This Row],[Order Date Fixed]])</f>
        <v>1</v>
      </c>
      <c r="I94" t="str">
        <f>TEXT(Europe_Sales_Records34[[#This Row],[Order Date Fixed]],"MMM")</f>
        <v>Feb</v>
      </c>
      <c r="J94">
        <f>YEAR(Europe_Sales_Records34[[#This Row],[Order Date Fixed]])</f>
        <v>2011</v>
      </c>
      <c r="K94" t="str">
        <f>TEXT(Europe_Sales_Records34[[#This Row],[Order Date Fixed]],"MMM-YYYY")</f>
        <v>Feb-2011</v>
      </c>
      <c r="L94">
        <v>515773189</v>
      </c>
      <c r="M94" s="2">
        <f t="shared" si="3"/>
        <v>40591</v>
      </c>
      <c r="N94">
        <f>DAY(Europe_Sales_Records34[[#This Row],[Ship Date Fixed]])</f>
        <v>17</v>
      </c>
      <c r="O94" t="str">
        <f>TEXT(Europe_Sales_Records34[[#This Row],[Ship Date Fixed]],"MMM")</f>
        <v>Feb</v>
      </c>
      <c r="P94">
        <f>YEAR(Europe_Sales_Records34[[#This Row],[Ship Date Fixed]])</f>
        <v>2011</v>
      </c>
      <c r="Q94" t="str">
        <f>TEXT(Europe_Sales_Records34[[#This Row],[Ship Date Fixed]],"MMM-YYYY")</f>
        <v>Feb-2011</v>
      </c>
      <c r="R94" t="s">
        <v>250</v>
      </c>
      <c r="S94" s="3">
        <f>Europe_Sales_Records34[[#This Row],[Ship Date Fixed]]-Europe_Sales_Records34[[#This Row],[Order Date Fixed]]</f>
        <v>16</v>
      </c>
      <c r="T94">
        <v>7603</v>
      </c>
      <c r="U94">
        <v>421.89</v>
      </c>
      <c r="V94">
        <v>364.69</v>
      </c>
      <c r="W94">
        <f>Europe_Sales_Records34[[#This Row],[Total Revenue]]/Europe_Sales_Records34[[#This Row],[Units Sold]]</f>
        <v>421.89</v>
      </c>
      <c r="X94">
        <v>3207629.67</v>
      </c>
      <c r="Y94">
        <v>2772738.07</v>
      </c>
      <c r="Z94" s="4">
        <f>Europe_Sales_Records34[[#This Row],[Total Profit]]/Europe_Sales_Records34[[#This Row],[Total Revenue]]</f>
        <v>0.13558036455000119</v>
      </c>
      <c r="AA94">
        <v>434891.6</v>
      </c>
    </row>
    <row r="95" spans="1:27" x14ac:dyDescent="0.3">
      <c r="A95" t="s">
        <v>14</v>
      </c>
      <c r="B95" t="s">
        <v>110</v>
      </c>
      <c r="C95" t="s">
        <v>102</v>
      </c>
      <c r="D95" t="s">
        <v>23</v>
      </c>
      <c r="E95" t="s">
        <v>54</v>
      </c>
      <c r="F95" t="s">
        <v>251</v>
      </c>
      <c r="G95" s="2">
        <f t="shared" si="2"/>
        <v>42458</v>
      </c>
      <c r="H95">
        <f>DAY(Europe_Sales_Records34[[#This Row],[Order Date Fixed]])</f>
        <v>29</v>
      </c>
      <c r="I95" t="str">
        <f>TEXT(Europe_Sales_Records34[[#This Row],[Order Date Fixed]],"MMM")</f>
        <v>Mar</v>
      </c>
      <c r="J95">
        <f>YEAR(Europe_Sales_Records34[[#This Row],[Order Date Fixed]])</f>
        <v>2016</v>
      </c>
      <c r="K95" t="str">
        <f>TEXT(Europe_Sales_Records34[[#This Row],[Order Date Fixed]],"MMM-YYYY")</f>
        <v>Mar-2016</v>
      </c>
      <c r="L95">
        <v>351247346</v>
      </c>
      <c r="M95" s="2">
        <f t="shared" si="3"/>
        <v>42498</v>
      </c>
      <c r="N95">
        <f>DAY(Europe_Sales_Records34[[#This Row],[Ship Date Fixed]])</f>
        <v>8</v>
      </c>
      <c r="O95" t="str">
        <f>TEXT(Europe_Sales_Records34[[#This Row],[Ship Date Fixed]],"MMM")</f>
        <v>May</v>
      </c>
      <c r="P95">
        <f>YEAR(Europe_Sales_Records34[[#This Row],[Ship Date Fixed]])</f>
        <v>2016</v>
      </c>
      <c r="Q95" t="str">
        <f>TEXT(Europe_Sales_Records34[[#This Row],[Ship Date Fixed]],"MMM-YYYY")</f>
        <v>May-2016</v>
      </c>
      <c r="R95" t="s">
        <v>252</v>
      </c>
      <c r="S95" s="3">
        <f>Europe_Sales_Records34[[#This Row],[Ship Date Fixed]]-Europe_Sales_Records34[[#This Row],[Order Date Fixed]]</f>
        <v>40</v>
      </c>
      <c r="T95">
        <v>750</v>
      </c>
      <c r="U95">
        <v>81.73</v>
      </c>
      <c r="V95">
        <v>56.67</v>
      </c>
      <c r="W95">
        <f>Europe_Sales_Records34[[#This Row],[Total Revenue]]/Europe_Sales_Records34[[#This Row],[Units Sold]]</f>
        <v>81.73</v>
      </c>
      <c r="X95">
        <v>61297.5</v>
      </c>
      <c r="Y95">
        <v>42502.5</v>
      </c>
      <c r="Z95" s="4">
        <f>Europe_Sales_Records34[[#This Row],[Total Profit]]/Europe_Sales_Records34[[#This Row],[Total Revenue]]</f>
        <v>0.30661935641747218</v>
      </c>
      <c r="AA95">
        <v>18795</v>
      </c>
    </row>
    <row r="96" spans="1:27" x14ac:dyDescent="0.3">
      <c r="A96" t="s">
        <v>14</v>
      </c>
      <c r="B96" t="s">
        <v>86</v>
      </c>
      <c r="C96" t="s">
        <v>16</v>
      </c>
      <c r="D96" t="s">
        <v>17</v>
      </c>
      <c r="E96" t="s">
        <v>54</v>
      </c>
      <c r="F96" t="s">
        <v>253</v>
      </c>
      <c r="G96" s="2">
        <f t="shared" si="2"/>
        <v>42389</v>
      </c>
      <c r="H96">
        <f>DAY(Europe_Sales_Records34[[#This Row],[Order Date Fixed]])</f>
        <v>20</v>
      </c>
      <c r="I96" t="str">
        <f>TEXT(Europe_Sales_Records34[[#This Row],[Order Date Fixed]],"MMM")</f>
        <v>Jan</v>
      </c>
      <c r="J96">
        <f>YEAR(Europe_Sales_Records34[[#This Row],[Order Date Fixed]])</f>
        <v>2016</v>
      </c>
      <c r="K96" t="str">
        <f>TEXT(Europe_Sales_Records34[[#This Row],[Order Date Fixed]],"MMM-YYYY")</f>
        <v>Jan-2016</v>
      </c>
      <c r="L96">
        <v>554721438</v>
      </c>
      <c r="M96" s="2">
        <f t="shared" si="3"/>
        <v>42397</v>
      </c>
      <c r="N96">
        <f>DAY(Europe_Sales_Records34[[#This Row],[Ship Date Fixed]])</f>
        <v>28</v>
      </c>
      <c r="O96" t="str">
        <f>TEXT(Europe_Sales_Records34[[#This Row],[Ship Date Fixed]],"MMM")</f>
        <v>Jan</v>
      </c>
      <c r="P96">
        <f>YEAR(Europe_Sales_Records34[[#This Row],[Ship Date Fixed]])</f>
        <v>2016</v>
      </c>
      <c r="Q96" t="str">
        <f>TEXT(Europe_Sales_Records34[[#This Row],[Ship Date Fixed]],"MMM-YYYY")</f>
        <v>Jan-2016</v>
      </c>
      <c r="R96" t="s">
        <v>254</v>
      </c>
      <c r="S96" s="3">
        <f>Europe_Sales_Records34[[#This Row],[Ship Date Fixed]]-Europe_Sales_Records34[[#This Row],[Order Date Fixed]]</f>
        <v>8</v>
      </c>
      <c r="T96">
        <v>3256</v>
      </c>
      <c r="U96">
        <v>47.45</v>
      </c>
      <c r="V96">
        <v>31.79</v>
      </c>
      <c r="W96">
        <f>Europe_Sales_Records34[[#This Row],[Total Revenue]]/Europe_Sales_Records34[[#This Row],[Units Sold]]</f>
        <v>47.45</v>
      </c>
      <c r="X96">
        <v>154497.20000000001</v>
      </c>
      <c r="Y96">
        <v>103508.24</v>
      </c>
      <c r="Z96" s="4">
        <f>Europe_Sales_Records34[[#This Row],[Total Profit]]/Europe_Sales_Records34[[#This Row],[Total Revenue]]</f>
        <v>0.330031612223393</v>
      </c>
      <c r="AA96">
        <v>50988.959999999999</v>
      </c>
    </row>
    <row r="97" spans="1:27" x14ac:dyDescent="0.3">
      <c r="A97" t="s">
        <v>14</v>
      </c>
      <c r="B97" t="s">
        <v>196</v>
      </c>
      <c r="C97" t="s">
        <v>28</v>
      </c>
      <c r="D97" t="s">
        <v>17</v>
      </c>
      <c r="E97" t="s">
        <v>18</v>
      </c>
      <c r="F97" t="s">
        <v>255</v>
      </c>
      <c r="G97" s="2">
        <f t="shared" si="2"/>
        <v>40228</v>
      </c>
      <c r="H97">
        <f>DAY(Europe_Sales_Records34[[#This Row],[Order Date Fixed]])</f>
        <v>19</v>
      </c>
      <c r="I97" t="str">
        <f>TEXT(Europe_Sales_Records34[[#This Row],[Order Date Fixed]],"MMM")</f>
        <v>Feb</v>
      </c>
      <c r="J97">
        <f>YEAR(Europe_Sales_Records34[[#This Row],[Order Date Fixed]])</f>
        <v>2010</v>
      </c>
      <c r="K97" t="str">
        <f>TEXT(Europe_Sales_Records34[[#This Row],[Order Date Fixed]],"MMM-YYYY")</f>
        <v>Feb-2010</v>
      </c>
      <c r="L97">
        <v>398333632</v>
      </c>
      <c r="M97" s="2">
        <f t="shared" si="3"/>
        <v>40239</v>
      </c>
      <c r="N97">
        <f>DAY(Europe_Sales_Records34[[#This Row],[Ship Date Fixed]])</f>
        <v>2</v>
      </c>
      <c r="O97" t="str">
        <f>TEXT(Europe_Sales_Records34[[#This Row],[Ship Date Fixed]],"MMM")</f>
        <v>Mar</v>
      </c>
      <c r="P97">
        <f>YEAR(Europe_Sales_Records34[[#This Row],[Ship Date Fixed]])</f>
        <v>2010</v>
      </c>
      <c r="Q97" t="str">
        <f>TEXT(Europe_Sales_Records34[[#This Row],[Ship Date Fixed]],"MMM-YYYY")</f>
        <v>Mar-2010</v>
      </c>
      <c r="R97" t="s">
        <v>256</v>
      </c>
      <c r="S97" s="3">
        <f>Europe_Sales_Records34[[#This Row],[Ship Date Fixed]]-Europe_Sales_Records34[[#This Row],[Order Date Fixed]]</f>
        <v>11</v>
      </c>
      <c r="T97">
        <v>4629</v>
      </c>
      <c r="U97">
        <v>205.7</v>
      </c>
      <c r="V97">
        <v>117.11</v>
      </c>
      <c r="W97">
        <f>Europe_Sales_Records34[[#This Row],[Total Revenue]]/Europe_Sales_Records34[[#This Row],[Units Sold]]</f>
        <v>205.70000000000002</v>
      </c>
      <c r="X97">
        <v>952185.3</v>
      </c>
      <c r="Y97">
        <v>542102.18999999994</v>
      </c>
      <c r="Z97" s="4">
        <f>Europe_Sales_Records34[[#This Row],[Total Profit]]/Europe_Sales_Records34[[#This Row],[Total Revenue]]</f>
        <v>0.43067574137092851</v>
      </c>
      <c r="AA97">
        <v>410083.11</v>
      </c>
    </row>
    <row r="98" spans="1:27" x14ac:dyDescent="0.3">
      <c r="A98" t="s">
        <v>14</v>
      </c>
      <c r="B98" t="s">
        <v>257</v>
      </c>
      <c r="C98" t="s">
        <v>16</v>
      </c>
      <c r="D98" t="s">
        <v>23</v>
      </c>
      <c r="E98" t="s">
        <v>18</v>
      </c>
      <c r="F98" t="s">
        <v>258</v>
      </c>
      <c r="G98" s="2">
        <f t="shared" si="2"/>
        <v>42365</v>
      </c>
      <c r="H98">
        <f>DAY(Europe_Sales_Records34[[#This Row],[Order Date Fixed]])</f>
        <v>27</v>
      </c>
      <c r="I98" t="str">
        <f>TEXT(Europe_Sales_Records34[[#This Row],[Order Date Fixed]],"MMM")</f>
        <v>Dec</v>
      </c>
      <c r="J98">
        <f>YEAR(Europe_Sales_Records34[[#This Row],[Order Date Fixed]])</f>
        <v>2015</v>
      </c>
      <c r="K98" t="str">
        <f>TEXT(Europe_Sales_Records34[[#This Row],[Order Date Fixed]],"MMM-YYYY")</f>
        <v>Dec-2015</v>
      </c>
      <c r="L98">
        <v>370484149</v>
      </c>
      <c r="M98" s="2">
        <f t="shared" si="3"/>
        <v>42388</v>
      </c>
      <c r="N98">
        <f>DAY(Europe_Sales_Records34[[#This Row],[Ship Date Fixed]])</f>
        <v>19</v>
      </c>
      <c r="O98" t="str">
        <f>TEXT(Europe_Sales_Records34[[#This Row],[Ship Date Fixed]],"MMM")</f>
        <v>Jan</v>
      </c>
      <c r="P98">
        <f>YEAR(Europe_Sales_Records34[[#This Row],[Ship Date Fixed]])</f>
        <v>2016</v>
      </c>
      <c r="Q98" t="str">
        <f>TEXT(Europe_Sales_Records34[[#This Row],[Ship Date Fixed]],"MMM-YYYY")</f>
        <v>Jan-2016</v>
      </c>
      <c r="R98" t="s">
        <v>259</v>
      </c>
      <c r="S98" s="3">
        <f>Europe_Sales_Records34[[#This Row],[Ship Date Fixed]]-Europe_Sales_Records34[[#This Row],[Order Date Fixed]]</f>
        <v>23</v>
      </c>
      <c r="T98">
        <v>3348</v>
      </c>
      <c r="U98">
        <v>47.45</v>
      </c>
      <c r="V98">
        <v>31.79</v>
      </c>
      <c r="W98">
        <f>Europe_Sales_Records34[[#This Row],[Total Revenue]]/Europe_Sales_Records34[[#This Row],[Units Sold]]</f>
        <v>47.45</v>
      </c>
      <c r="X98">
        <v>158862.6</v>
      </c>
      <c r="Y98">
        <v>106432.92</v>
      </c>
      <c r="Z98" s="4">
        <f>Europe_Sales_Records34[[#This Row],[Total Profit]]/Europe_Sales_Records34[[#This Row],[Total Revenue]]</f>
        <v>0.33003161222339306</v>
      </c>
      <c r="AA98">
        <v>52429.68</v>
      </c>
    </row>
    <row r="99" spans="1:27" x14ac:dyDescent="0.3">
      <c r="A99" t="s">
        <v>14</v>
      </c>
      <c r="B99" t="s">
        <v>127</v>
      </c>
      <c r="C99" t="s">
        <v>64</v>
      </c>
      <c r="D99" t="s">
        <v>17</v>
      </c>
      <c r="E99" t="s">
        <v>54</v>
      </c>
      <c r="F99" t="s">
        <v>260</v>
      </c>
      <c r="G99" s="2">
        <f t="shared" si="2"/>
        <v>41546</v>
      </c>
      <c r="H99">
        <f>DAY(Europe_Sales_Records34[[#This Row],[Order Date Fixed]])</f>
        <v>29</v>
      </c>
      <c r="I99" t="str">
        <f>TEXT(Europe_Sales_Records34[[#This Row],[Order Date Fixed]],"MMM")</f>
        <v>Sep</v>
      </c>
      <c r="J99">
        <f>YEAR(Europe_Sales_Records34[[#This Row],[Order Date Fixed]])</f>
        <v>2013</v>
      </c>
      <c r="K99" t="str">
        <f>TEXT(Europe_Sales_Records34[[#This Row],[Order Date Fixed]],"MMM-YYYY")</f>
        <v>Sep-2013</v>
      </c>
      <c r="L99">
        <v>306839406</v>
      </c>
      <c r="M99" s="2">
        <f t="shared" si="3"/>
        <v>41548</v>
      </c>
      <c r="N99">
        <f>DAY(Europe_Sales_Records34[[#This Row],[Ship Date Fixed]])</f>
        <v>1</v>
      </c>
      <c r="O99" t="str">
        <f>TEXT(Europe_Sales_Records34[[#This Row],[Ship Date Fixed]],"MMM")</f>
        <v>Oct</v>
      </c>
      <c r="P99">
        <f>YEAR(Europe_Sales_Records34[[#This Row],[Ship Date Fixed]])</f>
        <v>2013</v>
      </c>
      <c r="Q99" t="str">
        <f>TEXT(Europe_Sales_Records34[[#This Row],[Ship Date Fixed]],"MMM-YYYY")</f>
        <v>Oct-2013</v>
      </c>
      <c r="R99" t="s">
        <v>261</v>
      </c>
      <c r="S99" s="3">
        <f>Europe_Sales_Records34[[#This Row],[Ship Date Fixed]]-Europe_Sales_Records34[[#This Row],[Order Date Fixed]]</f>
        <v>2</v>
      </c>
      <c r="T99">
        <v>9454</v>
      </c>
      <c r="U99">
        <v>255.28</v>
      </c>
      <c r="V99">
        <v>159.41999999999999</v>
      </c>
      <c r="W99">
        <f>Europe_Sales_Records34[[#This Row],[Total Revenue]]/Europe_Sales_Records34[[#This Row],[Units Sold]]</f>
        <v>255.28</v>
      </c>
      <c r="X99">
        <v>2413417.12</v>
      </c>
      <c r="Y99">
        <v>1507156.68</v>
      </c>
      <c r="Z99" s="4">
        <f>Europe_Sales_Records34[[#This Row],[Total Profit]]/Europe_Sales_Records34[[#This Row],[Total Revenue]]</f>
        <v>0.37550924475086178</v>
      </c>
      <c r="AA99">
        <v>906260.44</v>
      </c>
    </row>
    <row r="100" spans="1:27" x14ac:dyDescent="0.3">
      <c r="A100" t="s">
        <v>14</v>
      </c>
      <c r="B100" t="s">
        <v>36</v>
      </c>
      <c r="C100" t="s">
        <v>16</v>
      </c>
      <c r="D100" t="s">
        <v>17</v>
      </c>
      <c r="E100" t="s">
        <v>18</v>
      </c>
      <c r="F100" t="s">
        <v>262</v>
      </c>
      <c r="G100" s="2">
        <f t="shared" si="2"/>
        <v>42775</v>
      </c>
      <c r="H100">
        <f>DAY(Europe_Sales_Records34[[#This Row],[Order Date Fixed]])</f>
        <v>9</v>
      </c>
      <c r="I100" t="str">
        <f>TEXT(Europe_Sales_Records34[[#This Row],[Order Date Fixed]],"MMM")</f>
        <v>Feb</v>
      </c>
      <c r="J100">
        <f>YEAR(Europe_Sales_Records34[[#This Row],[Order Date Fixed]])</f>
        <v>2017</v>
      </c>
      <c r="K100" t="str">
        <f>TEXT(Europe_Sales_Records34[[#This Row],[Order Date Fixed]],"MMM-YYYY")</f>
        <v>Feb-2017</v>
      </c>
      <c r="L100">
        <v>653548610</v>
      </c>
      <c r="M100" s="2">
        <f t="shared" si="3"/>
        <v>42787</v>
      </c>
      <c r="N100">
        <f>DAY(Europe_Sales_Records34[[#This Row],[Ship Date Fixed]])</f>
        <v>21</v>
      </c>
      <c r="O100" t="str">
        <f>TEXT(Europe_Sales_Records34[[#This Row],[Ship Date Fixed]],"MMM")</f>
        <v>Feb</v>
      </c>
      <c r="P100">
        <f>YEAR(Europe_Sales_Records34[[#This Row],[Ship Date Fixed]])</f>
        <v>2017</v>
      </c>
      <c r="Q100" t="str">
        <f>TEXT(Europe_Sales_Records34[[#This Row],[Ship Date Fixed]],"MMM-YYYY")</f>
        <v>Feb-2017</v>
      </c>
      <c r="R100" t="s">
        <v>263</v>
      </c>
      <c r="S100" s="3">
        <f>Europe_Sales_Records34[[#This Row],[Ship Date Fixed]]-Europe_Sales_Records34[[#This Row],[Order Date Fixed]]</f>
        <v>12</v>
      </c>
      <c r="T100">
        <v>8412</v>
      </c>
      <c r="U100">
        <v>47.45</v>
      </c>
      <c r="V100">
        <v>31.79</v>
      </c>
      <c r="W100">
        <f>Europe_Sales_Records34[[#This Row],[Total Revenue]]/Europe_Sales_Records34[[#This Row],[Units Sold]]</f>
        <v>47.45</v>
      </c>
      <c r="X100">
        <v>399149.4</v>
      </c>
      <c r="Y100">
        <v>267417.48</v>
      </c>
      <c r="Z100" s="4">
        <f>Europe_Sales_Records34[[#This Row],[Total Profit]]/Europe_Sales_Records34[[#This Row],[Total Revenue]]</f>
        <v>0.33003161222339306</v>
      </c>
      <c r="AA100">
        <v>131731.92000000001</v>
      </c>
    </row>
    <row r="101" spans="1:27" x14ac:dyDescent="0.3">
      <c r="A101" t="s">
        <v>14</v>
      </c>
      <c r="B101" t="s">
        <v>264</v>
      </c>
      <c r="C101" t="s">
        <v>46</v>
      </c>
      <c r="D101" t="s">
        <v>23</v>
      </c>
      <c r="E101" t="s">
        <v>33</v>
      </c>
      <c r="F101" t="s">
        <v>265</v>
      </c>
      <c r="G101" s="2">
        <f t="shared" si="2"/>
        <v>41274</v>
      </c>
      <c r="H101">
        <f>DAY(Europe_Sales_Records34[[#This Row],[Order Date Fixed]])</f>
        <v>31</v>
      </c>
      <c r="I101" t="str">
        <f>TEXT(Europe_Sales_Records34[[#This Row],[Order Date Fixed]],"MMM")</f>
        <v>Dec</v>
      </c>
      <c r="J101">
        <f>YEAR(Europe_Sales_Records34[[#This Row],[Order Date Fixed]])</f>
        <v>2012</v>
      </c>
      <c r="K101" t="str">
        <f>TEXT(Europe_Sales_Records34[[#This Row],[Order Date Fixed]],"MMM-YYYY")</f>
        <v>Dec-2012</v>
      </c>
      <c r="L101">
        <v>413078916</v>
      </c>
      <c r="M101" s="2">
        <f t="shared" si="3"/>
        <v>41285</v>
      </c>
      <c r="N101">
        <f>DAY(Europe_Sales_Records34[[#This Row],[Ship Date Fixed]])</f>
        <v>11</v>
      </c>
      <c r="O101" t="str">
        <f>TEXT(Europe_Sales_Records34[[#This Row],[Ship Date Fixed]],"MMM")</f>
        <v>Jan</v>
      </c>
      <c r="P101">
        <f>YEAR(Europe_Sales_Records34[[#This Row],[Ship Date Fixed]])</f>
        <v>2013</v>
      </c>
      <c r="Q101" t="str">
        <f>TEXT(Europe_Sales_Records34[[#This Row],[Ship Date Fixed]],"MMM-YYYY")</f>
        <v>Jan-2013</v>
      </c>
      <c r="R101" t="s">
        <v>266</v>
      </c>
      <c r="S101" s="3">
        <f>Europe_Sales_Records34[[#This Row],[Ship Date Fixed]]-Europe_Sales_Records34[[#This Row],[Order Date Fixed]]</f>
        <v>11</v>
      </c>
      <c r="T101">
        <v>8086</v>
      </c>
      <c r="U101">
        <v>154.06</v>
      </c>
      <c r="V101">
        <v>90.93</v>
      </c>
      <c r="W101">
        <f>Europe_Sales_Records34[[#This Row],[Total Revenue]]/Europe_Sales_Records34[[#This Row],[Units Sold]]</f>
        <v>154.06</v>
      </c>
      <c r="X101">
        <v>1245729.1599999999</v>
      </c>
      <c r="Y101">
        <v>735259.98</v>
      </c>
      <c r="Z101" s="4">
        <f>Europe_Sales_Records34[[#This Row],[Total Profit]]/Europe_Sales_Records34[[#This Row],[Total Revenue]]</f>
        <v>0.40977541217707392</v>
      </c>
      <c r="AA101">
        <v>510469.18</v>
      </c>
    </row>
    <row r="102" spans="1:27" x14ac:dyDescent="0.3">
      <c r="A102" t="s">
        <v>14</v>
      </c>
      <c r="B102" t="s">
        <v>185</v>
      </c>
      <c r="C102" t="s">
        <v>58</v>
      </c>
      <c r="D102" t="s">
        <v>23</v>
      </c>
      <c r="E102" t="s">
        <v>24</v>
      </c>
      <c r="F102" t="s">
        <v>267</v>
      </c>
      <c r="G102" s="2">
        <f t="shared" si="2"/>
        <v>40526</v>
      </c>
      <c r="H102">
        <f>DAY(Europe_Sales_Records34[[#This Row],[Order Date Fixed]])</f>
        <v>14</v>
      </c>
      <c r="I102" t="str">
        <f>TEXT(Europe_Sales_Records34[[#This Row],[Order Date Fixed]],"MMM")</f>
        <v>Dec</v>
      </c>
      <c r="J102">
        <f>YEAR(Europe_Sales_Records34[[#This Row],[Order Date Fixed]])</f>
        <v>2010</v>
      </c>
      <c r="K102" t="str">
        <f>TEXT(Europe_Sales_Records34[[#This Row],[Order Date Fixed]],"MMM-YYYY")</f>
        <v>Dec-2010</v>
      </c>
      <c r="L102">
        <v>307721745</v>
      </c>
      <c r="M102" s="2">
        <f t="shared" si="3"/>
        <v>40544</v>
      </c>
      <c r="N102">
        <f>DAY(Europe_Sales_Records34[[#This Row],[Ship Date Fixed]])</f>
        <v>1</v>
      </c>
      <c r="O102" t="str">
        <f>TEXT(Europe_Sales_Records34[[#This Row],[Ship Date Fixed]],"MMM")</f>
        <v>Jan</v>
      </c>
      <c r="P102">
        <f>YEAR(Europe_Sales_Records34[[#This Row],[Ship Date Fixed]])</f>
        <v>2011</v>
      </c>
      <c r="Q102" t="str">
        <f>TEXT(Europe_Sales_Records34[[#This Row],[Ship Date Fixed]],"MMM-YYYY")</f>
        <v>Jan-2011</v>
      </c>
      <c r="R102" t="s">
        <v>268</v>
      </c>
      <c r="S102" s="3">
        <f>Europe_Sales_Records34[[#This Row],[Ship Date Fixed]]-Europe_Sales_Records34[[#This Row],[Order Date Fixed]]</f>
        <v>18</v>
      </c>
      <c r="T102">
        <v>558</v>
      </c>
      <c r="U102">
        <v>152.58000000000001</v>
      </c>
      <c r="V102">
        <v>97.44</v>
      </c>
      <c r="W102">
        <f>Europe_Sales_Records34[[#This Row],[Total Revenue]]/Europe_Sales_Records34[[#This Row],[Units Sold]]</f>
        <v>152.58000000000001</v>
      </c>
      <c r="X102">
        <v>85139.64</v>
      </c>
      <c r="Y102">
        <v>54371.519999999997</v>
      </c>
      <c r="Z102" s="4">
        <f>Europe_Sales_Records34[[#This Row],[Total Profit]]/Europe_Sales_Records34[[#This Row],[Total Revenue]]</f>
        <v>0.36138419189933146</v>
      </c>
      <c r="AA102">
        <v>30768.12</v>
      </c>
    </row>
    <row r="103" spans="1:27" x14ac:dyDescent="0.3">
      <c r="A103" t="s">
        <v>14</v>
      </c>
      <c r="B103" t="s">
        <v>132</v>
      </c>
      <c r="C103" t="s">
        <v>32</v>
      </c>
      <c r="D103" t="s">
        <v>23</v>
      </c>
      <c r="E103" t="s">
        <v>18</v>
      </c>
      <c r="F103" t="s">
        <v>269</v>
      </c>
      <c r="G103" s="2">
        <f t="shared" si="2"/>
        <v>40856</v>
      </c>
      <c r="H103">
        <f>DAY(Europe_Sales_Records34[[#This Row],[Order Date Fixed]])</f>
        <v>9</v>
      </c>
      <c r="I103" t="str">
        <f>TEXT(Europe_Sales_Records34[[#This Row],[Order Date Fixed]],"MMM")</f>
        <v>Nov</v>
      </c>
      <c r="J103">
        <f>YEAR(Europe_Sales_Records34[[#This Row],[Order Date Fixed]])</f>
        <v>2011</v>
      </c>
      <c r="K103" t="str">
        <f>TEXT(Europe_Sales_Records34[[#This Row],[Order Date Fixed]],"MMM-YYYY")</f>
        <v>Nov-2011</v>
      </c>
      <c r="L103">
        <v>374663245</v>
      </c>
      <c r="M103" s="2">
        <f t="shared" si="3"/>
        <v>40873</v>
      </c>
      <c r="N103">
        <f>DAY(Europe_Sales_Records34[[#This Row],[Ship Date Fixed]])</f>
        <v>26</v>
      </c>
      <c r="O103" t="str">
        <f>TEXT(Europe_Sales_Records34[[#This Row],[Ship Date Fixed]],"MMM")</f>
        <v>Nov</v>
      </c>
      <c r="P103">
        <f>YEAR(Europe_Sales_Records34[[#This Row],[Ship Date Fixed]])</f>
        <v>2011</v>
      </c>
      <c r="Q103" t="str">
        <f>TEXT(Europe_Sales_Records34[[#This Row],[Ship Date Fixed]],"MMM-YYYY")</f>
        <v>Nov-2011</v>
      </c>
      <c r="R103" t="s">
        <v>270</v>
      </c>
      <c r="S103" s="3">
        <f>Europe_Sales_Records34[[#This Row],[Ship Date Fixed]]-Europe_Sales_Records34[[#This Row],[Order Date Fixed]]</f>
        <v>17</v>
      </c>
      <c r="T103">
        <v>35</v>
      </c>
      <c r="U103">
        <v>651.21</v>
      </c>
      <c r="V103">
        <v>524.96</v>
      </c>
      <c r="W103">
        <f>Europe_Sales_Records34[[#This Row],[Total Revenue]]/Europe_Sales_Records34[[#This Row],[Units Sold]]</f>
        <v>651.20999999999992</v>
      </c>
      <c r="X103">
        <v>22792.35</v>
      </c>
      <c r="Y103">
        <v>18373.599999999999</v>
      </c>
      <c r="Z103" s="4">
        <f>Europe_Sales_Records34[[#This Row],[Total Profit]]/Europe_Sales_Records34[[#This Row],[Total Revenue]]</f>
        <v>0.19386987300563568</v>
      </c>
      <c r="AA103">
        <v>4418.75</v>
      </c>
    </row>
    <row r="104" spans="1:27" x14ac:dyDescent="0.3">
      <c r="A104" t="s">
        <v>14</v>
      </c>
      <c r="B104" t="s">
        <v>271</v>
      </c>
      <c r="C104" t="s">
        <v>46</v>
      </c>
      <c r="D104" t="s">
        <v>17</v>
      </c>
      <c r="E104" t="s">
        <v>18</v>
      </c>
      <c r="F104" t="s">
        <v>272</v>
      </c>
      <c r="G104" s="2">
        <f t="shared" si="2"/>
        <v>40498</v>
      </c>
      <c r="H104">
        <f>DAY(Europe_Sales_Records34[[#This Row],[Order Date Fixed]])</f>
        <v>16</v>
      </c>
      <c r="I104" t="str">
        <f>TEXT(Europe_Sales_Records34[[#This Row],[Order Date Fixed]],"MMM")</f>
        <v>Nov</v>
      </c>
      <c r="J104">
        <f>YEAR(Europe_Sales_Records34[[#This Row],[Order Date Fixed]])</f>
        <v>2010</v>
      </c>
      <c r="K104" t="str">
        <f>TEXT(Europe_Sales_Records34[[#This Row],[Order Date Fixed]],"MMM-YYYY")</f>
        <v>Nov-2010</v>
      </c>
      <c r="L104">
        <v>901670968</v>
      </c>
      <c r="M104" s="2">
        <f t="shared" si="3"/>
        <v>40523</v>
      </c>
      <c r="N104">
        <f>DAY(Europe_Sales_Records34[[#This Row],[Ship Date Fixed]])</f>
        <v>11</v>
      </c>
      <c r="O104" t="str">
        <f>TEXT(Europe_Sales_Records34[[#This Row],[Ship Date Fixed]],"MMM")</f>
        <v>Dec</v>
      </c>
      <c r="P104">
        <f>YEAR(Europe_Sales_Records34[[#This Row],[Ship Date Fixed]])</f>
        <v>2010</v>
      </c>
      <c r="Q104" t="str">
        <f>TEXT(Europe_Sales_Records34[[#This Row],[Ship Date Fixed]],"MMM-YYYY")</f>
        <v>Dec-2010</v>
      </c>
      <c r="R104" t="s">
        <v>273</v>
      </c>
      <c r="S104" s="3">
        <f>Europe_Sales_Records34[[#This Row],[Ship Date Fixed]]-Europe_Sales_Records34[[#This Row],[Order Date Fixed]]</f>
        <v>25</v>
      </c>
      <c r="T104">
        <v>3331</v>
      </c>
      <c r="U104">
        <v>154.06</v>
      </c>
      <c r="V104">
        <v>90.93</v>
      </c>
      <c r="W104">
        <f>Europe_Sales_Records34[[#This Row],[Total Revenue]]/Europe_Sales_Records34[[#This Row],[Units Sold]]</f>
        <v>154.06</v>
      </c>
      <c r="X104">
        <v>513173.86</v>
      </c>
      <c r="Y104">
        <v>302887.83</v>
      </c>
      <c r="Z104" s="4">
        <f>Europe_Sales_Records34[[#This Row],[Total Profit]]/Europe_Sales_Records34[[#This Row],[Total Revenue]]</f>
        <v>0.40977541217707386</v>
      </c>
      <c r="AA104">
        <v>210286.03</v>
      </c>
    </row>
    <row r="105" spans="1:27" x14ac:dyDescent="0.3">
      <c r="A105" t="s">
        <v>14</v>
      </c>
      <c r="B105" t="s">
        <v>40</v>
      </c>
      <c r="C105" t="s">
        <v>75</v>
      </c>
      <c r="D105" t="s">
        <v>17</v>
      </c>
      <c r="E105" t="s">
        <v>33</v>
      </c>
      <c r="F105" t="s">
        <v>274</v>
      </c>
      <c r="G105" s="2">
        <f t="shared" si="2"/>
        <v>41140</v>
      </c>
      <c r="H105">
        <f>DAY(Europe_Sales_Records34[[#This Row],[Order Date Fixed]])</f>
        <v>19</v>
      </c>
      <c r="I105" t="str">
        <f>TEXT(Europe_Sales_Records34[[#This Row],[Order Date Fixed]],"MMM")</f>
        <v>Aug</v>
      </c>
      <c r="J105">
        <f>YEAR(Europe_Sales_Records34[[#This Row],[Order Date Fixed]])</f>
        <v>2012</v>
      </c>
      <c r="K105" t="str">
        <f>TEXT(Europe_Sales_Records34[[#This Row],[Order Date Fixed]],"MMM-YYYY")</f>
        <v>Aug-2012</v>
      </c>
      <c r="L105">
        <v>353320157</v>
      </c>
      <c r="M105" s="2">
        <f t="shared" si="3"/>
        <v>41143</v>
      </c>
      <c r="N105">
        <f>DAY(Europe_Sales_Records34[[#This Row],[Ship Date Fixed]])</f>
        <v>22</v>
      </c>
      <c r="O105" t="str">
        <f>TEXT(Europe_Sales_Records34[[#This Row],[Ship Date Fixed]],"MMM")</f>
        <v>Aug</v>
      </c>
      <c r="P105">
        <f>YEAR(Europe_Sales_Records34[[#This Row],[Ship Date Fixed]])</f>
        <v>2012</v>
      </c>
      <c r="Q105" t="str">
        <f>TEXT(Europe_Sales_Records34[[#This Row],[Ship Date Fixed]],"MMM-YYYY")</f>
        <v>Aug-2012</v>
      </c>
      <c r="R105" t="s">
        <v>275</v>
      </c>
      <c r="S105" s="3">
        <f>Europe_Sales_Records34[[#This Row],[Ship Date Fixed]]-Europe_Sales_Records34[[#This Row],[Order Date Fixed]]</f>
        <v>3</v>
      </c>
      <c r="T105">
        <v>4141</v>
      </c>
      <c r="U105">
        <v>437.2</v>
      </c>
      <c r="V105">
        <v>263.33</v>
      </c>
      <c r="W105">
        <f>Europe_Sales_Records34[[#This Row],[Total Revenue]]/Europe_Sales_Records34[[#This Row],[Units Sold]]</f>
        <v>437.2</v>
      </c>
      <c r="X105">
        <v>1810445.2</v>
      </c>
      <c r="Y105">
        <v>1090449.53</v>
      </c>
      <c r="Z105" s="4">
        <f>Europe_Sales_Records34[[#This Row],[Total Profit]]/Europe_Sales_Records34[[#This Row],[Total Revenue]]</f>
        <v>0.3976898444647759</v>
      </c>
      <c r="AA105">
        <v>719995.67</v>
      </c>
    </row>
    <row r="106" spans="1:27" x14ac:dyDescent="0.3">
      <c r="A106" t="s">
        <v>14</v>
      </c>
      <c r="B106" t="s">
        <v>115</v>
      </c>
      <c r="C106" t="s">
        <v>28</v>
      </c>
      <c r="D106" t="s">
        <v>17</v>
      </c>
      <c r="E106" t="s">
        <v>33</v>
      </c>
      <c r="F106" t="s">
        <v>276</v>
      </c>
      <c r="G106" s="2">
        <f t="shared" si="2"/>
        <v>41445</v>
      </c>
      <c r="H106">
        <f>DAY(Europe_Sales_Records34[[#This Row],[Order Date Fixed]])</f>
        <v>20</v>
      </c>
      <c r="I106" t="str">
        <f>TEXT(Europe_Sales_Records34[[#This Row],[Order Date Fixed]],"MMM")</f>
        <v>Jun</v>
      </c>
      <c r="J106">
        <f>YEAR(Europe_Sales_Records34[[#This Row],[Order Date Fixed]])</f>
        <v>2013</v>
      </c>
      <c r="K106" t="str">
        <f>TEXT(Europe_Sales_Records34[[#This Row],[Order Date Fixed]],"MMM-YYYY")</f>
        <v>Jun-2013</v>
      </c>
      <c r="L106">
        <v>645701968</v>
      </c>
      <c r="M106" s="2">
        <f t="shared" si="3"/>
        <v>41476</v>
      </c>
      <c r="N106">
        <f>DAY(Europe_Sales_Records34[[#This Row],[Ship Date Fixed]])</f>
        <v>21</v>
      </c>
      <c r="O106" t="str">
        <f>TEXT(Europe_Sales_Records34[[#This Row],[Ship Date Fixed]],"MMM")</f>
        <v>Jul</v>
      </c>
      <c r="P106">
        <f>YEAR(Europe_Sales_Records34[[#This Row],[Ship Date Fixed]])</f>
        <v>2013</v>
      </c>
      <c r="Q106" t="str">
        <f>TEXT(Europe_Sales_Records34[[#This Row],[Ship Date Fixed]],"MMM-YYYY")</f>
        <v>Jul-2013</v>
      </c>
      <c r="R106" t="s">
        <v>277</v>
      </c>
      <c r="S106" s="3">
        <f>Europe_Sales_Records34[[#This Row],[Ship Date Fixed]]-Europe_Sales_Records34[[#This Row],[Order Date Fixed]]</f>
        <v>31</v>
      </c>
      <c r="T106">
        <v>6416</v>
      </c>
      <c r="U106">
        <v>205.7</v>
      </c>
      <c r="V106">
        <v>117.11</v>
      </c>
      <c r="W106">
        <f>Europe_Sales_Records34[[#This Row],[Total Revenue]]/Europe_Sales_Records34[[#This Row],[Units Sold]]</f>
        <v>205.7</v>
      </c>
      <c r="X106">
        <v>1319771.2</v>
      </c>
      <c r="Y106">
        <v>751377.76</v>
      </c>
      <c r="Z106" s="4">
        <f>Europe_Sales_Records34[[#This Row],[Total Profit]]/Europe_Sales_Records34[[#This Row],[Total Revenue]]</f>
        <v>0.43067574137092851</v>
      </c>
      <c r="AA106">
        <v>568393.43999999994</v>
      </c>
    </row>
    <row r="107" spans="1:27" x14ac:dyDescent="0.3">
      <c r="A107" t="s">
        <v>14</v>
      </c>
      <c r="B107" t="s">
        <v>89</v>
      </c>
      <c r="C107" t="s">
        <v>32</v>
      </c>
      <c r="D107" t="s">
        <v>23</v>
      </c>
      <c r="E107" t="s">
        <v>54</v>
      </c>
      <c r="F107" t="s">
        <v>278</v>
      </c>
      <c r="G107" s="2">
        <f t="shared" si="2"/>
        <v>41536</v>
      </c>
      <c r="H107">
        <f>DAY(Europe_Sales_Records34[[#This Row],[Order Date Fixed]])</f>
        <v>19</v>
      </c>
      <c r="I107" t="str">
        <f>TEXT(Europe_Sales_Records34[[#This Row],[Order Date Fixed]],"MMM")</f>
        <v>Sep</v>
      </c>
      <c r="J107">
        <f>YEAR(Europe_Sales_Records34[[#This Row],[Order Date Fixed]])</f>
        <v>2013</v>
      </c>
      <c r="K107" t="str">
        <f>TEXT(Europe_Sales_Records34[[#This Row],[Order Date Fixed]],"MMM-YYYY")</f>
        <v>Sep-2013</v>
      </c>
      <c r="L107">
        <v>148894631</v>
      </c>
      <c r="M107" s="2">
        <f t="shared" si="3"/>
        <v>41542</v>
      </c>
      <c r="N107">
        <f>DAY(Europe_Sales_Records34[[#This Row],[Ship Date Fixed]])</f>
        <v>25</v>
      </c>
      <c r="O107" t="str">
        <f>TEXT(Europe_Sales_Records34[[#This Row],[Ship Date Fixed]],"MMM")</f>
        <v>Sep</v>
      </c>
      <c r="P107">
        <f>YEAR(Europe_Sales_Records34[[#This Row],[Ship Date Fixed]])</f>
        <v>2013</v>
      </c>
      <c r="Q107" t="str">
        <f>TEXT(Europe_Sales_Records34[[#This Row],[Ship Date Fixed]],"MMM-YYYY")</f>
        <v>Sep-2013</v>
      </c>
      <c r="R107" t="s">
        <v>279</v>
      </c>
      <c r="S107" s="3">
        <f>Europe_Sales_Records34[[#This Row],[Ship Date Fixed]]-Europe_Sales_Records34[[#This Row],[Order Date Fixed]]</f>
        <v>6</v>
      </c>
      <c r="T107">
        <v>85</v>
      </c>
      <c r="U107">
        <v>651.21</v>
      </c>
      <c r="V107">
        <v>524.96</v>
      </c>
      <c r="W107">
        <f>Europe_Sales_Records34[[#This Row],[Total Revenue]]/Europe_Sales_Records34[[#This Row],[Units Sold]]</f>
        <v>651.21</v>
      </c>
      <c r="X107">
        <v>55352.85</v>
      </c>
      <c r="Y107">
        <v>44621.599999999999</v>
      </c>
      <c r="Z107" s="4">
        <f>Europe_Sales_Records34[[#This Row],[Total Profit]]/Europe_Sales_Records34[[#This Row],[Total Revenue]]</f>
        <v>0.19386987300563566</v>
      </c>
      <c r="AA107">
        <v>10731.25</v>
      </c>
    </row>
    <row r="108" spans="1:27" x14ac:dyDescent="0.3">
      <c r="A108" t="s">
        <v>14</v>
      </c>
      <c r="B108" t="s">
        <v>169</v>
      </c>
      <c r="C108" t="s">
        <v>64</v>
      </c>
      <c r="D108" t="s">
        <v>23</v>
      </c>
      <c r="E108" t="s">
        <v>33</v>
      </c>
      <c r="F108" t="s">
        <v>280</v>
      </c>
      <c r="G108" s="2">
        <f t="shared" si="2"/>
        <v>41367</v>
      </c>
      <c r="H108">
        <f>DAY(Europe_Sales_Records34[[#This Row],[Order Date Fixed]])</f>
        <v>3</v>
      </c>
      <c r="I108" t="str">
        <f>TEXT(Europe_Sales_Records34[[#This Row],[Order Date Fixed]],"MMM")</f>
        <v>Apr</v>
      </c>
      <c r="J108">
        <f>YEAR(Europe_Sales_Records34[[#This Row],[Order Date Fixed]])</f>
        <v>2013</v>
      </c>
      <c r="K108" t="str">
        <f>TEXT(Europe_Sales_Records34[[#This Row],[Order Date Fixed]],"MMM-YYYY")</f>
        <v>Apr-2013</v>
      </c>
      <c r="L108">
        <v>443551385</v>
      </c>
      <c r="M108" s="2">
        <f t="shared" si="3"/>
        <v>41403</v>
      </c>
      <c r="N108">
        <f>DAY(Europe_Sales_Records34[[#This Row],[Ship Date Fixed]])</f>
        <v>9</v>
      </c>
      <c r="O108" t="str">
        <f>TEXT(Europe_Sales_Records34[[#This Row],[Ship Date Fixed]],"MMM")</f>
        <v>May</v>
      </c>
      <c r="P108">
        <f>YEAR(Europe_Sales_Records34[[#This Row],[Ship Date Fixed]])</f>
        <v>2013</v>
      </c>
      <c r="Q108" t="str">
        <f>TEXT(Europe_Sales_Records34[[#This Row],[Ship Date Fixed]],"MMM-YYYY")</f>
        <v>May-2013</v>
      </c>
      <c r="R108" t="s">
        <v>281</v>
      </c>
      <c r="S108" s="3">
        <f>Europe_Sales_Records34[[#This Row],[Ship Date Fixed]]-Europe_Sales_Records34[[#This Row],[Order Date Fixed]]</f>
        <v>36</v>
      </c>
      <c r="T108">
        <v>5566</v>
      </c>
      <c r="U108">
        <v>255.28</v>
      </c>
      <c r="V108">
        <v>159.41999999999999</v>
      </c>
      <c r="W108">
        <f>Europe_Sales_Records34[[#This Row],[Total Revenue]]/Europe_Sales_Records34[[#This Row],[Units Sold]]</f>
        <v>255.28</v>
      </c>
      <c r="X108">
        <v>1420888.48</v>
      </c>
      <c r="Y108">
        <v>887331.72</v>
      </c>
      <c r="Z108" s="4">
        <f>Europe_Sales_Records34[[#This Row],[Total Profit]]/Europe_Sales_Records34[[#This Row],[Total Revenue]]</f>
        <v>0.37550924475086184</v>
      </c>
      <c r="AA108">
        <v>533556.76</v>
      </c>
    </row>
    <row r="109" spans="1:27" x14ac:dyDescent="0.3">
      <c r="A109" t="s">
        <v>14</v>
      </c>
      <c r="B109" t="s">
        <v>257</v>
      </c>
      <c r="C109" t="s">
        <v>22</v>
      </c>
      <c r="D109" t="s">
        <v>17</v>
      </c>
      <c r="E109" t="s">
        <v>54</v>
      </c>
      <c r="F109" t="s">
        <v>101</v>
      </c>
      <c r="G109" s="2">
        <f t="shared" si="2"/>
        <v>41709</v>
      </c>
      <c r="H109">
        <f>DAY(Europe_Sales_Records34[[#This Row],[Order Date Fixed]])</f>
        <v>11</v>
      </c>
      <c r="I109" t="str">
        <f>TEXT(Europe_Sales_Records34[[#This Row],[Order Date Fixed]],"MMM")</f>
        <v>Mar</v>
      </c>
      <c r="J109">
        <f>YEAR(Europe_Sales_Records34[[#This Row],[Order Date Fixed]])</f>
        <v>2014</v>
      </c>
      <c r="K109" t="str">
        <f>TEXT(Europe_Sales_Records34[[#This Row],[Order Date Fixed]],"MMM-YYYY")</f>
        <v>Mar-2014</v>
      </c>
      <c r="L109">
        <v>508014523</v>
      </c>
      <c r="M109" s="2">
        <f t="shared" si="3"/>
        <v>41718</v>
      </c>
      <c r="N109">
        <f>DAY(Europe_Sales_Records34[[#This Row],[Ship Date Fixed]])</f>
        <v>20</v>
      </c>
      <c r="O109" t="str">
        <f>TEXT(Europe_Sales_Records34[[#This Row],[Ship Date Fixed]],"MMM")</f>
        <v>Mar</v>
      </c>
      <c r="P109">
        <f>YEAR(Europe_Sales_Records34[[#This Row],[Ship Date Fixed]])</f>
        <v>2014</v>
      </c>
      <c r="Q109" t="str">
        <f>TEXT(Europe_Sales_Records34[[#This Row],[Ship Date Fixed]],"MMM-YYYY")</f>
        <v>Mar-2014</v>
      </c>
      <c r="R109" t="s">
        <v>282</v>
      </c>
      <c r="S109" s="3">
        <f>Europe_Sales_Records34[[#This Row],[Ship Date Fixed]]-Europe_Sales_Records34[[#This Row],[Order Date Fixed]]</f>
        <v>9</v>
      </c>
      <c r="T109">
        <v>1642</v>
      </c>
      <c r="U109">
        <v>109.28</v>
      </c>
      <c r="V109">
        <v>35.840000000000003</v>
      </c>
      <c r="W109">
        <f>Europe_Sales_Records34[[#This Row],[Total Revenue]]/Europe_Sales_Records34[[#This Row],[Units Sold]]</f>
        <v>109.28</v>
      </c>
      <c r="X109">
        <v>179437.76</v>
      </c>
      <c r="Y109">
        <v>58849.279999999999</v>
      </c>
      <c r="Z109" s="4">
        <f>Europe_Sales_Records34[[#This Row],[Total Profit]]/Europe_Sales_Records34[[#This Row],[Total Revenue]]</f>
        <v>0.67203513909224011</v>
      </c>
      <c r="AA109">
        <v>120588.48</v>
      </c>
    </row>
    <row r="110" spans="1:27" x14ac:dyDescent="0.3">
      <c r="A110" t="s">
        <v>14</v>
      </c>
      <c r="B110" t="s">
        <v>138</v>
      </c>
      <c r="C110" t="s">
        <v>32</v>
      </c>
      <c r="D110" t="s">
        <v>23</v>
      </c>
      <c r="E110" t="s">
        <v>18</v>
      </c>
      <c r="F110" t="s">
        <v>283</v>
      </c>
      <c r="G110" s="2">
        <f t="shared" si="2"/>
        <v>41098</v>
      </c>
      <c r="H110">
        <f>DAY(Europe_Sales_Records34[[#This Row],[Order Date Fixed]])</f>
        <v>8</v>
      </c>
      <c r="I110" t="str">
        <f>TEXT(Europe_Sales_Records34[[#This Row],[Order Date Fixed]],"MMM")</f>
        <v>Jul</v>
      </c>
      <c r="J110">
        <f>YEAR(Europe_Sales_Records34[[#This Row],[Order Date Fixed]])</f>
        <v>2012</v>
      </c>
      <c r="K110" t="str">
        <f>TEXT(Europe_Sales_Records34[[#This Row],[Order Date Fixed]],"MMM-YYYY")</f>
        <v>Jul-2012</v>
      </c>
      <c r="L110">
        <v>987767302</v>
      </c>
      <c r="M110" s="2">
        <f t="shared" si="3"/>
        <v>41122</v>
      </c>
      <c r="N110">
        <f>DAY(Europe_Sales_Records34[[#This Row],[Ship Date Fixed]])</f>
        <v>1</v>
      </c>
      <c r="O110" t="str">
        <f>TEXT(Europe_Sales_Records34[[#This Row],[Ship Date Fixed]],"MMM")</f>
        <v>Aug</v>
      </c>
      <c r="P110">
        <f>YEAR(Europe_Sales_Records34[[#This Row],[Ship Date Fixed]])</f>
        <v>2012</v>
      </c>
      <c r="Q110" t="str">
        <f>TEXT(Europe_Sales_Records34[[#This Row],[Ship Date Fixed]],"MMM-YYYY")</f>
        <v>Aug-2012</v>
      </c>
      <c r="R110" t="s">
        <v>284</v>
      </c>
      <c r="S110" s="3">
        <f>Europe_Sales_Records34[[#This Row],[Ship Date Fixed]]-Europe_Sales_Records34[[#This Row],[Order Date Fixed]]</f>
        <v>24</v>
      </c>
      <c r="T110">
        <v>1150</v>
      </c>
      <c r="U110">
        <v>651.21</v>
      </c>
      <c r="V110">
        <v>524.96</v>
      </c>
      <c r="W110">
        <f>Europe_Sales_Records34[[#This Row],[Total Revenue]]/Europe_Sales_Records34[[#This Row],[Units Sold]]</f>
        <v>651.21</v>
      </c>
      <c r="X110">
        <v>748891.5</v>
      </c>
      <c r="Y110">
        <v>603704</v>
      </c>
      <c r="Z110" s="4">
        <f>Europe_Sales_Records34[[#This Row],[Total Profit]]/Europe_Sales_Records34[[#This Row],[Total Revenue]]</f>
        <v>0.19386987300563566</v>
      </c>
      <c r="AA110">
        <v>145187.5</v>
      </c>
    </row>
    <row r="111" spans="1:27" x14ac:dyDescent="0.3">
      <c r="A111" t="s">
        <v>14</v>
      </c>
      <c r="B111" t="s">
        <v>232</v>
      </c>
      <c r="C111" t="s">
        <v>64</v>
      </c>
      <c r="D111" t="s">
        <v>17</v>
      </c>
      <c r="E111" t="s">
        <v>54</v>
      </c>
      <c r="F111" t="s">
        <v>285</v>
      </c>
      <c r="G111" s="2">
        <f t="shared" si="2"/>
        <v>41171</v>
      </c>
      <c r="H111">
        <f>DAY(Europe_Sales_Records34[[#This Row],[Order Date Fixed]])</f>
        <v>19</v>
      </c>
      <c r="I111" t="str">
        <f>TEXT(Europe_Sales_Records34[[#This Row],[Order Date Fixed]],"MMM")</f>
        <v>Sep</v>
      </c>
      <c r="J111">
        <f>YEAR(Europe_Sales_Records34[[#This Row],[Order Date Fixed]])</f>
        <v>2012</v>
      </c>
      <c r="K111" t="str">
        <f>TEXT(Europe_Sales_Records34[[#This Row],[Order Date Fixed]],"MMM-YYYY")</f>
        <v>Sep-2012</v>
      </c>
      <c r="L111">
        <v>103832662</v>
      </c>
      <c r="M111" s="2">
        <f t="shared" si="3"/>
        <v>41202</v>
      </c>
      <c r="N111">
        <f>DAY(Europe_Sales_Records34[[#This Row],[Ship Date Fixed]])</f>
        <v>20</v>
      </c>
      <c r="O111" t="str">
        <f>TEXT(Europe_Sales_Records34[[#This Row],[Ship Date Fixed]],"MMM")</f>
        <v>Oct</v>
      </c>
      <c r="P111">
        <f>YEAR(Europe_Sales_Records34[[#This Row],[Ship Date Fixed]])</f>
        <v>2012</v>
      </c>
      <c r="Q111" t="str">
        <f>TEXT(Europe_Sales_Records34[[#This Row],[Ship Date Fixed]],"MMM-YYYY")</f>
        <v>Oct-2012</v>
      </c>
      <c r="R111" t="s">
        <v>286</v>
      </c>
      <c r="S111" s="3">
        <f>Europe_Sales_Records34[[#This Row],[Ship Date Fixed]]-Europe_Sales_Records34[[#This Row],[Order Date Fixed]]</f>
        <v>31</v>
      </c>
      <c r="T111">
        <v>5247</v>
      </c>
      <c r="U111">
        <v>255.28</v>
      </c>
      <c r="V111">
        <v>159.41999999999999</v>
      </c>
      <c r="W111">
        <f>Europe_Sales_Records34[[#This Row],[Total Revenue]]/Europe_Sales_Records34[[#This Row],[Units Sold]]</f>
        <v>255.27999999999997</v>
      </c>
      <c r="X111">
        <v>1339454.1599999999</v>
      </c>
      <c r="Y111">
        <v>836476.74</v>
      </c>
      <c r="Z111" s="4">
        <f>Europe_Sales_Records34[[#This Row],[Total Profit]]/Europe_Sales_Records34[[#This Row],[Total Revenue]]</f>
        <v>0.37550924475086184</v>
      </c>
      <c r="AA111">
        <v>502977.42</v>
      </c>
    </row>
    <row r="112" spans="1:27" x14ac:dyDescent="0.3">
      <c r="A112" t="s">
        <v>14</v>
      </c>
      <c r="B112" t="s">
        <v>100</v>
      </c>
      <c r="C112" t="s">
        <v>102</v>
      </c>
      <c r="D112" t="s">
        <v>23</v>
      </c>
      <c r="E112" t="s">
        <v>54</v>
      </c>
      <c r="F112" t="s">
        <v>287</v>
      </c>
      <c r="G112" s="2">
        <f t="shared" si="2"/>
        <v>41689</v>
      </c>
      <c r="H112">
        <f>DAY(Europe_Sales_Records34[[#This Row],[Order Date Fixed]])</f>
        <v>19</v>
      </c>
      <c r="I112" t="str">
        <f>TEXT(Europe_Sales_Records34[[#This Row],[Order Date Fixed]],"MMM")</f>
        <v>Feb</v>
      </c>
      <c r="J112">
        <f>YEAR(Europe_Sales_Records34[[#This Row],[Order Date Fixed]])</f>
        <v>2014</v>
      </c>
      <c r="K112" t="str">
        <f>TEXT(Europe_Sales_Records34[[#This Row],[Order Date Fixed]],"MMM-YYYY")</f>
        <v>Feb-2014</v>
      </c>
      <c r="L112">
        <v>445708739</v>
      </c>
      <c r="M112" s="2">
        <f t="shared" si="3"/>
        <v>41697</v>
      </c>
      <c r="N112">
        <f>DAY(Europe_Sales_Records34[[#This Row],[Ship Date Fixed]])</f>
        <v>27</v>
      </c>
      <c r="O112" t="str">
        <f>TEXT(Europe_Sales_Records34[[#This Row],[Ship Date Fixed]],"MMM")</f>
        <v>Feb</v>
      </c>
      <c r="P112">
        <f>YEAR(Europe_Sales_Records34[[#This Row],[Ship Date Fixed]])</f>
        <v>2014</v>
      </c>
      <c r="Q112" t="str">
        <f>TEXT(Europe_Sales_Records34[[#This Row],[Ship Date Fixed]],"MMM-YYYY")</f>
        <v>Feb-2014</v>
      </c>
      <c r="R112" t="s">
        <v>288</v>
      </c>
      <c r="S112" s="3">
        <f>Europe_Sales_Records34[[#This Row],[Ship Date Fixed]]-Europe_Sales_Records34[[#This Row],[Order Date Fixed]]</f>
        <v>8</v>
      </c>
      <c r="T112">
        <v>3975</v>
      </c>
      <c r="U112">
        <v>81.73</v>
      </c>
      <c r="V112">
        <v>56.67</v>
      </c>
      <c r="W112">
        <f>Europe_Sales_Records34[[#This Row],[Total Revenue]]/Europe_Sales_Records34[[#This Row],[Units Sold]]</f>
        <v>81.73</v>
      </c>
      <c r="X112">
        <v>324876.75</v>
      </c>
      <c r="Y112">
        <v>225263.25</v>
      </c>
      <c r="Z112" s="4">
        <f>Europe_Sales_Records34[[#This Row],[Total Profit]]/Europe_Sales_Records34[[#This Row],[Total Revenue]]</f>
        <v>0.30661935641747218</v>
      </c>
      <c r="AA112">
        <v>99613.5</v>
      </c>
    </row>
    <row r="113" spans="1:27" x14ac:dyDescent="0.3">
      <c r="A113" t="s">
        <v>14</v>
      </c>
      <c r="B113" t="s">
        <v>181</v>
      </c>
      <c r="C113" t="s">
        <v>16</v>
      </c>
      <c r="D113" t="s">
        <v>17</v>
      </c>
      <c r="E113" t="s">
        <v>24</v>
      </c>
      <c r="F113" t="s">
        <v>78</v>
      </c>
      <c r="G113" s="2">
        <f t="shared" si="2"/>
        <v>41114</v>
      </c>
      <c r="H113">
        <f>DAY(Europe_Sales_Records34[[#This Row],[Order Date Fixed]])</f>
        <v>24</v>
      </c>
      <c r="I113" t="str">
        <f>TEXT(Europe_Sales_Records34[[#This Row],[Order Date Fixed]],"MMM")</f>
        <v>Jul</v>
      </c>
      <c r="J113">
        <f>YEAR(Europe_Sales_Records34[[#This Row],[Order Date Fixed]])</f>
        <v>2012</v>
      </c>
      <c r="K113" t="str">
        <f>TEXT(Europe_Sales_Records34[[#This Row],[Order Date Fixed]],"MMM-YYYY")</f>
        <v>Jul-2012</v>
      </c>
      <c r="L113">
        <v>354655683</v>
      </c>
      <c r="M113" s="2">
        <f t="shared" si="3"/>
        <v>41121</v>
      </c>
      <c r="N113">
        <f>DAY(Europe_Sales_Records34[[#This Row],[Ship Date Fixed]])</f>
        <v>31</v>
      </c>
      <c r="O113" t="str">
        <f>TEXT(Europe_Sales_Records34[[#This Row],[Ship Date Fixed]],"MMM")</f>
        <v>Jul</v>
      </c>
      <c r="P113">
        <f>YEAR(Europe_Sales_Records34[[#This Row],[Ship Date Fixed]])</f>
        <v>2012</v>
      </c>
      <c r="Q113" t="str">
        <f>TEXT(Europe_Sales_Records34[[#This Row],[Ship Date Fixed]],"MMM-YYYY")</f>
        <v>Jul-2012</v>
      </c>
      <c r="R113" t="s">
        <v>289</v>
      </c>
      <c r="S113" s="3">
        <f>Europe_Sales_Records34[[#This Row],[Ship Date Fixed]]-Europe_Sales_Records34[[#This Row],[Order Date Fixed]]</f>
        <v>7</v>
      </c>
      <c r="T113">
        <v>9353</v>
      </c>
      <c r="U113">
        <v>47.45</v>
      </c>
      <c r="V113">
        <v>31.79</v>
      </c>
      <c r="W113">
        <f>Europe_Sales_Records34[[#This Row],[Total Revenue]]/Europe_Sales_Records34[[#This Row],[Units Sold]]</f>
        <v>47.449999999999996</v>
      </c>
      <c r="X113">
        <v>443799.85</v>
      </c>
      <c r="Y113">
        <v>297331.87</v>
      </c>
      <c r="Z113" s="4">
        <f>Europe_Sales_Records34[[#This Row],[Total Profit]]/Europe_Sales_Records34[[#This Row],[Total Revenue]]</f>
        <v>0.33003161222339311</v>
      </c>
      <c r="AA113">
        <v>146467.98000000001</v>
      </c>
    </row>
    <row r="114" spans="1:27" x14ac:dyDescent="0.3">
      <c r="A114" t="s">
        <v>14</v>
      </c>
      <c r="B114" t="s">
        <v>264</v>
      </c>
      <c r="C114" t="s">
        <v>32</v>
      </c>
      <c r="D114" t="s">
        <v>17</v>
      </c>
      <c r="E114" t="s">
        <v>18</v>
      </c>
      <c r="F114" t="s">
        <v>290</v>
      </c>
      <c r="G114" s="2">
        <f t="shared" si="2"/>
        <v>42916</v>
      </c>
      <c r="H114">
        <f>DAY(Europe_Sales_Records34[[#This Row],[Order Date Fixed]])</f>
        <v>30</v>
      </c>
      <c r="I114" t="str">
        <f>TEXT(Europe_Sales_Records34[[#This Row],[Order Date Fixed]],"MMM")</f>
        <v>Jun</v>
      </c>
      <c r="J114">
        <f>YEAR(Europe_Sales_Records34[[#This Row],[Order Date Fixed]])</f>
        <v>2017</v>
      </c>
      <c r="K114" t="str">
        <f>TEXT(Europe_Sales_Records34[[#This Row],[Order Date Fixed]],"MMM-YYYY")</f>
        <v>Jun-2017</v>
      </c>
      <c r="L114">
        <v>624398362</v>
      </c>
      <c r="M114" s="2">
        <f t="shared" si="3"/>
        <v>42940</v>
      </c>
      <c r="N114">
        <f>DAY(Europe_Sales_Records34[[#This Row],[Ship Date Fixed]])</f>
        <v>24</v>
      </c>
      <c r="O114" t="str">
        <f>TEXT(Europe_Sales_Records34[[#This Row],[Ship Date Fixed]],"MMM")</f>
        <v>Jul</v>
      </c>
      <c r="P114">
        <f>YEAR(Europe_Sales_Records34[[#This Row],[Ship Date Fixed]])</f>
        <v>2017</v>
      </c>
      <c r="Q114" t="str">
        <f>TEXT(Europe_Sales_Records34[[#This Row],[Ship Date Fixed]],"MMM-YYYY")</f>
        <v>Jul-2017</v>
      </c>
      <c r="R114" t="s">
        <v>291</v>
      </c>
      <c r="S114" s="3">
        <f>Europe_Sales_Records34[[#This Row],[Ship Date Fixed]]-Europe_Sales_Records34[[#This Row],[Order Date Fixed]]</f>
        <v>24</v>
      </c>
      <c r="T114">
        <v>2206</v>
      </c>
      <c r="U114">
        <v>651.21</v>
      </c>
      <c r="V114">
        <v>524.96</v>
      </c>
      <c r="W114">
        <f>Europe_Sales_Records34[[#This Row],[Total Revenue]]/Europe_Sales_Records34[[#This Row],[Units Sold]]</f>
        <v>651.21</v>
      </c>
      <c r="X114">
        <v>1436569.26</v>
      </c>
      <c r="Y114">
        <v>1158061.76</v>
      </c>
      <c r="Z114" s="4">
        <f>Europe_Sales_Records34[[#This Row],[Total Profit]]/Europe_Sales_Records34[[#This Row],[Total Revenue]]</f>
        <v>0.19386987300563566</v>
      </c>
      <c r="AA114">
        <v>278507.5</v>
      </c>
    </row>
    <row r="115" spans="1:27" x14ac:dyDescent="0.3">
      <c r="A115" t="s">
        <v>14</v>
      </c>
      <c r="B115" t="s">
        <v>92</v>
      </c>
      <c r="C115" t="s">
        <v>16</v>
      </c>
      <c r="D115" t="s">
        <v>23</v>
      </c>
      <c r="E115" t="s">
        <v>18</v>
      </c>
      <c r="F115" t="s">
        <v>292</v>
      </c>
      <c r="G115" s="2">
        <f t="shared" si="2"/>
        <v>42618</v>
      </c>
      <c r="H115">
        <f>DAY(Europe_Sales_Records34[[#This Row],[Order Date Fixed]])</f>
        <v>5</v>
      </c>
      <c r="I115" t="str">
        <f>TEXT(Europe_Sales_Records34[[#This Row],[Order Date Fixed]],"MMM")</f>
        <v>Sep</v>
      </c>
      <c r="J115">
        <f>YEAR(Europe_Sales_Records34[[#This Row],[Order Date Fixed]])</f>
        <v>2016</v>
      </c>
      <c r="K115" t="str">
        <f>TEXT(Europe_Sales_Records34[[#This Row],[Order Date Fixed]],"MMM-YYYY")</f>
        <v>Sep-2016</v>
      </c>
      <c r="L115">
        <v>264163959</v>
      </c>
      <c r="M115" s="2">
        <f t="shared" si="3"/>
        <v>42635</v>
      </c>
      <c r="N115">
        <f>DAY(Europe_Sales_Records34[[#This Row],[Ship Date Fixed]])</f>
        <v>22</v>
      </c>
      <c r="O115" t="str">
        <f>TEXT(Europe_Sales_Records34[[#This Row],[Ship Date Fixed]],"MMM")</f>
        <v>Sep</v>
      </c>
      <c r="P115">
        <f>YEAR(Europe_Sales_Records34[[#This Row],[Ship Date Fixed]])</f>
        <v>2016</v>
      </c>
      <c r="Q115" t="str">
        <f>TEXT(Europe_Sales_Records34[[#This Row],[Ship Date Fixed]],"MMM-YYYY")</f>
        <v>Sep-2016</v>
      </c>
      <c r="R115" t="s">
        <v>293</v>
      </c>
      <c r="S115" s="3">
        <f>Europe_Sales_Records34[[#This Row],[Ship Date Fixed]]-Europe_Sales_Records34[[#This Row],[Order Date Fixed]]</f>
        <v>17</v>
      </c>
      <c r="T115">
        <v>840</v>
      </c>
      <c r="U115">
        <v>47.45</v>
      </c>
      <c r="V115">
        <v>31.79</v>
      </c>
      <c r="W115">
        <f>Europe_Sales_Records34[[#This Row],[Total Revenue]]/Europe_Sales_Records34[[#This Row],[Units Sold]]</f>
        <v>47.45</v>
      </c>
      <c r="X115">
        <v>39858</v>
      </c>
      <c r="Y115">
        <v>26703.599999999999</v>
      </c>
      <c r="Z115" s="4">
        <f>Europe_Sales_Records34[[#This Row],[Total Profit]]/Europe_Sales_Records34[[#This Row],[Total Revenue]]</f>
        <v>0.33003161222339306</v>
      </c>
      <c r="AA115">
        <v>13154.4</v>
      </c>
    </row>
    <row r="116" spans="1:27" x14ac:dyDescent="0.3">
      <c r="A116" t="s">
        <v>14</v>
      </c>
      <c r="B116" t="s">
        <v>70</v>
      </c>
      <c r="C116" t="s">
        <v>32</v>
      </c>
      <c r="D116" t="s">
        <v>17</v>
      </c>
      <c r="E116" t="s">
        <v>54</v>
      </c>
      <c r="F116" t="s">
        <v>294</v>
      </c>
      <c r="G116" s="2">
        <f t="shared" si="2"/>
        <v>40832</v>
      </c>
      <c r="H116">
        <f>DAY(Europe_Sales_Records34[[#This Row],[Order Date Fixed]])</f>
        <v>16</v>
      </c>
      <c r="I116" t="str">
        <f>TEXT(Europe_Sales_Records34[[#This Row],[Order Date Fixed]],"MMM")</f>
        <v>Oct</v>
      </c>
      <c r="J116">
        <f>YEAR(Europe_Sales_Records34[[#This Row],[Order Date Fixed]])</f>
        <v>2011</v>
      </c>
      <c r="K116" t="str">
        <f>TEXT(Europe_Sales_Records34[[#This Row],[Order Date Fixed]],"MMM-YYYY")</f>
        <v>Oct-2011</v>
      </c>
      <c r="L116">
        <v>520915305</v>
      </c>
      <c r="M116" s="2">
        <f t="shared" si="3"/>
        <v>40854</v>
      </c>
      <c r="N116">
        <f>DAY(Europe_Sales_Records34[[#This Row],[Ship Date Fixed]])</f>
        <v>7</v>
      </c>
      <c r="O116" t="str">
        <f>TEXT(Europe_Sales_Records34[[#This Row],[Ship Date Fixed]],"MMM")</f>
        <v>Nov</v>
      </c>
      <c r="P116">
        <f>YEAR(Europe_Sales_Records34[[#This Row],[Ship Date Fixed]])</f>
        <v>2011</v>
      </c>
      <c r="Q116" t="str">
        <f>TEXT(Europe_Sales_Records34[[#This Row],[Ship Date Fixed]],"MMM-YYYY")</f>
        <v>Nov-2011</v>
      </c>
      <c r="R116" t="s">
        <v>295</v>
      </c>
      <c r="S116" s="3">
        <f>Europe_Sales_Records34[[#This Row],[Ship Date Fixed]]-Europe_Sales_Records34[[#This Row],[Order Date Fixed]]</f>
        <v>22</v>
      </c>
      <c r="T116">
        <v>9270</v>
      </c>
      <c r="U116">
        <v>651.21</v>
      </c>
      <c r="V116">
        <v>524.96</v>
      </c>
      <c r="W116">
        <f>Europe_Sales_Records34[[#This Row],[Total Revenue]]/Europe_Sales_Records34[[#This Row],[Units Sold]]</f>
        <v>651.21</v>
      </c>
      <c r="X116">
        <v>6036716.7000000002</v>
      </c>
      <c r="Y116">
        <v>4866379.2</v>
      </c>
      <c r="Z116" s="4">
        <f>Europe_Sales_Records34[[#This Row],[Total Profit]]/Europe_Sales_Records34[[#This Row],[Total Revenue]]</f>
        <v>0.19386987300563566</v>
      </c>
      <c r="AA116">
        <v>1170337.5</v>
      </c>
    </row>
    <row r="117" spans="1:27" x14ac:dyDescent="0.3">
      <c r="A117" t="s">
        <v>14</v>
      </c>
      <c r="B117" t="s">
        <v>122</v>
      </c>
      <c r="C117" t="s">
        <v>28</v>
      </c>
      <c r="D117" t="s">
        <v>23</v>
      </c>
      <c r="E117" t="s">
        <v>54</v>
      </c>
      <c r="F117" t="s">
        <v>296</v>
      </c>
      <c r="G117" s="2">
        <f t="shared" si="2"/>
        <v>41310</v>
      </c>
      <c r="H117">
        <f>DAY(Europe_Sales_Records34[[#This Row],[Order Date Fixed]])</f>
        <v>5</v>
      </c>
      <c r="I117" t="str">
        <f>TEXT(Europe_Sales_Records34[[#This Row],[Order Date Fixed]],"MMM")</f>
        <v>Feb</v>
      </c>
      <c r="J117">
        <f>YEAR(Europe_Sales_Records34[[#This Row],[Order Date Fixed]])</f>
        <v>2013</v>
      </c>
      <c r="K117" t="str">
        <f>TEXT(Europe_Sales_Records34[[#This Row],[Order Date Fixed]],"MMM-YYYY")</f>
        <v>Feb-2013</v>
      </c>
      <c r="L117">
        <v>424181544</v>
      </c>
      <c r="M117" s="2">
        <f t="shared" si="3"/>
        <v>41337</v>
      </c>
      <c r="N117">
        <f>DAY(Europe_Sales_Records34[[#This Row],[Ship Date Fixed]])</f>
        <v>4</v>
      </c>
      <c r="O117" t="str">
        <f>TEXT(Europe_Sales_Records34[[#This Row],[Ship Date Fixed]],"MMM")</f>
        <v>Mar</v>
      </c>
      <c r="P117">
        <f>YEAR(Europe_Sales_Records34[[#This Row],[Ship Date Fixed]])</f>
        <v>2013</v>
      </c>
      <c r="Q117" t="str">
        <f>TEXT(Europe_Sales_Records34[[#This Row],[Ship Date Fixed]],"MMM-YYYY")</f>
        <v>Mar-2013</v>
      </c>
      <c r="R117" t="s">
        <v>297</v>
      </c>
      <c r="S117" s="3">
        <f>Europe_Sales_Records34[[#This Row],[Ship Date Fixed]]-Europe_Sales_Records34[[#This Row],[Order Date Fixed]]</f>
        <v>27</v>
      </c>
      <c r="T117">
        <v>3600</v>
      </c>
      <c r="U117">
        <v>205.7</v>
      </c>
      <c r="V117">
        <v>117.11</v>
      </c>
      <c r="W117">
        <f>Europe_Sales_Records34[[#This Row],[Total Revenue]]/Europe_Sales_Records34[[#This Row],[Units Sold]]</f>
        <v>205.7</v>
      </c>
      <c r="X117">
        <v>740520</v>
      </c>
      <c r="Y117">
        <v>421596</v>
      </c>
      <c r="Z117" s="4">
        <f>Europe_Sales_Records34[[#This Row],[Total Profit]]/Europe_Sales_Records34[[#This Row],[Total Revenue]]</f>
        <v>0.43067574137092851</v>
      </c>
      <c r="AA117">
        <v>318924</v>
      </c>
    </row>
    <row r="118" spans="1:27" x14ac:dyDescent="0.3">
      <c r="A118" t="s">
        <v>14</v>
      </c>
      <c r="B118" t="s">
        <v>94</v>
      </c>
      <c r="C118" t="s">
        <v>32</v>
      </c>
      <c r="D118" t="s">
        <v>23</v>
      </c>
      <c r="E118" t="s">
        <v>54</v>
      </c>
      <c r="F118" t="s">
        <v>298</v>
      </c>
      <c r="G118" s="2">
        <f t="shared" si="2"/>
        <v>42188</v>
      </c>
      <c r="H118">
        <f>DAY(Europe_Sales_Records34[[#This Row],[Order Date Fixed]])</f>
        <v>3</v>
      </c>
      <c r="I118" t="str">
        <f>TEXT(Europe_Sales_Records34[[#This Row],[Order Date Fixed]],"MMM")</f>
        <v>Jul</v>
      </c>
      <c r="J118">
        <f>YEAR(Europe_Sales_Records34[[#This Row],[Order Date Fixed]])</f>
        <v>2015</v>
      </c>
      <c r="K118" t="str">
        <f>TEXT(Europe_Sales_Records34[[#This Row],[Order Date Fixed]],"MMM-YYYY")</f>
        <v>Jul-2015</v>
      </c>
      <c r="L118">
        <v>560762631</v>
      </c>
      <c r="M118" s="2">
        <f t="shared" si="3"/>
        <v>42201</v>
      </c>
      <c r="N118">
        <f>DAY(Europe_Sales_Records34[[#This Row],[Ship Date Fixed]])</f>
        <v>16</v>
      </c>
      <c r="O118" t="str">
        <f>TEXT(Europe_Sales_Records34[[#This Row],[Ship Date Fixed]],"MMM")</f>
        <v>Jul</v>
      </c>
      <c r="P118">
        <f>YEAR(Europe_Sales_Records34[[#This Row],[Ship Date Fixed]])</f>
        <v>2015</v>
      </c>
      <c r="Q118" t="str">
        <f>TEXT(Europe_Sales_Records34[[#This Row],[Ship Date Fixed]],"MMM-YYYY")</f>
        <v>Jul-2015</v>
      </c>
      <c r="R118" t="s">
        <v>299</v>
      </c>
      <c r="S118" s="3">
        <f>Europe_Sales_Records34[[#This Row],[Ship Date Fixed]]-Europe_Sales_Records34[[#This Row],[Order Date Fixed]]</f>
        <v>13</v>
      </c>
      <c r="T118">
        <v>979</v>
      </c>
      <c r="U118">
        <v>651.21</v>
      </c>
      <c r="V118">
        <v>524.96</v>
      </c>
      <c r="W118">
        <f>Europe_Sales_Records34[[#This Row],[Total Revenue]]/Europe_Sales_Records34[[#This Row],[Units Sold]]</f>
        <v>651.20999999999992</v>
      </c>
      <c r="X118">
        <v>637534.59</v>
      </c>
      <c r="Y118">
        <v>513935.84</v>
      </c>
      <c r="Z118" s="4">
        <f>Europe_Sales_Records34[[#This Row],[Total Profit]]/Europe_Sales_Records34[[#This Row],[Total Revenue]]</f>
        <v>0.19386987300563568</v>
      </c>
      <c r="AA118">
        <v>123598.75</v>
      </c>
    </row>
    <row r="119" spans="1:27" x14ac:dyDescent="0.3">
      <c r="A119" t="s">
        <v>14</v>
      </c>
      <c r="B119" t="s">
        <v>146</v>
      </c>
      <c r="C119" t="s">
        <v>32</v>
      </c>
      <c r="D119" t="s">
        <v>17</v>
      </c>
      <c r="E119" t="s">
        <v>33</v>
      </c>
      <c r="F119" t="s">
        <v>65</v>
      </c>
      <c r="G119" s="2">
        <f t="shared" si="2"/>
        <v>42098</v>
      </c>
      <c r="H119">
        <f>DAY(Europe_Sales_Records34[[#This Row],[Order Date Fixed]])</f>
        <v>4</v>
      </c>
      <c r="I119" t="str">
        <f>TEXT(Europe_Sales_Records34[[#This Row],[Order Date Fixed]],"MMM")</f>
        <v>Apr</v>
      </c>
      <c r="J119">
        <f>YEAR(Europe_Sales_Records34[[#This Row],[Order Date Fixed]])</f>
        <v>2015</v>
      </c>
      <c r="K119" t="str">
        <f>TEXT(Europe_Sales_Records34[[#This Row],[Order Date Fixed]],"MMM-YYYY")</f>
        <v>Apr-2015</v>
      </c>
      <c r="L119">
        <v>458816373</v>
      </c>
      <c r="M119" s="2">
        <f t="shared" si="3"/>
        <v>42110</v>
      </c>
      <c r="N119">
        <f>DAY(Europe_Sales_Records34[[#This Row],[Ship Date Fixed]])</f>
        <v>16</v>
      </c>
      <c r="O119" t="str">
        <f>TEXT(Europe_Sales_Records34[[#This Row],[Ship Date Fixed]],"MMM")</f>
        <v>Apr</v>
      </c>
      <c r="P119">
        <f>YEAR(Europe_Sales_Records34[[#This Row],[Ship Date Fixed]])</f>
        <v>2015</v>
      </c>
      <c r="Q119" t="str">
        <f>TEXT(Europe_Sales_Records34[[#This Row],[Ship Date Fixed]],"MMM-YYYY")</f>
        <v>Apr-2015</v>
      </c>
      <c r="R119" t="s">
        <v>300</v>
      </c>
      <c r="S119" s="3">
        <f>Europe_Sales_Records34[[#This Row],[Ship Date Fixed]]-Europe_Sales_Records34[[#This Row],[Order Date Fixed]]</f>
        <v>12</v>
      </c>
      <c r="T119">
        <v>2815</v>
      </c>
      <c r="U119">
        <v>651.21</v>
      </c>
      <c r="V119">
        <v>524.96</v>
      </c>
      <c r="W119">
        <f>Europe_Sales_Records34[[#This Row],[Total Revenue]]/Europe_Sales_Records34[[#This Row],[Units Sold]]</f>
        <v>651.20999999999992</v>
      </c>
      <c r="X119">
        <v>1833156.15</v>
      </c>
      <c r="Y119">
        <v>1477762.4</v>
      </c>
      <c r="Z119" s="4">
        <f>Europe_Sales_Records34[[#This Row],[Total Profit]]/Europe_Sales_Records34[[#This Row],[Total Revenue]]</f>
        <v>0.19386987300563568</v>
      </c>
      <c r="AA119">
        <v>355393.75</v>
      </c>
    </row>
    <row r="120" spans="1:27" x14ac:dyDescent="0.3">
      <c r="A120" t="s">
        <v>14</v>
      </c>
      <c r="B120" t="s">
        <v>67</v>
      </c>
      <c r="C120" t="s">
        <v>71</v>
      </c>
      <c r="D120" t="s">
        <v>17</v>
      </c>
      <c r="E120" t="s">
        <v>33</v>
      </c>
      <c r="F120" t="s">
        <v>301</v>
      </c>
      <c r="G120" s="2">
        <f t="shared" si="2"/>
        <v>41504</v>
      </c>
      <c r="H120">
        <f>DAY(Europe_Sales_Records34[[#This Row],[Order Date Fixed]])</f>
        <v>18</v>
      </c>
      <c r="I120" t="str">
        <f>TEXT(Europe_Sales_Records34[[#This Row],[Order Date Fixed]],"MMM")</f>
        <v>Aug</v>
      </c>
      <c r="J120">
        <f>YEAR(Europe_Sales_Records34[[#This Row],[Order Date Fixed]])</f>
        <v>2013</v>
      </c>
      <c r="K120" t="str">
        <f>TEXT(Europe_Sales_Records34[[#This Row],[Order Date Fixed]],"MMM-YYYY")</f>
        <v>Aug-2013</v>
      </c>
      <c r="L120">
        <v>142987763</v>
      </c>
      <c r="M120" s="2">
        <f t="shared" si="3"/>
        <v>41518</v>
      </c>
      <c r="N120">
        <f>DAY(Europe_Sales_Records34[[#This Row],[Ship Date Fixed]])</f>
        <v>1</v>
      </c>
      <c r="O120" t="str">
        <f>TEXT(Europe_Sales_Records34[[#This Row],[Ship Date Fixed]],"MMM")</f>
        <v>Sep</v>
      </c>
      <c r="P120">
        <f>YEAR(Europe_Sales_Records34[[#This Row],[Ship Date Fixed]])</f>
        <v>2013</v>
      </c>
      <c r="Q120" t="str">
        <f>TEXT(Europe_Sales_Records34[[#This Row],[Ship Date Fixed]],"MMM-YYYY")</f>
        <v>Sep-2013</v>
      </c>
      <c r="R120" t="s">
        <v>302</v>
      </c>
      <c r="S120" s="3">
        <f>Europe_Sales_Records34[[#This Row],[Ship Date Fixed]]-Europe_Sales_Records34[[#This Row],[Order Date Fixed]]</f>
        <v>14</v>
      </c>
      <c r="T120">
        <v>2112</v>
      </c>
      <c r="U120">
        <v>668.27</v>
      </c>
      <c r="V120">
        <v>502.54</v>
      </c>
      <c r="W120">
        <f>Europe_Sales_Records34[[#This Row],[Total Revenue]]/Europe_Sales_Records34[[#This Row],[Units Sold]]</f>
        <v>668.27</v>
      </c>
      <c r="X120">
        <v>1411386.24</v>
      </c>
      <c r="Y120">
        <v>1061364.48</v>
      </c>
      <c r="Z120" s="4">
        <f>Europe_Sales_Records34[[#This Row],[Total Profit]]/Europe_Sales_Records34[[#This Row],[Total Revenue]]</f>
        <v>0.24799856345489099</v>
      </c>
      <c r="AA120">
        <v>350021.76</v>
      </c>
    </row>
    <row r="121" spans="1:27" x14ac:dyDescent="0.3">
      <c r="A121" t="s">
        <v>14</v>
      </c>
      <c r="B121" t="s">
        <v>220</v>
      </c>
      <c r="C121" t="s">
        <v>58</v>
      </c>
      <c r="D121" t="s">
        <v>17</v>
      </c>
      <c r="E121" t="s">
        <v>18</v>
      </c>
      <c r="F121" t="s">
        <v>303</v>
      </c>
      <c r="G121" s="2">
        <f t="shared" si="2"/>
        <v>40201</v>
      </c>
      <c r="H121">
        <f>DAY(Europe_Sales_Records34[[#This Row],[Order Date Fixed]])</f>
        <v>23</v>
      </c>
      <c r="I121" t="str">
        <f>TEXT(Europe_Sales_Records34[[#This Row],[Order Date Fixed]],"MMM")</f>
        <v>Jan</v>
      </c>
      <c r="J121">
        <f>YEAR(Europe_Sales_Records34[[#This Row],[Order Date Fixed]])</f>
        <v>2010</v>
      </c>
      <c r="K121" t="str">
        <f>TEXT(Europe_Sales_Records34[[#This Row],[Order Date Fixed]],"MMM-YYYY")</f>
        <v>Jan-2010</v>
      </c>
      <c r="L121">
        <v>480904042</v>
      </c>
      <c r="M121" s="2">
        <f t="shared" si="3"/>
        <v>40214</v>
      </c>
      <c r="N121">
        <f>DAY(Europe_Sales_Records34[[#This Row],[Ship Date Fixed]])</f>
        <v>5</v>
      </c>
      <c r="O121" t="str">
        <f>TEXT(Europe_Sales_Records34[[#This Row],[Ship Date Fixed]],"MMM")</f>
        <v>Feb</v>
      </c>
      <c r="P121">
        <f>YEAR(Europe_Sales_Records34[[#This Row],[Ship Date Fixed]])</f>
        <v>2010</v>
      </c>
      <c r="Q121" t="str">
        <f>TEXT(Europe_Sales_Records34[[#This Row],[Ship Date Fixed]],"MMM-YYYY")</f>
        <v>Feb-2010</v>
      </c>
      <c r="R121" t="s">
        <v>304</v>
      </c>
      <c r="S121" s="3">
        <f>Europe_Sales_Records34[[#This Row],[Ship Date Fixed]]-Europe_Sales_Records34[[#This Row],[Order Date Fixed]]</f>
        <v>13</v>
      </c>
      <c r="T121">
        <v>9048</v>
      </c>
      <c r="U121">
        <v>152.58000000000001</v>
      </c>
      <c r="V121">
        <v>97.44</v>
      </c>
      <c r="W121">
        <f>Europe_Sales_Records34[[#This Row],[Total Revenue]]/Europe_Sales_Records34[[#This Row],[Units Sold]]</f>
        <v>152.58000000000001</v>
      </c>
      <c r="X121">
        <v>1380543.84</v>
      </c>
      <c r="Y121">
        <v>881637.12</v>
      </c>
      <c r="Z121" s="4">
        <f>Europe_Sales_Records34[[#This Row],[Total Profit]]/Europe_Sales_Records34[[#This Row],[Total Revenue]]</f>
        <v>0.36138419189933146</v>
      </c>
      <c r="AA121">
        <v>498906.72</v>
      </c>
    </row>
    <row r="122" spans="1:27" x14ac:dyDescent="0.3">
      <c r="A122" t="s">
        <v>14</v>
      </c>
      <c r="B122" t="s">
        <v>122</v>
      </c>
      <c r="C122" t="s">
        <v>46</v>
      </c>
      <c r="D122" t="s">
        <v>23</v>
      </c>
      <c r="E122" t="s">
        <v>24</v>
      </c>
      <c r="F122" t="s">
        <v>305</v>
      </c>
      <c r="G122" s="2">
        <f t="shared" si="2"/>
        <v>42711</v>
      </c>
      <c r="H122">
        <f>DAY(Europe_Sales_Records34[[#This Row],[Order Date Fixed]])</f>
        <v>7</v>
      </c>
      <c r="I122" t="str">
        <f>TEXT(Europe_Sales_Records34[[#This Row],[Order Date Fixed]],"MMM")</f>
        <v>Dec</v>
      </c>
      <c r="J122">
        <f>YEAR(Europe_Sales_Records34[[#This Row],[Order Date Fixed]])</f>
        <v>2016</v>
      </c>
      <c r="K122" t="str">
        <f>TEXT(Europe_Sales_Records34[[#This Row],[Order Date Fixed]],"MMM-YYYY")</f>
        <v>Dec-2016</v>
      </c>
      <c r="L122">
        <v>571323239</v>
      </c>
      <c r="M122" s="2">
        <f t="shared" si="3"/>
        <v>42736</v>
      </c>
      <c r="N122">
        <f>DAY(Europe_Sales_Records34[[#This Row],[Ship Date Fixed]])</f>
        <v>1</v>
      </c>
      <c r="O122" t="str">
        <f>TEXT(Europe_Sales_Records34[[#This Row],[Ship Date Fixed]],"MMM")</f>
        <v>Jan</v>
      </c>
      <c r="P122">
        <f>YEAR(Europe_Sales_Records34[[#This Row],[Ship Date Fixed]])</f>
        <v>2017</v>
      </c>
      <c r="Q122" t="str">
        <f>TEXT(Europe_Sales_Records34[[#This Row],[Ship Date Fixed]],"MMM-YYYY")</f>
        <v>Jan-2017</v>
      </c>
      <c r="R122" t="s">
        <v>306</v>
      </c>
      <c r="S122" s="3">
        <f>Europe_Sales_Records34[[#This Row],[Ship Date Fixed]]-Europe_Sales_Records34[[#This Row],[Order Date Fixed]]</f>
        <v>25</v>
      </c>
      <c r="T122">
        <v>6097</v>
      </c>
      <c r="U122">
        <v>154.06</v>
      </c>
      <c r="V122">
        <v>90.93</v>
      </c>
      <c r="W122">
        <f>Europe_Sales_Records34[[#This Row],[Total Revenue]]/Europe_Sales_Records34[[#This Row],[Units Sold]]</f>
        <v>154.06</v>
      </c>
      <c r="X122">
        <v>939303.82</v>
      </c>
      <c r="Y122">
        <v>554400.21</v>
      </c>
      <c r="Z122" s="4">
        <f>Europe_Sales_Records34[[#This Row],[Total Profit]]/Europe_Sales_Records34[[#This Row],[Total Revenue]]</f>
        <v>0.40977541217707386</v>
      </c>
      <c r="AA122">
        <v>384903.61</v>
      </c>
    </row>
    <row r="123" spans="1:27" x14ac:dyDescent="0.3">
      <c r="A123" t="s">
        <v>14</v>
      </c>
      <c r="B123" t="s">
        <v>185</v>
      </c>
      <c r="C123" t="s">
        <v>58</v>
      </c>
      <c r="D123" t="s">
        <v>23</v>
      </c>
      <c r="E123" t="s">
        <v>54</v>
      </c>
      <c r="F123" t="s">
        <v>177</v>
      </c>
      <c r="G123" s="2">
        <f t="shared" si="2"/>
        <v>41168</v>
      </c>
      <c r="H123">
        <f>DAY(Europe_Sales_Records34[[#This Row],[Order Date Fixed]])</f>
        <v>16</v>
      </c>
      <c r="I123" t="str">
        <f>TEXT(Europe_Sales_Records34[[#This Row],[Order Date Fixed]],"MMM")</f>
        <v>Sep</v>
      </c>
      <c r="J123">
        <f>YEAR(Europe_Sales_Records34[[#This Row],[Order Date Fixed]])</f>
        <v>2012</v>
      </c>
      <c r="K123" t="str">
        <f>TEXT(Europe_Sales_Records34[[#This Row],[Order Date Fixed]],"MMM-YYYY")</f>
        <v>Sep-2012</v>
      </c>
      <c r="L123">
        <v>281100928</v>
      </c>
      <c r="M123" s="2">
        <f t="shared" si="3"/>
        <v>41216</v>
      </c>
      <c r="N123">
        <f>DAY(Europe_Sales_Records34[[#This Row],[Ship Date Fixed]])</f>
        <v>3</v>
      </c>
      <c r="O123" t="str">
        <f>TEXT(Europe_Sales_Records34[[#This Row],[Ship Date Fixed]],"MMM")</f>
        <v>Nov</v>
      </c>
      <c r="P123">
        <f>YEAR(Europe_Sales_Records34[[#This Row],[Ship Date Fixed]])</f>
        <v>2012</v>
      </c>
      <c r="Q123" t="str">
        <f>TEXT(Europe_Sales_Records34[[#This Row],[Ship Date Fixed]],"MMM-YYYY")</f>
        <v>Nov-2012</v>
      </c>
      <c r="R123" t="s">
        <v>143</v>
      </c>
      <c r="S123" s="3">
        <f>Europe_Sales_Records34[[#This Row],[Ship Date Fixed]]-Europe_Sales_Records34[[#This Row],[Order Date Fixed]]</f>
        <v>48</v>
      </c>
      <c r="T123">
        <v>2866</v>
      </c>
      <c r="U123">
        <v>152.58000000000001</v>
      </c>
      <c r="V123">
        <v>97.44</v>
      </c>
      <c r="W123">
        <f>Europe_Sales_Records34[[#This Row],[Total Revenue]]/Europe_Sales_Records34[[#This Row],[Units Sold]]</f>
        <v>152.58000000000001</v>
      </c>
      <c r="X123">
        <v>437294.28</v>
      </c>
      <c r="Y123">
        <v>279263.03999999998</v>
      </c>
      <c r="Z123" s="4">
        <f>Europe_Sales_Records34[[#This Row],[Total Profit]]/Europe_Sales_Records34[[#This Row],[Total Revenue]]</f>
        <v>0.36138419189933146</v>
      </c>
      <c r="AA123">
        <v>158031.24</v>
      </c>
    </row>
    <row r="124" spans="1:27" x14ac:dyDescent="0.3">
      <c r="A124" t="s">
        <v>14</v>
      </c>
      <c r="B124" t="s">
        <v>232</v>
      </c>
      <c r="C124" t="s">
        <v>71</v>
      </c>
      <c r="D124" t="s">
        <v>23</v>
      </c>
      <c r="E124" t="s">
        <v>33</v>
      </c>
      <c r="F124" t="s">
        <v>307</v>
      </c>
      <c r="G124" s="2">
        <f t="shared" si="2"/>
        <v>41390</v>
      </c>
      <c r="H124">
        <f>DAY(Europe_Sales_Records34[[#This Row],[Order Date Fixed]])</f>
        <v>26</v>
      </c>
      <c r="I124" t="str">
        <f>TEXT(Europe_Sales_Records34[[#This Row],[Order Date Fixed]],"MMM")</f>
        <v>Apr</v>
      </c>
      <c r="J124">
        <f>YEAR(Europe_Sales_Records34[[#This Row],[Order Date Fixed]])</f>
        <v>2013</v>
      </c>
      <c r="K124" t="str">
        <f>TEXT(Europe_Sales_Records34[[#This Row],[Order Date Fixed]],"MMM-YYYY")</f>
        <v>Apr-2013</v>
      </c>
      <c r="L124">
        <v>659196269</v>
      </c>
      <c r="M124" s="2">
        <f t="shared" si="3"/>
        <v>41426</v>
      </c>
      <c r="N124">
        <f>DAY(Europe_Sales_Records34[[#This Row],[Ship Date Fixed]])</f>
        <v>1</v>
      </c>
      <c r="O124" t="str">
        <f>TEXT(Europe_Sales_Records34[[#This Row],[Ship Date Fixed]],"MMM")</f>
        <v>Jun</v>
      </c>
      <c r="P124">
        <f>YEAR(Europe_Sales_Records34[[#This Row],[Ship Date Fixed]])</f>
        <v>2013</v>
      </c>
      <c r="Q124" t="str">
        <f>TEXT(Europe_Sales_Records34[[#This Row],[Ship Date Fixed]],"MMM-YYYY")</f>
        <v>Jun-2013</v>
      </c>
      <c r="R124" t="s">
        <v>308</v>
      </c>
      <c r="S124" s="3">
        <f>Europe_Sales_Records34[[#This Row],[Ship Date Fixed]]-Europe_Sales_Records34[[#This Row],[Order Date Fixed]]</f>
        <v>36</v>
      </c>
      <c r="T124">
        <v>9680</v>
      </c>
      <c r="U124">
        <v>668.27</v>
      </c>
      <c r="V124">
        <v>502.54</v>
      </c>
      <c r="W124">
        <f>Europe_Sales_Records34[[#This Row],[Total Revenue]]/Europe_Sales_Records34[[#This Row],[Units Sold]]</f>
        <v>668.27</v>
      </c>
      <c r="X124">
        <v>6468853.5999999996</v>
      </c>
      <c r="Y124">
        <v>4864587.2</v>
      </c>
      <c r="Z124" s="4">
        <f>Europe_Sales_Records34[[#This Row],[Total Profit]]/Europe_Sales_Records34[[#This Row],[Total Revenue]]</f>
        <v>0.24799856345489099</v>
      </c>
      <c r="AA124">
        <v>1604266.4</v>
      </c>
    </row>
    <row r="125" spans="1:27" x14ac:dyDescent="0.3">
      <c r="A125" t="s">
        <v>14</v>
      </c>
      <c r="B125" t="s">
        <v>31</v>
      </c>
      <c r="C125" t="s">
        <v>102</v>
      </c>
      <c r="D125" t="s">
        <v>17</v>
      </c>
      <c r="E125" t="s">
        <v>54</v>
      </c>
      <c r="F125" t="s">
        <v>309</v>
      </c>
      <c r="G125" s="2">
        <f t="shared" si="2"/>
        <v>41206</v>
      </c>
      <c r="H125">
        <f>DAY(Europe_Sales_Records34[[#This Row],[Order Date Fixed]])</f>
        <v>24</v>
      </c>
      <c r="I125" t="str">
        <f>TEXT(Europe_Sales_Records34[[#This Row],[Order Date Fixed]],"MMM")</f>
        <v>Oct</v>
      </c>
      <c r="J125">
        <f>YEAR(Europe_Sales_Records34[[#This Row],[Order Date Fixed]])</f>
        <v>2012</v>
      </c>
      <c r="K125" t="str">
        <f>TEXT(Europe_Sales_Records34[[#This Row],[Order Date Fixed]],"MMM-YYYY")</f>
        <v>Oct-2012</v>
      </c>
      <c r="L125">
        <v>595496594</v>
      </c>
      <c r="M125" s="2">
        <f t="shared" si="3"/>
        <v>41217</v>
      </c>
      <c r="N125">
        <f>DAY(Europe_Sales_Records34[[#This Row],[Ship Date Fixed]])</f>
        <v>4</v>
      </c>
      <c r="O125" t="str">
        <f>TEXT(Europe_Sales_Records34[[#This Row],[Ship Date Fixed]],"MMM")</f>
        <v>Nov</v>
      </c>
      <c r="P125">
        <f>YEAR(Europe_Sales_Records34[[#This Row],[Ship Date Fixed]])</f>
        <v>2012</v>
      </c>
      <c r="Q125" t="str">
        <f>TEXT(Europe_Sales_Records34[[#This Row],[Ship Date Fixed]],"MMM-YYYY")</f>
        <v>Nov-2012</v>
      </c>
      <c r="R125" t="s">
        <v>310</v>
      </c>
      <c r="S125" s="3">
        <f>Europe_Sales_Records34[[#This Row],[Ship Date Fixed]]-Europe_Sales_Records34[[#This Row],[Order Date Fixed]]</f>
        <v>11</v>
      </c>
      <c r="T125">
        <v>9530</v>
      </c>
      <c r="U125">
        <v>81.73</v>
      </c>
      <c r="V125">
        <v>56.67</v>
      </c>
      <c r="W125">
        <f>Europe_Sales_Records34[[#This Row],[Total Revenue]]/Europe_Sales_Records34[[#This Row],[Units Sold]]</f>
        <v>81.73</v>
      </c>
      <c r="X125">
        <v>778886.9</v>
      </c>
      <c r="Y125">
        <v>540065.1</v>
      </c>
      <c r="Z125" s="4">
        <f>Europe_Sales_Records34[[#This Row],[Total Profit]]/Europe_Sales_Records34[[#This Row],[Total Revenue]]</f>
        <v>0.30661935641747212</v>
      </c>
      <c r="AA125">
        <v>238821.8</v>
      </c>
    </row>
    <row r="126" spans="1:27" x14ac:dyDescent="0.3">
      <c r="A126" t="s">
        <v>14</v>
      </c>
      <c r="B126" t="s">
        <v>271</v>
      </c>
      <c r="C126" t="s">
        <v>102</v>
      </c>
      <c r="D126" t="s">
        <v>17</v>
      </c>
      <c r="E126" t="s">
        <v>54</v>
      </c>
      <c r="F126" t="s">
        <v>311</v>
      </c>
      <c r="G126" s="2">
        <f t="shared" si="2"/>
        <v>40328</v>
      </c>
      <c r="H126">
        <f>DAY(Europe_Sales_Records34[[#This Row],[Order Date Fixed]])</f>
        <v>30</v>
      </c>
      <c r="I126" t="str">
        <f>TEXT(Europe_Sales_Records34[[#This Row],[Order Date Fixed]],"MMM")</f>
        <v>May</v>
      </c>
      <c r="J126">
        <f>YEAR(Europe_Sales_Records34[[#This Row],[Order Date Fixed]])</f>
        <v>2010</v>
      </c>
      <c r="K126" t="str">
        <f>TEXT(Europe_Sales_Records34[[#This Row],[Order Date Fixed]],"MMM-YYYY")</f>
        <v>May-2010</v>
      </c>
      <c r="L126">
        <v>354931628</v>
      </c>
      <c r="M126" s="2">
        <f t="shared" si="3"/>
        <v>40337</v>
      </c>
      <c r="N126">
        <f>DAY(Europe_Sales_Records34[[#This Row],[Ship Date Fixed]])</f>
        <v>8</v>
      </c>
      <c r="O126" t="str">
        <f>TEXT(Europe_Sales_Records34[[#This Row],[Ship Date Fixed]],"MMM")</f>
        <v>Jun</v>
      </c>
      <c r="P126">
        <f>YEAR(Europe_Sales_Records34[[#This Row],[Ship Date Fixed]])</f>
        <v>2010</v>
      </c>
      <c r="Q126" t="str">
        <f>TEXT(Europe_Sales_Records34[[#This Row],[Ship Date Fixed]],"MMM-YYYY")</f>
        <v>Jun-2010</v>
      </c>
      <c r="R126" t="s">
        <v>312</v>
      </c>
      <c r="S126" s="3">
        <f>Europe_Sales_Records34[[#This Row],[Ship Date Fixed]]-Europe_Sales_Records34[[#This Row],[Order Date Fixed]]</f>
        <v>9</v>
      </c>
      <c r="T126">
        <v>1011</v>
      </c>
      <c r="U126">
        <v>81.73</v>
      </c>
      <c r="V126">
        <v>56.67</v>
      </c>
      <c r="W126">
        <f>Europe_Sales_Records34[[#This Row],[Total Revenue]]/Europe_Sales_Records34[[#This Row],[Units Sold]]</f>
        <v>81.73</v>
      </c>
      <c r="X126">
        <v>82629.03</v>
      </c>
      <c r="Y126">
        <v>57293.37</v>
      </c>
      <c r="Z126" s="4">
        <f>Europe_Sales_Records34[[#This Row],[Total Profit]]/Europe_Sales_Records34[[#This Row],[Total Revenue]]</f>
        <v>0.30661935641747218</v>
      </c>
      <c r="AA126">
        <v>25335.66</v>
      </c>
    </row>
    <row r="127" spans="1:27" x14ac:dyDescent="0.3">
      <c r="A127" t="s">
        <v>14</v>
      </c>
      <c r="B127" t="s">
        <v>166</v>
      </c>
      <c r="C127" t="s">
        <v>50</v>
      </c>
      <c r="D127" t="s">
        <v>17</v>
      </c>
      <c r="E127" t="s">
        <v>18</v>
      </c>
      <c r="F127" t="s">
        <v>313</v>
      </c>
      <c r="G127" s="2">
        <f t="shared" si="2"/>
        <v>40876</v>
      </c>
      <c r="H127">
        <f>DAY(Europe_Sales_Records34[[#This Row],[Order Date Fixed]])</f>
        <v>29</v>
      </c>
      <c r="I127" t="str">
        <f>TEXT(Europe_Sales_Records34[[#This Row],[Order Date Fixed]],"MMM")</f>
        <v>Nov</v>
      </c>
      <c r="J127">
        <f>YEAR(Europe_Sales_Records34[[#This Row],[Order Date Fixed]])</f>
        <v>2011</v>
      </c>
      <c r="K127" t="str">
        <f>TEXT(Europe_Sales_Records34[[#This Row],[Order Date Fixed]],"MMM-YYYY")</f>
        <v>Nov-2011</v>
      </c>
      <c r="L127">
        <v>436969029</v>
      </c>
      <c r="M127" s="2">
        <f t="shared" si="3"/>
        <v>40894</v>
      </c>
      <c r="N127">
        <f>DAY(Europe_Sales_Records34[[#This Row],[Ship Date Fixed]])</f>
        <v>17</v>
      </c>
      <c r="O127" t="str">
        <f>TEXT(Europe_Sales_Records34[[#This Row],[Ship Date Fixed]],"MMM")</f>
        <v>Dec</v>
      </c>
      <c r="P127">
        <f>YEAR(Europe_Sales_Records34[[#This Row],[Ship Date Fixed]])</f>
        <v>2011</v>
      </c>
      <c r="Q127" t="str">
        <f>TEXT(Europe_Sales_Records34[[#This Row],[Ship Date Fixed]],"MMM-YYYY")</f>
        <v>Dec-2011</v>
      </c>
      <c r="R127" t="s">
        <v>314</v>
      </c>
      <c r="S127" s="3">
        <f>Europe_Sales_Records34[[#This Row],[Ship Date Fixed]]-Europe_Sales_Records34[[#This Row],[Order Date Fixed]]</f>
        <v>18</v>
      </c>
      <c r="T127">
        <v>7701</v>
      </c>
      <c r="U127">
        <v>421.89</v>
      </c>
      <c r="V127">
        <v>364.69</v>
      </c>
      <c r="W127">
        <f>Europe_Sales_Records34[[#This Row],[Total Revenue]]/Europe_Sales_Records34[[#This Row],[Units Sold]]</f>
        <v>421.89000000000004</v>
      </c>
      <c r="X127">
        <v>3248974.89</v>
      </c>
      <c r="Y127">
        <v>2808477.69</v>
      </c>
      <c r="Z127" s="4">
        <f>Europe_Sales_Records34[[#This Row],[Total Profit]]/Europe_Sales_Records34[[#This Row],[Total Revenue]]</f>
        <v>0.13558036455000119</v>
      </c>
      <c r="AA127">
        <v>440497.2</v>
      </c>
    </row>
    <row r="128" spans="1:27" x14ac:dyDescent="0.3">
      <c r="A128" t="s">
        <v>14</v>
      </c>
      <c r="B128" t="s">
        <v>146</v>
      </c>
      <c r="C128" t="s">
        <v>46</v>
      </c>
      <c r="D128" t="s">
        <v>23</v>
      </c>
      <c r="E128" t="s">
        <v>33</v>
      </c>
      <c r="F128" t="s">
        <v>315</v>
      </c>
      <c r="G128" s="2">
        <f t="shared" si="2"/>
        <v>42457</v>
      </c>
      <c r="H128">
        <f>DAY(Europe_Sales_Records34[[#This Row],[Order Date Fixed]])</f>
        <v>28</v>
      </c>
      <c r="I128" t="str">
        <f>TEXT(Europe_Sales_Records34[[#This Row],[Order Date Fixed]],"MMM")</f>
        <v>Mar</v>
      </c>
      <c r="J128">
        <f>YEAR(Europe_Sales_Records34[[#This Row],[Order Date Fixed]])</f>
        <v>2016</v>
      </c>
      <c r="K128" t="str">
        <f>TEXT(Europe_Sales_Records34[[#This Row],[Order Date Fixed]],"MMM-YYYY")</f>
        <v>Mar-2016</v>
      </c>
      <c r="L128">
        <v>810752236</v>
      </c>
      <c r="M128" s="2">
        <f t="shared" si="3"/>
        <v>42494</v>
      </c>
      <c r="N128">
        <f>DAY(Europe_Sales_Records34[[#This Row],[Ship Date Fixed]])</f>
        <v>4</v>
      </c>
      <c r="O128" t="str">
        <f>TEXT(Europe_Sales_Records34[[#This Row],[Ship Date Fixed]],"MMM")</f>
        <v>May</v>
      </c>
      <c r="P128">
        <f>YEAR(Europe_Sales_Records34[[#This Row],[Ship Date Fixed]])</f>
        <v>2016</v>
      </c>
      <c r="Q128" t="str">
        <f>TEXT(Europe_Sales_Records34[[#This Row],[Ship Date Fixed]],"MMM-YYYY")</f>
        <v>May-2016</v>
      </c>
      <c r="R128" t="s">
        <v>316</v>
      </c>
      <c r="S128" s="3">
        <f>Europe_Sales_Records34[[#This Row],[Ship Date Fixed]]-Europe_Sales_Records34[[#This Row],[Order Date Fixed]]</f>
        <v>37</v>
      </c>
      <c r="T128">
        <v>8458</v>
      </c>
      <c r="U128">
        <v>154.06</v>
      </c>
      <c r="V128">
        <v>90.93</v>
      </c>
      <c r="W128">
        <f>Europe_Sales_Records34[[#This Row],[Total Revenue]]/Europe_Sales_Records34[[#This Row],[Units Sold]]</f>
        <v>154.06</v>
      </c>
      <c r="X128">
        <v>1303039.48</v>
      </c>
      <c r="Y128">
        <v>769085.94</v>
      </c>
      <c r="Z128" s="4">
        <f>Europe_Sales_Records34[[#This Row],[Total Profit]]/Europe_Sales_Records34[[#This Row],[Total Revenue]]</f>
        <v>0.40977541217707392</v>
      </c>
      <c r="AA128">
        <v>533953.54</v>
      </c>
    </row>
    <row r="129" spans="1:27" x14ac:dyDescent="0.3">
      <c r="A129" t="s">
        <v>14</v>
      </c>
      <c r="B129" t="s">
        <v>185</v>
      </c>
      <c r="C129" t="s">
        <v>32</v>
      </c>
      <c r="D129" t="s">
        <v>17</v>
      </c>
      <c r="E129" t="s">
        <v>18</v>
      </c>
      <c r="F129" t="s">
        <v>43</v>
      </c>
      <c r="G129" s="2">
        <f t="shared" si="2"/>
        <v>40732</v>
      </c>
      <c r="H129">
        <f>DAY(Europe_Sales_Records34[[#This Row],[Order Date Fixed]])</f>
        <v>8</v>
      </c>
      <c r="I129" t="str">
        <f>TEXT(Europe_Sales_Records34[[#This Row],[Order Date Fixed]],"MMM")</f>
        <v>Jul</v>
      </c>
      <c r="J129">
        <f>YEAR(Europe_Sales_Records34[[#This Row],[Order Date Fixed]])</f>
        <v>2011</v>
      </c>
      <c r="K129" t="str">
        <f>TEXT(Europe_Sales_Records34[[#This Row],[Order Date Fixed]],"MMM-YYYY")</f>
        <v>Jul-2011</v>
      </c>
      <c r="L129">
        <v>886620128</v>
      </c>
      <c r="M129" s="2">
        <f t="shared" si="3"/>
        <v>40749</v>
      </c>
      <c r="N129">
        <f>DAY(Europe_Sales_Records34[[#This Row],[Ship Date Fixed]])</f>
        <v>25</v>
      </c>
      <c r="O129" t="str">
        <f>TEXT(Europe_Sales_Records34[[#This Row],[Ship Date Fixed]],"MMM")</f>
        <v>Jul</v>
      </c>
      <c r="P129">
        <f>YEAR(Europe_Sales_Records34[[#This Row],[Ship Date Fixed]])</f>
        <v>2011</v>
      </c>
      <c r="Q129" t="str">
        <f>TEXT(Europe_Sales_Records34[[#This Row],[Ship Date Fixed]],"MMM-YYYY")</f>
        <v>Jul-2011</v>
      </c>
      <c r="R129" t="s">
        <v>317</v>
      </c>
      <c r="S129" s="3">
        <f>Europe_Sales_Records34[[#This Row],[Ship Date Fixed]]-Europe_Sales_Records34[[#This Row],[Order Date Fixed]]</f>
        <v>17</v>
      </c>
      <c r="T129">
        <v>9453</v>
      </c>
      <c r="U129">
        <v>651.21</v>
      </c>
      <c r="V129">
        <v>524.96</v>
      </c>
      <c r="W129">
        <f>Europe_Sales_Records34[[#This Row],[Total Revenue]]/Europe_Sales_Records34[[#This Row],[Units Sold]]</f>
        <v>651.21</v>
      </c>
      <c r="X129">
        <v>6155888.1299999999</v>
      </c>
      <c r="Y129">
        <v>4962446.88</v>
      </c>
      <c r="Z129" s="4">
        <f>Europe_Sales_Records34[[#This Row],[Total Profit]]/Europe_Sales_Records34[[#This Row],[Total Revenue]]</f>
        <v>0.19386987300563566</v>
      </c>
      <c r="AA129">
        <v>1193441.25</v>
      </c>
    </row>
    <row r="130" spans="1:27" x14ac:dyDescent="0.3">
      <c r="A130" t="s">
        <v>14</v>
      </c>
      <c r="B130" t="s">
        <v>53</v>
      </c>
      <c r="C130" t="s">
        <v>28</v>
      </c>
      <c r="D130" t="s">
        <v>17</v>
      </c>
      <c r="E130" t="s">
        <v>24</v>
      </c>
      <c r="F130" t="s">
        <v>318</v>
      </c>
      <c r="G130" s="2">
        <f t="shared" ref="G130:G193" si="4">DATE(
  RIGHT(F130,4),
  LEFT(F130,FIND("/",F130)-1),
  MID(F130,FIND("/",F130)+1, FIND("/",F130,FIND("/",F130)+1)-FIND("/",F130)-1)
)</f>
        <v>40278</v>
      </c>
      <c r="H130">
        <f>DAY(Europe_Sales_Records34[[#This Row],[Order Date Fixed]])</f>
        <v>10</v>
      </c>
      <c r="I130" t="str">
        <f>TEXT(Europe_Sales_Records34[[#This Row],[Order Date Fixed]],"MMM")</f>
        <v>Apr</v>
      </c>
      <c r="J130">
        <f>YEAR(Europe_Sales_Records34[[#This Row],[Order Date Fixed]])</f>
        <v>2010</v>
      </c>
      <c r="K130" t="str">
        <f>TEXT(Europe_Sales_Records34[[#This Row],[Order Date Fixed]],"MMM-YYYY")</f>
        <v>Apr-2010</v>
      </c>
      <c r="L130">
        <v>889093768</v>
      </c>
      <c r="M130" s="2">
        <f t="shared" ref="M130:M193" si="5">DATE(
  RIGHT(R130,4),
  LEFT(R130,FIND("/",R130)-1),
  MID(
      R130,
      FIND("/",R130)+1,
      FIND("/",R130,FIND("/",R130)+1)-FIND("/",R130)-1
     )
)</f>
        <v>40318</v>
      </c>
      <c r="N130">
        <f>DAY(Europe_Sales_Records34[[#This Row],[Ship Date Fixed]])</f>
        <v>20</v>
      </c>
      <c r="O130" t="str">
        <f>TEXT(Europe_Sales_Records34[[#This Row],[Ship Date Fixed]],"MMM")</f>
        <v>May</v>
      </c>
      <c r="P130">
        <f>YEAR(Europe_Sales_Records34[[#This Row],[Ship Date Fixed]])</f>
        <v>2010</v>
      </c>
      <c r="Q130" t="str">
        <f>TEXT(Europe_Sales_Records34[[#This Row],[Ship Date Fixed]],"MMM-YYYY")</f>
        <v>May-2010</v>
      </c>
      <c r="R130" t="s">
        <v>319</v>
      </c>
      <c r="S130" s="3">
        <f>Europe_Sales_Records34[[#This Row],[Ship Date Fixed]]-Europe_Sales_Records34[[#This Row],[Order Date Fixed]]</f>
        <v>40</v>
      </c>
      <c r="T130">
        <v>1458</v>
      </c>
      <c r="U130">
        <v>205.7</v>
      </c>
      <c r="V130">
        <v>117.11</v>
      </c>
      <c r="W130">
        <f>Europe_Sales_Records34[[#This Row],[Total Revenue]]/Europe_Sales_Records34[[#This Row],[Units Sold]]</f>
        <v>205.7</v>
      </c>
      <c r="X130">
        <v>299910.59999999998</v>
      </c>
      <c r="Y130">
        <v>170746.38</v>
      </c>
      <c r="Z130" s="4">
        <f>Europe_Sales_Records34[[#This Row],[Total Profit]]/Europe_Sales_Records34[[#This Row],[Total Revenue]]</f>
        <v>0.43067574137092857</v>
      </c>
      <c r="AA130">
        <v>129164.22</v>
      </c>
    </row>
    <row r="131" spans="1:27" x14ac:dyDescent="0.3">
      <c r="A131" t="s">
        <v>14</v>
      </c>
      <c r="B131" t="s">
        <v>89</v>
      </c>
      <c r="C131" t="s">
        <v>28</v>
      </c>
      <c r="D131" t="s">
        <v>23</v>
      </c>
      <c r="E131" t="s">
        <v>18</v>
      </c>
      <c r="F131" t="s">
        <v>320</v>
      </c>
      <c r="G131" s="2">
        <f t="shared" si="4"/>
        <v>40761</v>
      </c>
      <c r="H131">
        <f>DAY(Europe_Sales_Records34[[#This Row],[Order Date Fixed]])</f>
        <v>6</v>
      </c>
      <c r="I131" t="str">
        <f>TEXT(Europe_Sales_Records34[[#This Row],[Order Date Fixed]],"MMM")</f>
        <v>Aug</v>
      </c>
      <c r="J131">
        <f>YEAR(Europe_Sales_Records34[[#This Row],[Order Date Fixed]])</f>
        <v>2011</v>
      </c>
      <c r="K131" t="str">
        <f>TEXT(Europe_Sales_Records34[[#This Row],[Order Date Fixed]],"MMM-YYYY")</f>
        <v>Aug-2011</v>
      </c>
      <c r="L131">
        <v>454550588</v>
      </c>
      <c r="M131" s="2">
        <f t="shared" si="5"/>
        <v>40792</v>
      </c>
      <c r="N131">
        <f>DAY(Europe_Sales_Records34[[#This Row],[Ship Date Fixed]])</f>
        <v>6</v>
      </c>
      <c r="O131" t="str">
        <f>TEXT(Europe_Sales_Records34[[#This Row],[Ship Date Fixed]],"MMM")</f>
        <v>Sep</v>
      </c>
      <c r="P131">
        <f>YEAR(Europe_Sales_Records34[[#This Row],[Ship Date Fixed]])</f>
        <v>2011</v>
      </c>
      <c r="Q131" t="str">
        <f>TEXT(Europe_Sales_Records34[[#This Row],[Ship Date Fixed]],"MMM-YYYY")</f>
        <v>Sep-2011</v>
      </c>
      <c r="R131" t="s">
        <v>321</v>
      </c>
      <c r="S131" s="3">
        <f>Europe_Sales_Records34[[#This Row],[Ship Date Fixed]]-Europe_Sales_Records34[[#This Row],[Order Date Fixed]]</f>
        <v>31</v>
      </c>
      <c r="T131">
        <v>475</v>
      </c>
      <c r="U131">
        <v>205.7</v>
      </c>
      <c r="V131">
        <v>117.11</v>
      </c>
      <c r="W131">
        <f>Europe_Sales_Records34[[#This Row],[Total Revenue]]/Europe_Sales_Records34[[#This Row],[Units Sold]]</f>
        <v>205.7</v>
      </c>
      <c r="X131">
        <v>97707.5</v>
      </c>
      <c r="Y131">
        <v>55627.25</v>
      </c>
      <c r="Z131" s="4">
        <f>Europe_Sales_Records34[[#This Row],[Total Profit]]/Europe_Sales_Records34[[#This Row],[Total Revenue]]</f>
        <v>0.43067574137092851</v>
      </c>
      <c r="AA131">
        <v>42080.25</v>
      </c>
    </row>
    <row r="132" spans="1:27" x14ac:dyDescent="0.3">
      <c r="A132" t="s">
        <v>14</v>
      </c>
      <c r="B132" t="s">
        <v>27</v>
      </c>
      <c r="C132" t="s">
        <v>32</v>
      </c>
      <c r="D132" t="s">
        <v>23</v>
      </c>
      <c r="E132" t="s">
        <v>33</v>
      </c>
      <c r="F132" t="s">
        <v>322</v>
      </c>
      <c r="G132" s="2">
        <f t="shared" si="4"/>
        <v>42784</v>
      </c>
      <c r="H132">
        <f>DAY(Europe_Sales_Records34[[#This Row],[Order Date Fixed]])</f>
        <v>18</v>
      </c>
      <c r="I132" t="str">
        <f>TEXT(Europe_Sales_Records34[[#This Row],[Order Date Fixed]],"MMM")</f>
        <v>Feb</v>
      </c>
      <c r="J132">
        <f>YEAR(Europe_Sales_Records34[[#This Row],[Order Date Fixed]])</f>
        <v>2017</v>
      </c>
      <c r="K132" t="str">
        <f>TEXT(Europe_Sales_Records34[[#This Row],[Order Date Fixed]],"MMM-YYYY")</f>
        <v>Feb-2017</v>
      </c>
      <c r="L132">
        <v>926064479</v>
      </c>
      <c r="M132" s="2">
        <f t="shared" si="5"/>
        <v>42804</v>
      </c>
      <c r="N132">
        <f>DAY(Europe_Sales_Records34[[#This Row],[Ship Date Fixed]])</f>
        <v>10</v>
      </c>
      <c r="O132" t="str">
        <f>TEXT(Europe_Sales_Records34[[#This Row],[Ship Date Fixed]],"MMM")</f>
        <v>Mar</v>
      </c>
      <c r="P132">
        <f>YEAR(Europe_Sales_Records34[[#This Row],[Ship Date Fixed]])</f>
        <v>2017</v>
      </c>
      <c r="Q132" t="str">
        <f>TEXT(Europe_Sales_Records34[[#This Row],[Ship Date Fixed]],"MMM-YYYY")</f>
        <v>Mar-2017</v>
      </c>
      <c r="R132" t="s">
        <v>323</v>
      </c>
      <c r="S132" s="3">
        <f>Europe_Sales_Records34[[#This Row],[Ship Date Fixed]]-Europe_Sales_Records34[[#This Row],[Order Date Fixed]]</f>
        <v>20</v>
      </c>
      <c r="T132">
        <v>1913</v>
      </c>
      <c r="U132">
        <v>651.21</v>
      </c>
      <c r="V132">
        <v>524.96</v>
      </c>
      <c r="W132">
        <f>Europe_Sales_Records34[[#This Row],[Total Revenue]]/Europe_Sales_Records34[[#This Row],[Units Sold]]</f>
        <v>651.21</v>
      </c>
      <c r="X132">
        <v>1245764.73</v>
      </c>
      <c r="Y132">
        <v>1004248.48</v>
      </c>
      <c r="Z132" s="4">
        <f>Europe_Sales_Records34[[#This Row],[Total Profit]]/Europe_Sales_Records34[[#This Row],[Total Revenue]]</f>
        <v>0.19386987300563566</v>
      </c>
      <c r="AA132">
        <v>241516.25</v>
      </c>
    </row>
    <row r="133" spans="1:27" x14ac:dyDescent="0.3">
      <c r="A133" t="s">
        <v>14</v>
      </c>
      <c r="B133" t="s">
        <v>220</v>
      </c>
      <c r="C133" t="s">
        <v>37</v>
      </c>
      <c r="D133" t="s">
        <v>17</v>
      </c>
      <c r="E133" t="s">
        <v>18</v>
      </c>
      <c r="F133" t="s">
        <v>324</v>
      </c>
      <c r="G133" s="2">
        <f t="shared" si="4"/>
        <v>42550</v>
      </c>
      <c r="H133">
        <f>DAY(Europe_Sales_Records34[[#This Row],[Order Date Fixed]])</f>
        <v>29</v>
      </c>
      <c r="I133" t="str">
        <f>TEXT(Europe_Sales_Records34[[#This Row],[Order Date Fixed]],"MMM")</f>
        <v>Jun</v>
      </c>
      <c r="J133">
        <f>YEAR(Europe_Sales_Records34[[#This Row],[Order Date Fixed]])</f>
        <v>2016</v>
      </c>
      <c r="K133" t="str">
        <f>TEXT(Europe_Sales_Records34[[#This Row],[Order Date Fixed]],"MMM-YYYY")</f>
        <v>Jun-2016</v>
      </c>
      <c r="L133">
        <v>413245427</v>
      </c>
      <c r="M133" s="2">
        <f t="shared" si="5"/>
        <v>42553</v>
      </c>
      <c r="N133">
        <f>DAY(Europe_Sales_Records34[[#This Row],[Ship Date Fixed]])</f>
        <v>2</v>
      </c>
      <c r="O133" t="str">
        <f>TEXT(Europe_Sales_Records34[[#This Row],[Ship Date Fixed]],"MMM")</f>
        <v>Jul</v>
      </c>
      <c r="P133">
        <f>YEAR(Europe_Sales_Records34[[#This Row],[Ship Date Fixed]])</f>
        <v>2016</v>
      </c>
      <c r="Q133" t="str">
        <f>TEXT(Europe_Sales_Records34[[#This Row],[Ship Date Fixed]],"MMM-YYYY")</f>
        <v>Jul-2016</v>
      </c>
      <c r="R133" t="s">
        <v>325</v>
      </c>
      <c r="S133" s="3">
        <f>Europe_Sales_Records34[[#This Row],[Ship Date Fixed]]-Europe_Sales_Records34[[#This Row],[Order Date Fixed]]</f>
        <v>3</v>
      </c>
      <c r="T133">
        <v>7360</v>
      </c>
      <c r="U133">
        <v>9.33</v>
      </c>
      <c r="V133">
        <v>6.92</v>
      </c>
      <c r="W133">
        <f>Europe_Sales_Records34[[#This Row],[Total Revenue]]/Europe_Sales_Records34[[#This Row],[Units Sold]]</f>
        <v>9.33</v>
      </c>
      <c r="X133">
        <v>68668.800000000003</v>
      </c>
      <c r="Y133">
        <v>50931.199999999997</v>
      </c>
      <c r="Z133" s="4">
        <f>Europe_Sales_Records34[[#This Row],[Total Profit]]/Europe_Sales_Records34[[#This Row],[Total Revenue]]</f>
        <v>0.25830653804930331</v>
      </c>
      <c r="AA133">
        <v>17737.599999999999</v>
      </c>
    </row>
    <row r="134" spans="1:27" x14ac:dyDescent="0.3">
      <c r="A134" t="s">
        <v>14</v>
      </c>
      <c r="B134" t="s">
        <v>53</v>
      </c>
      <c r="C134" t="s">
        <v>16</v>
      </c>
      <c r="D134" t="s">
        <v>23</v>
      </c>
      <c r="E134" t="s">
        <v>54</v>
      </c>
      <c r="F134" t="s">
        <v>326</v>
      </c>
      <c r="G134" s="2">
        <f t="shared" si="4"/>
        <v>40804</v>
      </c>
      <c r="H134">
        <f>DAY(Europe_Sales_Records34[[#This Row],[Order Date Fixed]])</f>
        <v>18</v>
      </c>
      <c r="I134" t="str">
        <f>TEXT(Europe_Sales_Records34[[#This Row],[Order Date Fixed]],"MMM")</f>
        <v>Sep</v>
      </c>
      <c r="J134">
        <f>YEAR(Europe_Sales_Records34[[#This Row],[Order Date Fixed]])</f>
        <v>2011</v>
      </c>
      <c r="K134" t="str">
        <f>TEXT(Europe_Sales_Records34[[#This Row],[Order Date Fixed]],"MMM-YYYY")</f>
        <v>Sep-2011</v>
      </c>
      <c r="L134">
        <v>884147775</v>
      </c>
      <c r="M134" s="2">
        <f t="shared" si="5"/>
        <v>40835</v>
      </c>
      <c r="N134">
        <f>DAY(Europe_Sales_Records34[[#This Row],[Ship Date Fixed]])</f>
        <v>19</v>
      </c>
      <c r="O134" t="str">
        <f>TEXT(Europe_Sales_Records34[[#This Row],[Ship Date Fixed]],"MMM")</f>
        <v>Oct</v>
      </c>
      <c r="P134">
        <f>YEAR(Europe_Sales_Records34[[#This Row],[Ship Date Fixed]])</f>
        <v>2011</v>
      </c>
      <c r="Q134" t="str">
        <f>TEXT(Europe_Sales_Records34[[#This Row],[Ship Date Fixed]],"MMM-YYYY")</f>
        <v>Oct-2011</v>
      </c>
      <c r="R134" t="s">
        <v>327</v>
      </c>
      <c r="S134" s="3">
        <f>Europe_Sales_Records34[[#This Row],[Ship Date Fixed]]-Europe_Sales_Records34[[#This Row],[Order Date Fixed]]</f>
        <v>31</v>
      </c>
      <c r="T134">
        <v>7829</v>
      </c>
      <c r="U134">
        <v>47.45</v>
      </c>
      <c r="V134">
        <v>31.79</v>
      </c>
      <c r="W134">
        <f>Europe_Sales_Records34[[#This Row],[Total Revenue]]/Europe_Sales_Records34[[#This Row],[Units Sold]]</f>
        <v>47.449999999999996</v>
      </c>
      <c r="X134">
        <v>371486.05</v>
      </c>
      <c r="Y134">
        <v>248883.91</v>
      </c>
      <c r="Z134" s="4">
        <f>Europe_Sales_Records34[[#This Row],[Total Profit]]/Europe_Sales_Records34[[#This Row],[Total Revenue]]</f>
        <v>0.33003161222339306</v>
      </c>
      <c r="AA134">
        <v>122602.14</v>
      </c>
    </row>
    <row r="135" spans="1:27" x14ac:dyDescent="0.3">
      <c r="A135" t="s">
        <v>14</v>
      </c>
      <c r="B135" t="s">
        <v>220</v>
      </c>
      <c r="C135" t="s">
        <v>75</v>
      </c>
      <c r="D135" t="s">
        <v>23</v>
      </c>
      <c r="E135" t="s">
        <v>18</v>
      </c>
      <c r="F135" t="s">
        <v>328</v>
      </c>
      <c r="G135" s="2">
        <f t="shared" si="4"/>
        <v>41090</v>
      </c>
      <c r="H135">
        <f>DAY(Europe_Sales_Records34[[#This Row],[Order Date Fixed]])</f>
        <v>30</v>
      </c>
      <c r="I135" t="str">
        <f>TEXT(Europe_Sales_Records34[[#This Row],[Order Date Fixed]],"MMM")</f>
        <v>Jun</v>
      </c>
      <c r="J135">
        <f>YEAR(Europe_Sales_Records34[[#This Row],[Order Date Fixed]])</f>
        <v>2012</v>
      </c>
      <c r="K135" t="str">
        <f>TEXT(Europe_Sales_Records34[[#This Row],[Order Date Fixed]],"MMM-YYYY")</f>
        <v>Jun-2012</v>
      </c>
      <c r="L135">
        <v>328322827</v>
      </c>
      <c r="M135" s="2">
        <f t="shared" si="5"/>
        <v>41109</v>
      </c>
      <c r="N135">
        <f>DAY(Europe_Sales_Records34[[#This Row],[Ship Date Fixed]])</f>
        <v>19</v>
      </c>
      <c r="O135" t="str">
        <f>TEXT(Europe_Sales_Records34[[#This Row],[Ship Date Fixed]],"MMM")</f>
        <v>Jul</v>
      </c>
      <c r="P135">
        <f>YEAR(Europe_Sales_Records34[[#This Row],[Ship Date Fixed]])</f>
        <v>2012</v>
      </c>
      <c r="Q135" t="str">
        <f>TEXT(Europe_Sales_Records34[[#This Row],[Ship Date Fixed]],"MMM-YYYY")</f>
        <v>Jul-2012</v>
      </c>
      <c r="R135" t="s">
        <v>329</v>
      </c>
      <c r="S135" s="3">
        <f>Europe_Sales_Records34[[#This Row],[Ship Date Fixed]]-Europe_Sales_Records34[[#This Row],[Order Date Fixed]]</f>
        <v>19</v>
      </c>
      <c r="T135">
        <v>6876</v>
      </c>
      <c r="U135">
        <v>437.2</v>
      </c>
      <c r="V135">
        <v>263.33</v>
      </c>
      <c r="W135">
        <f>Europe_Sales_Records34[[#This Row],[Total Revenue]]/Europe_Sales_Records34[[#This Row],[Units Sold]]</f>
        <v>437.20000000000005</v>
      </c>
      <c r="X135">
        <v>3006187.2</v>
      </c>
      <c r="Y135">
        <v>1810657.08</v>
      </c>
      <c r="Z135" s="4">
        <f>Europe_Sales_Records34[[#This Row],[Total Profit]]/Europe_Sales_Records34[[#This Row],[Total Revenue]]</f>
        <v>0.39768984446477584</v>
      </c>
      <c r="AA135">
        <v>1195530.1200000001</v>
      </c>
    </row>
    <row r="136" spans="1:27" x14ac:dyDescent="0.3">
      <c r="A136" t="s">
        <v>14</v>
      </c>
      <c r="B136" t="s">
        <v>196</v>
      </c>
      <c r="C136" t="s">
        <v>58</v>
      </c>
      <c r="D136" t="s">
        <v>23</v>
      </c>
      <c r="E136" t="s">
        <v>54</v>
      </c>
      <c r="F136" t="s">
        <v>330</v>
      </c>
      <c r="G136" s="2">
        <f t="shared" si="4"/>
        <v>41720</v>
      </c>
      <c r="H136">
        <f>DAY(Europe_Sales_Records34[[#This Row],[Order Date Fixed]])</f>
        <v>22</v>
      </c>
      <c r="I136" t="str">
        <f>TEXT(Europe_Sales_Records34[[#This Row],[Order Date Fixed]],"MMM")</f>
        <v>Mar</v>
      </c>
      <c r="J136">
        <f>YEAR(Europe_Sales_Records34[[#This Row],[Order Date Fixed]])</f>
        <v>2014</v>
      </c>
      <c r="K136" t="str">
        <f>TEXT(Europe_Sales_Records34[[#This Row],[Order Date Fixed]],"MMM-YYYY")</f>
        <v>Mar-2014</v>
      </c>
      <c r="L136">
        <v>158673751</v>
      </c>
      <c r="M136" s="2">
        <f t="shared" si="5"/>
        <v>41769</v>
      </c>
      <c r="N136">
        <f>DAY(Europe_Sales_Records34[[#This Row],[Ship Date Fixed]])</f>
        <v>10</v>
      </c>
      <c r="O136" t="str">
        <f>TEXT(Europe_Sales_Records34[[#This Row],[Ship Date Fixed]],"MMM")</f>
        <v>May</v>
      </c>
      <c r="P136">
        <f>YEAR(Europe_Sales_Records34[[#This Row],[Ship Date Fixed]])</f>
        <v>2014</v>
      </c>
      <c r="Q136" t="str">
        <f>TEXT(Europe_Sales_Records34[[#This Row],[Ship Date Fixed]],"MMM-YYYY")</f>
        <v>May-2014</v>
      </c>
      <c r="R136" t="s">
        <v>331</v>
      </c>
      <c r="S136" s="3">
        <f>Europe_Sales_Records34[[#This Row],[Ship Date Fixed]]-Europe_Sales_Records34[[#This Row],[Order Date Fixed]]</f>
        <v>49</v>
      </c>
      <c r="T136">
        <v>3944</v>
      </c>
      <c r="U136">
        <v>152.58000000000001</v>
      </c>
      <c r="V136">
        <v>97.44</v>
      </c>
      <c r="W136">
        <f>Europe_Sales_Records34[[#This Row],[Total Revenue]]/Europe_Sales_Records34[[#This Row],[Units Sold]]</f>
        <v>152.58000000000001</v>
      </c>
      <c r="X136">
        <v>601775.52</v>
      </c>
      <c r="Y136">
        <v>384303.35999999999</v>
      </c>
      <c r="Z136" s="4">
        <f>Europe_Sales_Records34[[#This Row],[Total Profit]]/Europe_Sales_Records34[[#This Row],[Total Revenue]]</f>
        <v>0.36138419189933152</v>
      </c>
      <c r="AA136">
        <v>217472.16</v>
      </c>
    </row>
    <row r="137" spans="1:27" x14ac:dyDescent="0.3">
      <c r="A137" t="s">
        <v>14</v>
      </c>
      <c r="B137" t="s">
        <v>185</v>
      </c>
      <c r="C137" t="s">
        <v>58</v>
      </c>
      <c r="D137" t="s">
        <v>17</v>
      </c>
      <c r="E137" t="s">
        <v>33</v>
      </c>
      <c r="F137" t="s">
        <v>332</v>
      </c>
      <c r="G137" s="2">
        <f t="shared" si="4"/>
        <v>41646</v>
      </c>
      <c r="H137">
        <f>DAY(Europe_Sales_Records34[[#This Row],[Order Date Fixed]])</f>
        <v>7</v>
      </c>
      <c r="I137" t="str">
        <f>TEXT(Europe_Sales_Records34[[#This Row],[Order Date Fixed]],"MMM")</f>
        <v>Jan</v>
      </c>
      <c r="J137">
        <f>YEAR(Europe_Sales_Records34[[#This Row],[Order Date Fixed]])</f>
        <v>2014</v>
      </c>
      <c r="K137" t="str">
        <f>TEXT(Europe_Sales_Records34[[#This Row],[Order Date Fixed]],"MMM-YYYY")</f>
        <v>Jan-2014</v>
      </c>
      <c r="L137">
        <v>464911210</v>
      </c>
      <c r="M137" s="2">
        <f t="shared" si="5"/>
        <v>41680</v>
      </c>
      <c r="N137">
        <f>DAY(Europe_Sales_Records34[[#This Row],[Ship Date Fixed]])</f>
        <v>10</v>
      </c>
      <c r="O137" t="str">
        <f>TEXT(Europe_Sales_Records34[[#This Row],[Ship Date Fixed]],"MMM")</f>
        <v>Feb</v>
      </c>
      <c r="P137">
        <f>YEAR(Europe_Sales_Records34[[#This Row],[Ship Date Fixed]])</f>
        <v>2014</v>
      </c>
      <c r="Q137" t="str">
        <f>TEXT(Europe_Sales_Records34[[#This Row],[Ship Date Fixed]],"MMM-YYYY")</f>
        <v>Feb-2014</v>
      </c>
      <c r="R137" t="s">
        <v>333</v>
      </c>
      <c r="S137" s="3">
        <f>Europe_Sales_Records34[[#This Row],[Ship Date Fixed]]-Europe_Sales_Records34[[#This Row],[Order Date Fixed]]</f>
        <v>34</v>
      </c>
      <c r="T137">
        <v>6413</v>
      </c>
      <c r="U137">
        <v>152.58000000000001</v>
      </c>
      <c r="V137">
        <v>97.44</v>
      </c>
      <c r="W137">
        <f>Europe_Sales_Records34[[#This Row],[Total Revenue]]/Europe_Sales_Records34[[#This Row],[Units Sold]]</f>
        <v>152.58000000000001</v>
      </c>
      <c r="X137">
        <v>978495.54</v>
      </c>
      <c r="Y137">
        <v>624882.72</v>
      </c>
      <c r="Z137" s="4">
        <f>Europe_Sales_Records34[[#This Row],[Total Profit]]/Europe_Sales_Records34[[#This Row],[Total Revenue]]</f>
        <v>0.36138419189933146</v>
      </c>
      <c r="AA137">
        <v>353612.82</v>
      </c>
    </row>
    <row r="138" spans="1:27" x14ac:dyDescent="0.3">
      <c r="A138" t="s">
        <v>14</v>
      </c>
      <c r="B138" t="s">
        <v>83</v>
      </c>
      <c r="C138" t="s">
        <v>16</v>
      </c>
      <c r="D138" t="s">
        <v>23</v>
      </c>
      <c r="E138" t="s">
        <v>18</v>
      </c>
      <c r="F138" t="s">
        <v>334</v>
      </c>
      <c r="G138" s="2">
        <f t="shared" si="4"/>
        <v>40463</v>
      </c>
      <c r="H138">
        <f>DAY(Europe_Sales_Records34[[#This Row],[Order Date Fixed]])</f>
        <v>12</v>
      </c>
      <c r="I138" t="str">
        <f>TEXT(Europe_Sales_Records34[[#This Row],[Order Date Fixed]],"MMM")</f>
        <v>Oct</v>
      </c>
      <c r="J138">
        <f>YEAR(Europe_Sales_Records34[[#This Row],[Order Date Fixed]])</f>
        <v>2010</v>
      </c>
      <c r="K138" t="str">
        <f>TEXT(Europe_Sales_Records34[[#This Row],[Order Date Fixed]],"MMM-YYYY")</f>
        <v>Oct-2010</v>
      </c>
      <c r="L138">
        <v>395562589</v>
      </c>
      <c r="M138" s="2">
        <f t="shared" si="5"/>
        <v>40513</v>
      </c>
      <c r="N138">
        <f>DAY(Europe_Sales_Records34[[#This Row],[Ship Date Fixed]])</f>
        <v>1</v>
      </c>
      <c r="O138" t="str">
        <f>TEXT(Europe_Sales_Records34[[#This Row],[Ship Date Fixed]],"MMM")</f>
        <v>Dec</v>
      </c>
      <c r="P138">
        <f>YEAR(Europe_Sales_Records34[[#This Row],[Ship Date Fixed]])</f>
        <v>2010</v>
      </c>
      <c r="Q138" t="str">
        <f>TEXT(Europe_Sales_Records34[[#This Row],[Ship Date Fixed]],"MMM-YYYY")</f>
        <v>Dec-2010</v>
      </c>
      <c r="R138" t="s">
        <v>335</v>
      </c>
      <c r="S138" s="3">
        <f>Europe_Sales_Records34[[#This Row],[Ship Date Fixed]]-Europe_Sales_Records34[[#This Row],[Order Date Fixed]]</f>
        <v>50</v>
      </c>
      <c r="T138">
        <v>4615</v>
      </c>
      <c r="U138">
        <v>47.45</v>
      </c>
      <c r="V138">
        <v>31.79</v>
      </c>
      <c r="W138">
        <f>Europe_Sales_Records34[[#This Row],[Total Revenue]]/Europe_Sales_Records34[[#This Row],[Units Sold]]</f>
        <v>47.45</v>
      </c>
      <c r="X138">
        <v>218981.75</v>
      </c>
      <c r="Y138">
        <v>146710.85</v>
      </c>
      <c r="Z138" s="4">
        <f>Europe_Sales_Records34[[#This Row],[Total Profit]]/Europe_Sales_Records34[[#This Row],[Total Revenue]]</f>
        <v>0.330031612223393</v>
      </c>
      <c r="AA138">
        <v>72270.899999999994</v>
      </c>
    </row>
    <row r="139" spans="1:27" x14ac:dyDescent="0.3">
      <c r="A139" t="s">
        <v>14</v>
      </c>
      <c r="B139" t="s">
        <v>185</v>
      </c>
      <c r="C139" t="s">
        <v>64</v>
      </c>
      <c r="D139" t="s">
        <v>17</v>
      </c>
      <c r="E139" t="s">
        <v>54</v>
      </c>
      <c r="F139" t="s">
        <v>336</v>
      </c>
      <c r="G139" s="2">
        <f t="shared" si="4"/>
        <v>40969</v>
      </c>
      <c r="H139">
        <f>DAY(Europe_Sales_Records34[[#This Row],[Order Date Fixed]])</f>
        <v>1</v>
      </c>
      <c r="I139" t="str">
        <f>TEXT(Europe_Sales_Records34[[#This Row],[Order Date Fixed]],"MMM")</f>
        <v>Mar</v>
      </c>
      <c r="J139">
        <f>YEAR(Europe_Sales_Records34[[#This Row],[Order Date Fixed]])</f>
        <v>2012</v>
      </c>
      <c r="K139" t="str">
        <f>TEXT(Europe_Sales_Records34[[#This Row],[Order Date Fixed]],"MMM-YYYY")</f>
        <v>Mar-2012</v>
      </c>
      <c r="L139">
        <v>459372985</v>
      </c>
      <c r="M139" s="2">
        <f t="shared" si="5"/>
        <v>40990</v>
      </c>
      <c r="N139">
        <f>DAY(Europe_Sales_Records34[[#This Row],[Ship Date Fixed]])</f>
        <v>22</v>
      </c>
      <c r="O139" t="str">
        <f>TEXT(Europe_Sales_Records34[[#This Row],[Ship Date Fixed]],"MMM")</f>
        <v>Mar</v>
      </c>
      <c r="P139">
        <f>YEAR(Europe_Sales_Records34[[#This Row],[Ship Date Fixed]])</f>
        <v>2012</v>
      </c>
      <c r="Q139" t="str">
        <f>TEXT(Europe_Sales_Records34[[#This Row],[Ship Date Fixed]],"MMM-YYYY")</f>
        <v>Mar-2012</v>
      </c>
      <c r="R139" t="s">
        <v>337</v>
      </c>
      <c r="S139" s="3">
        <f>Europe_Sales_Records34[[#This Row],[Ship Date Fixed]]-Europe_Sales_Records34[[#This Row],[Order Date Fixed]]</f>
        <v>21</v>
      </c>
      <c r="T139">
        <v>7529</v>
      </c>
      <c r="U139">
        <v>255.28</v>
      </c>
      <c r="V139">
        <v>159.41999999999999</v>
      </c>
      <c r="W139">
        <f>Europe_Sales_Records34[[#This Row],[Total Revenue]]/Europe_Sales_Records34[[#This Row],[Units Sold]]</f>
        <v>255.28</v>
      </c>
      <c r="X139">
        <v>1922003.12</v>
      </c>
      <c r="Y139">
        <v>1200273.18</v>
      </c>
      <c r="Z139" s="4">
        <f>Europe_Sales_Records34[[#This Row],[Total Profit]]/Europe_Sales_Records34[[#This Row],[Total Revenue]]</f>
        <v>0.37550924475086173</v>
      </c>
      <c r="AA139">
        <v>721729.94</v>
      </c>
    </row>
    <row r="140" spans="1:27" x14ac:dyDescent="0.3">
      <c r="A140" t="s">
        <v>14</v>
      </c>
      <c r="B140" t="s">
        <v>122</v>
      </c>
      <c r="C140" t="s">
        <v>50</v>
      </c>
      <c r="D140" t="s">
        <v>23</v>
      </c>
      <c r="E140" t="s">
        <v>33</v>
      </c>
      <c r="F140" t="s">
        <v>338</v>
      </c>
      <c r="G140" s="2">
        <f t="shared" si="4"/>
        <v>41085</v>
      </c>
      <c r="H140">
        <f>DAY(Europe_Sales_Records34[[#This Row],[Order Date Fixed]])</f>
        <v>25</v>
      </c>
      <c r="I140" t="str">
        <f>TEXT(Europe_Sales_Records34[[#This Row],[Order Date Fixed]],"MMM")</f>
        <v>Jun</v>
      </c>
      <c r="J140">
        <f>YEAR(Europe_Sales_Records34[[#This Row],[Order Date Fixed]])</f>
        <v>2012</v>
      </c>
      <c r="K140" t="str">
        <f>TEXT(Europe_Sales_Records34[[#This Row],[Order Date Fixed]],"MMM-YYYY")</f>
        <v>Jun-2012</v>
      </c>
      <c r="L140">
        <v>693210542</v>
      </c>
      <c r="M140" s="2">
        <f t="shared" si="5"/>
        <v>41134</v>
      </c>
      <c r="N140">
        <f>DAY(Europe_Sales_Records34[[#This Row],[Ship Date Fixed]])</f>
        <v>13</v>
      </c>
      <c r="O140" t="str">
        <f>TEXT(Europe_Sales_Records34[[#This Row],[Ship Date Fixed]],"MMM")</f>
        <v>Aug</v>
      </c>
      <c r="P140">
        <f>YEAR(Europe_Sales_Records34[[#This Row],[Ship Date Fixed]])</f>
        <v>2012</v>
      </c>
      <c r="Q140" t="str">
        <f>TEXT(Europe_Sales_Records34[[#This Row],[Ship Date Fixed]],"MMM-YYYY")</f>
        <v>Aug-2012</v>
      </c>
      <c r="R140" t="s">
        <v>339</v>
      </c>
      <c r="S140" s="3">
        <f>Europe_Sales_Records34[[#This Row],[Ship Date Fixed]]-Europe_Sales_Records34[[#This Row],[Order Date Fixed]]</f>
        <v>49</v>
      </c>
      <c r="T140">
        <v>5259</v>
      </c>
      <c r="U140">
        <v>421.89</v>
      </c>
      <c r="V140">
        <v>364.69</v>
      </c>
      <c r="W140">
        <f>Europe_Sales_Records34[[#This Row],[Total Revenue]]/Europe_Sales_Records34[[#This Row],[Units Sold]]</f>
        <v>421.88999999999993</v>
      </c>
      <c r="X140">
        <v>2218719.5099999998</v>
      </c>
      <c r="Y140">
        <v>1917904.71</v>
      </c>
      <c r="Z140" s="4">
        <f>Europe_Sales_Records34[[#This Row],[Total Profit]]/Europe_Sales_Records34[[#This Row],[Total Revenue]]</f>
        <v>0.13558036455000119</v>
      </c>
      <c r="AA140">
        <v>300814.8</v>
      </c>
    </row>
    <row r="141" spans="1:27" x14ac:dyDescent="0.3">
      <c r="A141" t="s">
        <v>14</v>
      </c>
      <c r="B141" t="s">
        <v>169</v>
      </c>
      <c r="C141" t="s">
        <v>37</v>
      </c>
      <c r="D141" t="s">
        <v>17</v>
      </c>
      <c r="E141" t="s">
        <v>33</v>
      </c>
      <c r="F141" t="s">
        <v>340</v>
      </c>
      <c r="G141" s="2">
        <f t="shared" si="4"/>
        <v>40777</v>
      </c>
      <c r="H141">
        <f>DAY(Europe_Sales_Records34[[#This Row],[Order Date Fixed]])</f>
        <v>22</v>
      </c>
      <c r="I141" t="str">
        <f>TEXT(Europe_Sales_Records34[[#This Row],[Order Date Fixed]],"MMM")</f>
        <v>Aug</v>
      </c>
      <c r="J141">
        <f>YEAR(Europe_Sales_Records34[[#This Row],[Order Date Fixed]])</f>
        <v>2011</v>
      </c>
      <c r="K141" t="str">
        <f>TEXT(Europe_Sales_Records34[[#This Row],[Order Date Fixed]],"MMM-YYYY")</f>
        <v>Aug-2011</v>
      </c>
      <c r="L141">
        <v>153974950</v>
      </c>
      <c r="M141" s="2">
        <f t="shared" si="5"/>
        <v>40806</v>
      </c>
      <c r="N141">
        <f>DAY(Europe_Sales_Records34[[#This Row],[Ship Date Fixed]])</f>
        <v>20</v>
      </c>
      <c r="O141" t="str">
        <f>TEXT(Europe_Sales_Records34[[#This Row],[Ship Date Fixed]],"MMM")</f>
        <v>Sep</v>
      </c>
      <c r="P141">
        <f>YEAR(Europe_Sales_Records34[[#This Row],[Ship Date Fixed]])</f>
        <v>2011</v>
      </c>
      <c r="Q141" t="str">
        <f>TEXT(Europe_Sales_Records34[[#This Row],[Ship Date Fixed]],"MMM-YYYY")</f>
        <v>Sep-2011</v>
      </c>
      <c r="R141" t="s">
        <v>341</v>
      </c>
      <c r="S141" s="3">
        <f>Europe_Sales_Records34[[#This Row],[Ship Date Fixed]]-Europe_Sales_Records34[[#This Row],[Order Date Fixed]]</f>
        <v>29</v>
      </c>
      <c r="T141">
        <v>3464</v>
      </c>
      <c r="U141">
        <v>9.33</v>
      </c>
      <c r="V141">
        <v>6.92</v>
      </c>
      <c r="W141">
        <f>Europe_Sales_Records34[[#This Row],[Total Revenue]]/Europe_Sales_Records34[[#This Row],[Units Sold]]</f>
        <v>9.33</v>
      </c>
      <c r="X141">
        <v>32319.119999999999</v>
      </c>
      <c r="Y141">
        <v>23970.880000000001</v>
      </c>
      <c r="Z141" s="4">
        <f>Europe_Sales_Records34[[#This Row],[Total Profit]]/Europe_Sales_Records34[[#This Row],[Total Revenue]]</f>
        <v>0.25830653804930331</v>
      </c>
      <c r="AA141">
        <v>8348.24</v>
      </c>
    </row>
    <row r="142" spans="1:27" x14ac:dyDescent="0.3">
      <c r="A142" t="s">
        <v>14</v>
      </c>
      <c r="B142" t="s">
        <v>342</v>
      </c>
      <c r="C142" t="s">
        <v>58</v>
      </c>
      <c r="D142" t="s">
        <v>23</v>
      </c>
      <c r="E142" t="s">
        <v>54</v>
      </c>
      <c r="F142" t="s">
        <v>211</v>
      </c>
      <c r="G142" s="2">
        <f t="shared" si="4"/>
        <v>41869</v>
      </c>
      <c r="H142">
        <f>DAY(Europe_Sales_Records34[[#This Row],[Order Date Fixed]])</f>
        <v>18</v>
      </c>
      <c r="I142" t="str">
        <f>TEXT(Europe_Sales_Records34[[#This Row],[Order Date Fixed]],"MMM")</f>
        <v>Aug</v>
      </c>
      <c r="J142">
        <f>YEAR(Europe_Sales_Records34[[#This Row],[Order Date Fixed]])</f>
        <v>2014</v>
      </c>
      <c r="K142" t="str">
        <f>TEXT(Europe_Sales_Records34[[#This Row],[Order Date Fixed]],"MMM-YYYY")</f>
        <v>Aug-2014</v>
      </c>
      <c r="L142">
        <v>747327220</v>
      </c>
      <c r="M142" s="2">
        <f t="shared" si="5"/>
        <v>41897</v>
      </c>
      <c r="N142">
        <f>DAY(Europe_Sales_Records34[[#This Row],[Ship Date Fixed]])</f>
        <v>15</v>
      </c>
      <c r="O142" t="str">
        <f>TEXT(Europe_Sales_Records34[[#This Row],[Ship Date Fixed]],"MMM")</f>
        <v>Sep</v>
      </c>
      <c r="P142">
        <f>YEAR(Europe_Sales_Records34[[#This Row],[Ship Date Fixed]])</f>
        <v>2014</v>
      </c>
      <c r="Q142" t="str">
        <f>TEXT(Europe_Sales_Records34[[#This Row],[Ship Date Fixed]],"MMM-YYYY")</f>
        <v>Sep-2014</v>
      </c>
      <c r="R142" t="s">
        <v>343</v>
      </c>
      <c r="S142" s="3">
        <f>Europe_Sales_Records34[[#This Row],[Ship Date Fixed]]-Europe_Sales_Records34[[#This Row],[Order Date Fixed]]</f>
        <v>28</v>
      </c>
      <c r="T142">
        <v>9587</v>
      </c>
      <c r="U142">
        <v>152.58000000000001</v>
      </c>
      <c r="V142">
        <v>97.44</v>
      </c>
      <c r="W142">
        <f>Europe_Sales_Records34[[#This Row],[Total Revenue]]/Europe_Sales_Records34[[#This Row],[Units Sold]]</f>
        <v>152.57999999999998</v>
      </c>
      <c r="X142">
        <v>1462784.46</v>
      </c>
      <c r="Y142">
        <v>934157.28</v>
      </c>
      <c r="Z142" s="4">
        <f>Europe_Sales_Records34[[#This Row],[Total Profit]]/Europe_Sales_Records34[[#This Row],[Total Revenue]]</f>
        <v>0.36138419189933152</v>
      </c>
      <c r="AA142">
        <v>528627.18000000005</v>
      </c>
    </row>
    <row r="143" spans="1:27" x14ac:dyDescent="0.3">
      <c r="A143" t="s">
        <v>14</v>
      </c>
      <c r="B143" t="s">
        <v>21</v>
      </c>
      <c r="C143" t="s">
        <v>22</v>
      </c>
      <c r="D143" t="s">
        <v>23</v>
      </c>
      <c r="E143" t="s">
        <v>24</v>
      </c>
      <c r="F143" t="s">
        <v>344</v>
      </c>
      <c r="G143" s="2">
        <f t="shared" si="4"/>
        <v>40826</v>
      </c>
      <c r="H143">
        <f>DAY(Europe_Sales_Records34[[#This Row],[Order Date Fixed]])</f>
        <v>10</v>
      </c>
      <c r="I143" t="str">
        <f>TEXT(Europe_Sales_Records34[[#This Row],[Order Date Fixed]],"MMM")</f>
        <v>Oct</v>
      </c>
      <c r="J143">
        <f>YEAR(Europe_Sales_Records34[[#This Row],[Order Date Fixed]])</f>
        <v>2011</v>
      </c>
      <c r="K143" t="str">
        <f>TEXT(Europe_Sales_Records34[[#This Row],[Order Date Fixed]],"MMM-YYYY")</f>
        <v>Oct-2011</v>
      </c>
      <c r="L143">
        <v>166810500</v>
      </c>
      <c r="M143" s="2">
        <f t="shared" si="5"/>
        <v>40868</v>
      </c>
      <c r="N143">
        <f>DAY(Europe_Sales_Records34[[#This Row],[Ship Date Fixed]])</f>
        <v>21</v>
      </c>
      <c r="O143" t="str">
        <f>TEXT(Europe_Sales_Records34[[#This Row],[Ship Date Fixed]],"MMM")</f>
        <v>Nov</v>
      </c>
      <c r="P143">
        <f>YEAR(Europe_Sales_Records34[[#This Row],[Ship Date Fixed]])</f>
        <v>2011</v>
      </c>
      <c r="Q143" t="str">
        <f>TEXT(Europe_Sales_Records34[[#This Row],[Ship Date Fixed]],"MMM-YYYY")</f>
        <v>Nov-2011</v>
      </c>
      <c r="R143" t="s">
        <v>345</v>
      </c>
      <c r="S143" s="3">
        <f>Europe_Sales_Records34[[#This Row],[Ship Date Fixed]]-Europe_Sales_Records34[[#This Row],[Order Date Fixed]]</f>
        <v>42</v>
      </c>
      <c r="T143">
        <v>1789</v>
      </c>
      <c r="U143">
        <v>109.28</v>
      </c>
      <c r="V143">
        <v>35.840000000000003</v>
      </c>
      <c r="W143">
        <f>Europe_Sales_Records34[[#This Row],[Total Revenue]]/Europe_Sales_Records34[[#This Row],[Units Sold]]</f>
        <v>109.28</v>
      </c>
      <c r="X143">
        <v>195501.92</v>
      </c>
      <c r="Y143">
        <v>64117.760000000002</v>
      </c>
      <c r="Z143" s="4">
        <f>Europe_Sales_Records34[[#This Row],[Total Profit]]/Europe_Sales_Records34[[#This Row],[Total Revenue]]</f>
        <v>0.67203513909224011</v>
      </c>
      <c r="AA143">
        <v>131384.16</v>
      </c>
    </row>
    <row r="144" spans="1:27" x14ac:dyDescent="0.3">
      <c r="A144" t="s">
        <v>14</v>
      </c>
      <c r="B144" t="s">
        <v>138</v>
      </c>
      <c r="C144" t="s">
        <v>102</v>
      </c>
      <c r="D144" t="s">
        <v>17</v>
      </c>
      <c r="E144" t="s">
        <v>24</v>
      </c>
      <c r="F144" t="s">
        <v>346</v>
      </c>
      <c r="G144" s="2">
        <f t="shared" si="4"/>
        <v>41364</v>
      </c>
      <c r="H144">
        <f>DAY(Europe_Sales_Records34[[#This Row],[Order Date Fixed]])</f>
        <v>31</v>
      </c>
      <c r="I144" t="str">
        <f>TEXT(Europe_Sales_Records34[[#This Row],[Order Date Fixed]],"MMM")</f>
        <v>Mar</v>
      </c>
      <c r="J144">
        <f>YEAR(Europe_Sales_Records34[[#This Row],[Order Date Fixed]])</f>
        <v>2013</v>
      </c>
      <c r="K144" t="str">
        <f>TEXT(Europe_Sales_Records34[[#This Row],[Order Date Fixed]],"MMM-YYYY")</f>
        <v>Mar-2013</v>
      </c>
      <c r="L144">
        <v>386009633</v>
      </c>
      <c r="M144" s="2">
        <f t="shared" si="5"/>
        <v>41369</v>
      </c>
      <c r="N144">
        <f>DAY(Europe_Sales_Records34[[#This Row],[Ship Date Fixed]])</f>
        <v>5</v>
      </c>
      <c r="O144" t="str">
        <f>TEXT(Europe_Sales_Records34[[#This Row],[Ship Date Fixed]],"MMM")</f>
        <v>Apr</v>
      </c>
      <c r="P144">
        <f>YEAR(Europe_Sales_Records34[[#This Row],[Ship Date Fixed]])</f>
        <v>2013</v>
      </c>
      <c r="Q144" t="str">
        <f>TEXT(Europe_Sales_Records34[[#This Row],[Ship Date Fixed]],"MMM-YYYY")</f>
        <v>Apr-2013</v>
      </c>
      <c r="R144" t="s">
        <v>347</v>
      </c>
      <c r="S144" s="3">
        <f>Europe_Sales_Records34[[#This Row],[Ship Date Fixed]]-Europe_Sales_Records34[[#This Row],[Order Date Fixed]]</f>
        <v>5</v>
      </c>
      <c r="T144">
        <v>7683</v>
      </c>
      <c r="U144">
        <v>81.73</v>
      </c>
      <c r="V144">
        <v>56.67</v>
      </c>
      <c r="W144">
        <f>Europe_Sales_Records34[[#This Row],[Total Revenue]]/Europe_Sales_Records34[[#This Row],[Units Sold]]</f>
        <v>81.72999999999999</v>
      </c>
      <c r="X144">
        <v>627931.59</v>
      </c>
      <c r="Y144">
        <v>435395.61</v>
      </c>
      <c r="Z144" s="4">
        <f>Europe_Sales_Records34[[#This Row],[Total Profit]]/Europe_Sales_Records34[[#This Row],[Total Revenue]]</f>
        <v>0.30661935641747218</v>
      </c>
      <c r="AA144">
        <v>192535.98</v>
      </c>
    </row>
    <row r="145" spans="1:27" x14ac:dyDescent="0.3">
      <c r="A145" t="s">
        <v>14</v>
      </c>
      <c r="B145" t="s">
        <v>196</v>
      </c>
      <c r="C145" t="s">
        <v>102</v>
      </c>
      <c r="D145" t="s">
        <v>17</v>
      </c>
      <c r="E145" t="s">
        <v>54</v>
      </c>
      <c r="F145" t="s">
        <v>348</v>
      </c>
      <c r="G145" s="2">
        <f t="shared" si="4"/>
        <v>42408</v>
      </c>
      <c r="H145">
        <f>DAY(Europe_Sales_Records34[[#This Row],[Order Date Fixed]])</f>
        <v>8</v>
      </c>
      <c r="I145" t="str">
        <f>TEXT(Europe_Sales_Records34[[#This Row],[Order Date Fixed]],"MMM")</f>
        <v>Feb</v>
      </c>
      <c r="J145">
        <f>YEAR(Europe_Sales_Records34[[#This Row],[Order Date Fixed]])</f>
        <v>2016</v>
      </c>
      <c r="K145" t="str">
        <f>TEXT(Europe_Sales_Records34[[#This Row],[Order Date Fixed]],"MMM-YYYY")</f>
        <v>Feb-2016</v>
      </c>
      <c r="L145">
        <v>993368613</v>
      </c>
      <c r="M145" s="2">
        <f t="shared" si="5"/>
        <v>42416</v>
      </c>
      <c r="N145">
        <f>DAY(Europe_Sales_Records34[[#This Row],[Ship Date Fixed]])</f>
        <v>16</v>
      </c>
      <c r="O145" t="str">
        <f>TEXT(Europe_Sales_Records34[[#This Row],[Ship Date Fixed]],"MMM")</f>
        <v>Feb</v>
      </c>
      <c r="P145">
        <f>YEAR(Europe_Sales_Records34[[#This Row],[Ship Date Fixed]])</f>
        <v>2016</v>
      </c>
      <c r="Q145" t="str">
        <f>TEXT(Europe_Sales_Records34[[#This Row],[Ship Date Fixed]],"MMM-YYYY")</f>
        <v>Feb-2016</v>
      </c>
      <c r="R145" t="s">
        <v>349</v>
      </c>
      <c r="S145" s="3">
        <f>Europe_Sales_Records34[[#This Row],[Ship Date Fixed]]-Europe_Sales_Records34[[#This Row],[Order Date Fixed]]</f>
        <v>8</v>
      </c>
      <c r="T145">
        <v>8702</v>
      </c>
      <c r="U145">
        <v>81.73</v>
      </c>
      <c r="V145">
        <v>56.67</v>
      </c>
      <c r="W145">
        <f>Europe_Sales_Records34[[#This Row],[Total Revenue]]/Europe_Sales_Records34[[#This Row],[Units Sold]]</f>
        <v>81.72999999999999</v>
      </c>
      <c r="X145">
        <v>711214.46</v>
      </c>
      <c r="Y145">
        <v>493142.34</v>
      </c>
      <c r="Z145" s="4">
        <f>Europe_Sales_Records34[[#This Row],[Total Profit]]/Europe_Sales_Records34[[#This Row],[Total Revenue]]</f>
        <v>0.30661935641747218</v>
      </c>
      <c r="AA145">
        <v>218072.12</v>
      </c>
    </row>
    <row r="146" spans="1:27" x14ac:dyDescent="0.3">
      <c r="A146" t="s">
        <v>14</v>
      </c>
      <c r="B146" t="s">
        <v>196</v>
      </c>
      <c r="C146" t="s">
        <v>64</v>
      </c>
      <c r="D146" t="s">
        <v>23</v>
      </c>
      <c r="E146" t="s">
        <v>33</v>
      </c>
      <c r="F146" t="s">
        <v>350</v>
      </c>
      <c r="G146" s="2">
        <f t="shared" si="4"/>
        <v>41982</v>
      </c>
      <c r="H146">
        <f>DAY(Europe_Sales_Records34[[#This Row],[Order Date Fixed]])</f>
        <v>9</v>
      </c>
      <c r="I146" t="str">
        <f>TEXT(Europe_Sales_Records34[[#This Row],[Order Date Fixed]],"MMM")</f>
        <v>Dec</v>
      </c>
      <c r="J146">
        <f>YEAR(Europe_Sales_Records34[[#This Row],[Order Date Fixed]])</f>
        <v>2014</v>
      </c>
      <c r="K146" t="str">
        <f>TEXT(Europe_Sales_Records34[[#This Row],[Order Date Fixed]],"MMM-YYYY")</f>
        <v>Dec-2014</v>
      </c>
      <c r="L146">
        <v>405986297</v>
      </c>
      <c r="M146" s="2">
        <f t="shared" si="5"/>
        <v>42006</v>
      </c>
      <c r="N146">
        <f>DAY(Europe_Sales_Records34[[#This Row],[Ship Date Fixed]])</f>
        <v>2</v>
      </c>
      <c r="O146" t="str">
        <f>TEXT(Europe_Sales_Records34[[#This Row],[Ship Date Fixed]],"MMM")</f>
        <v>Jan</v>
      </c>
      <c r="P146">
        <f>YEAR(Europe_Sales_Records34[[#This Row],[Ship Date Fixed]])</f>
        <v>2015</v>
      </c>
      <c r="Q146" t="str">
        <f>TEXT(Europe_Sales_Records34[[#This Row],[Ship Date Fixed]],"MMM-YYYY")</f>
        <v>Jan-2015</v>
      </c>
      <c r="R146" t="s">
        <v>351</v>
      </c>
      <c r="S146" s="3">
        <f>Europe_Sales_Records34[[#This Row],[Ship Date Fixed]]-Europe_Sales_Records34[[#This Row],[Order Date Fixed]]</f>
        <v>24</v>
      </c>
      <c r="T146">
        <v>9222</v>
      </c>
      <c r="U146">
        <v>255.28</v>
      </c>
      <c r="V146">
        <v>159.41999999999999</v>
      </c>
      <c r="W146">
        <f>Europe_Sales_Records34[[#This Row],[Total Revenue]]/Europe_Sales_Records34[[#This Row],[Units Sold]]</f>
        <v>255.28000000000003</v>
      </c>
      <c r="X146">
        <v>2354192.16</v>
      </c>
      <c r="Y146">
        <v>1470171.24</v>
      </c>
      <c r="Z146" s="4">
        <f>Europe_Sales_Records34[[#This Row],[Total Profit]]/Europe_Sales_Records34[[#This Row],[Total Revenue]]</f>
        <v>0.37550924475086178</v>
      </c>
      <c r="AA146">
        <v>884020.92</v>
      </c>
    </row>
    <row r="147" spans="1:27" x14ac:dyDescent="0.3">
      <c r="A147" t="s">
        <v>14</v>
      </c>
      <c r="B147" t="s">
        <v>31</v>
      </c>
      <c r="C147" t="s">
        <v>16</v>
      </c>
      <c r="D147" t="s">
        <v>23</v>
      </c>
      <c r="E147" t="s">
        <v>54</v>
      </c>
      <c r="F147" t="s">
        <v>352</v>
      </c>
      <c r="G147" s="2">
        <f t="shared" si="4"/>
        <v>42404</v>
      </c>
      <c r="H147">
        <f>DAY(Europe_Sales_Records34[[#This Row],[Order Date Fixed]])</f>
        <v>4</v>
      </c>
      <c r="I147" t="str">
        <f>TEXT(Europe_Sales_Records34[[#This Row],[Order Date Fixed]],"MMM")</f>
        <v>Feb</v>
      </c>
      <c r="J147">
        <f>YEAR(Europe_Sales_Records34[[#This Row],[Order Date Fixed]])</f>
        <v>2016</v>
      </c>
      <c r="K147" t="str">
        <f>TEXT(Europe_Sales_Records34[[#This Row],[Order Date Fixed]],"MMM-YYYY")</f>
        <v>Feb-2016</v>
      </c>
      <c r="L147">
        <v>476794040</v>
      </c>
      <c r="M147" s="2">
        <f t="shared" si="5"/>
        <v>42436</v>
      </c>
      <c r="N147">
        <f>DAY(Europe_Sales_Records34[[#This Row],[Ship Date Fixed]])</f>
        <v>7</v>
      </c>
      <c r="O147" t="str">
        <f>TEXT(Europe_Sales_Records34[[#This Row],[Ship Date Fixed]],"MMM")</f>
        <v>Mar</v>
      </c>
      <c r="P147">
        <f>YEAR(Europe_Sales_Records34[[#This Row],[Ship Date Fixed]])</f>
        <v>2016</v>
      </c>
      <c r="Q147" t="str">
        <f>TEXT(Europe_Sales_Records34[[#This Row],[Ship Date Fixed]],"MMM-YYYY")</f>
        <v>Mar-2016</v>
      </c>
      <c r="R147" t="s">
        <v>353</v>
      </c>
      <c r="S147" s="3">
        <f>Europe_Sales_Records34[[#This Row],[Ship Date Fixed]]-Europe_Sales_Records34[[#This Row],[Order Date Fixed]]</f>
        <v>32</v>
      </c>
      <c r="T147">
        <v>2807</v>
      </c>
      <c r="U147">
        <v>47.45</v>
      </c>
      <c r="V147">
        <v>31.79</v>
      </c>
      <c r="W147">
        <f>Europe_Sales_Records34[[#This Row],[Total Revenue]]/Europe_Sales_Records34[[#This Row],[Units Sold]]</f>
        <v>47.449999999999996</v>
      </c>
      <c r="X147">
        <v>133192.15</v>
      </c>
      <c r="Y147">
        <v>89234.53</v>
      </c>
      <c r="Z147" s="4">
        <f>Europe_Sales_Records34[[#This Row],[Total Profit]]/Europe_Sales_Records34[[#This Row],[Total Revenue]]</f>
        <v>0.33003161222339306</v>
      </c>
      <c r="AA147">
        <v>43957.62</v>
      </c>
    </row>
    <row r="148" spans="1:27" x14ac:dyDescent="0.3">
      <c r="A148" t="s">
        <v>14</v>
      </c>
      <c r="B148" t="s">
        <v>83</v>
      </c>
      <c r="C148" t="s">
        <v>50</v>
      </c>
      <c r="D148" t="s">
        <v>17</v>
      </c>
      <c r="E148" t="s">
        <v>18</v>
      </c>
      <c r="F148" t="s">
        <v>354</v>
      </c>
      <c r="G148" s="2">
        <f t="shared" si="4"/>
        <v>40898</v>
      </c>
      <c r="H148">
        <f>DAY(Europe_Sales_Records34[[#This Row],[Order Date Fixed]])</f>
        <v>21</v>
      </c>
      <c r="I148" t="str">
        <f>TEXT(Europe_Sales_Records34[[#This Row],[Order Date Fixed]],"MMM")</f>
        <v>Dec</v>
      </c>
      <c r="J148">
        <f>YEAR(Europe_Sales_Records34[[#This Row],[Order Date Fixed]])</f>
        <v>2011</v>
      </c>
      <c r="K148" t="str">
        <f>TEXT(Europe_Sales_Records34[[#This Row],[Order Date Fixed]],"MMM-YYYY")</f>
        <v>Dec-2011</v>
      </c>
      <c r="L148">
        <v>380610454</v>
      </c>
      <c r="M148" s="2">
        <f t="shared" si="5"/>
        <v>40906</v>
      </c>
      <c r="N148">
        <f>DAY(Europe_Sales_Records34[[#This Row],[Ship Date Fixed]])</f>
        <v>29</v>
      </c>
      <c r="O148" t="str">
        <f>TEXT(Europe_Sales_Records34[[#This Row],[Ship Date Fixed]],"MMM")</f>
        <v>Dec</v>
      </c>
      <c r="P148">
        <f>YEAR(Europe_Sales_Records34[[#This Row],[Ship Date Fixed]])</f>
        <v>2011</v>
      </c>
      <c r="Q148" t="str">
        <f>TEXT(Europe_Sales_Records34[[#This Row],[Ship Date Fixed]],"MMM-YYYY")</f>
        <v>Dec-2011</v>
      </c>
      <c r="R148" t="s">
        <v>193</v>
      </c>
      <c r="S148" s="3">
        <f>Europe_Sales_Records34[[#This Row],[Ship Date Fixed]]-Europe_Sales_Records34[[#This Row],[Order Date Fixed]]</f>
        <v>8</v>
      </c>
      <c r="T148">
        <v>9946</v>
      </c>
      <c r="U148">
        <v>421.89</v>
      </c>
      <c r="V148">
        <v>364.69</v>
      </c>
      <c r="W148">
        <f>Europe_Sales_Records34[[#This Row],[Total Revenue]]/Europe_Sales_Records34[[#This Row],[Units Sold]]</f>
        <v>421.89000000000004</v>
      </c>
      <c r="X148">
        <v>4196117.9400000004</v>
      </c>
      <c r="Y148">
        <v>3627206.74</v>
      </c>
      <c r="Z148" s="4">
        <f>Europe_Sales_Records34[[#This Row],[Total Profit]]/Europe_Sales_Records34[[#This Row],[Total Revenue]]</f>
        <v>0.13558036455000116</v>
      </c>
      <c r="AA148">
        <v>568911.19999999995</v>
      </c>
    </row>
    <row r="149" spans="1:27" x14ac:dyDescent="0.3">
      <c r="A149" t="s">
        <v>14</v>
      </c>
      <c r="B149" t="s">
        <v>163</v>
      </c>
      <c r="C149" t="s">
        <v>46</v>
      </c>
      <c r="D149" t="s">
        <v>17</v>
      </c>
      <c r="E149" t="s">
        <v>33</v>
      </c>
      <c r="F149" t="s">
        <v>355</v>
      </c>
      <c r="G149" s="2">
        <f t="shared" si="4"/>
        <v>40940</v>
      </c>
      <c r="H149">
        <f>DAY(Europe_Sales_Records34[[#This Row],[Order Date Fixed]])</f>
        <v>1</v>
      </c>
      <c r="I149" t="str">
        <f>TEXT(Europe_Sales_Records34[[#This Row],[Order Date Fixed]],"MMM")</f>
        <v>Feb</v>
      </c>
      <c r="J149">
        <f>YEAR(Europe_Sales_Records34[[#This Row],[Order Date Fixed]])</f>
        <v>2012</v>
      </c>
      <c r="K149" t="str">
        <f>TEXT(Europe_Sales_Records34[[#This Row],[Order Date Fixed]],"MMM-YYYY")</f>
        <v>Feb-2012</v>
      </c>
      <c r="L149">
        <v>455040681</v>
      </c>
      <c r="M149" s="2">
        <f t="shared" si="5"/>
        <v>40941</v>
      </c>
      <c r="N149">
        <f>DAY(Europe_Sales_Records34[[#This Row],[Ship Date Fixed]])</f>
        <v>2</v>
      </c>
      <c r="O149" t="str">
        <f>TEXT(Europe_Sales_Records34[[#This Row],[Ship Date Fixed]],"MMM")</f>
        <v>Feb</v>
      </c>
      <c r="P149">
        <f>YEAR(Europe_Sales_Records34[[#This Row],[Ship Date Fixed]])</f>
        <v>2012</v>
      </c>
      <c r="Q149" t="str">
        <f>TEXT(Europe_Sales_Records34[[#This Row],[Ship Date Fixed]],"MMM-YYYY")</f>
        <v>Feb-2012</v>
      </c>
      <c r="R149" t="s">
        <v>356</v>
      </c>
      <c r="S149" s="3">
        <f>Europe_Sales_Records34[[#This Row],[Ship Date Fixed]]-Europe_Sales_Records34[[#This Row],[Order Date Fixed]]</f>
        <v>1</v>
      </c>
      <c r="T149">
        <v>5504</v>
      </c>
      <c r="U149">
        <v>154.06</v>
      </c>
      <c r="V149">
        <v>90.93</v>
      </c>
      <c r="W149">
        <f>Europe_Sales_Records34[[#This Row],[Total Revenue]]/Europe_Sales_Records34[[#This Row],[Units Sold]]</f>
        <v>154.06</v>
      </c>
      <c r="X149">
        <v>847946.23999999999</v>
      </c>
      <c r="Y149">
        <v>500478.71999999997</v>
      </c>
      <c r="Z149" s="4">
        <f>Europe_Sales_Records34[[#This Row],[Total Profit]]/Europe_Sales_Records34[[#This Row],[Total Revenue]]</f>
        <v>0.40977541217707392</v>
      </c>
      <c r="AA149">
        <v>347467.52000000002</v>
      </c>
    </row>
    <row r="150" spans="1:27" x14ac:dyDescent="0.3">
      <c r="A150" t="s">
        <v>14</v>
      </c>
      <c r="B150" t="s">
        <v>223</v>
      </c>
      <c r="C150" t="s">
        <v>22</v>
      </c>
      <c r="D150" t="s">
        <v>23</v>
      </c>
      <c r="E150" t="s">
        <v>24</v>
      </c>
      <c r="F150" t="s">
        <v>357</v>
      </c>
      <c r="G150" s="2">
        <f t="shared" si="4"/>
        <v>41527</v>
      </c>
      <c r="H150">
        <f>DAY(Europe_Sales_Records34[[#This Row],[Order Date Fixed]])</f>
        <v>10</v>
      </c>
      <c r="I150" t="str">
        <f>TEXT(Europe_Sales_Records34[[#This Row],[Order Date Fixed]],"MMM")</f>
        <v>Sep</v>
      </c>
      <c r="J150">
        <f>YEAR(Europe_Sales_Records34[[#This Row],[Order Date Fixed]])</f>
        <v>2013</v>
      </c>
      <c r="K150" t="str">
        <f>TEXT(Europe_Sales_Records34[[#This Row],[Order Date Fixed]],"MMM-YYYY")</f>
        <v>Sep-2013</v>
      </c>
      <c r="L150">
        <v>917792117</v>
      </c>
      <c r="M150" s="2">
        <f t="shared" si="5"/>
        <v>41554</v>
      </c>
      <c r="N150">
        <f>DAY(Europe_Sales_Records34[[#This Row],[Ship Date Fixed]])</f>
        <v>7</v>
      </c>
      <c r="O150" t="str">
        <f>TEXT(Europe_Sales_Records34[[#This Row],[Ship Date Fixed]],"MMM")</f>
        <v>Oct</v>
      </c>
      <c r="P150">
        <f>YEAR(Europe_Sales_Records34[[#This Row],[Ship Date Fixed]])</f>
        <v>2013</v>
      </c>
      <c r="Q150" t="str">
        <f>TEXT(Europe_Sales_Records34[[#This Row],[Ship Date Fixed]],"MMM-YYYY")</f>
        <v>Oct-2013</v>
      </c>
      <c r="R150" t="s">
        <v>358</v>
      </c>
      <c r="S150" s="3">
        <f>Europe_Sales_Records34[[#This Row],[Ship Date Fixed]]-Europe_Sales_Records34[[#This Row],[Order Date Fixed]]</f>
        <v>27</v>
      </c>
      <c r="T150">
        <v>3938</v>
      </c>
      <c r="U150">
        <v>109.28</v>
      </c>
      <c r="V150">
        <v>35.840000000000003</v>
      </c>
      <c r="W150">
        <f>Europe_Sales_Records34[[#This Row],[Total Revenue]]/Europe_Sales_Records34[[#This Row],[Units Sold]]</f>
        <v>109.28</v>
      </c>
      <c r="X150">
        <v>430344.64</v>
      </c>
      <c r="Y150">
        <v>141137.92000000001</v>
      </c>
      <c r="Z150" s="4">
        <f>Europe_Sales_Records34[[#This Row],[Total Profit]]/Europe_Sales_Records34[[#This Row],[Total Revenue]]</f>
        <v>0.67203513909224</v>
      </c>
      <c r="AA150">
        <v>289206.71999999997</v>
      </c>
    </row>
    <row r="151" spans="1:27" x14ac:dyDescent="0.3">
      <c r="A151" t="s">
        <v>14</v>
      </c>
      <c r="B151" t="s">
        <v>141</v>
      </c>
      <c r="C151" t="s">
        <v>75</v>
      </c>
      <c r="D151" t="s">
        <v>17</v>
      </c>
      <c r="E151" t="s">
        <v>33</v>
      </c>
      <c r="F151" t="s">
        <v>359</v>
      </c>
      <c r="G151" s="2">
        <f t="shared" si="4"/>
        <v>40721</v>
      </c>
      <c r="H151">
        <f>DAY(Europe_Sales_Records34[[#This Row],[Order Date Fixed]])</f>
        <v>27</v>
      </c>
      <c r="I151" t="str">
        <f>TEXT(Europe_Sales_Records34[[#This Row],[Order Date Fixed]],"MMM")</f>
        <v>Jun</v>
      </c>
      <c r="J151">
        <f>YEAR(Europe_Sales_Records34[[#This Row],[Order Date Fixed]])</f>
        <v>2011</v>
      </c>
      <c r="K151" t="str">
        <f>TEXT(Europe_Sales_Records34[[#This Row],[Order Date Fixed]],"MMM-YYYY")</f>
        <v>Jun-2011</v>
      </c>
      <c r="L151">
        <v>728793370</v>
      </c>
      <c r="M151" s="2">
        <f t="shared" si="5"/>
        <v>40767</v>
      </c>
      <c r="N151">
        <f>DAY(Europe_Sales_Records34[[#This Row],[Ship Date Fixed]])</f>
        <v>12</v>
      </c>
      <c r="O151" t="str">
        <f>TEXT(Europe_Sales_Records34[[#This Row],[Ship Date Fixed]],"MMM")</f>
        <v>Aug</v>
      </c>
      <c r="P151">
        <f>YEAR(Europe_Sales_Records34[[#This Row],[Ship Date Fixed]])</f>
        <v>2011</v>
      </c>
      <c r="Q151" t="str">
        <f>TEXT(Europe_Sales_Records34[[#This Row],[Ship Date Fixed]],"MMM-YYYY")</f>
        <v>Aug-2011</v>
      </c>
      <c r="R151" t="s">
        <v>360</v>
      </c>
      <c r="S151" s="3">
        <f>Europe_Sales_Records34[[#This Row],[Ship Date Fixed]]-Europe_Sales_Records34[[#This Row],[Order Date Fixed]]</f>
        <v>46</v>
      </c>
      <c r="T151">
        <v>5009</v>
      </c>
      <c r="U151">
        <v>437.2</v>
      </c>
      <c r="V151">
        <v>263.33</v>
      </c>
      <c r="W151">
        <f>Europe_Sales_Records34[[#This Row],[Total Revenue]]/Europe_Sales_Records34[[#This Row],[Units Sold]]</f>
        <v>437.2</v>
      </c>
      <c r="X151">
        <v>2189934.7999999998</v>
      </c>
      <c r="Y151">
        <v>1319019.97</v>
      </c>
      <c r="Z151" s="4">
        <f>Europe_Sales_Records34[[#This Row],[Total Profit]]/Europe_Sales_Records34[[#This Row],[Total Revenue]]</f>
        <v>0.39768984446477584</v>
      </c>
      <c r="AA151">
        <v>870914.83</v>
      </c>
    </row>
    <row r="152" spans="1:27" x14ac:dyDescent="0.3">
      <c r="A152" t="s">
        <v>14</v>
      </c>
      <c r="B152" t="s">
        <v>27</v>
      </c>
      <c r="C152" t="s">
        <v>37</v>
      </c>
      <c r="D152" t="s">
        <v>17</v>
      </c>
      <c r="E152" t="s">
        <v>24</v>
      </c>
      <c r="F152" t="s">
        <v>361</v>
      </c>
      <c r="G152" s="2">
        <f t="shared" si="4"/>
        <v>40653</v>
      </c>
      <c r="H152">
        <f>DAY(Europe_Sales_Records34[[#This Row],[Order Date Fixed]])</f>
        <v>20</v>
      </c>
      <c r="I152" t="str">
        <f>TEXT(Europe_Sales_Records34[[#This Row],[Order Date Fixed]],"MMM")</f>
        <v>Apr</v>
      </c>
      <c r="J152">
        <f>YEAR(Europe_Sales_Records34[[#This Row],[Order Date Fixed]])</f>
        <v>2011</v>
      </c>
      <c r="K152" t="str">
        <f>TEXT(Europe_Sales_Records34[[#This Row],[Order Date Fixed]],"MMM-YYYY")</f>
        <v>Apr-2011</v>
      </c>
      <c r="L152">
        <v>185960614</v>
      </c>
      <c r="M152" s="2">
        <f t="shared" si="5"/>
        <v>40691</v>
      </c>
      <c r="N152">
        <f>DAY(Europe_Sales_Records34[[#This Row],[Ship Date Fixed]])</f>
        <v>28</v>
      </c>
      <c r="O152" t="str">
        <f>TEXT(Europe_Sales_Records34[[#This Row],[Ship Date Fixed]],"MMM")</f>
        <v>May</v>
      </c>
      <c r="P152">
        <f>YEAR(Europe_Sales_Records34[[#This Row],[Ship Date Fixed]])</f>
        <v>2011</v>
      </c>
      <c r="Q152" t="str">
        <f>TEXT(Europe_Sales_Records34[[#This Row],[Ship Date Fixed]],"MMM-YYYY")</f>
        <v>May-2011</v>
      </c>
      <c r="R152" t="s">
        <v>362</v>
      </c>
      <c r="S152" s="3">
        <f>Europe_Sales_Records34[[#This Row],[Ship Date Fixed]]-Europe_Sales_Records34[[#This Row],[Order Date Fixed]]</f>
        <v>38</v>
      </c>
      <c r="T152">
        <v>8733</v>
      </c>
      <c r="U152">
        <v>9.33</v>
      </c>
      <c r="V152">
        <v>6.92</v>
      </c>
      <c r="W152">
        <f>Europe_Sales_Records34[[#This Row],[Total Revenue]]/Europe_Sales_Records34[[#This Row],[Units Sold]]</f>
        <v>9.33</v>
      </c>
      <c r="X152">
        <v>81478.89</v>
      </c>
      <c r="Y152">
        <v>60432.36</v>
      </c>
      <c r="Z152" s="4">
        <f>Europe_Sales_Records34[[#This Row],[Total Profit]]/Europe_Sales_Records34[[#This Row],[Total Revenue]]</f>
        <v>0.25830653804930331</v>
      </c>
      <c r="AA152">
        <v>21046.53</v>
      </c>
    </row>
    <row r="153" spans="1:27" x14ac:dyDescent="0.3">
      <c r="A153" t="s">
        <v>14</v>
      </c>
      <c r="B153" t="s">
        <v>53</v>
      </c>
      <c r="C153" t="s">
        <v>32</v>
      </c>
      <c r="D153" t="s">
        <v>17</v>
      </c>
      <c r="E153" t="s">
        <v>54</v>
      </c>
      <c r="F153" t="s">
        <v>313</v>
      </c>
      <c r="G153" s="2">
        <f t="shared" si="4"/>
        <v>40876</v>
      </c>
      <c r="H153">
        <f>DAY(Europe_Sales_Records34[[#This Row],[Order Date Fixed]])</f>
        <v>29</v>
      </c>
      <c r="I153" t="str">
        <f>TEXT(Europe_Sales_Records34[[#This Row],[Order Date Fixed]],"MMM")</f>
        <v>Nov</v>
      </c>
      <c r="J153">
        <f>YEAR(Europe_Sales_Records34[[#This Row],[Order Date Fixed]])</f>
        <v>2011</v>
      </c>
      <c r="K153" t="str">
        <f>TEXT(Europe_Sales_Records34[[#This Row],[Order Date Fixed]],"MMM-YYYY")</f>
        <v>Nov-2011</v>
      </c>
      <c r="L153">
        <v>445273578</v>
      </c>
      <c r="M153" s="2">
        <f t="shared" si="5"/>
        <v>40917</v>
      </c>
      <c r="N153">
        <f>DAY(Europe_Sales_Records34[[#This Row],[Ship Date Fixed]])</f>
        <v>9</v>
      </c>
      <c r="O153" t="str">
        <f>TEXT(Europe_Sales_Records34[[#This Row],[Ship Date Fixed]],"MMM")</f>
        <v>Jan</v>
      </c>
      <c r="P153">
        <f>YEAR(Europe_Sales_Records34[[#This Row],[Ship Date Fixed]])</f>
        <v>2012</v>
      </c>
      <c r="Q153" t="str">
        <f>TEXT(Europe_Sales_Records34[[#This Row],[Ship Date Fixed]],"MMM-YYYY")</f>
        <v>Jan-2012</v>
      </c>
      <c r="R153" t="s">
        <v>363</v>
      </c>
      <c r="S153" s="3">
        <f>Europe_Sales_Records34[[#This Row],[Ship Date Fixed]]-Europe_Sales_Records34[[#This Row],[Order Date Fixed]]</f>
        <v>41</v>
      </c>
      <c r="T153">
        <v>5201</v>
      </c>
      <c r="U153">
        <v>651.21</v>
      </c>
      <c r="V153">
        <v>524.96</v>
      </c>
      <c r="W153">
        <f>Europe_Sales_Records34[[#This Row],[Total Revenue]]/Europe_Sales_Records34[[#This Row],[Units Sold]]</f>
        <v>651.21</v>
      </c>
      <c r="X153">
        <v>3386943.21</v>
      </c>
      <c r="Y153">
        <v>2730316.96</v>
      </c>
      <c r="Z153" s="4">
        <f>Europe_Sales_Records34[[#This Row],[Total Profit]]/Europe_Sales_Records34[[#This Row],[Total Revenue]]</f>
        <v>0.19386987300563566</v>
      </c>
      <c r="AA153">
        <v>656626.25</v>
      </c>
    </row>
    <row r="154" spans="1:27" x14ac:dyDescent="0.3">
      <c r="A154" t="s">
        <v>14</v>
      </c>
      <c r="B154" t="s">
        <v>364</v>
      </c>
      <c r="C154" t="s">
        <v>64</v>
      </c>
      <c r="D154" t="s">
        <v>23</v>
      </c>
      <c r="E154" t="s">
        <v>33</v>
      </c>
      <c r="F154" t="s">
        <v>365</v>
      </c>
      <c r="G154" s="2">
        <f t="shared" si="4"/>
        <v>41665</v>
      </c>
      <c r="H154">
        <f>DAY(Europe_Sales_Records34[[#This Row],[Order Date Fixed]])</f>
        <v>26</v>
      </c>
      <c r="I154" t="str">
        <f>TEXT(Europe_Sales_Records34[[#This Row],[Order Date Fixed]],"MMM")</f>
        <v>Jan</v>
      </c>
      <c r="J154">
        <f>YEAR(Europe_Sales_Records34[[#This Row],[Order Date Fixed]])</f>
        <v>2014</v>
      </c>
      <c r="K154" t="str">
        <f>TEXT(Europe_Sales_Records34[[#This Row],[Order Date Fixed]],"MMM-YYYY")</f>
        <v>Jan-2014</v>
      </c>
      <c r="L154">
        <v>359197413</v>
      </c>
      <c r="M154" s="2">
        <f t="shared" si="5"/>
        <v>41706</v>
      </c>
      <c r="N154">
        <f>DAY(Europe_Sales_Records34[[#This Row],[Ship Date Fixed]])</f>
        <v>8</v>
      </c>
      <c r="O154" t="str">
        <f>TEXT(Europe_Sales_Records34[[#This Row],[Ship Date Fixed]],"MMM")</f>
        <v>Mar</v>
      </c>
      <c r="P154">
        <f>YEAR(Europe_Sales_Records34[[#This Row],[Ship Date Fixed]])</f>
        <v>2014</v>
      </c>
      <c r="Q154" t="str">
        <f>TEXT(Europe_Sales_Records34[[#This Row],[Ship Date Fixed]],"MMM-YYYY")</f>
        <v>Mar-2014</v>
      </c>
      <c r="R154" t="s">
        <v>366</v>
      </c>
      <c r="S154" s="3">
        <f>Europe_Sales_Records34[[#This Row],[Ship Date Fixed]]-Europe_Sales_Records34[[#This Row],[Order Date Fixed]]</f>
        <v>41</v>
      </c>
      <c r="T154">
        <v>3352</v>
      </c>
      <c r="U154">
        <v>255.28</v>
      </c>
      <c r="V154">
        <v>159.41999999999999</v>
      </c>
      <c r="W154">
        <f>Europe_Sales_Records34[[#This Row],[Total Revenue]]/Europe_Sales_Records34[[#This Row],[Units Sold]]</f>
        <v>255.28000000000003</v>
      </c>
      <c r="X154">
        <v>855698.56</v>
      </c>
      <c r="Y154">
        <v>534375.84</v>
      </c>
      <c r="Z154" s="4">
        <f>Europe_Sales_Records34[[#This Row],[Total Profit]]/Europe_Sales_Records34[[#This Row],[Total Revenue]]</f>
        <v>0.37550924475086173</v>
      </c>
      <c r="AA154">
        <v>321322.71999999997</v>
      </c>
    </row>
    <row r="155" spans="1:27" x14ac:dyDescent="0.3">
      <c r="A155" t="s">
        <v>14</v>
      </c>
      <c r="B155" t="s">
        <v>342</v>
      </c>
      <c r="C155" t="s">
        <v>102</v>
      </c>
      <c r="D155" t="s">
        <v>17</v>
      </c>
      <c r="E155" t="s">
        <v>33</v>
      </c>
      <c r="F155" t="s">
        <v>367</v>
      </c>
      <c r="G155" s="2">
        <f t="shared" si="4"/>
        <v>41408</v>
      </c>
      <c r="H155">
        <f>DAY(Europe_Sales_Records34[[#This Row],[Order Date Fixed]])</f>
        <v>14</v>
      </c>
      <c r="I155" t="str">
        <f>TEXT(Europe_Sales_Records34[[#This Row],[Order Date Fixed]],"MMM")</f>
        <v>May</v>
      </c>
      <c r="J155">
        <f>YEAR(Europe_Sales_Records34[[#This Row],[Order Date Fixed]])</f>
        <v>2013</v>
      </c>
      <c r="K155" t="str">
        <f>TEXT(Europe_Sales_Records34[[#This Row],[Order Date Fixed]],"MMM-YYYY")</f>
        <v>May-2013</v>
      </c>
      <c r="L155">
        <v>853036296</v>
      </c>
      <c r="M155" s="2">
        <f t="shared" si="5"/>
        <v>41426</v>
      </c>
      <c r="N155">
        <f>DAY(Europe_Sales_Records34[[#This Row],[Ship Date Fixed]])</f>
        <v>1</v>
      </c>
      <c r="O155" t="str">
        <f>TEXT(Europe_Sales_Records34[[#This Row],[Ship Date Fixed]],"MMM")</f>
        <v>Jun</v>
      </c>
      <c r="P155">
        <f>YEAR(Europe_Sales_Records34[[#This Row],[Ship Date Fixed]])</f>
        <v>2013</v>
      </c>
      <c r="Q155" t="str">
        <f>TEXT(Europe_Sales_Records34[[#This Row],[Ship Date Fixed]],"MMM-YYYY")</f>
        <v>Jun-2013</v>
      </c>
      <c r="R155" t="s">
        <v>308</v>
      </c>
      <c r="S155" s="3">
        <f>Europe_Sales_Records34[[#This Row],[Ship Date Fixed]]-Europe_Sales_Records34[[#This Row],[Order Date Fixed]]</f>
        <v>18</v>
      </c>
      <c r="T155">
        <v>1251</v>
      </c>
      <c r="U155">
        <v>81.73</v>
      </c>
      <c r="V155">
        <v>56.67</v>
      </c>
      <c r="W155">
        <f>Europe_Sales_Records34[[#This Row],[Total Revenue]]/Europe_Sales_Records34[[#This Row],[Units Sold]]</f>
        <v>81.72999999999999</v>
      </c>
      <c r="X155">
        <v>102244.23</v>
      </c>
      <c r="Y155">
        <v>70894.17</v>
      </c>
      <c r="Z155" s="4">
        <f>Europe_Sales_Records34[[#This Row],[Total Profit]]/Europe_Sales_Records34[[#This Row],[Total Revenue]]</f>
        <v>0.30661935641747218</v>
      </c>
      <c r="AA155">
        <v>31350.06</v>
      </c>
    </row>
    <row r="156" spans="1:27" x14ac:dyDescent="0.3">
      <c r="A156" t="s">
        <v>14</v>
      </c>
      <c r="B156" t="s">
        <v>49</v>
      </c>
      <c r="C156" t="s">
        <v>37</v>
      </c>
      <c r="D156" t="s">
        <v>17</v>
      </c>
      <c r="E156" t="s">
        <v>24</v>
      </c>
      <c r="F156" t="s">
        <v>368</v>
      </c>
      <c r="G156" s="2">
        <f t="shared" si="4"/>
        <v>40989</v>
      </c>
      <c r="H156">
        <f>DAY(Europe_Sales_Records34[[#This Row],[Order Date Fixed]])</f>
        <v>21</v>
      </c>
      <c r="I156" t="str">
        <f>TEXT(Europe_Sales_Records34[[#This Row],[Order Date Fixed]],"MMM")</f>
        <v>Mar</v>
      </c>
      <c r="J156">
        <f>YEAR(Europe_Sales_Records34[[#This Row],[Order Date Fixed]])</f>
        <v>2012</v>
      </c>
      <c r="K156" t="str">
        <f>TEXT(Europe_Sales_Records34[[#This Row],[Order Date Fixed]],"MMM-YYYY")</f>
        <v>Mar-2012</v>
      </c>
      <c r="L156">
        <v>567412793</v>
      </c>
      <c r="M156" s="2">
        <f t="shared" si="5"/>
        <v>40995</v>
      </c>
      <c r="N156">
        <f>DAY(Europe_Sales_Records34[[#This Row],[Ship Date Fixed]])</f>
        <v>27</v>
      </c>
      <c r="O156" t="str">
        <f>TEXT(Europe_Sales_Records34[[#This Row],[Ship Date Fixed]],"MMM")</f>
        <v>Mar</v>
      </c>
      <c r="P156">
        <f>YEAR(Europe_Sales_Records34[[#This Row],[Ship Date Fixed]])</f>
        <v>2012</v>
      </c>
      <c r="Q156" t="str">
        <f>TEXT(Europe_Sales_Records34[[#This Row],[Ship Date Fixed]],"MMM-YYYY")</f>
        <v>Mar-2012</v>
      </c>
      <c r="R156" t="s">
        <v>369</v>
      </c>
      <c r="S156" s="3">
        <f>Europe_Sales_Records34[[#This Row],[Ship Date Fixed]]-Europe_Sales_Records34[[#This Row],[Order Date Fixed]]</f>
        <v>6</v>
      </c>
      <c r="T156">
        <v>8910</v>
      </c>
      <c r="U156">
        <v>9.33</v>
      </c>
      <c r="V156">
        <v>6.92</v>
      </c>
      <c r="W156">
        <f>Europe_Sales_Records34[[#This Row],[Total Revenue]]/Europe_Sales_Records34[[#This Row],[Units Sold]]</f>
        <v>9.33</v>
      </c>
      <c r="X156">
        <v>83130.3</v>
      </c>
      <c r="Y156">
        <v>61657.2</v>
      </c>
      <c r="Z156" s="4">
        <f>Europe_Sales_Records34[[#This Row],[Total Profit]]/Europe_Sales_Records34[[#This Row],[Total Revenue]]</f>
        <v>0.25830653804930331</v>
      </c>
      <c r="AA156">
        <v>21473.1</v>
      </c>
    </row>
    <row r="157" spans="1:27" x14ac:dyDescent="0.3">
      <c r="A157" t="s">
        <v>14</v>
      </c>
      <c r="B157" t="s">
        <v>271</v>
      </c>
      <c r="C157" t="s">
        <v>75</v>
      </c>
      <c r="D157" t="s">
        <v>17</v>
      </c>
      <c r="E157" t="s">
        <v>54</v>
      </c>
      <c r="F157" t="s">
        <v>370</v>
      </c>
      <c r="G157" s="2">
        <f t="shared" si="4"/>
        <v>42609</v>
      </c>
      <c r="H157">
        <f>DAY(Europe_Sales_Records34[[#This Row],[Order Date Fixed]])</f>
        <v>27</v>
      </c>
      <c r="I157" t="str">
        <f>TEXT(Europe_Sales_Records34[[#This Row],[Order Date Fixed]],"MMM")</f>
        <v>Aug</v>
      </c>
      <c r="J157">
        <f>YEAR(Europe_Sales_Records34[[#This Row],[Order Date Fixed]])</f>
        <v>2016</v>
      </c>
      <c r="K157" t="str">
        <f>TEXT(Europe_Sales_Records34[[#This Row],[Order Date Fixed]],"MMM-YYYY")</f>
        <v>Aug-2016</v>
      </c>
      <c r="L157">
        <v>139201343</v>
      </c>
      <c r="M157" s="2">
        <f t="shared" si="5"/>
        <v>42619</v>
      </c>
      <c r="N157">
        <f>DAY(Europe_Sales_Records34[[#This Row],[Ship Date Fixed]])</f>
        <v>6</v>
      </c>
      <c r="O157" t="str">
        <f>TEXT(Europe_Sales_Records34[[#This Row],[Ship Date Fixed]],"MMM")</f>
        <v>Sep</v>
      </c>
      <c r="P157">
        <f>YEAR(Europe_Sales_Records34[[#This Row],[Ship Date Fixed]])</f>
        <v>2016</v>
      </c>
      <c r="Q157" t="str">
        <f>TEXT(Europe_Sales_Records34[[#This Row],[Ship Date Fixed]],"MMM-YYYY")</f>
        <v>Sep-2016</v>
      </c>
      <c r="R157" t="s">
        <v>371</v>
      </c>
      <c r="S157" s="3">
        <f>Europe_Sales_Records34[[#This Row],[Ship Date Fixed]]-Europe_Sales_Records34[[#This Row],[Order Date Fixed]]</f>
        <v>10</v>
      </c>
      <c r="T157">
        <v>1625</v>
      </c>
      <c r="U157">
        <v>437.2</v>
      </c>
      <c r="V157">
        <v>263.33</v>
      </c>
      <c r="W157">
        <f>Europe_Sales_Records34[[#This Row],[Total Revenue]]/Europe_Sales_Records34[[#This Row],[Units Sold]]</f>
        <v>437.2</v>
      </c>
      <c r="X157">
        <v>710450</v>
      </c>
      <c r="Y157">
        <v>427911.25</v>
      </c>
      <c r="Z157" s="4">
        <f>Europe_Sales_Records34[[#This Row],[Total Profit]]/Europe_Sales_Records34[[#This Row],[Total Revenue]]</f>
        <v>0.39768984446477584</v>
      </c>
      <c r="AA157">
        <v>282538.75</v>
      </c>
    </row>
    <row r="158" spans="1:27" x14ac:dyDescent="0.3">
      <c r="A158" t="s">
        <v>14</v>
      </c>
      <c r="B158" t="s">
        <v>74</v>
      </c>
      <c r="C158" t="s">
        <v>75</v>
      </c>
      <c r="D158" t="s">
        <v>23</v>
      </c>
      <c r="E158" t="s">
        <v>18</v>
      </c>
      <c r="F158" t="s">
        <v>372</v>
      </c>
      <c r="G158" s="2">
        <f t="shared" si="4"/>
        <v>41799</v>
      </c>
      <c r="H158">
        <f>DAY(Europe_Sales_Records34[[#This Row],[Order Date Fixed]])</f>
        <v>9</v>
      </c>
      <c r="I158" t="str">
        <f>TEXT(Europe_Sales_Records34[[#This Row],[Order Date Fixed]],"MMM")</f>
        <v>Jun</v>
      </c>
      <c r="J158">
        <f>YEAR(Europe_Sales_Records34[[#This Row],[Order Date Fixed]])</f>
        <v>2014</v>
      </c>
      <c r="K158" t="str">
        <f>TEXT(Europe_Sales_Records34[[#This Row],[Order Date Fixed]],"MMM-YYYY")</f>
        <v>Jun-2014</v>
      </c>
      <c r="L158">
        <v>183910119</v>
      </c>
      <c r="M158" s="2">
        <f t="shared" si="5"/>
        <v>41801</v>
      </c>
      <c r="N158">
        <f>DAY(Europe_Sales_Records34[[#This Row],[Ship Date Fixed]])</f>
        <v>11</v>
      </c>
      <c r="O158" t="str">
        <f>TEXT(Europe_Sales_Records34[[#This Row],[Ship Date Fixed]],"MMM")</f>
        <v>Jun</v>
      </c>
      <c r="P158">
        <f>YEAR(Europe_Sales_Records34[[#This Row],[Ship Date Fixed]])</f>
        <v>2014</v>
      </c>
      <c r="Q158" t="str">
        <f>TEXT(Europe_Sales_Records34[[#This Row],[Ship Date Fixed]],"MMM-YYYY")</f>
        <v>Jun-2014</v>
      </c>
      <c r="R158" t="s">
        <v>373</v>
      </c>
      <c r="S158" s="3">
        <f>Europe_Sales_Records34[[#This Row],[Ship Date Fixed]]-Europe_Sales_Records34[[#This Row],[Order Date Fixed]]</f>
        <v>2</v>
      </c>
      <c r="T158">
        <v>1946</v>
      </c>
      <c r="U158">
        <v>437.2</v>
      </c>
      <c r="V158">
        <v>263.33</v>
      </c>
      <c r="W158">
        <f>Europe_Sales_Records34[[#This Row],[Total Revenue]]/Europe_Sales_Records34[[#This Row],[Units Sold]]</f>
        <v>437.2</v>
      </c>
      <c r="X158">
        <v>850791.2</v>
      </c>
      <c r="Y158">
        <v>512440.18</v>
      </c>
      <c r="Z158" s="4">
        <f>Europe_Sales_Records34[[#This Row],[Total Profit]]/Europe_Sales_Records34[[#This Row],[Total Revenue]]</f>
        <v>0.3976898444647759</v>
      </c>
      <c r="AA158">
        <v>338351.02</v>
      </c>
    </row>
    <row r="159" spans="1:27" x14ac:dyDescent="0.3">
      <c r="A159" t="s">
        <v>14</v>
      </c>
      <c r="B159" t="s">
        <v>45</v>
      </c>
      <c r="C159" t="s">
        <v>22</v>
      </c>
      <c r="D159" t="s">
        <v>23</v>
      </c>
      <c r="E159" t="s">
        <v>54</v>
      </c>
      <c r="F159" t="s">
        <v>374</v>
      </c>
      <c r="G159" s="2">
        <f t="shared" si="4"/>
        <v>41585</v>
      </c>
      <c r="H159">
        <f>DAY(Europe_Sales_Records34[[#This Row],[Order Date Fixed]])</f>
        <v>7</v>
      </c>
      <c r="I159" t="str">
        <f>TEXT(Europe_Sales_Records34[[#This Row],[Order Date Fixed]],"MMM")</f>
        <v>Nov</v>
      </c>
      <c r="J159">
        <f>YEAR(Europe_Sales_Records34[[#This Row],[Order Date Fixed]])</f>
        <v>2013</v>
      </c>
      <c r="K159" t="str">
        <f>TEXT(Europe_Sales_Records34[[#This Row],[Order Date Fixed]],"MMM-YYYY")</f>
        <v>Nov-2013</v>
      </c>
      <c r="L159">
        <v>922363460</v>
      </c>
      <c r="M159" s="2">
        <f t="shared" si="5"/>
        <v>41601</v>
      </c>
      <c r="N159">
        <f>DAY(Europe_Sales_Records34[[#This Row],[Ship Date Fixed]])</f>
        <v>23</v>
      </c>
      <c r="O159" t="str">
        <f>TEXT(Europe_Sales_Records34[[#This Row],[Ship Date Fixed]],"MMM")</f>
        <v>Nov</v>
      </c>
      <c r="P159">
        <f>YEAR(Europe_Sales_Records34[[#This Row],[Ship Date Fixed]])</f>
        <v>2013</v>
      </c>
      <c r="Q159" t="str">
        <f>TEXT(Europe_Sales_Records34[[#This Row],[Ship Date Fixed]],"MMM-YYYY")</f>
        <v>Nov-2013</v>
      </c>
      <c r="R159" t="s">
        <v>375</v>
      </c>
      <c r="S159" s="3">
        <f>Europe_Sales_Records34[[#This Row],[Ship Date Fixed]]-Europe_Sales_Records34[[#This Row],[Order Date Fixed]]</f>
        <v>16</v>
      </c>
      <c r="T159">
        <v>6700</v>
      </c>
      <c r="U159">
        <v>109.28</v>
      </c>
      <c r="V159">
        <v>35.840000000000003</v>
      </c>
      <c r="W159">
        <f>Europe_Sales_Records34[[#This Row],[Total Revenue]]/Europe_Sales_Records34[[#This Row],[Units Sold]]</f>
        <v>109.28</v>
      </c>
      <c r="X159">
        <v>732176</v>
      </c>
      <c r="Y159">
        <v>240128</v>
      </c>
      <c r="Z159" s="4">
        <f>Europe_Sales_Records34[[#This Row],[Total Profit]]/Europe_Sales_Records34[[#This Row],[Total Revenue]]</f>
        <v>0.67203513909224011</v>
      </c>
      <c r="AA159">
        <v>492048</v>
      </c>
    </row>
    <row r="160" spans="1:27" x14ac:dyDescent="0.3">
      <c r="A160" t="s">
        <v>14</v>
      </c>
      <c r="B160" t="s">
        <v>27</v>
      </c>
      <c r="C160" t="s">
        <v>16</v>
      </c>
      <c r="D160" t="s">
        <v>17</v>
      </c>
      <c r="E160" t="s">
        <v>18</v>
      </c>
      <c r="F160" t="s">
        <v>376</v>
      </c>
      <c r="G160" s="2">
        <f t="shared" si="4"/>
        <v>41001</v>
      </c>
      <c r="H160">
        <f>DAY(Europe_Sales_Records34[[#This Row],[Order Date Fixed]])</f>
        <v>2</v>
      </c>
      <c r="I160" t="str">
        <f>TEXT(Europe_Sales_Records34[[#This Row],[Order Date Fixed]],"MMM")</f>
        <v>Apr</v>
      </c>
      <c r="J160">
        <f>YEAR(Europe_Sales_Records34[[#This Row],[Order Date Fixed]])</f>
        <v>2012</v>
      </c>
      <c r="K160" t="str">
        <f>TEXT(Europe_Sales_Records34[[#This Row],[Order Date Fixed]],"MMM-YYYY")</f>
        <v>Apr-2012</v>
      </c>
      <c r="L160">
        <v>192922341</v>
      </c>
      <c r="M160" s="2">
        <f t="shared" si="5"/>
        <v>41030</v>
      </c>
      <c r="N160">
        <f>DAY(Europe_Sales_Records34[[#This Row],[Ship Date Fixed]])</f>
        <v>1</v>
      </c>
      <c r="O160" t="str">
        <f>TEXT(Europe_Sales_Records34[[#This Row],[Ship Date Fixed]],"MMM")</f>
        <v>May</v>
      </c>
      <c r="P160">
        <f>YEAR(Europe_Sales_Records34[[#This Row],[Ship Date Fixed]])</f>
        <v>2012</v>
      </c>
      <c r="Q160" t="str">
        <f>TEXT(Europe_Sales_Records34[[#This Row],[Ship Date Fixed]],"MMM-YYYY")</f>
        <v>May-2012</v>
      </c>
      <c r="R160" t="s">
        <v>377</v>
      </c>
      <c r="S160" s="3">
        <f>Europe_Sales_Records34[[#This Row],[Ship Date Fixed]]-Europe_Sales_Records34[[#This Row],[Order Date Fixed]]</f>
        <v>29</v>
      </c>
      <c r="T160">
        <v>8863</v>
      </c>
      <c r="U160">
        <v>47.45</v>
      </c>
      <c r="V160">
        <v>31.79</v>
      </c>
      <c r="W160">
        <f>Europe_Sales_Records34[[#This Row],[Total Revenue]]/Europe_Sales_Records34[[#This Row],[Units Sold]]</f>
        <v>47.449999999999996</v>
      </c>
      <c r="X160">
        <v>420549.35</v>
      </c>
      <c r="Y160">
        <v>281754.77</v>
      </c>
      <c r="Z160" s="4">
        <f>Europe_Sales_Records34[[#This Row],[Total Profit]]/Europe_Sales_Records34[[#This Row],[Total Revenue]]</f>
        <v>0.33003161222339306</v>
      </c>
      <c r="AA160">
        <v>138794.57999999999</v>
      </c>
    </row>
    <row r="161" spans="1:27" x14ac:dyDescent="0.3">
      <c r="A161" t="s">
        <v>14</v>
      </c>
      <c r="B161" t="s">
        <v>110</v>
      </c>
      <c r="C161" t="s">
        <v>28</v>
      </c>
      <c r="D161" t="s">
        <v>23</v>
      </c>
      <c r="E161" t="s">
        <v>33</v>
      </c>
      <c r="F161" t="s">
        <v>378</v>
      </c>
      <c r="G161" s="2">
        <f t="shared" si="4"/>
        <v>42889</v>
      </c>
      <c r="H161">
        <f>DAY(Europe_Sales_Records34[[#This Row],[Order Date Fixed]])</f>
        <v>3</v>
      </c>
      <c r="I161" t="str">
        <f>TEXT(Europe_Sales_Records34[[#This Row],[Order Date Fixed]],"MMM")</f>
        <v>Jun</v>
      </c>
      <c r="J161">
        <f>YEAR(Europe_Sales_Records34[[#This Row],[Order Date Fixed]])</f>
        <v>2017</v>
      </c>
      <c r="K161" t="str">
        <f>TEXT(Europe_Sales_Records34[[#This Row],[Order Date Fixed]],"MMM-YYYY")</f>
        <v>Jun-2017</v>
      </c>
      <c r="L161">
        <v>792178905</v>
      </c>
      <c r="M161" s="2">
        <f t="shared" si="5"/>
        <v>42937</v>
      </c>
      <c r="N161">
        <f>DAY(Europe_Sales_Records34[[#This Row],[Ship Date Fixed]])</f>
        <v>21</v>
      </c>
      <c r="O161" t="str">
        <f>TEXT(Europe_Sales_Records34[[#This Row],[Ship Date Fixed]],"MMM")</f>
        <v>Jul</v>
      </c>
      <c r="P161">
        <f>YEAR(Europe_Sales_Records34[[#This Row],[Ship Date Fixed]])</f>
        <v>2017</v>
      </c>
      <c r="Q161" t="str">
        <f>TEXT(Europe_Sales_Records34[[#This Row],[Ship Date Fixed]],"MMM-YYYY")</f>
        <v>Jul-2017</v>
      </c>
      <c r="R161" t="s">
        <v>379</v>
      </c>
      <c r="S161" s="3">
        <f>Europe_Sales_Records34[[#This Row],[Ship Date Fixed]]-Europe_Sales_Records34[[#This Row],[Order Date Fixed]]</f>
        <v>48</v>
      </c>
      <c r="T161">
        <v>2197</v>
      </c>
      <c r="U161">
        <v>205.7</v>
      </c>
      <c r="V161">
        <v>117.11</v>
      </c>
      <c r="W161">
        <f>Europe_Sales_Records34[[#This Row],[Total Revenue]]/Europe_Sales_Records34[[#This Row],[Units Sold]]</f>
        <v>205.70000000000002</v>
      </c>
      <c r="X161">
        <v>451922.9</v>
      </c>
      <c r="Y161">
        <v>257290.67</v>
      </c>
      <c r="Z161" s="4">
        <f>Europe_Sales_Records34[[#This Row],[Total Profit]]/Europe_Sales_Records34[[#This Row],[Total Revenue]]</f>
        <v>0.43067574137092851</v>
      </c>
      <c r="AA161">
        <v>194632.23</v>
      </c>
    </row>
    <row r="162" spans="1:27" x14ac:dyDescent="0.3">
      <c r="A162" t="s">
        <v>14</v>
      </c>
      <c r="B162" t="s">
        <v>83</v>
      </c>
      <c r="C162" t="s">
        <v>16</v>
      </c>
      <c r="D162" t="s">
        <v>23</v>
      </c>
      <c r="E162" t="s">
        <v>24</v>
      </c>
      <c r="F162" t="s">
        <v>380</v>
      </c>
      <c r="G162" s="2">
        <f t="shared" si="4"/>
        <v>40897</v>
      </c>
      <c r="H162">
        <f>DAY(Europe_Sales_Records34[[#This Row],[Order Date Fixed]])</f>
        <v>20</v>
      </c>
      <c r="I162" t="str">
        <f>TEXT(Europe_Sales_Records34[[#This Row],[Order Date Fixed]],"MMM")</f>
        <v>Dec</v>
      </c>
      <c r="J162">
        <f>YEAR(Europe_Sales_Records34[[#This Row],[Order Date Fixed]])</f>
        <v>2011</v>
      </c>
      <c r="K162" t="str">
        <f>TEXT(Europe_Sales_Records34[[#This Row],[Order Date Fixed]],"MMM-YYYY")</f>
        <v>Dec-2011</v>
      </c>
      <c r="L162">
        <v>424297845</v>
      </c>
      <c r="M162" s="2">
        <f t="shared" si="5"/>
        <v>40916</v>
      </c>
      <c r="N162">
        <f>DAY(Europe_Sales_Records34[[#This Row],[Ship Date Fixed]])</f>
        <v>8</v>
      </c>
      <c r="O162" t="str">
        <f>TEXT(Europe_Sales_Records34[[#This Row],[Ship Date Fixed]],"MMM")</f>
        <v>Jan</v>
      </c>
      <c r="P162">
        <f>YEAR(Europe_Sales_Records34[[#This Row],[Ship Date Fixed]])</f>
        <v>2012</v>
      </c>
      <c r="Q162" t="str">
        <f>TEXT(Europe_Sales_Records34[[#This Row],[Ship Date Fixed]],"MMM-YYYY")</f>
        <v>Jan-2012</v>
      </c>
      <c r="R162" t="s">
        <v>381</v>
      </c>
      <c r="S162" s="3">
        <f>Europe_Sales_Records34[[#This Row],[Ship Date Fixed]]-Europe_Sales_Records34[[#This Row],[Order Date Fixed]]</f>
        <v>19</v>
      </c>
      <c r="T162">
        <v>8016</v>
      </c>
      <c r="U162">
        <v>47.45</v>
      </c>
      <c r="V162">
        <v>31.79</v>
      </c>
      <c r="W162">
        <f>Europe_Sales_Records34[[#This Row],[Total Revenue]]/Europe_Sales_Records34[[#This Row],[Units Sold]]</f>
        <v>47.45</v>
      </c>
      <c r="X162">
        <v>380359.2</v>
      </c>
      <c r="Y162">
        <v>254828.64</v>
      </c>
      <c r="Z162" s="4">
        <f>Europe_Sales_Records34[[#This Row],[Total Profit]]/Europe_Sales_Records34[[#This Row],[Total Revenue]]</f>
        <v>0.33003161222339306</v>
      </c>
      <c r="AA162">
        <v>125530.56</v>
      </c>
    </row>
    <row r="163" spans="1:27" x14ac:dyDescent="0.3">
      <c r="A163" t="s">
        <v>14</v>
      </c>
      <c r="B163" t="s">
        <v>271</v>
      </c>
      <c r="C163" t="s">
        <v>64</v>
      </c>
      <c r="D163" t="s">
        <v>23</v>
      </c>
      <c r="E163" t="s">
        <v>54</v>
      </c>
      <c r="F163" t="s">
        <v>382</v>
      </c>
      <c r="G163" s="2">
        <f t="shared" si="4"/>
        <v>42878</v>
      </c>
      <c r="H163">
        <f>DAY(Europe_Sales_Records34[[#This Row],[Order Date Fixed]])</f>
        <v>23</v>
      </c>
      <c r="I163" t="str">
        <f>TEXT(Europe_Sales_Records34[[#This Row],[Order Date Fixed]],"MMM")</f>
        <v>May</v>
      </c>
      <c r="J163">
        <f>YEAR(Europe_Sales_Records34[[#This Row],[Order Date Fixed]])</f>
        <v>2017</v>
      </c>
      <c r="K163" t="str">
        <f>TEXT(Europe_Sales_Records34[[#This Row],[Order Date Fixed]],"MMM-YYYY")</f>
        <v>May-2017</v>
      </c>
      <c r="L163">
        <v>243684327</v>
      </c>
      <c r="M163" s="2">
        <f t="shared" si="5"/>
        <v>42885</v>
      </c>
      <c r="N163">
        <f>DAY(Europe_Sales_Records34[[#This Row],[Ship Date Fixed]])</f>
        <v>30</v>
      </c>
      <c r="O163" t="str">
        <f>TEXT(Europe_Sales_Records34[[#This Row],[Ship Date Fixed]],"MMM")</f>
        <v>May</v>
      </c>
      <c r="P163">
        <f>YEAR(Europe_Sales_Records34[[#This Row],[Ship Date Fixed]])</f>
        <v>2017</v>
      </c>
      <c r="Q163" t="str">
        <f>TEXT(Europe_Sales_Records34[[#This Row],[Ship Date Fixed]],"MMM-YYYY")</f>
        <v>May-2017</v>
      </c>
      <c r="R163" t="s">
        <v>383</v>
      </c>
      <c r="S163" s="3">
        <f>Europe_Sales_Records34[[#This Row],[Ship Date Fixed]]-Europe_Sales_Records34[[#This Row],[Order Date Fixed]]</f>
        <v>7</v>
      </c>
      <c r="T163">
        <v>462</v>
      </c>
      <c r="U163">
        <v>255.28</v>
      </c>
      <c r="V163">
        <v>159.41999999999999</v>
      </c>
      <c r="W163">
        <f>Europe_Sales_Records34[[#This Row],[Total Revenue]]/Europe_Sales_Records34[[#This Row],[Units Sold]]</f>
        <v>255.28</v>
      </c>
      <c r="X163">
        <v>117939.36</v>
      </c>
      <c r="Y163">
        <v>73652.039999999994</v>
      </c>
      <c r="Z163" s="4">
        <f>Europe_Sales_Records34[[#This Row],[Total Profit]]/Europe_Sales_Records34[[#This Row],[Total Revenue]]</f>
        <v>0.37550924475086178</v>
      </c>
      <c r="AA163">
        <v>44287.32</v>
      </c>
    </row>
    <row r="164" spans="1:27" x14ac:dyDescent="0.3">
      <c r="A164" t="s">
        <v>14</v>
      </c>
      <c r="B164" t="s">
        <v>61</v>
      </c>
      <c r="C164" t="s">
        <v>22</v>
      </c>
      <c r="D164" t="s">
        <v>17</v>
      </c>
      <c r="E164" t="s">
        <v>24</v>
      </c>
      <c r="F164" t="s">
        <v>384</v>
      </c>
      <c r="G164" s="2">
        <f t="shared" si="4"/>
        <v>41036</v>
      </c>
      <c r="H164">
        <f>DAY(Europe_Sales_Records34[[#This Row],[Order Date Fixed]])</f>
        <v>7</v>
      </c>
      <c r="I164" t="str">
        <f>TEXT(Europe_Sales_Records34[[#This Row],[Order Date Fixed]],"MMM")</f>
        <v>May</v>
      </c>
      <c r="J164">
        <f>YEAR(Europe_Sales_Records34[[#This Row],[Order Date Fixed]])</f>
        <v>2012</v>
      </c>
      <c r="K164" t="str">
        <f>TEXT(Europe_Sales_Records34[[#This Row],[Order Date Fixed]],"MMM-YYYY")</f>
        <v>May-2012</v>
      </c>
      <c r="L164">
        <v>152505099</v>
      </c>
      <c r="M164" s="2">
        <f t="shared" si="5"/>
        <v>41048</v>
      </c>
      <c r="N164">
        <f>DAY(Europe_Sales_Records34[[#This Row],[Ship Date Fixed]])</f>
        <v>19</v>
      </c>
      <c r="O164" t="str">
        <f>TEXT(Europe_Sales_Records34[[#This Row],[Ship Date Fixed]],"MMM")</f>
        <v>May</v>
      </c>
      <c r="P164">
        <f>YEAR(Europe_Sales_Records34[[#This Row],[Ship Date Fixed]])</f>
        <v>2012</v>
      </c>
      <c r="Q164" t="str">
        <f>TEXT(Europe_Sales_Records34[[#This Row],[Ship Date Fixed]],"MMM-YYYY")</f>
        <v>May-2012</v>
      </c>
      <c r="R164" t="s">
        <v>385</v>
      </c>
      <c r="S164" s="3">
        <f>Europe_Sales_Records34[[#This Row],[Ship Date Fixed]]-Europe_Sales_Records34[[#This Row],[Order Date Fixed]]</f>
        <v>12</v>
      </c>
      <c r="T164">
        <v>8503</v>
      </c>
      <c r="U164">
        <v>109.28</v>
      </c>
      <c r="V164">
        <v>35.840000000000003</v>
      </c>
      <c r="W164">
        <f>Europe_Sales_Records34[[#This Row],[Total Revenue]]/Europe_Sales_Records34[[#This Row],[Units Sold]]</f>
        <v>109.28</v>
      </c>
      <c r="X164">
        <v>929207.84</v>
      </c>
      <c r="Y164">
        <v>304747.52000000002</v>
      </c>
      <c r="Z164" s="4">
        <f>Europe_Sales_Records34[[#This Row],[Total Profit]]/Europe_Sales_Records34[[#This Row],[Total Revenue]]</f>
        <v>0.67203513909224011</v>
      </c>
      <c r="AA164">
        <v>624460.31999999995</v>
      </c>
    </row>
    <row r="165" spans="1:27" x14ac:dyDescent="0.3">
      <c r="A165" t="s">
        <v>14</v>
      </c>
      <c r="B165" t="s">
        <v>364</v>
      </c>
      <c r="C165" t="s">
        <v>64</v>
      </c>
      <c r="D165" t="s">
        <v>23</v>
      </c>
      <c r="E165" t="s">
        <v>33</v>
      </c>
      <c r="F165" t="s">
        <v>386</v>
      </c>
      <c r="G165" s="2">
        <f t="shared" si="4"/>
        <v>42179</v>
      </c>
      <c r="H165">
        <f>DAY(Europe_Sales_Records34[[#This Row],[Order Date Fixed]])</f>
        <v>24</v>
      </c>
      <c r="I165" t="str">
        <f>TEXT(Europe_Sales_Records34[[#This Row],[Order Date Fixed]],"MMM")</f>
        <v>Jun</v>
      </c>
      <c r="J165">
        <f>YEAR(Europe_Sales_Records34[[#This Row],[Order Date Fixed]])</f>
        <v>2015</v>
      </c>
      <c r="K165" t="str">
        <f>TEXT(Europe_Sales_Records34[[#This Row],[Order Date Fixed]],"MMM-YYYY")</f>
        <v>Jun-2015</v>
      </c>
      <c r="L165">
        <v>203036630</v>
      </c>
      <c r="M165" s="2">
        <f t="shared" si="5"/>
        <v>42213</v>
      </c>
      <c r="N165">
        <f>DAY(Europe_Sales_Records34[[#This Row],[Ship Date Fixed]])</f>
        <v>28</v>
      </c>
      <c r="O165" t="str">
        <f>TEXT(Europe_Sales_Records34[[#This Row],[Ship Date Fixed]],"MMM")</f>
        <v>Jul</v>
      </c>
      <c r="P165">
        <f>YEAR(Europe_Sales_Records34[[#This Row],[Ship Date Fixed]])</f>
        <v>2015</v>
      </c>
      <c r="Q165" t="str">
        <f>TEXT(Europe_Sales_Records34[[#This Row],[Ship Date Fixed]],"MMM-YYYY")</f>
        <v>Jul-2015</v>
      </c>
      <c r="R165" t="s">
        <v>387</v>
      </c>
      <c r="S165" s="3">
        <f>Europe_Sales_Records34[[#This Row],[Ship Date Fixed]]-Europe_Sales_Records34[[#This Row],[Order Date Fixed]]</f>
        <v>34</v>
      </c>
      <c r="T165">
        <v>1905</v>
      </c>
      <c r="U165">
        <v>255.28</v>
      </c>
      <c r="V165">
        <v>159.41999999999999</v>
      </c>
      <c r="W165">
        <f>Europe_Sales_Records34[[#This Row],[Total Revenue]]/Europe_Sales_Records34[[#This Row],[Units Sold]]</f>
        <v>255.28</v>
      </c>
      <c r="X165">
        <v>486308.4</v>
      </c>
      <c r="Y165">
        <v>303695.09999999998</v>
      </c>
      <c r="Z165" s="4">
        <f>Europe_Sales_Records34[[#This Row],[Total Profit]]/Europe_Sales_Records34[[#This Row],[Total Revenue]]</f>
        <v>0.37550924475086178</v>
      </c>
      <c r="AA165">
        <v>182613.3</v>
      </c>
    </row>
    <row r="166" spans="1:27" x14ac:dyDescent="0.3">
      <c r="A166" t="s">
        <v>14</v>
      </c>
      <c r="B166" t="s">
        <v>74</v>
      </c>
      <c r="C166" t="s">
        <v>58</v>
      </c>
      <c r="D166" t="s">
        <v>17</v>
      </c>
      <c r="E166" t="s">
        <v>18</v>
      </c>
      <c r="F166" t="s">
        <v>388</v>
      </c>
      <c r="G166" s="2">
        <f t="shared" si="4"/>
        <v>42394</v>
      </c>
      <c r="H166">
        <f>DAY(Europe_Sales_Records34[[#This Row],[Order Date Fixed]])</f>
        <v>25</v>
      </c>
      <c r="I166" t="str">
        <f>TEXT(Europe_Sales_Records34[[#This Row],[Order Date Fixed]],"MMM")</f>
        <v>Jan</v>
      </c>
      <c r="J166">
        <f>YEAR(Europe_Sales_Records34[[#This Row],[Order Date Fixed]])</f>
        <v>2016</v>
      </c>
      <c r="K166" t="str">
        <f>TEXT(Europe_Sales_Records34[[#This Row],[Order Date Fixed]],"MMM-YYYY")</f>
        <v>Jan-2016</v>
      </c>
      <c r="L166">
        <v>611791121</v>
      </c>
      <c r="M166" s="2">
        <f t="shared" si="5"/>
        <v>42432</v>
      </c>
      <c r="N166">
        <f>DAY(Europe_Sales_Records34[[#This Row],[Ship Date Fixed]])</f>
        <v>3</v>
      </c>
      <c r="O166" t="str">
        <f>TEXT(Europe_Sales_Records34[[#This Row],[Ship Date Fixed]],"MMM")</f>
        <v>Mar</v>
      </c>
      <c r="P166">
        <f>YEAR(Europe_Sales_Records34[[#This Row],[Ship Date Fixed]])</f>
        <v>2016</v>
      </c>
      <c r="Q166" t="str">
        <f>TEXT(Europe_Sales_Records34[[#This Row],[Ship Date Fixed]],"MMM-YYYY")</f>
        <v>Mar-2016</v>
      </c>
      <c r="R166" t="s">
        <v>389</v>
      </c>
      <c r="S166" s="3">
        <f>Europe_Sales_Records34[[#This Row],[Ship Date Fixed]]-Europe_Sales_Records34[[#This Row],[Order Date Fixed]]</f>
        <v>38</v>
      </c>
      <c r="T166">
        <v>1443</v>
      </c>
      <c r="U166">
        <v>152.58000000000001</v>
      </c>
      <c r="V166">
        <v>97.44</v>
      </c>
      <c r="W166">
        <f>Europe_Sales_Records34[[#This Row],[Total Revenue]]/Europe_Sales_Records34[[#This Row],[Units Sold]]</f>
        <v>152.58000000000001</v>
      </c>
      <c r="X166">
        <v>220172.94</v>
      </c>
      <c r="Y166">
        <v>140605.92000000001</v>
      </c>
      <c r="Z166" s="4">
        <f>Europe_Sales_Records34[[#This Row],[Total Profit]]/Europe_Sales_Records34[[#This Row],[Total Revenue]]</f>
        <v>0.36138419189933152</v>
      </c>
      <c r="AA166">
        <v>79567.02</v>
      </c>
    </row>
    <row r="167" spans="1:27" x14ac:dyDescent="0.3">
      <c r="A167" t="s">
        <v>14</v>
      </c>
      <c r="B167" t="s">
        <v>61</v>
      </c>
      <c r="C167" t="s">
        <v>28</v>
      </c>
      <c r="D167" t="s">
        <v>17</v>
      </c>
      <c r="E167" t="s">
        <v>18</v>
      </c>
      <c r="F167" t="s">
        <v>390</v>
      </c>
      <c r="G167" s="2">
        <f t="shared" si="4"/>
        <v>41112</v>
      </c>
      <c r="H167">
        <f>DAY(Europe_Sales_Records34[[#This Row],[Order Date Fixed]])</f>
        <v>22</v>
      </c>
      <c r="I167" t="str">
        <f>TEXT(Europe_Sales_Records34[[#This Row],[Order Date Fixed]],"MMM")</f>
        <v>Jul</v>
      </c>
      <c r="J167">
        <f>YEAR(Europe_Sales_Records34[[#This Row],[Order Date Fixed]])</f>
        <v>2012</v>
      </c>
      <c r="K167" t="str">
        <f>TEXT(Europe_Sales_Records34[[#This Row],[Order Date Fixed]],"MMM-YYYY")</f>
        <v>Jul-2012</v>
      </c>
      <c r="L167">
        <v>554554927</v>
      </c>
      <c r="M167" s="2">
        <f t="shared" si="5"/>
        <v>41127</v>
      </c>
      <c r="N167">
        <f>DAY(Europe_Sales_Records34[[#This Row],[Ship Date Fixed]])</f>
        <v>6</v>
      </c>
      <c r="O167" t="str">
        <f>TEXT(Europe_Sales_Records34[[#This Row],[Ship Date Fixed]],"MMM")</f>
        <v>Aug</v>
      </c>
      <c r="P167">
        <f>YEAR(Europe_Sales_Records34[[#This Row],[Ship Date Fixed]])</f>
        <v>2012</v>
      </c>
      <c r="Q167" t="str">
        <f>TEXT(Europe_Sales_Records34[[#This Row],[Ship Date Fixed]],"MMM-YYYY")</f>
        <v>Aug-2012</v>
      </c>
      <c r="R167" t="s">
        <v>391</v>
      </c>
      <c r="S167" s="3">
        <f>Europe_Sales_Records34[[#This Row],[Ship Date Fixed]]-Europe_Sales_Records34[[#This Row],[Order Date Fixed]]</f>
        <v>15</v>
      </c>
      <c r="T167">
        <v>3981</v>
      </c>
      <c r="U167">
        <v>205.7</v>
      </c>
      <c r="V167">
        <v>117.11</v>
      </c>
      <c r="W167">
        <f>Europe_Sales_Records34[[#This Row],[Total Revenue]]/Europe_Sales_Records34[[#This Row],[Units Sold]]</f>
        <v>205.7</v>
      </c>
      <c r="X167">
        <v>818891.7</v>
      </c>
      <c r="Y167">
        <v>466214.91</v>
      </c>
      <c r="Z167" s="4">
        <f>Europe_Sales_Records34[[#This Row],[Total Profit]]/Europe_Sales_Records34[[#This Row],[Total Revenue]]</f>
        <v>0.43067574137092851</v>
      </c>
      <c r="AA167">
        <v>352676.79</v>
      </c>
    </row>
    <row r="168" spans="1:27" x14ac:dyDescent="0.3">
      <c r="A168" t="s">
        <v>14</v>
      </c>
      <c r="B168" t="s">
        <v>21</v>
      </c>
      <c r="C168" t="s">
        <v>32</v>
      </c>
      <c r="D168" t="s">
        <v>17</v>
      </c>
      <c r="E168" t="s">
        <v>54</v>
      </c>
      <c r="F168" t="s">
        <v>392</v>
      </c>
      <c r="G168" s="2">
        <f t="shared" si="4"/>
        <v>41101</v>
      </c>
      <c r="H168">
        <f>DAY(Europe_Sales_Records34[[#This Row],[Order Date Fixed]])</f>
        <v>11</v>
      </c>
      <c r="I168" t="str">
        <f>TEXT(Europe_Sales_Records34[[#This Row],[Order Date Fixed]],"MMM")</f>
        <v>Jul</v>
      </c>
      <c r="J168">
        <f>YEAR(Europe_Sales_Records34[[#This Row],[Order Date Fixed]])</f>
        <v>2012</v>
      </c>
      <c r="K168" t="str">
        <f>TEXT(Europe_Sales_Records34[[#This Row],[Order Date Fixed]],"MMM-YYYY")</f>
        <v>Jul-2012</v>
      </c>
      <c r="L168">
        <v>434275662</v>
      </c>
      <c r="M168" s="2">
        <f t="shared" si="5"/>
        <v>41134</v>
      </c>
      <c r="N168">
        <f>DAY(Europe_Sales_Records34[[#This Row],[Ship Date Fixed]])</f>
        <v>13</v>
      </c>
      <c r="O168" t="str">
        <f>TEXT(Europe_Sales_Records34[[#This Row],[Ship Date Fixed]],"MMM")</f>
        <v>Aug</v>
      </c>
      <c r="P168">
        <f>YEAR(Europe_Sales_Records34[[#This Row],[Ship Date Fixed]])</f>
        <v>2012</v>
      </c>
      <c r="Q168" t="str">
        <f>TEXT(Europe_Sales_Records34[[#This Row],[Ship Date Fixed]],"MMM-YYYY")</f>
        <v>Aug-2012</v>
      </c>
      <c r="R168" t="s">
        <v>339</v>
      </c>
      <c r="S168" s="3">
        <f>Europe_Sales_Records34[[#This Row],[Ship Date Fixed]]-Europe_Sales_Records34[[#This Row],[Order Date Fixed]]</f>
        <v>33</v>
      </c>
      <c r="T168">
        <v>674</v>
      </c>
      <c r="U168">
        <v>651.21</v>
      </c>
      <c r="V168">
        <v>524.96</v>
      </c>
      <c r="W168">
        <f>Europe_Sales_Records34[[#This Row],[Total Revenue]]/Europe_Sales_Records34[[#This Row],[Units Sold]]</f>
        <v>651.20999999999992</v>
      </c>
      <c r="X168">
        <v>438915.54</v>
      </c>
      <c r="Y168">
        <v>353823.04</v>
      </c>
      <c r="Z168" s="4">
        <f>Europe_Sales_Records34[[#This Row],[Total Profit]]/Europe_Sales_Records34[[#This Row],[Total Revenue]]</f>
        <v>0.19386987300563568</v>
      </c>
      <c r="AA168">
        <v>85092.5</v>
      </c>
    </row>
    <row r="169" spans="1:27" x14ac:dyDescent="0.3">
      <c r="A169" t="s">
        <v>14</v>
      </c>
      <c r="B169" t="s">
        <v>196</v>
      </c>
      <c r="C169" t="s">
        <v>102</v>
      </c>
      <c r="D169" t="s">
        <v>17</v>
      </c>
      <c r="E169" t="s">
        <v>54</v>
      </c>
      <c r="F169" t="s">
        <v>393</v>
      </c>
      <c r="G169" s="2">
        <f t="shared" si="4"/>
        <v>41847</v>
      </c>
      <c r="H169">
        <f>DAY(Europe_Sales_Records34[[#This Row],[Order Date Fixed]])</f>
        <v>27</v>
      </c>
      <c r="I169" t="str">
        <f>TEXT(Europe_Sales_Records34[[#This Row],[Order Date Fixed]],"MMM")</f>
        <v>Jul</v>
      </c>
      <c r="J169">
        <f>YEAR(Europe_Sales_Records34[[#This Row],[Order Date Fixed]])</f>
        <v>2014</v>
      </c>
      <c r="K169" t="str">
        <f>TEXT(Europe_Sales_Records34[[#This Row],[Order Date Fixed]],"MMM-YYYY")</f>
        <v>Jul-2014</v>
      </c>
      <c r="L169">
        <v>835093390</v>
      </c>
      <c r="M169" s="2">
        <f t="shared" si="5"/>
        <v>41849</v>
      </c>
      <c r="N169">
        <f>DAY(Europe_Sales_Records34[[#This Row],[Ship Date Fixed]])</f>
        <v>29</v>
      </c>
      <c r="O169" t="str">
        <f>TEXT(Europe_Sales_Records34[[#This Row],[Ship Date Fixed]],"MMM")</f>
        <v>Jul</v>
      </c>
      <c r="P169">
        <f>YEAR(Europe_Sales_Records34[[#This Row],[Ship Date Fixed]])</f>
        <v>2014</v>
      </c>
      <c r="Q169" t="str">
        <f>TEXT(Europe_Sales_Records34[[#This Row],[Ship Date Fixed]],"MMM-YYYY")</f>
        <v>Jul-2014</v>
      </c>
      <c r="R169" t="s">
        <v>394</v>
      </c>
      <c r="S169" s="3">
        <f>Europe_Sales_Records34[[#This Row],[Ship Date Fixed]]-Europe_Sales_Records34[[#This Row],[Order Date Fixed]]</f>
        <v>2</v>
      </c>
      <c r="T169">
        <v>1547</v>
      </c>
      <c r="U169">
        <v>81.73</v>
      </c>
      <c r="V169">
        <v>56.67</v>
      </c>
      <c r="W169">
        <f>Europe_Sales_Records34[[#This Row],[Total Revenue]]/Europe_Sales_Records34[[#This Row],[Units Sold]]</f>
        <v>81.73</v>
      </c>
      <c r="X169">
        <v>126436.31</v>
      </c>
      <c r="Y169">
        <v>87668.49</v>
      </c>
      <c r="Z169" s="4">
        <f>Europe_Sales_Records34[[#This Row],[Total Profit]]/Europe_Sales_Records34[[#This Row],[Total Revenue]]</f>
        <v>0.30661935641747218</v>
      </c>
      <c r="AA169">
        <v>38767.82</v>
      </c>
    </row>
    <row r="170" spans="1:27" x14ac:dyDescent="0.3">
      <c r="A170" t="s">
        <v>14</v>
      </c>
      <c r="B170" t="s">
        <v>232</v>
      </c>
      <c r="C170" t="s">
        <v>16</v>
      </c>
      <c r="D170" t="s">
        <v>23</v>
      </c>
      <c r="E170" t="s">
        <v>24</v>
      </c>
      <c r="F170" t="s">
        <v>395</v>
      </c>
      <c r="G170" s="2">
        <f t="shared" si="4"/>
        <v>42772</v>
      </c>
      <c r="H170">
        <f>DAY(Europe_Sales_Records34[[#This Row],[Order Date Fixed]])</f>
        <v>6</v>
      </c>
      <c r="I170" t="str">
        <f>TEXT(Europe_Sales_Records34[[#This Row],[Order Date Fixed]],"MMM")</f>
        <v>Feb</v>
      </c>
      <c r="J170">
        <f>YEAR(Europe_Sales_Records34[[#This Row],[Order Date Fixed]])</f>
        <v>2017</v>
      </c>
      <c r="K170" t="str">
        <f>TEXT(Europe_Sales_Records34[[#This Row],[Order Date Fixed]],"MMM-YYYY")</f>
        <v>Feb-2017</v>
      </c>
      <c r="L170">
        <v>976323497</v>
      </c>
      <c r="M170" s="2">
        <f t="shared" si="5"/>
        <v>42776</v>
      </c>
      <c r="N170">
        <f>DAY(Europe_Sales_Records34[[#This Row],[Ship Date Fixed]])</f>
        <v>10</v>
      </c>
      <c r="O170" t="str">
        <f>TEXT(Europe_Sales_Records34[[#This Row],[Ship Date Fixed]],"MMM")</f>
        <v>Feb</v>
      </c>
      <c r="P170">
        <f>YEAR(Europe_Sales_Records34[[#This Row],[Ship Date Fixed]])</f>
        <v>2017</v>
      </c>
      <c r="Q170" t="str">
        <f>TEXT(Europe_Sales_Records34[[#This Row],[Ship Date Fixed]],"MMM-YYYY")</f>
        <v>Feb-2017</v>
      </c>
      <c r="R170" t="s">
        <v>396</v>
      </c>
      <c r="S170" s="3">
        <f>Europe_Sales_Records34[[#This Row],[Ship Date Fixed]]-Europe_Sales_Records34[[#This Row],[Order Date Fixed]]</f>
        <v>4</v>
      </c>
      <c r="T170">
        <v>4674</v>
      </c>
      <c r="U170">
        <v>47.45</v>
      </c>
      <c r="V170">
        <v>31.79</v>
      </c>
      <c r="W170">
        <f>Europe_Sales_Records34[[#This Row],[Total Revenue]]/Europe_Sales_Records34[[#This Row],[Units Sold]]</f>
        <v>47.449999999999996</v>
      </c>
      <c r="X170">
        <v>221781.3</v>
      </c>
      <c r="Y170">
        <v>148586.46</v>
      </c>
      <c r="Z170" s="4">
        <f>Europe_Sales_Records34[[#This Row],[Total Profit]]/Europe_Sales_Records34[[#This Row],[Total Revenue]]</f>
        <v>0.33003161222339306</v>
      </c>
      <c r="AA170">
        <v>73194.84</v>
      </c>
    </row>
    <row r="171" spans="1:27" x14ac:dyDescent="0.3">
      <c r="A171" t="s">
        <v>14</v>
      </c>
      <c r="B171" t="s">
        <v>138</v>
      </c>
      <c r="C171" t="s">
        <v>16</v>
      </c>
      <c r="D171" t="s">
        <v>23</v>
      </c>
      <c r="E171" t="s">
        <v>54</v>
      </c>
      <c r="F171" t="s">
        <v>397</v>
      </c>
      <c r="G171" s="2">
        <f t="shared" si="4"/>
        <v>41648</v>
      </c>
      <c r="H171">
        <f>DAY(Europe_Sales_Records34[[#This Row],[Order Date Fixed]])</f>
        <v>9</v>
      </c>
      <c r="I171" t="str">
        <f>TEXT(Europe_Sales_Records34[[#This Row],[Order Date Fixed]],"MMM")</f>
        <v>Jan</v>
      </c>
      <c r="J171">
        <f>YEAR(Europe_Sales_Records34[[#This Row],[Order Date Fixed]])</f>
        <v>2014</v>
      </c>
      <c r="K171" t="str">
        <f>TEXT(Europe_Sales_Records34[[#This Row],[Order Date Fixed]],"MMM-YYYY")</f>
        <v>Jan-2014</v>
      </c>
      <c r="L171">
        <v>732703387</v>
      </c>
      <c r="M171" s="2">
        <f t="shared" si="5"/>
        <v>41667</v>
      </c>
      <c r="N171">
        <f>DAY(Europe_Sales_Records34[[#This Row],[Ship Date Fixed]])</f>
        <v>28</v>
      </c>
      <c r="O171" t="str">
        <f>TEXT(Europe_Sales_Records34[[#This Row],[Ship Date Fixed]],"MMM")</f>
        <v>Jan</v>
      </c>
      <c r="P171">
        <f>YEAR(Europe_Sales_Records34[[#This Row],[Ship Date Fixed]])</f>
        <v>2014</v>
      </c>
      <c r="Q171" t="str">
        <f>TEXT(Europe_Sales_Records34[[#This Row],[Ship Date Fixed]],"MMM-YYYY")</f>
        <v>Jan-2014</v>
      </c>
      <c r="R171" t="s">
        <v>398</v>
      </c>
      <c r="S171" s="3">
        <f>Europe_Sales_Records34[[#This Row],[Ship Date Fixed]]-Europe_Sales_Records34[[#This Row],[Order Date Fixed]]</f>
        <v>19</v>
      </c>
      <c r="T171">
        <v>2069</v>
      </c>
      <c r="U171">
        <v>47.45</v>
      </c>
      <c r="V171">
        <v>31.79</v>
      </c>
      <c r="W171">
        <f>Europe_Sales_Records34[[#This Row],[Total Revenue]]/Europe_Sales_Records34[[#This Row],[Units Sold]]</f>
        <v>47.45</v>
      </c>
      <c r="X171">
        <v>98174.05</v>
      </c>
      <c r="Y171">
        <v>65773.509999999995</v>
      </c>
      <c r="Z171" s="4">
        <f>Europe_Sales_Records34[[#This Row],[Total Profit]]/Europe_Sales_Records34[[#This Row],[Total Revenue]]</f>
        <v>0.33003161222339306</v>
      </c>
      <c r="AA171">
        <v>32400.54</v>
      </c>
    </row>
    <row r="172" spans="1:27" x14ac:dyDescent="0.3">
      <c r="A172" t="s">
        <v>14</v>
      </c>
      <c r="B172" t="s">
        <v>97</v>
      </c>
      <c r="C172" t="s">
        <v>71</v>
      </c>
      <c r="D172" t="s">
        <v>23</v>
      </c>
      <c r="E172" t="s">
        <v>18</v>
      </c>
      <c r="F172" t="s">
        <v>399</v>
      </c>
      <c r="G172" s="2">
        <f t="shared" si="4"/>
        <v>41892</v>
      </c>
      <c r="H172">
        <f>DAY(Europe_Sales_Records34[[#This Row],[Order Date Fixed]])</f>
        <v>10</v>
      </c>
      <c r="I172" t="str">
        <f>TEXT(Europe_Sales_Records34[[#This Row],[Order Date Fixed]],"MMM")</f>
        <v>Sep</v>
      </c>
      <c r="J172">
        <f>YEAR(Europe_Sales_Records34[[#This Row],[Order Date Fixed]])</f>
        <v>2014</v>
      </c>
      <c r="K172" t="str">
        <f>TEXT(Europe_Sales_Records34[[#This Row],[Order Date Fixed]],"MMM-YYYY")</f>
        <v>Sep-2014</v>
      </c>
      <c r="L172">
        <v>873432672</v>
      </c>
      <c r="M172" s="2">
        <f t="shared" si="5"/>
        <v>41899</v>
      </c>
      <c r="N172">
        <f>DAY(Europe_Sales_Records34[[#This Row],[Ship Date Fixed]])</f>
        <v>17</v>
      </c>
      <c r="O172" t="str">
        <f>TEXT(Europe_Sales_Records34[[#This Row],[Ship Date Fixed]],"MMM")</f>
        <v>Sep</v>
      </c>
      <c r="P172">
        <f>YEAR(Europe_Sales_Records34[[#This Row],[Ship Date Fixed]])</f>
        <v>2014</v>
      </c>
      <c r="Q172" t="str">
        <f>TEXT(Europe_Sales_Records34[[#This Row],[Ship Date Fixed]],"MMM-YYYY")</f>
        <v>Sep-2014</v>
      </c>
      <c r="R172" t="s">
        <v>400</v>
      </c>
      <c r="S172" s="3">
        <f>Europe_Sales_Records34[[#This Row],[Ship Date Fixed]]-Europe_Sales_Records34[[#This Row],[Order Date Fixed]]</f>
        <v>7</v>
      </c>
      <c r="T172">
        <v>6992</v>
      </c>
      <c r="U172">
        <v>668.27</v>
      </c>
      <c r="V172">
        <v>502.54</v>
      </c>
      <c r="W172">
        <f>Europe_Sales_Records34[[#This Row],[Total Revenue]]/Europe_Sales_Records34[[#This Row],[Units Sold]]</f>
        <v>668.27</v>
      </c>
      <c r="X172">
        <v>4672543.84</v>
      </c>
      <c r="Y172">
        <v>3513759.68</v>
      </c>
      <c r="Z172" s="4">
        <f>Europe_Sales_Records34[[#This Row],[Total Profit]]/Europe_Sales_Records34[[#This Row],[Total Revenue]]</f>
        <v>0.24799856345489096</v>
      </c>
      <c r="AA172">
        <v>1158784.1599999999</v>
      </c>
    </row>
    <row r="173" spans="1:27" x14ac:dyDescent="0.3">
      <c r="A173" t="s">
        <v>14</v>
      </c>
      <c r="B173" t="s">
        <v>83</v>
      </c>
      <c r="C173" t="s">
        <v>22</v>
      </c>
      <c r="D173" t="s">
        <v>23</v>
      </c>
      <c r="E173" t="s">
        <v>18</v>
      </c>
      <c r="F173" t="s">
        <v>401</v>
      </c>
      <c r="G173" s="2">
        <f t="shared" si="4"/>
        <v>40719</v>
      </c>
      <c r="H173">
        <f>DAY(Europe_Sales_Records34[[#This Row],[Order Date Fixed]])</f>
        <v>25</v>
      </c>
      <c r="I173" t="str">
        <f>TEXT(Europe_Sales_Records34[[#This Row],[Order Date Fixed]],"MMM")</f>
        <v>Jun</v>
      </c>
      <c r="J173">
        <f>YEAR(Europe_Sales_Records34[[#This Row],[Order Date Fixed]])</f>
        <v>2011</v>
      </c>
      <c r="K173" t="str">
        <f>TEXT(Europe_Sales_Records34[[#This Row],[Order Date Fixed]],"MMM-YYYY")</f>
        <v>Jun-2011</v>
      </c>
      <c r="L173">
        <v>523580348</v>
      </c>
      <c r="M173" s="2">
        <f t="shared" si="5"/>
        <v>40759</v>
      </c>
      <c r="N173">
        <f>DAY(Europe_Sales_Records34[[#This Row],[Ship Date Fixed]])</f>
        <v>4</v>
      </c>
      <c r="O173" t="str">
        <f>TEXT(Europe_Sales_Records34[[#This Row],[Ship Date Fixed]],"MMM")</f>
        <v>Aug</v>
      </c>
      <c r="P173">
        <f>YEAR(Europe_Sales_Records34[[#This Row],[Ship Date Fixed]])</f>
        <v>2011</v>
      </c>
      <c r="Q173" t="str">
        <f>TEXT(Europe_Sales_Records34[[#This Row],[Ship Date Fixed]],"MMM-YYYY")</f>
        <v>Aug-2011</v>
      </c>
      <c r="R173" t="s">
        <v>402</v>
      </c>
      <c r="S173" s="3">
        <f>Europe_Sales_Records34[[#This Row],[Ship Date Fixed]]-Europe_Sales_Records34[[#This Row],[Order Date Fixed]]</f>
        <v>40</v>
      </c>
      <c r="T173">
        <v>7915</v>
      </c>
      <c r="U173">
        <v>109.28</v>
      </c>
      <c r="V173">
        <v>35.840000000000003</v>
      </c>
      <c r="W173">
        <f>Europe_Sales_Records34[[#This Row],[Total Revenue]]/Europe_Sales_Records34[[#This Row],[Units Sold]]</f>
        <v>109.28</v>
      </c>
      <c r="X173">
        <v>864951.2</v>
      </c>
      <c r="Y173">
        <v>283673.59999999998</v>
      </c>
      <c r="Z173" s="4">
        <f>Europe_Sales_Records34[[#This Row],[Total Profit]]/Europe_Sales_Records34[[#This Row],[Total Revenue]]</f>
        <v>0.67203513909224011</v>
      </c>
      <c r="AA173">
        <v>581277.6</v>
      </c>
    </row>
    <row r="174" spans="1:27" x14ac:dyDescent="0.3">
      <c r="A174" t="s">
        <v>14</v>
      </c>
      <c r="B174" t="s">
        <v>183</v>
      </c>
      <c r="C174" t="s">
        <v>102</v>
      </c>
      <c r="D174" t="s">
        <v>23</v>
      </c>
      <c r="E174" t="s">
        <v>24</v>
      </c>
      <c r="F174" t="s">
        <v>403</v>
      </c>
      <c r="G174" s="2">
        <f t="shared" si="4"/>
        <v>42841</v>
      </c>
      <c r="H174">
        <f>DAY(Europe_Sales_Records34[[#This Row],[Order Date Fixed]])</f>
        <v>16</v>
      </c>
      <c r="I174" t="str">
        <f>TEXT(Europe_Sales_Records34[[#This Row],[Order Date Fixed]],"MMM")</f>
        <v>Apr</v>
      </c>
      <c r="J174">
        <f>YEAR(Europe_Sales_Records34[[#This Row],[Order Date Fixed]])</f>
        <v>2017</v>
      </c>
      <c r="K174" t="str">
        <f>TEXT(Europe_Sales_Records34[[#This Row],[Order Date Fixed]],"MMM-YYYY")</f>
        <v>Apr-2017</v>
      </c>
      <c r="L174">
        <v>800045716</v>
      </c>
      <c r="M174" s="2">
        <f t="shared" si="5"/>
        <v>42869</v>
      </c>
      <c r="N174">
        <f>DAY(Europe_Sales_Records34[[#This Row],[Ship Date Fixed]])</f>
        <v>14</v>
      </c>
      <c r="O174" t="str">
        <f>TEXT(Europe_Sales_Records34[[#This Row],[Ship Date Fixed]],"MMM")</f>
        <v>May</v>
      </c>
      <c r="P174">
        <f>YEAR(Europe_Sales_Records34[[#This Row],[Ship Date Fixed]])</f>
        <v>2017</v>
      </c>
      <c r="Q174" t="str">
        <f>TEXT(Europe_Sales_Records34[[#This Row],[Ship Date Fixed]],"MMM-YYYY")</f>
        <v>May-2017</v>
      </c>
      <c r="R174" t="s">
        <v>404</v>
      </c>
      <c r="S174" s="3">
        <f>Europe_Sales_Records34[[#This Row],[Ship Date Fixed]]-Europe_Sales_Records34[[#This Row],[Order Date Fixed]]</f>
        <v>28</v>
      </c>
      <c r="T174">
        <v>161</v>
      </c>
      <c r="U174">
        <v>81.73</v>
      </c>
      <c r="V174">
        <v>56.67</v>
      </c>
      <c r="W174">
        <f>Europe_Sales_Records34[[#This Row],[Total Revenue]]/Europe_Sales_Records34[[#This Row],[Units Sold]]</f>
        <v>81.73</v>
      </c>
      <c r="X174">
        <v>13158.53</v>
      </c>
      <c r="Y174">
        <v>9123.8700000000008</v>
      </c>
      <c r="Z174" s="4">
        <f>Europe_Sales_Records34[[#This Row],[Total Profit]]/Europe_Sales_Records34[[#This Row],[Total Revenue]]</f>
        <v>0.30661935641747212</v>
      </c>
      <c r="AA174">
        <v>4034.66</v>
      </c>
    </row>
    <row r="175" spans="1:27" x14ac:dyDescent="0.3">
      <c r="A175" t="s">
        <v>14</v>
      </c>
      <c r="B175" t="s">
        <v>100</v>
      </c>
      <c r="C175" t="s">
        <v>46</v>
      </c>
      <c r="D175" t="s">
        <v>23</v>
      </c>
      <c r="E175" t="s">
        <v>24</v>
      </c>
      <c r="F175" t="s">
        <v>405</v>
      </c>
      <c r="G175" s="2">
        <f t="shared" si="4"/>
        <v>42500</v>
      </c>
      <c r="H175">
        <f>DAY(Europe_Sales_Records34[[#This Row],[Order Date Fixed]])</f>
        <v>10</v>
      </c>
      <c r="I175" t="str">
        <f>TEXT(Europe_Sales_Records34[[#This Row],[Order Date Fixed]],"MMM")</f>
        <v>May</v>
      </c>
      <c r="J175">
        <f>YEAR(Europe_Sales_Records34[[#This Row],[Order Date Fixed]])</f>
        <v>2016</v>
      </c>
      <c r="K175" t="str">
        <f>TEXT(Europe_Sales_Records34[[#This Row],[Order Date Fixed]],"MMM-YYYY")</f>
        <v>May-2016</v>
      </c>
      <c r="L175">
        <v>743769109</v>
      </c>
      <c r="M175" s="2">
        <f t="shared" si="5"/>
        <v>42501</v>
      </c>
      <c r="N175">
        <f>DAY(Europe_Sales_Records34[[#This Row],[Ship Date Fixed]])</f>
        <v>11</v>
      </c>
      <c r="O175" t="str">
        <f>TEXT(Europe_Sales_Records34[[#This Row],[Ship Date Fixed]],"MMM")</f>
        <v>May</v>
      </c>
      <c r="P175">
        <f>YEAR(Europe_Sales_Records34[[#This Row],[Ship Date Fixed]])</f>
        <v>2016</v>
      </c>
      <c r="Q175" t="str">
        <f>TEXT(Europe_Sales_Records34[[#This Row],[Ship Date Fixed]],"MMM-YYYY")</f>
        <v>May-2016</v>
      </c>
      <c r="R175" t="s">
        <v>406</v>
      </c>
      <c r="S175" s="3">
        <f>Europe_Sales_Records34[[#This Row],[Ship Date Fixed]]-Europe_Sales_Records34[[#This Row],[Order Date Fixed]]</f>
        <v>1</v>
      </c>
      <c r="T175">
        <v>6662</v>
      </c>
      <c r="U175">
        <v>154.06</v>
      </c>
      <c r="V175">
        <v>90.93</v>
      </c>
      <c r="W175">
        <f>Europe_Sales_Records34[[#This Row],[Total Revenue]]/Europe_Sales_Records34[[#This Row],[Units Sold]]</f>
        <v>154.06</v>
      </c>
      <c r="X175">
        <v>1026347.72</v>
      </c>
      <c r="Y175">
        <v>605775.66</v>
      </c>
      <c r="Z175" s="4">
        <f>Europe_Sales_Records34[[#This Row],[Total Profit]]/Europe_Sales_Records34[[#This Row],[Total Revenue]]</f>
        <v>0.40977541217707386</v>
      </c>
      <c r="AA175">
        <v>420572.06</v>
      </c>
    </row>
    <row r="176" spans="1:27" x14ac:dyDescent="0.3">
      <c r="A176" t="s">
        <v>14</v>
      </c>
      <c r="B176" t="s">
        <v>61</v>
      </c>
      <c r="C176" t="s">
        <v>58</v>
      </c>
      <c r="D176" t="s">
        <v>17</v>
      </c>
      <c r="E176" t="s">
        <v>33</v>
      </c>
      <c r="F176" t="s">
        <v>407</v>
      </c>
      <c r="G176" s="2">
        <f t="shared" si="4"/>
        <v>41283</v>
      </c>
      <c r="H176">
        <f>DAY(Europe_Sales_Records34[[#This Row],[Order Date Fixed]])</f>
        <v>9</v>
      </c>
      <c r="I176" t="str">
        <f>TEXT(Europe_Sales_Records34[[#This Row],[Order Date Fixed]],"MMM")</f>
        <v>Jan</v>
      </c>
      <c r="J176">
        <f>YEAR(Europe_Sales_Records34[[#This Row],[Order Date Fixed]])</f>
        <v>2013</v>
      </c>
      <c r="K176" t="str">
        <f>TEXT(Europe_Sales_Records34[[#This Row],[Order Date Fixed]],"MMM-YYYY")</f>
        <v>Jan-2013</v>
      </c>
      <c r="L176">
        <v>201294267</v>
      </c>
      <c r="M176" s="2">
        <f t="shared" si="5"/>
        <v>41314</v>
      </c>
      <c r="N176">
        <f>DAY(Europe_Sales_Records34[[#This Row],[Ship Date Fixed]])</f>
        <v>9</v>
      </c>
      <c r="O176" t="str">
        <f>TEXT(Europe_Sales_Records34[[#This Row],[Ship Date Fixed]],"MMM")</f>
        <v>Feb</v>
      </c>
      <c r="P176">
        <f>YEAR(Europe_Sales_Records34[[#This Row],[Ship Date Fixed]])</f>
        <v>2013</v>
      </c>
      <c r="Q176" t="str">
        <f>TEXT(Europe_Sales_Records34[[#This Row],[Ship Date Fixed]],"MMM-YYYY")</f>
        <v>Feb-2013</v>
      </c>
      <c r="R176" t="s">
        <v>408</v>
      </c>
      <c r="S176" s="3">
        <f>Europe_Sales_Records34[[#This Row],[Ship Date Fixed]]-Europe_Sales_Records34[[#This Row],[Order Date Fixed]]</f>
        <v>31</v>
      </c>
      <c r="T176">
        <v>6302</v>
      </c>
      <c r="U176">
        <v>152.58000000000001</v>
      </c>
      <c r="V176">
        <v>97.44</v>
      </c>
      <c r="W176">
        <f>Europe_Sales_Records34[[#This Row],[Total Revenue]]/Europe_Sales_Records34[[#This Row],[Units Sold]]</f>
        <v>152.58000000000001</v>
      </c>
      <c r="X176">
        <v>961559.16</v>
      </c>
      <c r="Y176">
        <v>614066.88</v>
      </c>
      <c r="Z176" s="4">
        <f>Europe_Sales_Records34[[#This Row],[Total Profit]]/Europe_Sales_Records34[[#This Row],[Total Revenue]]</f>
        <v>0.36138419189933152</v>
      </c>
      <c r="AA176">
        <v>347492.28</v>
      </c>
    </row>
    <row r="177" spans="1:27" x14ac:dyDescent="0.3">
      <c r="A177" t="s">
        <v>14</v>
      </c>
      <c r="B177" t="s">
        <v>86</v>
      </c>
      <c r="C177" t="s">
        <v>50</v>
      </c>
      <c r="D177" t="s">
        <v>23</v>
      </c>
      <c r="E177" t="s">
        <v>33</v>
      </c>
      <c r="F177" t="s">
        <v>409</v>
      </c>
      <c r="G177" s="2">
        <f t="shared" si="4"/>
        <v>41316</v>
      </c>
      <c r="H177">
        <f>DAY(Europe_Sales_Records34[[#This Row],[Order Date Fixed]])</f>
        <v>11</v>
      </c>
      <c r="I177" t="str">
        <f>TEXT(Europe_Sales_Records34[[#This Row],[Order Date Fixed]],"MMM")</f>
        <v>Feb</v>
      </c>
      <c r="J177">
        <f>YEAR(Europe_Sales_Records34[[#This Row],[Order Date Fixed]])</f>
        <v>2013</v>
      </c>
      <c r="K177" t="str">
        <f>TEXT(Europe_Sales_Records34[[#This Row],[Order Date Fixed]],"MMM-YYYY")</f>
        <v>Feb-2013</v>
      </c>
      <c r="L177">
        <v>668280589</v>
      </c>
      <c r="M177" s="2">
        <f t="shared" si="5"/>
        <v>41361</v>
      </c>
      <c r="N177">
        <f>DAY(Europe_Sales_Records34[[#This Row],[Ship Date Fixed]])</f>
        <v>28</v>
      </c>
      <c r="O177" t="str">
        <f>TEXT(Europe_Sales_Records34[[#This Row],[Ship Date Fixed]],"MMM")</f>
        <v>Mar</v>
      </c>
      <c r="P177">
        <f>YEAR(Europe_Sales_Records34[[#This Row],[Ship Date Fixed]])</f>
        <v>2013</v>
      </c>
      <c r="Q177" t="str">
        <f>TEXT(Europe_Sales_Records34[[#This Row],[Ship Date Fixed]],"MMM-YYYY")</f>
        <v>Mar-2013</v>
      </c>
      <c r="R177" t="s">
        <v>410</v>
      </c>
      <c r="S177" s="3">
        <f>Europe_Sales_Records34[[#This Row],[Ship Date Fixed]]-Europe_Sales_Records34[[#This Row],[Order Date Fixed]]</f>
        <v>45</v>
      </c>
      <c r="T177">
        <v>7932</v>
      </c>
      <c r="U177">
        <v>421.89</v>
      </c>
      <c r="V177">
        <v>364.69</v>
      </c>
      <c r="W177">
        <f>Europe_Sales_Records34[[#This Row],[Total Revenue]]/Europe_Sales_Records34[[#This Row],[Units Sold]]</f>
        <v>421.89</v>
      </c>
      <c r="X177">
        <v>3346431.48</v>
      </c>
      <c r="Y177">
        <v>2892721.08</v>
      </c>
      <c r="Z177" s="4">
        <f>Europe_Sales_Records34[[#This Row],[Total Profit]]/Europe_Sales_Records34[[#This Row],[Total Revenue]]</f>
        <v>0.13558036455000119</v>
      </c>
      <c r="AA177">
        <v>453710.4</v>
      </c>
    </row>
    <row r="178" spans="1:27" x14ac:dyDescent="0.3">
      <c r="A178" t="s">
        <v>14</v>
      </c>
      <c r="B178" t="s">
        <v>141</v>
      </c>
      <c r="C178" t="s">
        <v>71</v>
      </c>
      <c r="D178" t="s">
        <v>23</v>
      </c>
      <c r="E178" t="s">
        <v>18</v>
      </c>
      <c r="F178" t="s">
        <v>411</v>
      </c>
      <c r="G178" s="2">
        <f t="shared" si="4"/>
        <v>42930</v>
      </c>
      <c r="H178">
        <f>DAY(Europe_Sales_Records34[[#This Row],[Order Date Fixed]])</f>
        <v>14</v>
      </c>
      <c r="I178" t="str">
        <f>TEXT(Europe_Sales_Records34[[#This Row],[Order Date Fixed]],"MMM")</f>
        <v>Jul</v>
      </c>
      <c r="J178">
        <f>YEAR(Europe_Sales_Records34[[#This Row],[Order Date Fixed]])</f>
        <v>2017</v>
      </c>
      <c r="K178" t="str">
        <f>TEXT(Europe_Sales_Records34[[#This Row],[Order Date Fixed]],"MMM-YYYY")</f>
        <v>Jul-2017</v>
      </c>
      <c r="L178">
        <v>380379998</v>
      </c>
      <c r="M178" s="2">
        <f t="shared" si="5"/>
        <v>42932</v>
      </c>
      <c r="N178">
        <f>DAY(Europe_Sales_Records34[[#This Row],[Ship Date Fixed]])</f>
        <v>16</v>
      </c>
      <c r="O178" t="str">
        <f>TEXT(Europe_Sales_Records34[[#This Row],[Ship Date Fixed]],"MMM")</f>
        <v>Jul</v>
      </c>
      <c r="P178">
        <f>YEAR(Europe_Sales_Records34[[#This Row],[Ship Date Fixed]])</f>
        <v>2017</v>
      </c>
      <c r="Q178" t="str">
        <f>TEXT(Europe_Sales_Records34[[#This Row],[Ship Date Fixed]],"MMM-YYYY")</f>
        <v>Jul-2017</v>
      </c>
      <c r="R178" t="s">
        <v>412</v>
      </c>
      <c r="S178" s="3">
        <f>Europe_Sales_Records34[[#This Row],[Ship Date Fixed]]-Europe_Sales_Records34[[#This Row],[Order Date Fixed]]</f>
        <v>2</v>
      </c>
      <c r="T178">
        <v>1749</v>
      </c>
      <c r="U178">
        <v>668.27</v>
      </c>
      <c r="V178">
        <v>502.54</v>
      </c>
      <c r="W178">
        <f>Europe_Sales_Records34[[#This Row],[Total Revenue]]/Europe_Sales_Records34[[#This Row],[Units Sold]]</f>
        <v>668.27</v>
      </c>
      <c r="X178">
        <v>1168804.23</v>
      </c>
      <c r="Y178">
        <v>878942.46</v>
      </c>
      <c r="Z178" s="4">
        <f>Europe_Sales_Records34[[#This Row],[Total Profit]]/Europe_Sales_Records34[[#This Row],[Total Revenue]]</f>
        <v>0.24799856345489102</v>
      </c>
      <c r="AA178">
        <v>289861.77</v>
      </c>
    </row>
    <row r="179" spans="1:27" x14ac:dyDescent="0.3">
      <c r="A179" t="s">
        <v>14</v>
      </c>
      <c r="B179" t="s">
        <v>67</v>
      </c>
      <c r="C179" t="s">
        <v>22</v>
      </c>
      <c r="D179" t="s">
        <v>23</v>
      </c>
      <c r="E179" t="s">
        <v>54</v>
      </c>
      <c r="F179" t="s">
        <v>413</v>
      </c>
      <c r="G179" s="2">
        <f t="shared" si="4"/>
        <v>42385</v>
      </c>
      <c r="H179">
        <f>DAY(Europe_Sales_Records34[[#This Row],[Order Date Fixed]])</f>
        <v>16</v>
      </c>
      <c r="I179" t="str">
        <f>TEXT(Europe_Sales_Records34[[#This Row],[Order Date Fixed]],"MMM")</f>
        <v>Jan</v>
      </c>
      <c r="J179">
        <f>YEAR(Europe_Sales_Records34[[#This Row],[Order Date Fixed]])</f>
        <v>2016</v>
      </c>
      <c r="K179" t="str">
        <f>TEXT(Europe_Sales_Records34[[#This Row],[Order Date Fixed]],"MMM-YYYY")</f>
        <v>Jan-2016</v>
      </c>
      <c r="L179">
        <v>767490565</v>
      </c>
      <c r="M179" s="2">
        <f t="shared" si="5"/>
        <v>42423</v>
      </c>
      <c r="N179">
        <f>DAY(Europe_Sales_Records34[[#This Row],[Ship Date Fixed]])</f>
        <v>23</v>
      </c>
      <c r="O179" t="str">
        <f>TEXT(Europe_Sales_Records34[[#This Row],[Ship Date Fixed]],"MMM")</f>
        <v>Feb</v>
      </c>
      <c r="P179">
        <f>YEAR(Europe_Sales_Records34[[#This Row],[Ship Date Fixed]])</f>
        <v>2016</v>
      </c>
      <c r="Q179" t="str">
        <f>TEXT(Europe_Sales_Records34[[#This Row],[Ship Date Fixed]],"MMM-YYYY")</f>
        <v>Feb-2016</v>
      </c>
      <c r="R179" t="s">
        <v>414</v>
      </c>
      <c r="S179" s="3">
        <f>Europe_Sales_Records34[[#This Row],[Ship Date Fixed]]-Europe_Sales_Records34[[#This Row],[Order Date Fixed]]</f>
        <v>38</v>
      </c>
      <c r="T179">
        <v>6368</v>
      </c>
      <c r="U179">
        <v>109.28</v>
      </c>
      <c r="V179">
        <v>35.840000000000003</v>
      </c>
      <c r="W179">
        <f>Europe_Sales_Records34[[#This Row],[Total Revenue]]/Europe_Sales_Records34[[#This Row],[Units Sold]]</f>
        <v>109.28</v>
      </c>
      <c r="X179">
        <v>695895.04000000004</v>
      </c>
      <c r="Y179">
        <v>228229.12</v>
      </c>
      <c r="Z179" s="4">
        <f>Europe_Sales_Records34[[#This Row],[Total Profit]]/Europe_Sales_Records34[[#This Row],[Total Revenue]]</f>
        <v>0.67203513909224011</v>
      </c>
      <c r="AA179">
        <v>467665.91999999998</v>
      </c>
    </row>
    <row r="180" spans="1:27" x14ac:dyDescent="0.3">
      <c r="A180" t="s">
        <v>14</v>
      </c>
      <c r="B180" t="s">
        <v>223</v>
      </c>
      <c r="C180" t="s">
        <v>58</v>
      </c>
      <c r="D180" t="s">
        <v>17</v>
      </c>
      <c r="E180" t="s">
        <v>33</v>
      </c>
      <c r="F180" t="s">
        <v>415</v>
      </c>
      <c r="G180" s="2">
        <f t="shared" si="4"/>
        <v>41212</v>
      </c>
      <c r="H180">
        <f>DAY(Europe_Sales_Records34[[#This Row],[Order Date Fixed]])</f>
        <v>30</v>
      </c>
      <c r="I180" t="str">
        <f>TEXT(Europe_Sales_Records34[[#This Row],[Order Date Fixed]],"MMM")</f>
        <v>Oct</v>
      </c>
      <c r="J180">
        <f>YEAR(Europe_Sales_Records34[[#This Row],[Order Date Fixed]])</f>
        <v>2012</v>
      </c>
      <c r="K180" t="str">
        <f>TEXT(Europe_Sales_Records34[[#This Row],[Order Date Fixed]],"MMM-YYYY")</f>
        <v>Oct-2012</v>
      </c>
      <c r="L180">
        <v>720931279</v>
      </c>
      <c r="M180" s="2">
        <f t="shared" si="5"/>
        <v>41231</v>
      </c>
      <c r="N180">
        <f>DAY(Europe_Sales_Records34[[#This Row],[Ship Date Fixed]])</f>
        <v>18</v>
      </c>
      <c r="O180" t="str">
        <f>TEXT(Europe_Sales_Records34[[#This Row],[Ship Date Fixed]],"MMM")</f>
        <v>Nov</v>
      </c>
      <c r="P180">
        <f>YEAR(Europe_Sales_Records34[[#This Row],[Ship Date Fixed]])</f>
        <v>2012</v>
      </c>
      <c r="Q180" t="str">
        <f>TEXT(Europe_Sales_Records34[[#This Row],[Ship Date Fixed]],"MMM-YYYY")</f>
        <v>Nov-2012</v>
      </c>
      <c r="R180" t="s">
        <v>416</v>
      </c>
      <c r="S180" s="3">
        <f>Europe_Sales_Records34[[#This Row],[Ship Date Fixed]]-Europe_Sales_Records34[[#This Row],[Order Date Fixed]]</f>
        <v>19</v>
      </c>
      <c r="T180">
        <v>8441</v>
      </c>
      <c r="U180">
        <v>152.58000000000001</v>
      </c>
      <c r="V180">
        <v>97.44</v>
      </c>
      <c r="W180">
        <f>Europe_Sales_Records34[[#This Row],[Total Revenue]]/Europe_Sales_Records34[[#This Row],[Units Sold]]</f>
        <v>152.58000000000001</v>
      </c>
      <c r="X180">
        <v>1287927.78</v>
      </c>
      <c r="Y180">
        <v>822491.04</v>
      </c>
      <c r="Z180" s="4">
        <f>Europe_Sales_Records34[[#This Row],[Total Profit]]/Europe_Sales_Records34[[#This Row],[Total Revenue]]</f>
        <v>0.36138419189933146</v>
      </c>
      <c r="AA180">
        <v>465436.74</v>
      </c>
    </row>
    <row r="181" spans="1:27" x14ac:dyDescent="0.3">
      <c r="A181" t="s">
        <v>14</v>
      </c>
      <c r="B181" t="s">
        <v>94</v>
      </c>
      <c r="C181" t="s">
        <v>58</v>
      </c>
      <c r="D181" t="s">
        <v>23</v>
      </c>
      <c r="E181" t="s">
        <v>33</v>
      </c>
      <c r="F181" t="s">
        <v>417</v>
      </c>
      <c r="G181" s="2">
        <f t="shared" si="4"/>
        <v>41468</v>
      </c>
      <c r="H181">
        <f>DAY(Europe_Sales_Records34[[#This Row],[Order Date Fixed]])</f>
        <v>13</v>
      </c>
      <c r="I181" t="str">
        <f>TEXT(Europe_Sales_Records34[[#This Row],[Order Date Fixed]],"MMM")</f>
        <v>Jul</v>
      </c>
      <c r="J181">
        <f>YEAR(Europe_Sales_Records34[[#This Row],[Order Date Fixed]])</f>
        <v>2013</v>
      </c>
      <c r="K181" t="str">
        <f>TEXT(Europe_Sales_Records34[[#This Row],[Order Date Fixed]],"MMM-YYYY")</f>
        <v>Jul-2013</v>
      </c>
      <c r="L181">
        <v>138025033</v>
      </c>
      <c r="M181" s="2">
        <f t="shared" si="5"/>
        <v>41489</v>
      </c>
      <c r="N181">
        <f>DAY(Europe_Sales_Records34[[#This Row],[Ship Date Fixed]])</f>
        <v>3</v>
      </c>
      <c r="O181" t="str">
        <f>TEXT(Europe_Sales_Records34[[#This Row],[Ship Date Fixed]],"MMM")</f>
        <v>Aug</v>
      </c>
      <c r="P181">
        <f>YEAR(Europe_Sales_Records34[[#This Row],[Ship Date Fixed]])</f>
        <v>2013</v>
      </c>
      <c r="Q181" t="str">
        <f>TEXT(Europe_Sales_Records34[[#This Row],[Ship Date Fixed]],"MMM-YYYY")</f>
        <v>Aug-2013</v>
      </c>
      <c r="R181" t="s">
        <v>418</v>
      </c>
      <c r="S181" s="3">
        <f>Europe_Sales_Records34[[#This Row],[Ship Date Fixed]]-Europe_Sales_Records34[[#This Row],[Order Date Fixed]]</f>
        <v>21</v>
      </c>
      <c r="T181">
        <v>3529</v>
      </c>
      <c r="U181">
        <v>152.58000000000001</v>
      </c>
      <c r="V181">
        <v>97.44</v>
      </c>
      <c r="W181">
        <f>Europe_Sales_Records34[[#This Row],[Total Revenue]]/Europe_Sales_Records34[[#This Row],[Units Sold]]</f>
        <v>152.57999999999998</v>
      </c>
      <c r="X181">
        <v>538454.81999999995</v>
      </c>
      <c r="Y181">
        <v>343865.76</v>
      </c>
      <c r="Z181" s="4">
        <f>Europe_Sales_Records34[[#This Row],[Total Profit]]/Europe_Sales_Records34[[#This Row],[Total Revenue]]</f>
        <v>0.36138419189933152</v>
      </c>
      <c r="AA181">
        <v>194589.06</v>
      </c>
    </row>
    <row r="182" spans="1:27" x14ac:dyDescent="0.3">
      <c r="A182" t="s">
        <v>14</v>
      </c>
      <c r="B182" t="s">
        <v>220</v>
      </c>
      <c r="C182" t="s">
        <v>50</v>
      </c>
      <c r="D182" t="s">
        <v>17</v>
      </c>
      <c r="E182" t="s">
        <v>54</v>
      </c>
      <c r="F182" t="s">
        <v>419</v>
      </c>
      <c r="G182" s="2">
        <f t="shared" si="4"/>
        <v>42598</v>
      </c>
      <c r="H182">
        <f>DAY(Europe_Sales_Records34[[#This Row],[Order Date Fixed]])</f>
        <v>16</v>
      </c>
      <c r="I182" t="str">
        <f>TEXT(Europe_Sales_Records34[[#This Row],[Order Date Fixed]],"MMM")</f>
        <v>Aug</v>
      </c>
      <c r="J182">
        <f>YEAR(Europe_Sales_Records34[[#This Row],[Order Date Fixed]])</f>
        <v>2016</v>
      </c>
      <c r="K182" t="str">
        <f>TEXT(Europe_Sales_Records34[[#This Row],[Order Date Fixed]],"MMM-YYYY")</f>
        <v>Aug-2016</v>
      </c>
      <c r="L182">
        <v>552931869</v>
      </c>
      <c r="M182" s="2">
        <f t="shared" si="5"/>
        <v>42622</v>
      </c>
      <c r="N182">
        <f>DAY(Europe_Sales_Records34[[#This Row],[Ship Date Fixed]])</f>
        <v>9</v>
      </c>
      <c r="O182" t="str">
        <f>TEXT(Europe_Sales_Records34[[#This Row],[Ship Date Fixed]],"MMM")</f>
        <v>Sep</v>
      </c>
      <c r="P182">
        <f>YEAR(Europe_Sales_Records34[[#This Row],[Ship Date Fixed]])</f>
        <v>2016</v>
      </c>
      <c r="Q182" t="str">
        <f>TEXT(Europe_Sales_Records34[[#This Row],[Ship Date Fixed]],"MMM-YYYY")</f>
        <v>Sep-2016</v>
      </c>
      <c r="R182" t="s">
        <v>420</v>
      </c>
      <c r="S182" s="3">
        <f>Europe_Sales_Records34[[#This Row],[Ship Date Fixed]]-Europe_Sales_Records34[[#This Row],[Order Date Fixed]]</f>
        <v>24</v>
      </c>
      <c r="T182">
        <v>3682</v>
      </c>
      <c r="U182">
        <v>421.89</v>
      </c>
      <c r="V182">
        <v>364.69</v>
      </c>
      <c r="W182">
        <f>Europe_Sales_Records34[[#This Row],[Total Revenue]]/Europe_Sales_Records34[[#This Row],[Units Sold]]</f>
        <v>421.89</v>
      </c>
      <c r="X182">
        <v>1553398.98</v>
      </c>
      <c r="Y182">
        <v>1342788.58</v>
      </c>
      <c r="Z182" s="4">
        <f>Europe_Sales_Records34[[#This Row],[Total Profit]]/Europe_Sales_Records34[[#This Row],[Total Revenue]]</f>
        <v>0.13558036455000119</v>
      </c>
      <c r="AA182">
        <v>210610.4</v>
      </c>
    </row>
    <row r="183" spans="1:27" x14ac:dyDescent="0.3">
      <c r="A183" t="s">
        <v>14</v>
      </c>
      <c r="B183" t="s">
        <v>92</v>
      </c>
      <c r="C183" t="s">
        <v>37</v>
      </c>
      <c r="D183" t="s">
        <v>23</v>
      </c>
      <c r="E183" t="s">
        <v>33</v>
      </c>
      <c r="F183" t="s">
        <v>421</v>
      </c>
      <c r="G183" s="2">
        <f t="shared" si="4"/>
        <v>41678</v>
      </c>
      <c r="H183">
        <f>DAY(Europe_Sales_Records34[[#This Row],[Order Date Fixed]])</f>
        <v>8</v>
      </c>
      <c r="I183" t="str">
        <f>TEXT(Europe_Sales_Records34[[#This Row],[Order Date Fixed]],"MMM")</f>
        <v>Feb</v>
      </c>
      <c r="J183">
        <f>YEAR(Europe_Sales_Records34[[#This Row],[Order Date Fixed]])</f>
        <v>2014</v>
      </c>
      <c r="K183" t="str">
        <f>TEXT(Europe_Sales_Records34[[#This Row],[Order Date Fixed]],"MMM-YYYY")</f>
        <v>Feb-2014</v>
      </c>
      <c r="L183">
        <v>142375361</v>
      </c>
      <c r="M183" s="2">
        <f t="shared" si="5"/>
        <v>41689</v>
      </c>
      <c r="N183">
        <f>DAY(Europe_Sales_Records34[[#This Row],[Ship Date Fixed]])</f>
        <v>19</v>
      </c>
      <c r="O183" t="str">
        <f>TEXT(Europe_Sales_Records34[[#This Row],[Ship Date Fixed]],"MMM")</f>
        <v>Feb</v>
      </c>
      <c r="P183">
        <f>YEAR(Europe_Sales_Records34[[#This Row],[Ship Date Fixed]])</f>
        <v>2014</v>
      </c>
      <c r="Q183" t="str">
        <f>TEXT(Europe_Sales_Records34[[#This Row],[Ship Date Fixed]],"MMM-YYYY")</f>
        <v>Feb-2014</v>
      </c>
      <c r="R183" t="s">
        <v>287</v>
      </c>
      <c r="S183" s="3">
        <f>Europe_Sales_Records34[[#This Row],[Ship Date Fixed]]-Europe_Sales_Records34[[#This Row],[Order Date Fixed]]</f>
        <v>11</v>
      </c>
      <c r="T183">
        <v>888</v>
      </c>
      <c r="U183">
        <v>9.33</v>
      </c>
      <c r="V183">
        <v>6.92</v>
      </c>
      <c r="W183">
        <f>Europe_Sales_Records34[[#This Row],[Total Revenue]]/Europe_Sales_Records34[[#This Row],[Units Sold]]</f>
        <v>9.3300000000000018</v>
      </c>
      <c r="X183">
        <v>8285.0400000000009</v>
      </c>
      <c r="Y183">
        <v>6144.96</v>
      </c>
      <c r="Z183" s="4">
        <f>Europe_Sales_Records34[[#This Row],[Total Profit]]/Europe_Sales_Records34[[#This Row],[Total Revenue]]</f>
        <v>0.25830653804930331</v>
      </c>
      <c r="AA183">
        <v>2140.08</v>
      </c>
    </row>
    <row r="184" spans="1:27" x14ac:dyDescent="0.3">
      <c r="A184" t="s">
        <v>14</v>
      </c>
      <c r="B184" t="s">
        <v>57</v>
      </c>
      <c r="C184" t="s">
        <v>75</v>
      </c>
      <c r="D184" t="s">
        <v>17</v>
      </c>
      <c r="E184" t="s">
        <v>18</v>
      </c>
      <c r="F184" t="s">
        <v>422</v>
      </c>
      <c r="G184" s="2">
        <f t="shared" si="4"/>
        <v>41817</v>
      </c>
      <c r="H184">
        <f>DAY(Europe_Sales_Records34[[#This Row],[Order Date Fixed]])</f>
        <v>27</v>
      </c>
      <c r="I184" t="str">
        <f>TEXT(Europe_Sales_Records34[[#This Row],[Order Date Fixed]],"MMM")</f>
        <v>Jun</v>
      </c>
      <c r="J184">
        <f>YEAR(Europe_Sales_Records34[[#This Row],[Order Date Fixed]])</f>
        <v>2014</v>
      </c>
      <c r="K184" t="str">
        <f>TEXT(Europe_Sales_Records34[[#This Row],[Order Date Fixed]],"MMM-YYYY")</f>
        <v>Jun-2014</v>
      </c>
      <c r="L184">
        <v>916089236</v>
      </c>
      <c r="M184" s="2">
        <f t="shared" si="5"/>
        <v>41848</v>
      </c>
      <c r="N184">
        <f>DAY(Europe_Sales_Records34[[#This Row],[Ship Date Fixed]])</f>
        <v>28</v>
      </c>
      <c r="O184" t="str">
        <f>TEXT(Europe_Sales_Records34[[#This Row],[Ship Date Fixed]],"MMM")</f>
        <v>Jul</v>
      </c>
      <c r="P184">
        <f>YEAR(Europe_Sales_Records34[[#This Row],[Ship Date Fixed]])</f>
        <v>2014</v>
      </c>
      <c r="Q184" t="str">
        <f>TEXT(Europe_Sales_Records34[[#This Row],[Ship Date Fixed]],"MMM-YYYY")</f>
        <v>Jul-2014</v>
      </c>
      <c r="R184" t="s">
        <v>423</v>
      </c>
      <c r="S184" s="3">
        <f>Europe_Sales_Records34[[#This Row],[Ship Date Fixed]]-Europe_Sales_Records34[[#This Row],[Order Date Fixed]]</f>
        <v>31</v>
      </c>
      <c r="T184">
        <v>17</v>
      </c>
      <c r="U184">
        <v>437.2</v>
      </c>
      <c r="V184">
        <v>263.33</v>
      </c>
      <c r="W184">
        <f>Europe_Sales_Records34[[#This Row],[Total Revenue]]/Europe_Sales_Records34[[#This Row],[Units Sold]]</f>
        <v>437.2</v>
      </c>
      <c r="X184">
        <v>7432.4</v>
      </c>
      <c r="Y184">
        <v>4476.6099999999997</v>
      </c>
      <c r="Z184" s="4">
        <f>Europe_Sales_Records34[[#This Row],[Total Profit]]/Europe_Sales_Records34[[#This Row],[Total Revenue]]</f>
        <v>0.39768984446477584</v>
      </c>
      <c r="AA184">
        <v>2955.79</v>
      </c>
    </row>
    <row r="185" spans="1:27" x14ac:dyDescent="0.3">
      <c r="A185" t="s">
        <v>14</v>
      </c>
      <c r="B185" t="s">
        <v>45</v>
      </c>
      <c r="C185" t="s">
        <v>37</v>
      </c>
      <c r="D185" t="s">
        <v>17</v>
      </c>
      <c r="E185" t="s">
        <v>33</v>
      </c>
      <c r="F185" t="s">
        <v>424</v>
      </c>
      <c r="G185" s="2">
        <f t="shared" si="4"/>
        <v>40883</v>
      </c>
      <c r="H185">
        <f>DAY(Europe_Sales_Records34[[#This Row],[Order Date Fixed]])</f>
        <v>6</v>
      </c>
      <c r="I185" t="str">
        <f>TEXT(Europe_Sales_Records34[[#This Row],[Order Date Fixed]],"MMM")</f>
        <v>Dec</v>
      </c>
      <c r="J185">
        <f>YEAR(Europe_Sales_Records34[[#This Row],[Order Date Fixed]])</f>
        <v>2011</v>
      </c>
      <c r="K185" t="str">
        <f>TEXT(Europe_Sales_Records34[[#This Row],[Order Date Fixed]],"MMM-YYYY")</f>
        <v>Dec-2011</v>
      </c>
      <c r="L185">
        <v>242265546</v>
      </c>
      <c r="M185" s="2">
        <f t="shared" si="5"/>
        <v>40915</v>
      </c>
      <c r="N185">
        <f>DAY(Europe_Sales_Records34[[#This Row],[Ship Date Fixed]])</f>
        <v>7</v>
      </c>
      <c r="O185" t="str">
        <f>TEXT(Europe_Sales_Records34[[#This Row],[Ship Date Fixed]],"MMM")</f>
        <v>Jan</v>
      </c>
      <c r="P185">
        <f>YEAR(Europe_Sales_Records34[[#This Row],[Ship Date Fixed]])</f>
        <v>2012</v>
      </c>
      <c r="Q185" t="str">
        <f>TEXT(Europe_Sales_Records34[[#This Row],[Ship Date Fixed]],"MMM-YYYY")</f>
        <v>Jan-2012</v>
      </c>
      <c r="R185" t="s">
        <v>425</v>
      </c>
      <c r="S185" s="3">
        <f>Europe_Sales_Records34[[#This Row],[Ship Date Fixed]]-Europe_Sales_Records34[[#This Row],[Order Date Fixed]]</f>
        <v>32</v>
      </c>
      <c r="T185">
        <v>614</v>
      </c>
      <c r="U185">
        <v>9.33</v>
      </c>
      <c r="V185">
        <v>6.92</v>
      </c>
      <c r="W185">
        <f>Europe_Sales_Records34[[#This Row],[Total Revenue]]/Europe_Sales_Records34[[#This Row],[Units Sold]]</f>
        <v>9.33</v>
      </c>
      <c r="X185">
        <v>5728.62</v>
      </c>
      <c r="Y185">
        <v>4248.88</v>
      </c>
      <c r="Z185" s="4">
        <f>Europe_Sales_Records34[[#This Row],[Total Profit]]/Europe_Sales_Records34[[#This Row],[Total Revenue]]</f>
        <v>0.25830653804930331</v>
      </c>
      <c r="AA185">
        <v>1479.74</v>
      </c>
    </row>
    <row r="186" spans="1:27" x14ac:dyDescent="0.3">
      <c r="A186" t="s">
        <v>14</v>
      </c>
      <c r="B186" t="s">
        <v>100</v>
      </c>
      <c r="C186" t="s">
        <v>75</v>
      </c>
      <c r="D186" t="s">
        <v>23</v>
      </c>
      <c r="E186" t="s">
        <v>24</v>
      </c>
      <c r="F186" t="s">
        <v>59</v>
      </c>
      <c r="G186" s="2">
        <f t="shared" si="4"/>
        <v>42016</v>
      </c>
      <c r="H186">
        <f>DAY(Europe_Sales_Records34[[#This Row],[Order Date Fixed]])</f>
        <v>12</v>
      </c>
      <c r="I186" t="str">
        <f>TEXT(Europe_Sales_Records34[[#This Row],[Order Date Fixed]],"MMM")</f>
        <v>Jan</v>
      </c>
      <c r="J186">
        <f>YEAR(Europe_Sales_Records34[[#This Row],[Order Date Fixed]])</f>
        <v>2015</v>
      </c>
      <c r="K186" t="str">
        <f>TEXT(Europe_Sales_Records34[[#This Row],[Order Date Fixed]],"MMM-YYYY")</f>
        <v>Jan-2015</v>
      </c>
      <c r="L186">
        <v>265914475</v>
      </c>
      <c r="M186" s="2">
        <f t="shared" si="5"/>
        <v>42056</v>
      </c>
      <c r="N186">
        <f>DAY(Europe_Sales_Records34[[#This Row],[Ship Date Fixed]])</f>
        <v>21</v>
      </c>
      <c r="O186" t="str">
        <f>TEXT(Europe_Sales_Records34[[#This Row],[Ship Date Fixed]],"MMM")</f>
        <v>Feb</v>
      </c>
      <c r="P186">
        <f>YEAR(Europe_Sales_Records34[[#This Row],[Ship Date Fixed]])</f>
        <v>2015</v>
      </c>
      <c r="Q186" t="str">
        <f>TEXT(Europe_Sales_Records34[[#This Row],[Ship Date Fixed]],"MMM-YYYY")</f>
        <v>Feb-2015</v>
      </c>
      <c r="R186" t="s">
        <v>426</v>
      </c>
      <c r="S186" s="3">
        <f>Europe_Sales_Records34[[#This Row],[Ship Date Fixed]]-Europe_Sales_Records34[[#This Row],[Order Date Fixed]]</f>
        <v>40</v>
      </c>
      <c r="T186">
        <v>8857</v>
      </c>
      <c r="U186">
        <v>437.2</v>
      </c>
      <c r="V186">
        <v>263.33</v>
      </c>
      <c r="W186">
        <f>Europe_Sales_Records34[[#This Row],[Total Revenue]]/Europe_Sales_Records34[[#This Row],[Units Sold]]</f>
        <v>437.2</v>
      </c>
      <c r="X186">
        <v>3872280.4</v>
      </c>
      <c r="Y186">
        <v>2332313.81</v>
      </c>
      <c r="Z186" s="4">
        <f>Europe_Sales_Records34[[#This Row],[Total Profit]]/Europe_Sales_Records34[[#This Row],[Total Revenue]]</f>
        <v>0.3976898444647759</v>
      </c>
      <c r="AA186">
        <v>1539966.59</v>
      </c>
    </row>
    <row r="187" spans="1:27" x14ac:dyDescent="0.3">
      <c r="A187" t="s">
        <v>14</v>
      </c>
      <c r="B187" t="s">
        <v>243</v>
      </c>
      <c r="C187" t="s">
        <v>58</v>
      </c>
      <c r="D187" t="s">
        <v>23</v>
      </c>
      <c r="E187" t="s">
        <v>33</v>
      </c>
      <c r="F187" t="s">
        <v>427</v>
      </c>
      <c r="G187" s="2">
        <f t="shared" si="4"/>
        <v>42211</v>
      </c>
      <c r="H187">
        <f>DAY(Europe_Sales_Records34[[#This Row],[Order Date Fixed]])</f>
        <v>26</v>
      </c>
      <c r="I187" t="str">
        <f>TEXT(Europe_Sales_Records34[[#This Row],[Order Date Fixed]],"MMM")</f>
        <v>Jul</v>
      </c>
      <c r="J187">
        <f>YEAR(Europe_Sales_Records34[[#This Row],[Order Date Fixed]])</f>
        <v>2015</v>
      </c>
      <c r="K187" t="str">
        <f>TEXT(Europe_Sales_Records34[[#This Row],[Order Date Fixed]],"MMM-YYYY")</f>
        <v>Jul-2015</v>
      </c>
      <c r="L187">
        <v>637040793</v>
      </c>
      <c r="M187" s="2">
        <f t="shared" si="5"/>
        <v>42220</v>
      </c>
      <c r="N187">
        <f>DAY(Europe_Sales_Records34[[#This Row],[Ship Date Fixed]])</f>
        <v>4</v>
      </c>
      <c r="O187" t="str">
        <f>TEXT(Europe_Sales_Records34[[#This Row],[Ship Date Fixed]],"MMM")</f>
        <v>Aug</v>
      </c>
      <c r="P187">
        <f>YEAR(Europe_Sales_Records34[[#This Row],[Ship Date Fixed]])</f>
        <v>2015</v>
      </c>
      <c r="Q187" t="str">
        <f>TEXT(Europe_Sales_Records34[[#This Row],[Ship Date Fixed]],"MMM-YYYY")</f>
        <v>Aug-2015</v>
      </c>
      <c r="R187" t="s">
        <v>428</v>
      </c>
      <c r="S187" s="3">
        <f>Europe_Sales_Records34[[#This Row],[Ship Date Fixed]]-Europe_Sales_Records34[[#This Row],[Order Date Fixed]]</f>
        <v>9</v>
      </c>
      <c r="T187">
        <v>3382</v>
      </c>
      <c r="U187">
        <v>152.58000000000001</v>
      </c>
      <c r="V187">
        <v>97.44</v>
      </c>
      <c r="W187">
        <f>Europe_Sales_Records34[[#This Row],[Total Revenue]]/Europe_Sales_Records34[[#This Row],[Units Sold]]</f>
        <v>152.58000000000001</v>
      </c>
      <c r="X187">
        <v>516025.56</v>
      </c>
      <c r="Y187">
        <v>329542.08</v>
      </c>
      <c r="Z187" s="4">
        <f>Europe_Sales_Records34[[#This Row],[Total Profit]]/Europe_Sales_Records34[[#This Row],[Total Revenue]]</f>
        <v>0.36138419189933152</v>
      </c>
      <c r="AA187">
        <v>186483.48</v>
      </c>
    </row>
    <row r="188" spans="1:27" x14ac:dyDescent="0.3">
      <c r="A188" t="s">
        <v>14</v>
      </c>
      <c r="B188" t="s">
        <v>220</v>
      </c>
      <c r="C188" t="s">
        <v>102</v>
      </c>
      <c r="D188" t="s">
        <v>17</v>
      </c>
      <c r="E188" t="s">
        <v>33</v>
      </c>
      <c r="F188" t="s">
        <v>429</v>
      </c>
      <c r="G188" s="2">
        <f t="shared" si="4"/>
        <v>41985</v>
      </c>
      <c r="H188">
        <f>DAY(Europe_Sales_Records34[[#This Row],[Order Date Fixed]])</f>
        <v>12</v>
      </c>
      <c r="I188" t="str">
        <f>TEXT(Europe_Sales_Records34[[#This Row],[Order Date Fixed]],"MMM")</f>
        <v>Dec</v>
      </c>
      <c r="J188">
        <f>YEAR(Europe_Sales_Records34[[#This Row],[Order Date Fixed]])</f>
        <v>2014</v>
      </c>
      <c r="K188" t="str">
        <f>TEXT(Europe_Sales_Records34[[#This Row],[Order Date Fixed]],"MMM-YYYY")</f>
        <v>Dec-2014</v>
      </c>
      <c r="L188">
        <v>754541289</v>
      </c>
      <c r="M188" s="2">
        <f t="shared" si="5"/>
        <v>41992</v>
      </c>
      <c r="N188">
        <f>DAY(Europe_Sales_Records34[[#This Row],[Ship Date Fixed]])</f>
        <v>19</v>
      </c>
      <c r="O188" t="str">
        <f>TEXT(Europe_Sales_Records34[[#This Row],[Ship Date Fixed]],"MMM")</f>
        <v>Dec</v>
      </c>
      <c r="P188">
        <f>YEAR(Europe_Sales_Records34[[#This Row],[Ship Date Fixed]])</f>
        <v>2014</v>
      </c>
      <c r="Q188" t="str">
        <f>TEXT(Europe_Sales_Records34[[#This Row],[Ship Date Fixed]],"MMM-YYYY")</f>
        <v>Dec-2014</v>
      </c>
      <c r="R188" t="s">
        <v>430</v>
      </c>
      <c r="S188" s="3">
        <f>Europe_Sales_Records34[[#This Row],[Ship Date Fixed]]-Europe_Sales_Records34[[#This Row],[Order Date Fixed]]</f>
        <v>7</v>
      </c>
      <c r="T188">
        <v>4390</v>
      </c>
      <c r="U188">
        <v>81.73</v>
      </c>
      <c r="V188">
        <v>56.67</v>
      </c>
      <c r="W188">
        <f>Europe_Sales_Records34[[#This Row],[Total Revenue]]/Europe_Sales_Records34[[#This Row],[Units Sold]]</f>
        <v>81.73</v>
      </c>
      <c r="X188">
        <v>358794.7</v>
      </c>
      <c r="Y188">
        <v>248781.3</v>
      </c>
      <c r="Z188" s="4">
        <f>Europe_Sales_Records34[[#This Row],[Total Profit]]/Europe_Sales_Records34[[#This Row],[Total Revenue]]</f>
        <v>0.30661935641747212</v>
      </c>
      <c r="AA188">
        <v>110013.4</v>
      </c>
    </row>
    <row r="189" spans="1:27" x14ac:dyDescent="0.3">
      <c r="A189" t="s">
        <v>14</v>
      </c>
      <c r="B189" t="s">
        <v>83</v>
      </c>
      <c r="C189" t="s">
        <v>46</v>
      </c>
      <c r="D189" t="s">
        <v>17</v>
      </c>
      <c r="E189" t="s">
        <v>33</v>
      </c>
      <c r="F189" t="s">
        <v>431</v>
      </c>
      <c r="G189" s="2">
        <f t="shared" si="4"/>
        <v>42079</v>
      </c>
      <c r="H189">
        <f>DAY(Europe_Sales_Records34[[#This Row],[Order Date Fixed]])</f>
        <v>16</v>
      </c>
      <c r="I189" t="str">
        <f>TEXT(Europe_Sales_Records34[[#This Row],[Order Date Fixed]],"MMM")</f>
        <v>Mar</v>
      </c>
      <c r="J189">
        <f>YEAR(Europe_Sales_Records34[[#This Row],[Order Date Fixed]])</f>
        <v>2015</v>
      </c>
      <c r="K189" t="str">
        <f>TEXT(Europe_Sales_Records34[[#This Row],[Order Date Fixed]],"MMM-YYYY")</f>
        <v>Mar-2015</v>
      </c>
      <c r="L189">
        <v>697638976</v>
      </c>
      <c r="M189" s="2">
        <f t="shared" si="5"/>
        <v>42089</v>
      </c>
      <c r="N189">
        <f>DAY(Europe_Sales_Records34[[#This Row],[Ship Date Fixed]])</f>
        <v>26</v>
      </c>
      <c r="O189" t="str">
        <f>TEXT(Europe_Sales_Records34[[#This Row],[Ship Date Fixed]],"MMM")</f>
        <v>Mar</v>
      </c>
      <c r="P189">
        <f>YEAR(Europe_Sales_Records34[[#This Row],[Ship Date Fixed]])</f>
        <v>2015</v>
      </c>
      <c r="Q189" t="str">
        <f>TEXT(Europe_Sales_Records34[[#This Row],[Ship Date Fixed]],"MMM-YYYY")</f>
        <v>Mar-2015</v>
      </c>
      <c r="R189" t="s">
        <v>432</v>
      </c>
      <c r="S189" s="3">
        <f>Europe_Sales_Records34[[#This Row],[Ship Date Fixed]]-Europe_Sales_Records34[[#This Row],[Order Date Fixed]]</f>
        <v>10</v>
      </c>
      <c r="T189">
        <v>5731</v>
      </c>
      <c r="U189">
        <v>154.06</v>
      </c>
      <c r="V189">
        <v>90.93</v>
      </c>
      <c r="W189">
        <f>Europe_Sales_Records34[[#This Row],[Total Revenue]]/Europe_Sales_Records34[[#This Row],[Units Sold]]</f>
        <v>154.06</v>
      </c>
      <c r="X189">
        <v>882917.86</v>
      </c>
      <c r="Y189">
        <v>521119.83</v>
      </c>
      <c r="Z189" s="4">
        <f>Europe_Sales_Records34[[#This Row],[Total Profit]]/Europe_Sales_Records34[[#This Row],[Total Revenue]]</f>
        <v>0.40977541217707392</v>
      </c>
      <c r="AA189">
        <v>361798.03</v>
      </c>
    </row>
    <row r="190" spans="1:27" x14ac:dyDescent="0.3">
      <c r="A190" t="s">
        <v>14</v>
      </c>
      <c r="B190" t="s">
        <v>15</v>
      </c>
      <c r="C190" t="s">
        <v>64</v>
      </c>
      <c r="D190" t="s">
        <v>23</v>
      </c>
      <c r="E190" t="s">
        <v>18</v>
      </c>
      <c r="F190" t="s">
        <v>433</v>
      </c>
      <c r="G190" s="2">
        <f t="shared" si="4"/>
        <v>42439</v>
      </c>
      <c r="H190">
        <f>DAY(Europe_Sales_Records34[[#This Row],[Order Date Fixed]])</f>
        <v>10</v>
      </c>
      <c r="I190" t="str">
        <f>TEXT(Europe_Sales_Records34[[#This Row],[Order Date Fixed]],"MMM")</f>
        <v>Mar</v>
      </c>
      <c r="J190">
        <f>YEAR(Europe_Sales_Records34[[#This Row],[Order Date Fixed]])</f>
        <v>2016</v>
      </c>
      <c r="K190" t="str">
        <f>TEXT(Europe_Sales_Records34[[#This Row],[Order Date Fixed]],"MMM-YYYY")</f>
        <v>Mar-2016</v>
      </c>
      <c r="L190">
        <v>467312324</v>
      </c>
      <c r="M190" s="2">
        <f t="shared" si="5"/>
        <v>42468</v>
      </c>
      <c r="N190">
        <f>DAY(Europe_Sales_Records34[[#This Row],[Ship Date Fixed]])</f>
        <v>8</v>
      </c>
      <c r="O190" t="str">
        <f>TEXT(Europe_Sales_Records34[[#This Row],[Ship Date Fixed]],"MMM")</f>
        <v>Apr</v>
      </c>
      <c r="P190">
        <f>YEAR(Europe_Sales_Records34[[#This Row],[Ship Date Fixed]])</f>
        <v>2016</v>
      </c>
      <c r="Q190" t="str">
        <f>TEXT(Europe_Sales_Records34[[#This Row],[Ship Date Fixed]],"MMM-YYYY")</f>
        <v>Apr-2016</v>
      </c>
      <c r="R190" t="s">
        <v>434</v>
      </c>
      <c r="S190" s="3">
        <f>Europe_Sales_Records34[[#This Row],[Ship Date Fixed]]-Europe_Sales_Records34[[#This Row],[Order Date Fixed]]</f>
        <v>29</v>
      </c>
      <c r="T190">
        <v>6956</v>
      </c>
      <c r="U190">
        <v>255.28</v>
      </c>
      <c r="V190">
        <v>159.41999999999999</v>
      </c>
      <c r="W190">
        <f>Europe_Sales_Records34[[#This Row],[Total Revenue]]/Europe_Sales_Records34[[#This Row],[Units Sold]]</f>
        <v>255.28</v>
      </c>
      <c r="X190">
        <v>1775727.68</v>
      </c>
      <c r="Y190">
        <v>1108925.52</v>
      </c>
      <c r="Z190" s="4">
        <f>Europe_Sales_Records34[[#This Row],[Total Profit]]/Europe_Sales_Records34[[#This Row],[Total Revenue]]</f>
        <v>0.37550924475086184</v>
      </c>
      <c r="AA190">
        <v>666802.16</v>
      </c>
    </row>
    <row r="191" spans="1:27" x14ac:dyDescent="0.3">
      <c r="A191" t="s">
        <v>14</v>
      </c>
      <c r="B191" t="s">
        <v>97</v>
      </c>
      <c r="C191" t="s">
        <v>22</v>
      </c>
      <c r="D191" t="s">
        <v>23</v>
      </c>
      <c r="E191" t="s">
        <v>33</v>
      </c>
      <c r="F191" t="s">
        <v>435</v>
      </c>
      <c r="G191" s="2">
        <f t="shared" si="4"/>
        <v>41055</v>
      </c>
      <c r="H191">
        <f>DAY(Europe_Sales_Records34[[#This Row],[Order Date Fixed]])</f>
        <v>26</v>
      </c>
      <c r="I191" t="str">
        <f>TEXT(Europe_Sales_Records34[[#This Row],[Order Date Fixed]],"MMM")</f>
        <v>May</v>
      </c>
      <c r="J191">
        <f>YEAR(Europe_Sales_Records34[[#This Row],[Order Date Fixed]])</f>
        <v>2012</v>
      </c>
      <c r="K191" t="str">
        <f>TEXT(Europe_Sales_Records34[[#This Row],[Order Date Fixed]],"MMM-YYYY")</f>
        <v>May-2012</v>
      </c>
      <c r="L191">
        <v>622441852</v>
      </c>
      <c r="M191" s="2">
        <f t="shared" si="5"/>
        <v>41057</v>
      </c>
      <c r="N191">
        <f>DAY(Europe_Sales_Records34[[#This Row],[Ship Date Fixed]])</f>
        <v>28</v>
      </c>
      <c r="O191" t="str">
        <f>TEXT(Europe_Sales_Records34[[#This Row],[Ship Date Fixed]],"MMM")</f>
        <v>May</v>
      </c>
      <c r="P191">
        <f>YEAR(Europe_Sales_Records34[[#This Row],[Ship Date Fixed]])</f>
        <v>2012</v>
      </c>
      <c r="Q191" t="str">
        <f>TEXT(Europe_Sales_Records34[[#This Row],[Ship Date Fixed]],"MMM-YYYY")</f>
        <v>May-2012</v>
      </c>
      <c r="R191" t="s">
        <v>436</v>
      </c>
      <c r="S191" s="3">
        <f>Europe_Sales_Records34[[#This Row],[Ship Date Fixed]]-Europe_Sales_Records34[[#This Row],[Order Date Fixed]]</f>
        <v>2</v>
      </c>
      <c r="T191">
        <v>3231</v>
      </c>
      <c r="U191">
        <v>109.28</v>
      </c>
      <c r="V191">
        <v>35.840000000000003</v>
      </c>
      <c r="W191">
        <f>Europe_Sales_Records34[[#This Row],[Total Revenue]]/Europe_Sales_Records34[[#This Row],[Units Sold]]</f>
        <v>109.28</v>
      </c>
      <c r="X191">
        <v>353083.68</v>
      </c>
      <c r="Y191">
        <v>115799.03999999999</v>
      </c>
      <c r="Z191" s="4">
        <f>Europe_Sales_Records34[[#This Row],[Total Profit]]/Europe_Sales_Records34[[#This Row],[Total Revenue]]</f>
        <v>0.67203513909224022</v>
      </c>
      <c r="AA191">
        <v>237284.64</v>
      </c>
    </row>
    <row r="192" spans="1:27" x14ac:dyDescent="0.3">
      <c r="A192" t="s">
        <v>14</v>
      </c>
      <c r="B192" t="s">
        <v>31</v>
      </c>
      <c r="C192" t="s">
        <v>50</v>
      </c>
      <c r="D192" t="s">
        <v>23</v>
      </c>
      <c r="E192" t="s">
        <v>18</v>
      </c>
      <c r="F192" t="s">
        <v>437</v>
      </c>
      <c r="G192" s="2">
        <f t="shared" si="4"/>
        <v>42578</v>
      </c>
      <c r="H192">
        <f>DAY(Europe_Sales_Records34[[#This Row],[Order Date Fixed]])</f>
        <v>27</v>
      </c>
      <c r="I192" t="str">
        <f>TEXT(Europe_Sales_Records34[[#This Row],[Order Date Fixed]],"MMM")</f>
        <v>Jul</v>
      </c>
      <c r="J192">
        <f>YEAR(Europe_Sales_Records34[[#This Row],[Order Date Fixed]])</f>
        <v>2016</v>
      </c>
      <c r="K192" t="str">
        <f>TEXT(Europe_Sales_Records34[[#This Row],[Order Date Fixed]],"MMM-YYYY")</f>
        <v>Jul-2016</v>
      </c>
      <c r="L192">
        <v>349212729</v>
      </c>
      <c r="M192" s="2">
        <f t="shared" si="5"/>
        <v>42624</v>
      </c>
      <c r="N192">
        <f>DAY(Europe_Sales_Records34[[#This Row],[Ship Date Fixed]])</f>
        <v>11</v>
      </c>
      <c r="O192" t="str">
        <f>TEXT(Europe_Sales_Records34[[#This Row],[Ship Date Fixed]],"MMM")</f>
        <v>Sep</v>
      </c>
      <c r="P192">
        <f>YEAR(Europe_Sales_Records34[[#This Row],[Ship Date Fixed]])</f>
        <v>2016</v>
      </c>
      <c r="Q192" t="str">
        <f>TEXT(Europe_Sales_Records34[[#This Row],[Ship Date Fixed]],"MMM-YYYY")</f>
        <v>Sep-2016</v>
      </c>
      <c r="R192" t="s">
        <v>438</v>
      </c>
      <c r="S192" s="3">
        <f>Europe_Sales_Records34[[#This Row],[Ship Date Fixed]]-Europe_Sales_Records34[[#This Row],[Order Date Fixed]]</f>
        <v>46</v>
      </c>
      <c r="T192">
        <v>8662</v>
      </c>
      <c r="U192">
        <v>421.89</v>
      </c>
      <c r="V192">
        <v>364.69</v>
      </c>
      <c r="W192">
        <f>Europe_Sales_Records34[[#This Row],[Total Revenue]]/Europe_Sales_Records34[[#This Row],[Units Sold]]</f>
        <v>421.89000000000004</v>
      </c>
      <c r="X192">
        <v>3654411.18</v>
      </c>
      <c r="Y192">
        <v>3158944.78</v>
      </c>
      <c r="Z192" s="4">
        <f>Europe_Sales_Records34[[#This Row],[Total Profit]]/Europe_Sales_Records34[[#This Row],[Total Revenue]]</f>
        <v>0.13558036455000119</v>
      </c>
      <c r="AA192">
        <v>495466.4</v>
      </c>
    </row>
    <row r="193" spans="1:27" x14ac:dyDescent="0.3">
      <c r="A193" t="s">
        <v>14</v>
      </c>
      <c r="B193" t="s">
        <v>135</v>
      </c>
      <c r="C193" t="s">
        <v>75</v>
      </c>
      <c r="D193" t="s">
        <v>23</v>
      </c>
      <c r="E193" t="s">
        <v>54</v>
      </c>
      <c r="F193" t="s">
        <v>439</v>
      </c>
      <c r="G193" s="2">
        <f t="shared" si="4"/>
        <v>40457</v>
      </c>
      <c r="H193">
        <f>DAY(Europe_Sales_Records34[[#This Row],[Order Date Fixed]])</f>
        <v>6</v>
      </c>
      <c r="I193" t="str">
        <f>TEXT(Europe_Sales_Records34[[#This Row],[Order Date Fixed]],"MMM")</f>
        <v>Oct</v>
      </c>
      <c r="J193">
        <f>YEAR(Europe_Sales_Records34[[#This Row],[Order Date Fixed]])</f>
        <v>2010</v>
      </c>
      <c r="K193" t="str">
        <f>TEXT(Europe_Sales_Records34[[#This Row],[Order Date Fixed]],"MMM-YYYY")</f>
        <v>Oct-2010</v>
      </c>
      <c r="L193">
        <v>332353007</v>
      </c>
      <c r="M193" s="2">
        <f t="shared" si="5"/>
        <v>40504</v>
      </c>
      <c r="N193">
        <f>DAY(Europe_Sales_Records34[[#This Row],[Ship Date Fixed]])</f>
        <v>22</v>
      </c>
      <c r="O193" t="str">
        <f>TEXT(Europe_Sales_Records34[[#This Row],[Ship Date Fixed]],"MMM")</f>
        <v>Nov</v>
      </c>
      <c r="P193">
        <f>YEAR(Europe_Sales_Records34[[#This Row],[Ship Date Fixed]])</f>
        <v>2010</v>
      </c>
      <c r="Q193" t="str">
        <f>TEXT(Europe_Sales_Records34[[#This Row],[Ship Date Fixed]],"MMM-YYYY")</f>
        <v>Nov-2010</v>
      </c>
      <c r="R193" t="s">
        <v>440</v>
      </c>
      <c r="S193" s="3">
        <f>Europe_Sales_Records34[[#This Row],[Ship Date Fixed]]-Europe_Sales_Records34[[#This Row],[Order Date Fixed]]</f>
        <v>47</v>
      </c>
      <c r="T193">
        <v>9495</v>
      </c>
      <c r="U193">
        <v>437.2</v>
      </c>
      <c r="V193">
        <v>263.33</v>
      </c>
      <c r="W193">
        <f>Europe_Sales_Records34[[#This Row],[Total Revenue]]/Europe_Sales_Records34[[#This Row],[Units Sold]]</f>
        <v>437.2</v>
      </c>
      <c r="X193">
        <v>4151214</v>
      </c>
      <c r="Y193">
        <v>2500318.35</v>
      </c>
      <c r="Z193" s="4">
        <f>Europe_Sales_Records34[[#This Row],[Total Profit]]/Europe_Sales_Records34[[#This Row],[Total Revenue]]</f>
        <v>0.39768984446477584</v>
      </c>
      <c r="AA193">
        <v>1650895.65</v>
      </c>
    </row>
    <row r="194" spans="1:27" x14ac:dyDescent="0.3">
      <c r="A194" t="s">
        <v>14</v>
      </c>
      <c r="B194" t="s">
        <v>243</v>
      </c>
      <c r="C194" t="s">
        <v>50</v>
      </c>
      <c r="D194" t="s">
        <v>17</v>
      </c>
      <c r="E194" t="s">
        <v>54</v>
      </c>
      <c r="F194" t="s">
        <v>441</v>
      </c>
      <c r="G194" s="2">
        <f t="shared" ref="G194:G257" si="6">DATE(
  RIGHT(F194,4),
  LEFT(F194,FIND("/",F194)-1),
  MID(F194,FIND("/",F194)+1, FIND("/",F194,FIND("/",F194)+1)-FIND("/",F194)-1)
)</f>
        <v>41494</v>
      </c>
      <c r="H194">
        <f>DAY(Europe_Sales_Records34[[#This Row],[Order Date Fixed]])</f>
        <v>8</v>
      </c>
      <c r="I194" t="str">
        <f>TEXT(Europe_Sales_Records34[[#This Row],[Order Date Fixed]],"MMM")</f>
        <v>Aug</v>
      </c>
      <c r="J194">
        <f>YEAR(Europe_Sales_Records34[[#This Row],[Order Date Fixed]])</f>
        <v>2013</v>
      </c>
      <c r="K194" t="str">
        <f>TEXT(Europe_Sales_Records34[[#This Row],[Order Date Fixed]],"MMM-YYYY")</f>
        <v>Aug-2013</v>
      </c>
      <c r="L194">
        <v>876856458</v>
      </c>
      <c r="M194" s="2">
        <f t="shared" ref="M194:M257" si="7">DATE(
  RIGHT(R194,4),
  LEFT(R194,FIND("/",R194)-1),
  MID(
      R194,
      FIND("/",R194)+1,
      FIND("/",R194,FIND("/",R194)+1)-FIND("/",R194)-1
     )
)</f>
        <v>41515</v>
      </c>
      <c r="N194">
        <f>DAY(Europe_Sales_Records34[[#This Row],[Ship Date Fixed]])</f>
        <v>29</v>
      </c>
      <c r="O194" t="str">
        <f>TEXT(Europe_Sales_Records34[[#This Row],[Ship Date Fixed]],"MMM")</f>
        <v>Aug</v>
      </c>
      <c r="P194">
        <f>YEAR(Europe_Sales_Records34[[#This Row],[Ship Date Fixed]])</f>
        <v>2013</v>
      </c>
      <c r="Q194" t="str">
        <f>TEXT(Europe_Sales_Records34[[#This Row],[Ship Date Fixed]],"MMM-YYYY")</f>
        <v>Aug-2013</v>
      </c>
      <c r="R194" t="s">
        <v>442</v>
      </c>
      <c r="S194" s="3">
        <f>Europe_Sales_Records34[[#This Row],[Ship Date Fixed]]-Europe_Sales_Records34[[#This Row],[Order Date Fixed]]</f>
        <v>21</v>
      </c>
      <c r="T194">
        <v>166</v>
      </c>
      <c r="U194">
        <v>421.89</v>
      </c>
      <c r="V194">
        <v>364.69</v>
      </c>
      <c r="W194">
        <f>Europe_Sales_Records34[[#This Row],[Total Revenue]]/Europe_Sales_Records34[[#This Row],[Units Sold]]</f>
        <v>421.89000000000004</v>
      </c>
      <c r="X194">
        <v>70033.740000000005</v>
      </c>
      <c r="Y194">
        <v>60538.54</v>
      </c>
      <c r="Z194" s="4">
        <f>Europe_Sales_Records34[[#This Row],[Total Profit]]/Europe_Sales_Records34[[#This Row],[Total Revenue]]</f>
        <v>0.13558036455000119</v>
      </c>
      <c r="AA194">
        <v>9495.2000000000007</v>
      </c>
    </row>
    <row r="195" spans="1:27" x14ac:dyDescent="0.3">
      <c r="A195" t="s">
        <v>14</v>
      </c>
      <c r="B195" t="s">
        <v>31</v>
      </c>
      <c r="C195" t="s">
        <v>16</v>
      </c>
      <c r="D195" t="s">
        <v>17</v>
      </c>
      <c r="E195" t="s">
        <v>18</v>
      </c>
      <c r="F195" t="s">
        <v>443</v>
      </c>
      <c r="G195" s="2">
        <f t="shared" si="6"/>
        <v>41566</v>
      </c>
      <c r="H195">
        <f>DAY(Europe_Sales_Records34[[#This Row],[Order Date Fixed]])</f>
        <v>19</v>
      </c>
      <c r="I195" t="str">
        <f>TEXT(Europe_Sales_Records34[[#This Row],[Order Date Fixed]],"MMM")</f>
        <v>Oct</v>
      </c>
      <c r="J195">
        <f>YEAR(Europe_Sales_Records34[[#This Row],[Order Date Fixed]])</f>
        <v>2013</v>
      </c>
      <c r="K195" t="str">
        <f>TEXT(Europe_Sales_Records34[[#This Row],[Order Date Fixed]],"MMM-YYYY")</f>
        <v>Oct-2013</v>
      </c>
      <c r="L195">
        <v>313178002</v>
      </c>
      <c r="M195" s="2">
        <f t="shared" si="7"/>
        <v>41614</v>
      </c>
      <c r="N195">
        <f>DAY(Europe_Sales_Records34[[#This Row],[Ship Date Fixed]])</f>
        <v>6</v>
      </c>
      <c r="O195" t="str">
        <f>TEXT(Europe_Sales_Records34[[#This Row],[Ship Date Fixed]],"MMM")</f>
        <v>Dec</v>
      </c>
      <c r="P195">
        <f>YEAR(Europe_Sales_Records34[[#This Row],[Ship Date Fixed]])</f>
        <v>2013</v>
      </c>
      <c r="Q195" t="str">
        <f>TEXT(Europe_Sales_Records34[[#This Row],[Ship Date Fixed]],"MMM-YYYY")</f>
        <v>Dec-2013</v>
      </c>
      <c r="R195" t="s">
        <v>444</v>
      </c>
      <c r="S195" s="3">
        <f>Europe_Sales_Records34[[#This Row],[Ship Date Fixed]]-Europe_Sales_Records34[[#This Row],[Order Date Fixed]]</f>
        <v>48</v>
      </c>
      <c r="T195">
        <v>5185</v>
      </c>
      <c r="U195">
        <v>47.45</v>
      </c>
      <c r="V195">
        <v>31.79</v>
      </c>
      <c r="W195">
        <f>Europe_Sales_Records34[[#This Row],[Total Revenue]]/Europe_Sales_Records34[[#This Row],[Units Sold]]</f>
        <v>47.45</v>
      </c>
      <c r="X195">
        <v>246028.25</v>
      </c>
      <c r="Y195">
        <v>164831.15</v>
      </c>
      <c r="Z195" s="4">
        <f>Europe_Sales_Records34[[#This Row],[Total Profit]]/Europe_Sales_Records34[[#This Row],[Total Revenue]]</f>
        <v>0.33003161222339306</v>
      </c>
      <c r="AA195">
        <v>81197.100000000006</v>
      </c>
    </row>
    <row r="196" spans="1:27" x14ac:dyDescent="0.3">
      <c r="A196" t="s">
        <v>14</v>
      </c>
      <c r="B196" t="s">
        <v>132</v>
      </c>
      <c r="C196" t="s">
        <v>102</v>
      </c>
      <c r="D196" t="s">
        <v>23</v>
      </c>
      <c r="E196" t="s">
        <v>33</v>
      </c>
      <c r="F196" t="s">
        <v>445</v>
      </c>
      <c r="G196" s="2">
        <f t="shared" si="6"/>
        <v>42417</v>
      </c>
      <c r="H196">
        <f>DAY(Europe_Sales_Records34[[#This Row],[Order Date Fixed]])</f>
        <v>17</v>
      </c>
      <c r="I196" t="str">
        <f>TEXT(Europe_Sales_Records34[[#This Row],[Order Date Fixed]],"MMM")</f>
        <v>Feb</v>
      </c>
      <c r="J196">
        <f>YEAR(Europe_Sales_Records34[[#This Row],[Order Date Fixed]])</f>
        <v>2016</v>
      </c>
      <c r="K196" t="str">
        <f>TEXT(Europe_Sales_Records34[[#This Row],[Order Date Fixed]],"MMM-YYYY")</f>
        <v>Feb-2016</v>
      </c>
      <c r="L196">
        <v>461445796</v>
      </c>
      <c r="M196" s="2">
        <f t="shared" si="7"/>
        <v>42451</v>
      </c>
      <c r="N196">
        <f>DAY(Europe_Sales_Records34[[#This Row],[Ship Date Fixed]])</f>
        <v>22</v>
      </c>
      <c r="O196" t="str">
        <f>TEXT(Europe_Sales_Records34[[#This Row],[Ship Date Fixed]],"MMM")</f>
        <v>Mar</v>
      </c>
      <c r="P196">
        <f>YEAR(Europe_Sales_Records34[[#This Row],[Ship Date Fixed]])</f>
        <v>2016</v>
      </c>
      <c r="Q196" t="str">
        <f>TEXT(Europe_Sales_Records34[[#This Row],[Ship Date Fixed]],"MMM-YYYY")</f>
        <v>Mar-2016</v>
      </c>
      <c r="R196" t="s">
        <v>446</v>
      </c>
      <c r="S196" s="3">
        <f>Europe_Sales_Records34[[#This Row],[Ship Date Fixed]]-Europe_Sales_Records34[[#This Row],[Order Date Fixed]]</f>
        <v>34</v>
      </c>
      <c r="T196">
        <v>920</v>
      </c>
      <c r="U196">
        <v>81.73</v>
      </c>
      <c r="V196">
        <v>56.67</v>
      </c>
      <c r="W196">
        <f>Europe_Sales_Records34[[#This Row],[Total Revenue]]/Europe_Sales_Records34[[#This Row],[Units Sold]]</f>
        <v>81.73</v>
      </c>
      <c r="X196">
        <v>75191.600000000006</v>
      </c>
      <c r="Y196">
        <v>52136.4</v>
      </c>
      <c r="Z196" s="4">
        <f>Europe_Sales_Records34[[#This Row],[Total Profit]]/Europe_Sales_Records34[[#This Row],[Total Revenue]]</f>
        <v>0.30661935641747218</v>
      </c>
      <c r="AA196">
        <v>23055.200000000001</v>
      </c>
    </row>
    <row r="197" spans="1:27" x14ac:dyDescent="0.3">
      <c r="A197" t="s">
        <v>14</v>
      </c>
      <c r="B197" t="s">
        <v>166</v>
      </c>
      <c r="C197" t="s">
        <v>75</v>
      </c>
      <c r="D197" t="s">
        <v>17</v>
      </c>
      <c r="E197" t="s">
        <v>18</v>
      </c>
      <c r="F197" t="s">
        <v>447</v>
      </c>
      <c r="G197" s="2">
        <f t="shared" si="6"/>
        <v>42738</v>
      </c>
      <c r="H197">
        <f>DAY(Europe_Sales_Records34[[#This Row],[Order Date Fixed]])</f>
        <v>3</v>
      </c>
      <c r="I197" t="str">
        <f>TEXT(Europe_Sales_Records34[[#This Row],[Order Date Fixed]],"MMM")</f>
        <v>Jan</v>
      </c>
      <c r="J197">
        <f>YEAR(Europe_Sales_Records34[[#This Row],[Order Date Fixed]])</f>
        <v>2017</v>
      </c>
      <c r="K197" t="str">
        <f>TEXT(Europe_Sales_Records34[[#This Row],[Order Date Fixed]],"MMM-YYYY")</f>
        <v>Jan-2017</v>
      </c>
      <c r="L197">
        <v>391026866</v>
      </c>
      <c r="M197" s="2">
        <f t="shared" si="7"/>
        <v>42743</v>
      </c>
      <c r="N197">
        <f>DAY(Europe_Sales_Records34[[#This Row],[Ship Date Fixed]])</f>
        <v>8</v>
      </c>
      <c r="O197" t="str">
        <f>TEXT(Europe_Sales_Records34[[#This Row],[Ship Date Fixed]],"MMM")</f>
        <v>Jan</v>
      </c>
      <c r="P197">
        <f>YEAR(Europe_Sales_Records34[[#This Row],[Ship Date Fixed]])</f>
        <v>2017</v>
      </c>
      <c r="Q197" t="str">
        <f>TEXT(Europe_Sales_Records34[[#This Row],[Ship Date Fixed]],"MMM-YYYY")</f>
        <v>Jan-2017</v>
      </c>
      <c r="R197" t="s">
        <v>448</v>
      </c>
      <c r="S197" s="3">
        <f>Europe_Sales_Records34[[#This Row],[Ship Date Fixed]]-Europe_Sales_Records34[[#This Row],[Order Date Fixed]]</f>
        <v>5</v>
      </c>
      <c r="T197">
        <v>2394</v>
      </c>
      <c r="U197">
        <v>437.2</v>
      </c>
      <c r="V197">
        <v>263.33</v>
      </c>
      <c r="W197">
        <f>Europe_Sales_Records34[[#This Row],[Total Revenue]]/Europe_Sales_Records34[[#This Row],[Units Sold]]</f>
        <v>437.20000000000005</v>
      </c>
      <c r="X197">
        <v>1046656.8</v>
      </c>
      <c r="Y197">
        <v>630412.02</v>
      </c>
      <c r="Z197" s="4">
        <f>Europe_Sales_Records34[[#This Row],[Total Profit]]/Europe_Sales_Records34[[#This Row],[Total Revenue]]</f>
        <v>0.39768984446477584</v>
      </c>
      <c r="AA197">
        <v>416244.78</v>
      </c>
    </row>
    <row r="198" spans="1:27" x14ac:dyDescent="0.3">
      <c r="A198" t="s">
        <v>14</v>
      </c>
      <c r="B198" t="s">
        <v>196</v>
      </c>
      <c r="C198" t="s">
        <v>46</v>
      </c>
      <c r="D198" t="s">
        <v>17</v>
      </c>
      <c r="E198" t="s">
        <v>18</v>
      </c>
      <c r="F198" t="s">
        <v>449</v>
      </c>
      <c r="G198" s="2">
        <f t="shared" si="6"/>
        <v>42223</v>
      </c>
      <c r="H198">
        <f>DAY(Europe_Sales_Records34[[#This Row],[Order Date Fixed]])</f>
        <v>7</v>
      </c>
      <c r="I198" t="str">
        <f>TEXT(Europe_Sales_Records34[[#This Row],[Order Date Fixed]],"MMM")</f>
        <v>Aug</v>
      </c>
      <c r="J198">
        <f>YEAR(Europe_Sales_Records34[[#This Row],[Order Date Fixed]])</f>
        <v>2015</v>
      </c>
      <c r="K198" t="str">
        <f>TEXT(Europe_Sales_Records34[[#This Row],[Order Date Fixed]],"MMM-YYYY")</f>
        <v>Aug-2015</v>
      </c>
      <c r="L198">
        <v>204418504</v>
      </c>
      <c r="M198" s="2">
        <f t="shared" si="7"/>
        <v>42250</v>
      </c>
      <c r="N198">
        <f>DAY(Europe_Sales_Records34[[#This Row],[Ship Date Fixed]])</f>
        <v>3</v>
      </c>
      <c r="O198" t="str">
        <f>TEXT(Europe_Sales_Records34[[#This Row],[Ship Date Fixed]],"MMM")</f>
        <v>Sep</v>
      </c>
      <c r="P198">
        <f>YEAR(Europe_Sales_Records34[[#This Row],[Ship Date Fixed]])</f>
        <v>2015</v>
      </c>
      <c r="Q198" t="str">
        <f>TEXT(Europe_Sales_Records34[[#This Row],[Ship Date Fixed]],"MMM-YYYY")</f>
        <v>Sep-2015</v>
      </c>
      <c r="R198" t="s">
        <v>450</v>
      </c>
      <c r="S198" s="3">
        <f>Europe_Sales_Records34[[#This Row],[Ship Date Fixed]]-Europe_Sales_Records34[[#This Row],[Order Date Fixed]]</f>
        <v>27</v>
      </c>
      <c r="T198">
        <v>833</v>
      </c>
      <c r="U198">
        <v>154.06</v>
      </c>
      <c r="V198">
        <v>90.93</v>
      </c>
      <c r="W198">
        <f>Europe_Sales_Records34[[#This Row],[Total Revenue]]/Europe_Sales_Records34[[#This Row],[Units Sold]]</f>
        <v>154.06</v>
      </c>
      <c r="X198">
        <v>128331.98</v>
      </c>
      <c r="Y198">
        <v>75744.69</v>
      </c>
      <c r="Z198" s="4">
        <f>Europe_Sales_Records34[[#This Row],[Total Profit]]/Europe_Sales_Records34[[#This Row],[Total Revenue]]</f>
        <v>0.40977541217707386</v>
      </c>
      <c r="AA198">
        <v>52587.29</v>
      </c>
    </row>
    <row r="199" spans="1:27" x14ac:dyDescent="0.3">
      <c r="A199" t="s">
        <v>14</v>
      </c>
      <c r="B199" t="s">
        <v>342</v>
      </c>
      <c r="C199" t="s">
        <v>50</v>
      </c>
      <c r="D199" t="s">
        <v>17</v>
      </c>
      <c r="E199" t="s">
        <v>33</v>
      </c>
      <c r="F199" t="s">
        <v>451</v>
      </c>
      <c r="G199" s="2">
        <f t="shared" si="6"/>
        <v>41265</v>
      </c>
      <c r="H199">
        <f>DAY(Europe_Sales_Records34[[#This Row],[Order Date Fixed]])</f>
        <v>22</v>
      </c>
      <c r="I199" t="str">
        <f>TEXT(Europe_Sales_Records34[[#This Row],[Order Date Fixed]],"MMM")</f>
        <v>Dec</v>
      </c>
      <c r="J199">
        <f>YEAR(Europe_Sales_Records34[[#This Row],[Order Date Fixed]])</f>
        <v>2012</v>
      </c>
      <c r="K199" t="str">
        <f>TEXT(Europe_Sales_Records34[[#This Row],[Order Date Fixed]],"MMM-YYYY")</f>
        <v>Dec-2012</v>
      </c>
      <c r="L199">
        <v>524972951</v>
      </c>
      <c r="M199" s="2">
        <f t="shared" si="7"/>
        <v>41291</v>
      </c>
      <c r="N199">
        <f>DAY(Europe_Sales_Records34[[#This Row],[Ship Date Fixed]])</f>
        <v>17</v>
      </c>
      <c r="O199" t="str">
        <f>TEXT(Europe_Sales_Records34[[#This Row],[Ship Date Fixed]],"MMM")</f>
        <v>Jan</v>
      </c>
      <c r="P199">
        <f>YEAR(Europe_Sales_Records34[[#This Row],[Ship Date Fixed]])</f>
        <v>2013</v>
      </c>
      <c r="Q199" t="str">
        <f>TEXT(Europe_Sales_Records34[[#This Row],[Ship Date Fixed]],"MMM-YYYY")</f>
        <v>Jan-2013</v>
      </c>
      <c r="R199" t="s">
        <v>452</v>
      </c>
      <c r="S199" s="3">
        <f>Europe_Sales_Records34[[#This Row],[Ship Date Fixed]]-Europe_Sales_Records34[[#This Row],[Order Date Fixed]]</f>
        <v>26</v>
      </c>
      <c r="T199">
        <v>17</v>
      </c>
      <c r="U199">
        <v>421.89</v>
      </c>
      <c r="V199">
        <v>364.69</v>
      </c>
      <c r="W199">
        <f>Europe_Sales_Records34[[#This Row],[Total Revenue]]/Europe_Sales_Records34[[#This Row],[Units Sold]]</f>
        <v>421.89</v>
      </c>
      <c r="X199">
        <v>7172.13</v>
      </c>
      <c r="Y199">
        <v>6199.73</v>
      </c>
      <c r="Z199" s="4">
        <f>Europe_Sales_Records34[[#This Row],[Total Profit]]/Europe_Sales_Records34[[#This Row],[Total Revenue]]</f>
        <v>0.13558036455000119</v>
      </c>
      <c r="AA199">
        <v>972.4</v>
      </c>
    </row>
    <row r="200" spans="1:27" x14ac:dyDescent="0.3">
      <c r="A200" t="s">
        <v>14</v>
      </c>
      <c r="B200" t="s">
        <v>80</v>
      </c>
      <c r="C200" t="s">
        <v>16</v>
      </c>
      <c r="D200" t="s">
        <v>23</v>
      </c>
      <c r="E200" t="s">
        <v>18</v>
      </c>
      <c r="F200" t="s">
        <v>453</v>
      </c>
      <c r="G200" s="2">
        <f t="shared" si="6"/>
        <v>41605</v>
      </c>
      <c r="H200">
        <f>DAY(Europe_Sales_Records34[[#This Row],[Order Date Fixed]])</f>
        <v>27</v>
      </c>
      <c r="I200" t="str">
        <f>TEXT(Europe_Sales_Records34[[#This Row],[Order Date Fixed]],"MMM")</f>
        <v>Nov</v>
      </c>
      <c r="J200">
        <f>YEAR(Europe_Sales_Records34[[#This Row],[Order Date Fixed]])</f>
        <v>2013</v>
      </c>
      <c r="K200" t="str">
        <f>TEXT(Europe_Sales_Records34[[#This Row],[Order Date Fixed]],"MMM-YYYY")</f>
        <v>Nov-2013</v>
      </c>
      <c r="L200">
        <v>469197165</v>
      </c>
      <c r="M200" s="2">
        <f t="shared" si="7"/>
        <v>41619</v>
      </c>
      <c r="N200">
        <f>DAY(Europe_Sales_Records34[[#This Row],[Ship Date Fixed]])</f>
        <v>11</v>
      </c>
      <c r="O200" t="str">
        <f>TEXT(Europe_Sales_Records34[[#This Row],[Ship Date Fixed]],"MMM")</f>
        <v>Dec</v>
      </c>
      <c r="P200">
        <f>YEAR(Europe_Sales_Records34[[#This Row],[Ship Date Fixed]])</f>
        <v>2013</v>
      </c>
      <c r="Q200" t="str">
        <f>TEXT(Europe_Sales_Records34[[#This Row],[Ship Date Fixed]],"MMM-YYYY")</f>
        <v>Dec-2013</v>
      </c>
      <c r="R200" t="s">
        <v>454</v>
      </c>
      <c r="S200" s="3">
        <f>Europe_Sales_Records34[[#This Row],[Ship Date Fixed]]-Europe_Sales_Records34[[#This Row],[Order Date Fixed]]</f>
        <v>14</v>
      </c>
      <c r="T200">
        <v>4723</v>
      </c>
      <c r="U200">
        <v>47.45</v>
      </c>
      <c r="V200">
        <v>31.79</v>
      </c>
      <c r="W200">
        <f>Europe_Sales_Records34[[#This Row],[Total Revenue]]/Europe_Sales_Records34[[#This Row],[Units Sold]]</f>
        <v>47.45</v>
      </c>
      <c r="X200">
        <v>224106.35</v>
      </c>
      <c r="Y200">
        <v>150144.17000000001</v>
      </c>
      <c r="Z200" s="4">
        <f>Europe_Sales_Records34[[#This Row],[Total Profit]]/Europe_Sales_Records34[[#This Row],[Total Revenue]]</f>
        <v>0.330031612223393</v>
      </c>
      <c r="AA200">
        <v>73962.179999999993</v>
      </c>
    </row>
    <row r="201" spans="1:27" x14ac:dyDescent="0.3">
      <c r="A201" t="s">
        <v>14</v>
      </c>
      <c r="B201" t="s">
        <v>169</v>
      </c>
      <c r="C201" t="s">
        <v>71</v>
      </c>
      <c r="D201" t="s">
        <v>17</v>
      </c>
      <c r="E201" t="s">
        <v>54</v>
      </c>
      <c r="F201" t="s">
        <v>455</v>
      </c>
      <c r="G201" s="2">
        <f t="shared" si="6"/>
        <v>40352</v>
      </c>
      <c r="H201">
        <f>DAY(Europe_Sales_Records34[[#This Row],[Order Date Fixed]])</f>
        <v>23</v>
      </c>
      <c r="I201" t="str">
        <f>TEXT(Europe_Sales_Records34[[#This Row],[Order Date Fixed]],"MMM")</f>
        <v>Jun</v>
      </c>
      <c r="J201">
        <f>YEAR(Europe_Sales_Records34[[#This Row],[Order Date Fixed]])</f>
        <v>2010</v>
      </c>
      <c r="K201" t="str">
        <f>TEXT(Europe_Sales_Records34[[#This Row],[Order Date Fixed]],"MMM-YYYY")</f>
        <v>Jun-2010</v>
      </c>
      <c r="L201">
        <v>688650786</v>
      </c>
      <c r="M201" s="2">
        <f t="shared" si="7"/>
        <v>40397</v>
      </c>
      <c r="N201">
        <f>DAY(Europe_Sales_Records34[[#This Row],[Ship Date Fixed]])</f>
        <v>7</v>
      </c>
      <c r="O201" t="str">
        <f>TEXT(Europe_Sales_Records34[[#This Row],[Ship Date Fixed]],"MMM")</f>
        <v>Aug</v>
      </c>
      <c r="P201">
        <f>YEAR(Europe_Sales_Records34[[#This Row],[Ship Date Fixed]])</f>
        <v>2010</v>
      </c>
      <c r="Q201" t="str">
        <f>TEXT(Europe_Sales_Records34[[#This Row],[Ship Date Fixed]],"MMM-YYYY")</f>
        <v>Aug-2010</v>
      </c>
      <c r="R201" t="s">
        <v>456</v>
      </c>
      <c r="S201" s="3">
        <f>Europe_Sales_Records34[[#This Row],[Ship Date Fixed]]-Europe_Sales_Records34[[#This Row],[Order Date Fixed]]</f>
        <v>45</v>
      </c>
      <c r="T201">
        <v>5926</v>
      </c>
      <c r="U201">
        <v>668.27</v>
      </c>
      <c r="V201">
        <v>502.54</v>
      </c>
      <c r="W201">
        <f>Europe_Sales_Records34[[#This Row],[Total Revenue]]/Europe_Sales_Records34[[#This Row],[Units Sold]]</f>
        <v>668.27</v>
      </c>
      <c r="X201">
        <v>3960168.02</v>
      </c>
      <c r="Y201">
        <v>2978052.04</v>
      </c>
      <c r="Z201" s="4">
        <f>Europe_Sales_Records34[[#This Row],[Total Profit]]/Europe_Sales_Records34[[#This Row],[Total Revenue]]</f>
        <v>0.24799856345489099</v>
      </c>
      <c r="AA201">
        <v>982115.98</v>
      </c>
    </row>
    <row r="202" spans="1:27" x14ac:dyDescent="0.3">
      <c r="A202" t="s">
        <v>14</v>
      </c>
      <c r="B202" t="s">
        <v>181</v>
      </c>
      <c r="C202" t="s">
        <v>32</v>
      </c>
      <c r="D202" t="s">
        <v>23</v>
      </c>
      <c r="E202" t="s">
        <v>24</v>
      </c>
      <c r="F202" t="s">
        <v>457</v>
      </c>
      <c r="G202" s="2">
        <f t="shared" si="6"/>
        <v>42538</v>
      </c>
      <c r="H202">
        <f>DAY(Europe_Sales_Records34[[#This Row],[Order Date Fixed]])</f>
        <v>17</v>
      </c>
      <c r="I202" t="str">
        <f>TEXT(Europe_Sales_Records34[[#This Row],[Order Date Fixed]],"MMM")</f>
        <v>Jun</v>
      </c>
      <c r="J202">
        <f>YEAR(Europe_Sales_Records34[[#This Row],[Order Date Fixed]])</f>
        <v>2016</v>
      </c>
      <c r="K202" t="str">
        <f>TEXT(Europe_Sales_Records34[[#This Row],[Order Date Fixed]],"MMM-YYYY")</f>
        <v>Jun-2016</v>
      </c>
      <c r="L202">
        <v>823236739</v>
      </c>
      <c r="M202" s="2">
        <f t="shared" si="7"/>
        <v>42583</v>
      </c>
      <c r="N202">
        <f>DAY(Europe_Sales_Records34[[#This Row],[Ship Date Fixed]])</f>
        <v>1</v>
      </c>
      <c r="O202" t="str">
        <f>TEXT(Europe_Sales_Records34[[#This Row],[Ship Date Fixed]],"MMM")</f>
        <v>Aug</v>
      </c>
      <c r="P202">
        <f>YEAR(Europe_Sales_Records34[[#This Row],[Ship Date Fixed]])</f>
        <v>2016</v>
      </c>
      <c r="Q202" t="str">
        <f>TEXT(Europe_Sales_Records34[[#This Row],[Ship Date Fixed]],"MMM-YYYY")</f>
        <v>Aug-2016</v>
      </c>
      <c r="R202" t="s">
        <v>458</v>
      </c>
      <c r="S202" s="3">
        <f>Europe_Sales_Records34[[#This Row],[Ship Date Fixed]]-Europe_Sales_Records34[[#This Row],[Order Date Fixed]]</f>
        <v>45</v>
      </c>
      <c r="T202">
        <v>2900</v>
      </c>
      <c r="U202">
        <v>651.21</v>
      </c>
      <c r="V202">
        <v>524.96</v>
      </c>
      <c r="W202">
        <f>Europe_Sales_Records34[[#This Row],[Total Revenue]]/Europe_Sales_Records34[[#This Row],[Units Sold]]</f>
        <v>651.21</v>
      </c>
      <c r="X202">
        <v>1888509</v>
      </c>
      <c r="Y202">
        <v>1522384</v>
      </c>
      <c r="Z202" s="4">
        <f>Europe_Sales_Records34[[#This Row],[Total Profit]]/Europe_Sales_Records34[[#This Row],[Total Revenue]]</f>
        <v>0.19386987300563566</v>
      </c>
      <c r="AA202">
        <v>366125</v>
      </c>
    </row>
    <row r="203" spans="1:27" x14ac:dyDescent="0.3">
      <c r="A203" t="s">
        <v>14</v>
      </c>
      <c r="B203" t="s">
        <v>122</v>
      </c>
      <c r="C203" t="s">
        <v>37</v>
      </c>
      <c r="D203" t="s">
        <v>17</v>
      </c>
      <c r="E203" t="s">
        <v>33</v>
      </c>
      <c r="F203" t="s">
        <v>459</v>
      </c>
      <c r="G203" s="2">
        <f t="shared" si="6"/>
        <v>42080</v>
      </c>
      <c r="H203">
        <f>DAY(Europe_Sales_Records34[[#This Row],[Order Date Fixed]])</f>
        <v>17</v>
      </c>
      <c r="I203" t="str">
        <f>TEXT(Europe_Sales_Records34[[#This Row],[Order Date Fixed]],"MMM")</f>
        <v>Mar</v>
      </c>
      <c r="J203">
        <f>YEAR(Europe_Sales_Records34[[#This Row],[Order Date Fixed]])</f>
        <v>2015</v>
      </c>
      <c r="K203" t="str">
        <f>TEXT(Europe_Sales_Records34[[#This Row],[Order Date Fixed]],"MMM-YYYY")</f>
        <v>Mar-2015</v>
      </c>
      <c r="L203">
        <v>439725911</v>
      </c>
      <c r="M203" s="2">
        <f t="shared" si="7"/>
        <v>42101</v>
      </c>
      <c r="N203">
        <f>DAY(Europe_Sales_Records34[[#This Row],[Ship Date Fixed]])</f>
        <v>7</v>
      </c>
      <c r="O203" t="str">
        <f>TEXT(Europe_Sales_Records34[[#This Row],[Ship Date Fixed]],"MMM")</f>
        <v>Apr</v>
      </c>
      <c r="P203">
        <f>YEAR(Europe_Sales_Records34[[#This Row],[Ship Date Fixed]])</f>
        <v>2015</v>
      </c>
      <c r="Q203" t="str">
        <f>TEXT(Europe_Sales_Records34[[#This Row],[Ship Date Fixed]],"MMM-YYYY")</f>
        <v>Apr-2015</v>
      </c>
      <c r="R203" t="s">
        <v>66</v>
      </c>
      <c r="S203" s="3">
        <f>Europe_Sales_Records34[[#This Row],[Ship Date Fixed]]-Europe_Sales_Records34[[#This Row],[Order Date Fixed]]</f>
        <v>21</v>
      </c>
      <c r="T203">
        <v>3524</v>
      </c>
      <c r="U203">
        <v>9.33</v>
      </c>
      <c r="V203">
        <v>6.92</v>
      </c>
      <c r="W203">
        <f>Europe_Sales_Records34[[#This Row],[Total Revenue]]/Europe_Sales_Records34[[#This Row],[Units Sold]]</f>
        <v>9.33</v>
      </c>
      <c r="X203">
        <v>32878.92</v>
      </c>
      <c r="Y203">
        <v>24386.080000000002</v>
      </c>
      <c r="Z203" s="4">
        <f>Europe_Sales_Records34[[#This Row],[Total Profit]]/Europe_Sales_Records34[[#This Row],[Total Revenue]]</f>
        <v>0.25830653804930331</v>
      </c>
      <c r="AA203">
        <v>8492.84</v>
      </c>
    </row>
    <row r="204" spans="1:27" x14ac:dyDescent="0.3">
      <c r="A204" t="s">
        <v>14</v>
      </c>
      <c r="B204" t="s">
        <v>105</v>
      </c>
      <c r="C204" t="s">
        <v>58</v>
      </c>
      <c r="D204" t="s">
        <v>23</v>
      </c>
      <c r="E204" t="s">
        <v>54</v>
      </c>
      <c r="F204" t="s">
        <v>460</v>
      </c>
      <c r="G204" s="2">
        <f t="shared" si="6"/>
        <v>41183</v>
      </c>
      <c r="H204">
        <f>DAY(Europe_Sales_Records34[[#This Row],[Order Date Fixed]])</f>
        <v>1</v>
      </c>
      <c r="I204" t="str">
        <f>TEXT(Europe_Sales_Records34[[#This Row],[Order Date Fixed]],"MMM")</f>
        <v>Oct</v>
      </c>
      <c r="J204">
        <f>YEAR(Europe_Sales_Records34[[#This Row],[Order Date Fixed]])</f>
        <v>2012</v>
      </c>
      <c r="K204" t="str">
        <f>TEXT(Europe_Sales_Records34[[#This Row],[Order Date Fixed]],"MMM-YYYY")</f>
        <v>Oct-2012</v>
      </c>
      <c r="L204">
        <v>255047452</v>
      </c>
      <c r="M204" s="2">
        <f t="shared" si="7"/>
        <v>41212</v>
      </c>
      <c r="N204">
        <f>DAY(Europe_Sales_Records34[[#This Row],[Ship Date Fixed]])</f>
        <v>30</v>
      </c>
      <c r="O204" t="str">
        <f>TEXT(Europe_Sales_Records34[[#This Row],[Ship Date Fixed]],"MMM")</f>
        <v>Oct</v>
      </c>
      <c r="P204">
        <f>YEAR(Europe_Sales_Records34[[#This Row],[Ship Date Fixed]])</f>
        <v>2012</v>
      </c>
      <c r="Q204" t="str">
        <f>TEXT(Europe_Sales_Records34[[#This Row],[Ship Date Fixed]],"MMM-YYYY")</f>
        <v>Oct-2012</v>
      </c>
      <c r="R204" t="s">
        <v>415</v>
      </c>
      <c r="S204" s="3">
        <f>Europe_Sales_Records34[[#This Row],[Ship Date Fixed]]-Europe_Sales_Records34[[#This Row],[Order Date Fixed]]</f>
        <v>29</v>
      </c>
      <c r="T204">
        <v>3064</v>
      </c>
      <c r="U204">
        <v>152.58000000000001</v>
      </c>
      <c r="V204">
        <v>97.44</v>
      </c>
      <c r="W204">
        <f>Europe_Sales_Records34[[#This Row],[Total Revenue]]/Europe_Sales_Records34[[#This Row],[Units Sold]]</f>
        <v>152.58000000000001</v>
      </c>
      <c r="X204">
        <v>467505.12</v>
      </c>
      <c r="Y204">
        <v>298556.15999999997</v>
      </c>
      <c r="Z204" s="4">
        <f>Europe_Sales_Records34[[#This Row],[Total Profit]]/Europe_Sales_Records34[[#This Row],[Total Revenue]]</f>
        <v>0.36138419189933146</v>
      </c>
      <c r="AA204">
        <v>168948.96</v>
      </c>
    </row>
    <row r="205" spans="1:27" x14ac:dyDescent="0.3">
      <c r="A205" t="s">
        <v>14</v>
      </c>
      <c r="B205" t="s">
        <v>100</v>
      </c>
      <c r="C205" t="s">
        <v>50</v>
      </c>
      <c r="D205" t="s">
        <v>17</v>
      </c>
      <c r="E205" t="s">
        <v>18</v>
      </c>
      <c r="F205" t="s">
        <v>461</v>
      </c>
      <c r="G205" s="2">
        <f t="shared" si="6"/>
        <v>41816</v>
      </c>
      <c r="H205">
        <f>DAY(Europe_Sales_Records34[[#This Row],[Order Date Fixed]])</f>
        <v>26</v>
      </c>
      <c r="I205" t="str">
        <f>TEXT(Europe_Sales_Records34[[#This Row],[Order Date Fixed]],"MMM")</f>
        <v>Jun</v>
      </c>
      <c r="J205">
        <f>YEAR(Europe_Sales_Records34[[#This Row],[Order Date Fixed]])</f>
        <v>2014</v>
      </c>
      <c r="K205" t="str">
        <f>TEXT(Europe_Sales_Records34[[#This Row],[Order Date Fixed]],"MMM-YYYY")</f>
        <v>Jun-2014</v>
      </c>
      <c r="L205">
        <v>662623488</v>
      </c>
      <c r="M205" s="2">
        <f t="shared" si="7"/>
        <v>41831</v>
      </c>
      <c r="N205">
        <f>DAY(Europe_Sales_Records34[[#This Row],[Ship Date Fixed]])</f>
        <v>11</v>
      </c>
      <c r="O205" t="str">
        <f>TEXT(Europe_Sales_Records34[[#This Row],[Ship Date Fixed]],"MMM")</f>
        <v>Jul</v>
      </c>
      <c r="P205">
        <f>YEAR(Europe_Sales_Records34[[#This Row],[Ship Date Fixed]])</f>
        <v>2014</v>
      </c>
      <c r="Q205" t="str">
        <f>TEXT(Europe_Sales_Records34[[#This Row],[Ship Date Fixed]],"MMM-YYYY")</f>
        <v>Jul-2014</v>
      </c>
      <c r="R205" t="s">
        <v>462</v>
      </c>
      <c r="S205" s="3">
        <f>Europe_Sales_Records34[[#This Row],[Ship Date Fixed]]-Europe_Sales_Records34[[#This Row],[Order Date Fixed]]</f>
        <v>15</v>
      </c>
      <c r="T205">
        <v>3870</v>
      </c>
      <c r="U205">
        <v>421.89</v>
      </c>
      <c r="V205">
        <v>364.69</v>
      </c>
      <c r="W205">
        <f>Europe_Sales_Records34[[#This Row],[Total Revenue]]/Europe_Sales_Records34[[#This Row],[Units Sold]]</f>
        <v>421.89</v>
      </c>
      <c r="X205">
        <v>1632714.3</v>
      </c>
      <c r="Y205">
        <v>1411350.3</v>
      </c>
      <c r="Z205" s="4">
        <f>Europe_Sales_Records34[[#This Row],[Total Profit]]/Europe_Sales_Records34[[#This Row],[Total Revenue]]</f>
        <v>0.13558036455000119</v>
      </c>
      <c r="AA205">
        <v>221364</v>
      </c>
    </row>
    <row r="206" spans="1:27" x14ac:dyDescent="0.3">
      <c r="A206" t="s">
        <v>14</v>
      </c>
      <c r="B206" t="s">
        <v>61</v>
      </c>
      <c r="C206" t="s">
        <v>46</v>
      </c>
      <c r="D206" t="s">
        <v>17</v>
      </c>
      <c r="E206" t="s">
        <v>24</v>
      </c>
      <c r="F206" t="s">
        <v>463</v>
      </c>
      <c r="G206" s="2">
        <f t="shared" si="6"/>
        <v>42391</v>
      </c>
      <c r="H206">
        <f>DAY(Europe_Sales_Records34[[#This Row],[Order Date Fixed]])</f>
        <v>22</v>
      </c>
      <c r="I206" t="str">
        <f>TEXT(Europe_Sales_Records34[[#This Row],[Order Date Fixed]],"MMM")</f>
        <v>Jan</v>
      </c>
      <c r="J206">
        <f>YEAR(Europe_Sales_Records34[[#This Row],[Order Date Fixed]])</f>
        <v>2016</v>
      </c>
      <c r="K206" t="str">
        <f>TEXT(Europe_Sales_Records34[[#This Row],[Order Date Fixed]],"MMM-YYYY")</f>
        <v>Jan-2016</v>
      </c>
      <c r="L206">
        <v>560389268</v>
      </c>
      <c r="M206" s="2">
        <f t="shared" si="7"/>
        <v>42422</v>
      </c>
      <c r="N206">
        <f>DAY(Europe_Sales_Records34[[#This Row],[Ship Date Fixed]])</f>
        <v>22</v>
      </c>
      <c r="O206" t="str">
        <f>TEXT(Europe_Sales_Records34[[#This Row],[Ship Date Fixed]],"MMM")</f>
        <v>Feb</v>
      </c>
      <c r="P206">
        <f>YEAR(Europe_Sales_Records34[[#This Row],[Ship Date Fixed]])</f>
        <v>2016</v>
      </c>
      <c r="Q206" t="str">
        <f>TEXT(Europe_Sales_Records34[[#This Row],[Ship Date Fixed]],"MMM-YYYY")</f>
        <v>Feb-2016</v>
      </c>
      <c r="R206" t="s">
        <v>464</v>
      </c>
      <c r="S206" s="3">
        <f>Europe_Sales_Records34[[#This Row],[Ship Date Fixed]]-Europe_Sales_Records34[[#This Row],[Order Date Fixed]]</f>
        <v>31</v>
      </c>
      <c r="T206">
        <v>492</v>
      </c>
      <c r="U206">
        <v>154.06</v>
      </c>
      <c r="V206">
        <v>90.93</v>
      </c>
      <c r="W206">
        <f>Europe_Sales_Records34[[#This Row],[Total Revenue]]/Europe_Sales_Records34[[#This Row],[Units Sold]]</f>
        <v>154.06</v>
      </c>
      <c r="X206">
        <v>75797.52</v>
      </c>
      <c r="Y206">
        <v>44737.56</v>
      </c>
      <c r="Z206" s="4">
        <f>Europe_Sales_Records34[[#This Row],[Total Profit]]/Europe_Sales_Records34[[#This Row],[Total Revenue]]</f>
        <v>0.40977541217707386</v>
      </c>
      <c r="AA206">
        <v>31059.96</v>
      </c>
    </row>
    <row r="207" spans="1:27" x14ac:dyDescent="0.3">
      <c r="A207" t="s">
        <v>14</v>
      </c>
      <c r="B207" t="s">
        <v>163</v>
      </c>
      <c r="C207" t="s">
        <v>32</v>
      </c>
      <c r="D207" t="s">
        <v>17</v>
      </c>
      <c r="E207" t="s">
        <v>18</v>
      </c>
      <c r="F207" t="s">
        <v>465</v>
      </c>
      <c r="G207" s="2">
        <f t="shared" si="6"/>
        <v>40736</v>
      </c>
      <c r="H207">
        <f>DAY(Europe_Sales_Records34[[#This Row],[Order Date Fixed]])</f>
        <v>12</v>
      </c>
      <c r="I207" t="str">
        <f>TEXT(Europe_Sales_Records34[[#This Row],[Order Date Fixed]],"MMM")</f>
        <v>Jul</v>
      </c>
      <c r="J207">
        <f>YEAR(Europe_Sales_Records34[[#This Row],[Order Date Fixed]])</f>
        <v>2011</v>
      </c>
      <c r="K207" t="str">
        <f>TEXT(Europe_Sales_Records34[[#This Row],[Order Date Fixed]],"MMM-YYYY")</f>
        <v>Jul-2011</v>
      </c>
      <c r="L207">
        <v>867138278</v>
      </c>
      <c r="M207" s="2">
        <f t="shared" si="7"/>
        <v>40759</v>
      </c>
      <c r="N207">
        <f>DAY(Europe_Sales_Records34[[#This Row],[Ship Date Fixed]])</f>
        <v>4</v>
      </c>
      <c r="O207" t="str">
        <f>TEXT(Europe_Sales_Records34[[#This Row],[Ship Date Fixed]],"MMM")</f>
        <v>Aug</v>
      </c>
      <c r="P207">
        <f>YEAR(Europe_Sales_Records34[[#This Row],[Ship Date Fixed]])</f>
        <v>2011</v>
      </c>
      <c r="Q207" t="str">
        <f>TEXT(Europe_Sales_Records34[[#This Row],[Ship Date Fixed]],"MMM-YYYY")</f>
        <v>Aug-2011</v>
      </c>
      <c r="R207" t="s">
        <v>402</v>
      </c>
      <c r="S207" s="3">
        <f>Europe_Sales_Records34[[#This Row],[Ship Date Fixed]]-Europe_Sales_Records34[[#This Row],[Order Date Fixed]]</f>
        <v>23</v>
      </c>
      <c r="T207">
        <v>4341</v>
      </c>
      <c r="U207">
        <v>651.21</v>
      </c>
      <c r="V207">
        <v>524.96</v>
      </c>
      <c r="W207">
        <f>Europe_Sales_Records34[[#This Row],[Total Revenue]]/Europe_Sales_Records34[[#This Row],[Units Sold]]</f>
        <v>651.20999999999992</v>
      </c>
      <c r="X207">
        <v>2826902.61</v>
      </c>
      <c r="Y207">
        <v>2278851.36</v>
      </c>
      <c r="Z207" s="4">
        <f>Europe_Sales_Records34[[#This Row],[Total Profit]]/Europe_Sales_Records34[[#This Row],[Total Revenue]]</f>
        <v>0.19386987300563568</v>
      </c>
      <c r="AA207">
        <v>548051.25</v>
      </c>
    </row>
    <row r="208" spans="1:27" x14ac:dyDescent="0.3">
      <c r="A208" t="s">
        <v>14</v>
      </c>
      <c r="B208" t="s">
        <v>40</v>
      </c>
      <c r="C208" t="s">
        <v>71</v>
      </c>
      <c r="D208" t="s">
        <v>23</v>
      </c>
      <c r="E208" t="s">
        <v>54</v>
      </c>
      <c r="F208" t="s">
        <v>466</v>
      </c>
      <c r="G208" s="2">
        <f t="shared" si="6"/>
        <v>41998</v>
      </c>
      <c r="H208">
        <f>DAY(Europe_Sales_Records34[[#This Row],[Order Date Fixed]])</f>
        <v>25</v>
      </c>
      <c r="I208" t="str">
        <f>TEXT(Europe_Sales_Records34[[#This Row],[Order Date Fixed]],"MMM")</f>
        <v>Dec</v>
      </c>
      <c r="J208">
        <f>YEAR(Europe_Sales_Records34[[#This Row],[Order Date Fixed]])</f>
        <v>2014</v>
      </c>
      <c r="K208" t="str">
        <f>TEXT(Europe_Sales_Records34[[#This Row],[Order Date Fixed]],"MMM-YYYY")</f>
        <v>Dec-2014</v>
      </c>
      <c r="L208">
        <v>525321424</v>
      </c>
      <c r="M208" s="2">
        <f t="shared" si="7"/>
        <v>42004</v>
      </c>
      <c r="N208">
        <f>DAY(Europe_Sales_Records34[[#This Row],[Ship Date Fixed]])</f>
        <v>31</v>
      </c>
      <c r="O208" t="str">
        <f>TEXT(Europe_Sales_Records34[[#This Row],[Ship Date Fixed]],"MMM")</f>
        <v>Dec</v>
      </c>
      <c r="P208">
        <f>YEAR(Europe_Sales_Records34[[#This Row],[Ship Date Fixed]])</f>
        <v>2014</v>
      </c>
      <c r="Q208" t="str">
        <f>TEXT(Europe_Sales_Records34[[#This Row],[Ship Date Fixed]],"MMM-YYYY")</f>
        <v>Dec-2014</v>
      </c>
      <c r="R208" t="s">
        <v>467</v>
      </c>
      <c r="S208" s="3">
        <f>Europe_Sales_Records34[[#This Row],[Ship Date Fixed]]-Europe_Sales_Records34[[#This Row],[Order Date Fixed]]</f>
        <v>6</v>
      </c>
      <c r="T208">
        <v>3138</v>
      </c>
      <c r="U208">
        <v>668.27</v>
      </c>
      <c r="V208">
        <v>502.54</v>
      </c>
      <c r="W208">
        <f>Europe_Sales_Records34[[#This Row],[Total Revenue]]/Europe_Sales_Records34[[#This Row],[Units Sold]]</f>
        <v>668.27</v>
      </c>
      <c r="X208">
        <v>2097031.26</v>
      </c>
      <c r="Y208">
        <v>1576970.52</v>
      </c>
      <c r="Z208" s="4">
        <f>Europe_Sales_Records34[[#This Row],[Total Profit]]/Europe_Sales_Records34[[#This Row],[Total Revenue]]</f>
        <v>0.24799856345489099</v>
      </c>
      <c r="AA208">
        <v>520060.74</v>
      </c>
    </row>
    <row r="209" spans="1:27" x14ac:dyDescent="0.3">
      <c r="A209" t="s">
        <v>14</v>
      </c>
      <c r="B209" t="s">
        <v>105</v>
      </c>
      <c r="C209" t="s">
        <v>22</v>
      </c>
      <c r="D209" t="s">
        <v>23</v>
      </c>
      <c r="E209" t="s">
        <v>54</v>
      </c>
      <c r="F209" t="s">
        <v>468</v>
      </c>
      <c r="G209" s="2">
        <f t="shared" si="6"/>
        <v>41800</v>
      </c>
      <c r="H209">
        <f>DAY(Europe_Sales_Records34[[#This Row],[Order Date Fixed]])</f>
        <v>10</v>
      </c>
      <c r="I209" t="str">
        <f>TEXT(Europe_Sales_Records34[[#This Row],[Order Date Fixed]],"MMM")</f>
        <v>Jun</v>
      </c>
      <c r="J209">
        <f>YEAR(Europe_Sales_Records34[[#This Row],[Order Date Fixed]])</f>
        <v>2014</v>
      </c>
      <c r="K209" t="str">
        <f>TEXT(Europe_Sales_Records34[[#This Row],[Order Date Fixed]],"MMM-YYYY")</f>
        <v>Jun-2014</v>
      </c>
      <c r="L209">
        <v>497554337</v>
      </c>
      <c r="M209" s="2">
        <f t="shared" si="7"/>
        <v>41848</v>
      </c>
      <c r="N209">
        <f>DAY(Europe_Sales_Records34[[#This Row],[Ship Date Fixed]])</f>
        <v>28</v>
      </c>
      <c r="O209" t="str">
        <f>TEXT(Europe_Sales_Records34[[#This Row],[Ship Date Fixed]],"MMM")</f>
        <v>Jul</v>
      </c>
      <c r="P209">
        <f>YEAR(Europe_Sales_Records34[[#This Row],[Ship Date Fixed]])</f>
        <v>2014</v>
      </c>
      <c r="Q209" t="str">
        <f>TEXT(Europe_Sales_Records34[[#This Row],[Ship Date Fixed]],"MMM-YYYY")</f>
        <v>Jul-2014</v>
      </c>
      <c r="R209" t="s">
        <v>423</v>
      </c>
      <c r="S209" s="3">
        <f>Europe_Sales_Records34[[#This Row],[Ship Date Fixed]]-Europe_Sales_Records34[[#This Row],[Order Date Fixed]]</f>
        <v>48</v>
      </c>
      <c r="T209">
        <v>6240</v>
      </c>
      <c r="U209">
        <v>109.28</v>
      </c>
      <c r="V209">
        <v>35.840000000000003</v>
      </c>
      <c r="W209">
        <f>Europe_Sales_Records34[[#This Row],[Total Revenue]]/Europe_Sales_Records34[[#This Row],[Units Sold]]</f>
        <v>109.27999999999999</v>
      </c>
      <c r="X209">
        <v>681907.19999999995</v>
      </c>
      <c r="Y209">
        <v>223641.60000000001</v>
      </c>
      <c r="Z209" s="4">
        <f>Europe_Sales_Records34[[#This Row],[Total Profit]]/Europe_Sales_Records34[[#This Row],[Total Revenue]]</f>
        <v>0.67203513909224011</v>
      </c>
      <c r="AA209">
        <v>458265.59999999998</v>
      </c>
    </row>
    <row r="210" spans="1:27" x14ac:dyDescent="0.3">
      <c r="A210" t="s">
        <v>14</v>
      </c>
      <c r="B210" t="s">
        <v>257</v>
      </c>
      <c r="C210" t="s">
        <v>102</v>
      </c>
      <c r="D210" t="s">
        <v>17</v>
      </c>
      <c r="E210" t="s">
        <v>24</v>
      </c>
      <c r="F210" t="s">
        <v>469</v>
      </c>
      <c r="G210" s="2">
        <f t="shared" si="6"/>
        <v>42475</v>
      </c>
      <c r="H210">
        <f>DAY(Europe_Sales_Records34[[#This Row],[Order Date Fixed]])</f>
        <v>15</v>
      </c>
      <c r="I210" t="str">
        <f>TEXT(Europe_Sales_Records34[[#This Row],[Order Date Fixed]],"MMM")</f>
        <v>Apr</v>
      </c>
      <c r="J210">
        <f>YEAR(Europe_Sales_Records34[[#This Row],[Order Date Fixed]])</f>
        <v>2016</v>
      </c>
      <c r="K210" t="str">
        <f>TEXT(Europe_Sales_Records34[[#This Row],[Order Date Fixed]],"MMM-YYYY")</f>
        <v>Apr-2016</v>
      </c>
      <c r="L210">
        <v>626322257</v>
      </c>
      <c r="M210" s="2">
        <f t="shared" si="7"/>
        <v>42495</v>
      </c>
      <c r="N210">
        <f>DAY(Europe_Sales_Records34[[#This Row],[Ship Date Fixed]])</f>
        <v>5</v>
      </c>
      <c r="O210" t="str">
        <f>TEXT(Europe_Sales_Records34[[#This Row],[Ship Date Fixed]],"MMM")</f>
        <v>May</v>
      </c>
      <c r="P210">
        <f>YEAR(Europe_Sales_Records34[[#This Row],[Ship Date Fixed]])</f>
        <v>2016</v>
      </c>
      <c r="Q210" t="str">
        <f>TEXT(Europe_Sales_Records34[[#This Row],[Ship Date Fixed]],"MMM-YYYY")</f>
        <v>May-2016</v>
      </c>
      <c r="R210" t="s">
        <v>470</v>
      </c>
      <c r="S210" s="3">
        <f>Europe_Sales_Records34[[#This Row],[Ship Date Fixed]]-Europe_Sales_Records34[[#This Row],[Order Date Fixed]]</f>
        <v>20</v>
      </c>
      <c r="T210">
        <v>1529</v>
      </c>
      <c r="U210">
        <v>81.73</v>
      </c>
      <c r="V210">
        <v>56.67</v>
      </c>
      <c r="W210">
        <f>Europe_Sales_Records34[[#This Row],[Total Revenue]]/Europe_Sales_Records34[[#This Row],[Units Sold]]</f>
        <v>81.73</v>
      </c>
      <c r="X210">
        <v>124965.17</v>
      </c>
      <c r="Y210">
        <v>86648.43</v>
      </c>
      <c r="Z210" s="4">
        <f>Europe_Sales_Records34[[#This Row],[Total Profit]]/Europe_Sales_Records34[[#This Row],[Total Revenue]]</f>
        <v>0.30661935641747218</v>
      </c>
      <c r="AA210">
        <v>38316.74</v>
      </c>
    </row>
    <row r="211" spans="1:27" x14ac:dyDescent="0.3">
      <c r="A211" t="s">
        <v>14</v>
      </c>
      <c r="B211" t="s">
        <v>67</v>
      </c>
      <c r="C211" t="s">
        <v>64</v>
      </c>
      <c r="D211" t="s">
        <v>17</v>
      </c>
      <c r="E211" t="s">
        <v>18</v>
      </c>
      <c r="F211" t="s">
        <v>471</v>
      </c>
      <c r="G211" s="2">
        <f t="shared" si="6"/>
        <v>40564</v>
      </c>
      <c r="H211">
        <f>DAY(Europe_Sales_Records34[[#This Row],[Order Date Fixed]])</f>
        <v>21</v>
      </c>
      <c r="I211" t="str">
        <f>TEXT(Europe_Sales_Records34[[#This Row],[Order Date Fixed]],"MMM")</f>
        <v>Jan</v>
      </c>
      <c r="J211">
        <f>YEAR(Europe_Sales_Records34[[#This Row],[Order Date Fixed]])</f>
        <v>2011</v>
      </c>
      <c r="K211" t="str">
        <f>TEXT(Europe_Sales_Records34[[#This Row],[Order Date Fixed]],"MMM-YYYY")</f>
        <v>Jan-2011</v>
      </c>
      <c r="L211">
        <v>611766231</v>
      </c>
      <c r="M211" s="2">
        <f t="shared" si="7"/>
        <v>40600</v>
      </c>
      <c r="N211">
        <f>DAY(Europe_Sales_Records34[[#This Row],[Ship Date Fixed]])</f>
        <v>26</v>
      </c>
      <c r="O211" t="str">
        <f>TEXT(Europe_Sales_Records34[[#This Row],[Ship Date Fixed]],"MMM")</f>
        <v>Feb</v>
      </c>
      <c r="P211">
        <f>YEAR(Europe_Sales_Records34[[#This Row],[Ship Date Fixed]])</f>
        <v>2011</v>
      </c>
      <c r="Q211" t="str">
        <f>TEXT(Europe_Sales_Records34[[#This Row],[Ship Date Fixed]],"MMM-YYYY")</f>
        <v>Feb-2011</v>
      </c>
      <c r="R211" t="s">
        <v>472</v>
      </c>
      <c r="S211" s="3">
        <f>Europe_Sales_Records34[[#This Row],[Ship Date Fixed]]-Europe_Sales_Records34[[#This Row],[Order Date Fixed]]</f>
        <v>36</v>
      </c>
      <c r="T211">
        <v>4077</v>
      </c>
      <c r="U211">
        <v>255.28</v>
      </c>
      <c r="V211">
        <v>159.41999999999999</v>
      </c>
      <c r="W211">
        <f>Europe_Sales_Records34[[#This Row],[Total Revenue]]/Europe_Sales_Records34[[#This Row],[Units Sold]]</f>
        <v>255.28</v>
      </c>
      <c r="X211">
        <v>1040776.56</v>
      </c>
      <c r="Y211">
        <v>649955.34</v>
      </c>
      <c r="Z211" s="4">
        <f>Europe_Sales_Records34[[#This Row],[Total Profit]]/Europe_Sales_Records34[[#This Row],[Total Revenue]]</f>
        <v>0.37550924475086173</v>
      </c>
      <c r="AA211">
        <v>390821.22</v>
      </c>
    </row>
    <row r="212" spans="1:27" x14ac:dyDescent="0.3">
      <c r="A212" t="s">
        <v>14</v>
      </c>
      <c r="B212" t="s">
        <v>40</v>
      </c>
      <c r="C212" t="s">
        <v>64</v>
      </c>
      <c r="D212" t="s">
        <v>17</v>
      </c>
      <c r="E212" t="s">
        <v>54</v>
      </c>
      <c r="F212" t="s">
        <v>473</v>
      </c>
      <c r="G212" s="2">
        <f t="shared" si="6"/>
        <v>41336</v>
      </c>
      <c r="H212">
        <f>DAY(Europe_Sales_Records34[[#This Row],[Order Date Fixed]])</f>
        <v>3</v>
      </c>
      <c r="I212" t="str">
        <f>TEXT(Europe_Sales_Records34[[#This Row],[Order Date Fixed]],"MMM")</f>
        <v>Mar</v>
      </c>
      <c r="J212">
        <f>YEAR(Europe_Sales_Records34[[#This Row],[Order Date Fixed]])</f>
        <v>2013</v>
      </c>
      <c r="K212" t="str">
        <f>TEXT(Europe_Sales_Records34[[#This Row],[Order Date Fixed]],"MMM-YYYY")</f>
        <v>Mar-2013</v>
      </c>
      <c r="L212">
        <v>630931794</v>
      </c>
      <c r="M212" s="2">
        <f t="shared" si="7"/>
        <v>41365</v>
      </c>
      <c r="N212">
        <f>DAY(Europe_Sales_Records34[[#This Row],[Ship Date Fixed]])</f>
        <v>1</v>
      </c>
      <c r="O212" t="str">
        <f>TEXT(Europe_Sales_Records34[[#This Row],[Ship Date Fixed]],"MMM")</f>
        <v>Apr</v>
      </c>
      <c r="P212">
        <f>YEAR(Europe_Sales_Records34[[#This Row],[Ship Date Fixed]])</f>
        <v>2013</v>
      </c>
      <c r="Q212" t="str">
        <f>TEXT(Europe_Sales_Records34[[#This Row],[Ship Date Fixed]],"MMM-YYYY")</f>
        <v>Apr-2013</v>
      </c>
      <c r="R212" t="s">
        <v>474</v>
      </c>
      <c r="S212" s="3">
        <f>Europe_Sales_Records34[[#This Row],[Ship Date Fixed]]-Europe_Sales_Records34[[#This Row],[Order Date Fixed]]</f>
        <v>29</v>
      </c>
      <c r="T212">
        <v>5593</v>
      </c>
      <c r="U212">
        <v>255.28</v>
      </c>
      <c r="V212">
        <v>159.41999999999999</v>
      </c>
      <c r="W212">
        <f>Europe_Sales_Records34[[#This Row],[Total Revenue]]/Europe_Sales_Records34[[#This Row],[Units Sold]]</f>
        <v>255.28</v>
      </c>
      <c r="X212">
        <v>1427781.04</v>
      </c>
      <c r="Y212">
        <v>891636.06</v>
      </c>
      <c r="Z212" s="4">
        <f>Europe_Sales_Records34[[#This Row],[Total Profit]]/Europe_Sales_Records34[[#This Row],[Total Revenue]]</f>
        <v>0.37550924475086178</v>
      </c>
      <c r="AA212">
        <v>536144.98</v>
      </c>
    </row>
    <row r="213" spans="1:27" x14ac:dyDescent="0.3">
      <c r="A213" t="s">
        <v>14</v>
      </c>
      <c r="B213" t="s">
        <v>61</v>
      </c>
      <c r="C213" t="s">
        <v>32</v>
      </c>
      <c r="D213" t="s">
        <v>17</v>
      </c>
      <c r="E213" t="s">
        <v>33</v>
      </c>
      <c r="F213" t="s">
        <v>475</v>
      </c>
      <c r="G213" s="2">
        <f t="shared" si="6"/>
        <v>42798</v>
      </c>
      <c r="H213">
        <f>DAY(Europe_Sales_Records34[[#This Row],[Order Date Fixed]])</f>
        <v>4</v>
      </c>
      <c r="I213" t="str">
        <f>TEXT(Europe_Sales_Records34[[#This Row],[Order Date Fixed]],"MMM")</f>
        <v>Mar</v>
      </c>
      <c r="J213">
        <f>YEAR(Europe_Sales_Records34[[#This Row],[Order Date Fixed]])</f>
        <v>2017</v>
      </c>
      <c r="K213" t="str">
        <f>TEXT(Europe_Sales_Records34[[#This Row],[Order Date Fixed]],"MMM-YYYY")</f>
        <v>Mar-2017</v>
      </c>
      <c r="L213">
        <v>239386355</v>
      </c>
      <c r="M213" s="2">
        <f t="shared" si="7"/>
        <v>42845</v>
      </c>
      <c r="N213">
        <f>DAY(Europe_Sales_Records34[[#This Row],[Ship Date Fixed]])</f>
        <v>20</v>
      </c>
      <c r="O213" t="str">
        <f>TEXT(Europe_Sales_Records34[[#This Row],[Ship Date Fixed]],"MMM")</f>
        <v>Apr</v>
      </c>
      <c r="P213">
        <f>YEAR(Europe_Sales_Records34[[#This Row],[Ship Date Fixed]])</f>
        <v>2017</v>
      </c>
      <c r="Q213" t="str">
        <f>TEXT(Europe_Sales_Records34[[#This Row],[Ship Date Fixed]],"MMM-YYYY")</f>
        <v>Apr-2017</v>
      </c>
      <c r="R213" t="s">
        <v>476</v>
      </c>
      <c r="S213" s="3">
        <f>Europe_Sales_Records34[[#This Row],[Ship Date Fixed]]-Europe_Sales_Records34[[#This Row],[Order Date Fixed]]</f>
        <v>47</v>
      </c>
      <c r="T213">
        <v>8597</v>
      </c>
      <c r="U213">
        <v>651.21</v>
      </c>
      <c r="V213">
        <v>524.96</v>
      </c>
      <c r="W213">
        <f>Europe_Sales_Records34[[#This Row],[Total Revenue]]/Europe_Sales_Records34[[#This Row],[Units Sold]]</f>
        <v>651.21</v>
      </c>
      <c r="X213">
        <v>5598452.3700000001</v>
      </c>
      <c r="Y213">
        <v>4513081.12</v>
      </c>
      <c r="Z213" s="4">
        <f>Europe_Sales_Records34[[#This Row],[Total Profit]]/Europe_Sales_Records34[[#This Row],[Total Revenue]]</f>
        <v>0.19386987300563566</v>
      </c>
      <c r="AA213">
        <v>1085371.25</v>
      </c>
    </row>
    <row r="214" spans="1:27" x14ac:dyDescent="0.3">
      <c r="A214" t="s">
        <v>14</v>
      </c>
      <c r="B214" t="s">
        <v>196</v>
      </c>
      <c r="C214" t="s">
        <v>71</v>
      </c>
      <c r="D214" t="s">
        <v>17</v>
      </c>
      <c r="E214" t="s">
        <v>24</v>
      </c>
      <c r="F214" t="s">
        <v>477</v>
      </c>
      <c r="G214" s="2">
        <f t="shared" si="6"/>
        <v>42603</v>
      </c>
      <c r="H214">
        <f>DAY(Europe_Sales_Records34[[#This Row],[Order Date Fixed]])</f>
        <v>21</v>
      </c>
      <c r="I214" t="str">
        <f>TEXT(Europe_Sales_Records34[[#This Row],[Order Date Fixed]],"MMM")</f>
        <v>Aug</v>
      </c>
      <c r="J214">
        <f>YEAR(Europe_Sales_Records34[[#This Row],[Order Date Fixed]])</f>
        <v>2016</v>
      </c>
      <c r="K214" t="str">
        <f>TEXT(Europe_Sales_Records34[[#This Row],[Order Date Fixed]],"MMM-YYYY")</f>
        <v>Aug-2016</v>
      </c>
      <c r="L214">
        <v>874172532</v>
      </c>
      <c r="M214" s="2">
        <f t="shared" si="7"/>
        <v>42645</v>
      </c>
      <c r="N214">
        <f>DAY(Europe_Sales_Records34[[#This Row],[Ship Date Fixed]])</f>
        <v>2</v>
      </c>
      <c r="O214" t="str">
        <f>TEXT(Europe_Sales_Records34[[#This Row],[Ship Date Fixed]],"MMM")</f>
        <v>Oct</v>
      </c>
      <c r="P214">
        <f>YEAR(Europe_Sales_Records34[[#This Row],[Ship Date Fixed]])</f>
        <v>2016</v>
      </c>
      <c r="Q214" t="str">
        <f>TEXT(Europe_Sales_Records34[[#This Row],[Ship Date Fixed]],"MMM-YYYY")</f>
        <v>Oct-2016</v>
      </c>
      <c r="R214" t="s">
        <v>478</v>
      </c>
      <c r="S214" s="3">
        <f>Europe_Sales_Records34[[#This Row],[Ship Date Fixed]]-Europe_Sales_Records34[[#This Row],[Order Date Fixed]]</f>
        <v>42</v>
      </c>
      <c r="T214">
        <v>5933</v>
      </c>
      <c r="U214">
        <v>668.27</v>
      </c>
      <c r="V214">
        <v>502.54</v>
      </c>
      <c r="W214">
        <f>Europe_Sales_Records34[[#This Row],[Total Revenue]]/Europe_Sales_Records34[[#This Row],[Units Sold]]</f>
        <v>668.27</v>
      </c>
      <c r="X214">
        <v>3964845.91</v>
      </c>
      <c r="Y214">
        <v>2981569.82</v>
      </c>
      <c r="Z214" s="4">
        <f>Europe_Sales_Records34[[#This Row],[Total Profit]]/Europe_Sales_Records34[[#This Row],[Total Revenue]]</f>
        <v>0.24799856345489096</v>
      </c>
      <c r="AA214">
        <v>983276.09</v>
      </c>
    </row>
    <row r="215" spans="1:27" x14ac:dyDescent="0.3">
      <c r="A215" t="s">
        <v>14</v>
      </c>
      <c r="B215" t="s">
        <v>223</v>
      </c>
      <c r="C215" t="s">
        <v>102</v>
      </c>
      <c r="D215" t="s">
        <v>17</v>
      </c>
      <c r="E215" t="s">
        <v>18</v>
      </c>
      <c r="F215" t="s">
        <v>479</v>
      </c>
      <c r="G215" s="2">
        <f t="shared" si="6"/>
        <v>40440</v>
      </c>
      <c r="H215">
        <f>DAY(Europe_Sales_Records34[[#This Row],[Order Date Fixed]])</f>
        <v>19</v>
      </c>
      <c r="I215" t="str">
        <f>TEXT(Europe_Sales_Records34[[#This Row],[Order Date Fixed]],"MMM")</f>
        <v>Sep</v>
      </c>
      <c r="J215">
        <f>YEAR(Europe_Sales_Records34[[#This Row],[Order Date Fixed]])</f>
        <v>2010</v>
      </c>
      <c r="K215" t="str">
        <f>TEXT(Europe_Sales_Records34[[#This Row],[Order Date Fixed]],"MMM-YYYY")</f>
        <v>Sep-2010</v>
      </c>
      <c r="L215">
        <v>570703542</v>
      </c>
      <c r="M215" s="2">
        <f t="shared" si="7"/>
        <v>40485</v>
      </c>
      <c r="N215">
        <f>DAY(Europe_Sales_Records34[[#This Row],[Ship Date Fixed]])</f>
        <v>3</v>
      </c>
      <c r="O215" t="str">
        <f>TEXT(Europe_Sales_Records34[[#This Row],[Ship Date Fixed]],"MMM")</f>
        <v>Nov</v>
      </c>
      <c r="P215">
        <f>YEAR(Europe_Sales_Records34[[#This Row],[Ship Date Fixed]])</f>
        <v>2010</v>
      </c>
      <c r="Q215" t="str">
        <f>TEXT(Europe_Sales_Records34[[#This Row],[Ship Date Fixed]],"MMM-YYYY")</f>
        <v>Nov-2010</v>
      </c>
      <c r="R215" t="s">
        <v>480</v>
      </c>
      <c r="S215" s="3">
        <f>Europe_Sales_Records34[[#This Row],[Ship Date Fixed]]-Europe_Sales_Records34[[#This Row],[Order Date Fixed]]</f>
        <v>45</v>
      </c>
      <c r="T215">
        <v>2715</v>
      </c>
      <c r="U215">
        <v>81.73</v>
      </c>
      <c r="V215">
        <v>56.67</v>
      </c>
      <c r="W215">
        <f>Europe_Sales_Records34[[#This Row],[Total Revenue]]/Europe_Sales_Records34[[#This Row],[Units Sold]]</f>
        <v>81.73</v>
      </c>
      <c r="X215">
        <v>221896.95</v>
      </c>
      <c r="Y215">
        <v>153859.04999999999</v>
      </c>
      <c r="Z215" s="4">
        <f>Europe_Sales_Records34[[#This Row],[Total Profit]]/Europe_Sales_Records34[[#This Row],[Total Revenue]]</f>
        <v>0.30661935641747212</v>
      </c>
      <c r="AA215">
        <v>68037.899999999994</v>
      </c>
    </row>
    <row r="216" spans="1:27" x14ac:dyDescent="0.3">
      <c r="A216" t="s">
        <v>14</v>
      </c>
      <c r="B216" t="s">
        <v>135</v>
      </c>
      <c r="C216" t="s">
        <v>75</v>
      </c>
      <c r="D216" t="s">
        <v>23</v>
      </c>
      <c r="E216" t="s">
        <v>24</v>
      </c>
      <c r="F216" t="s">
        <v>481</v>
      </c>
      <c r="G216" s="2">
        <f t="shared" si="6"/>
        <v>41172</v>
      </c>
      <c r="H216">
        <f>DAY(Europe_Sales_Records34[[#This Row],[Order Date Fixed]])</f>
        <v>20</v>
      </c>
      <c r="I216" t="str">
        <f>TEXT(Europe_Sales_Records34[[#This Row],[Order Date Fixed]],"MMM")</f>
        <v>Sep</v>
      </c>
      <c r="J216">
        <f>YEAR(Europe_Sales_Records34[[#This Row],[Order Date Fixed]])</f>
        <v>2012</v>
      </c>
      <c r="K216" t="str">
        <f>TEXT(Europe_Sales_Records34[[#This Row],[Order Date Fixed]],"MMM-YYYY")</f>
        <v>Sep-2012</v>
      </c>
      <c r="L216">
        <v>132603538</v>
      </c>
      <c r="M216" s="2">
        <f t="shared" si="7"/>
        <v>41219</v>
      </c>
      <c r="N216">
        <f>DAY(Europe_Sales_Records34[[#This Row],[Ship Date Fixed]])</f>
        <v>6</v>
      </c>
      <c r="O216" t="str">
        <f>TEXT(Europe_Sales_Records34[[#This Row],[Ship Date Fixed]],"MMM")</f>
        <v>Nov</v>
      </c>
      <c r="P216">
        <f>YEAR(Europe_Sales_Records34[[#This Row],[Ship Date Fixed]])</f>
        <v>2012</v>
      </c>
      <c r="Q216" t="str">
        <f>TEXT(Europe_Sales_Records34[[#This Row],[Ship Date Fixed]],"MMM-YYYY")</f>
        <v>Nov-2012</v>
      </c>
      <c r="R216" t="s">
        <v>482</v>
      </c>
      <c r="S216" s="3">
        <f>Europe_Sales_Records34[[#This Row],[Ship Date Fixed]]-Europe_Sales_Records34[[#This Row],[Order Date Fixed]]</f>
        <v>47</v>
      </c>
      <c r="T216">
        <v>9188</v>
      </c>
      <c r="U216">
        <v>437.2</v>
      </c>
      <c r="V216">
        <v>263.33</v>
      </c>
      <c r="W216">
        <f>Europe_Sales_Records34[[#This Row],[Total Revenue]]/Europe_Sales_Records34[[#This Row],[Units Sold]]</f>
        <v>437.2</v>
      </c>
      <c r="X216">
        <v>4016993.6</v>
      </c>
      <c r="Y216">
        <v>2419476.04</v>
      </c>
      <c r="Z216" s="4">
        <f>Europe_Sales_Records34[[#This Row],[Total Profit]]/Europe_Sales_Records34[[#This Row],[Total Revenue]]</f>
        <v>0.39768984446477584</v>
      </c>
      <c r="AA216">
        <v>1597517.56</v>
      </c>
    </row>
    <row r="217" spans="1:27" x14ac:dyDescent="0.3">
      <c r="A217" t="s">
        <v>14</v>
      </c>
      <c r="B217" t="s">
        <v>15</v>
      </c>
      <c r="C217" t="s">
        <v>50</v>
      </c>
      <c r="D217" t="s">
        <v>17</v>
      </c>
      <c r="E217" t="s">
        <v>33</v>
      </c>
      <c r="F217" t="s">
        <v>320</v>
      </c>
      <c r="G217" s="2">
        <f t="shared" si="6"/>
        <v>40761</v>
      </c>
      <c r="H217">
        <f>DAY(Europe_Sales_Records34[[#This Row],[Order Date Fixed]])</f>
        <v>6</v>
      </c>
      <c r="I217" t="str">
        <f>TEXT(Europe_Sales_Records34[[#This Row],[Order Date Fixed]],"MMM")</f>
        <v>Aug</v>
      </c>
      <c r="J217">
        <f>YEAR(Europe_Sales_Records34[[#This Row],[Order Date Fixed]])</f>
        <v>2011</v>
      </c>
      <c r="K217" t="str">
        <f>TEXT(Europe_Sales_Records34[[#This Row],[Order Date Fixed]],"MMM-YYYY")</f>
        <v>Aug-2011</v>
      </c>
      <c r="L217">
        <v>552276551</v>
      </c>
      <c r="M217" s="2">
        <f t="shared" si="7"/>
        <v>40810</v>
      </c>
      <c r="N217">
        <f>DAY(Europe_Sales_Records34[[#This Row],[Ship Date Fixed]])</f>
        <v>24</v>
      </c>
      <c r="O217" t="str">
        <f>TEXT(Europe_Sales_Records34[[#This Row],[Ship Date Fixed]],"MMM")</f>
        <v>Sep</v>
      </c>
      <c r="P217">
        <f>YEAR(Europe_Sales_Records34[[#This Row],[Ship Date Fixed]])</f>
        <v>2011</v>
      </c>
      <c r="Q217" t="str">
        <f>TEXT(Europe_Sales_Records34[[#This Row],[Ship Date Fixed]],"MMM-YYYY")</f>
        <v>Sep-2011</v>
      </c>
      <c r="R217" t="s">
        <v>483</v>
      </c>
      <c r="S217" s="3">
        <f>Europe_Sales_Records34[[#This Row],[Ship Date Fixed]]-Europe_Sales_Records34[[#This Row],[Order Date Fixed]]</f>
        <v>49</v>
      </c>
      <c r="T217">
        <v>9759</v>
      </c>
      <c r="U217">
        <v>421.89</v>
      </c>
      <c r="V217">
        <v>364.69</v>
      </c>
      <c r="W217">
        <f>Europe_Sales_Records34[[#This Row],[Total Revenue]]/Europe_Sales_Records34[[#This Row],[Units Sold]]</f>
        <v>421.89</v>
      </c>
      <c r="X217">
        <v>4117224.51</v>
      </c>
      <c r="Y217">
        <v>3559009.71</v>
      </c>
      <c r="Z217" s="4">
        <f>Europe_Sales_Records34[[#This Row],[Total Profit]]/Europe_Sales_Records34[[#This Row],[Total Revenue]]</f>
        <v>0.13558036455000119</v>
      </c>
      <c r="AA217">
        <v>558214.80000000005</v>
      </c>
    </row>
    <row r="218" spans="1:27" x14ac:dyDescent="0.3">
      <c r="A218" t="s">
        <v>14</v>
      </c>
      <c r="B218" t="s">
        <v>181</v>
      </c>
      <c r="C218" t="s">
        <v>58</v>
      </c>
      <c r="D218" t="s">
        <v>17</v>
      </c>
      <c r="E218" t="s">
        <v>24</v>
      </c>
      <c r="F218" t="s">
        <v>446</v>
      </c>
      <c r="G218" s="2">
        <f t="shared" si="6"/>
        <v>42451</v>
      </c>
      <c r="H218">
        <f>DAY(Europe_Sales_Records34[[#This Row],[Order Date Fixed]])</f>
        <v>22</v>
      </c>
      <c r="I218" t="str">
        <f>TEXT(Europe_Sales_Records34[[#This Row],[Order Date Fixed]],"MMM")</f>
        <v>Mar</v>
      </c>
      <c r="J218">
        <f>YEAR(Europe_Sales_Records34[[#This Row],[Order Date Fixed]])</f>
        <v>2016</v>
      </c>
      <c r="K218" t="str">
        <f>TEXT(Europe_Sales_Records34[[#This Row],[Order Date Fixed]],"MMM-YYYY")</f>
        <v>Mar-2016</v>
      </c>
      <c r="L218">
        <v>163587558</v>
      </c>
      <c r="M218" s="2">
        <f t="shared" si="7"/>
        <v>42479</v>
      </c>
      <c r="N218">
        <f>DAY(Europe_Sales_Records34[[#This Row],[Ship Date Fixed]])</f>
        <v>19</v>
      </c>
      <c r="O218" t="str">
        <f>TEXT(Europe_Sales_Records34[[#This Row],[Ship Date Fixed]],"MMM")</f>
        <v>Apr</v>
      </c>
      <c r="P218">
        <f>YEAR(Europe_Sales_Records34[[#This Row],[Ship Date Fixed]])</f>
        <v>2016</v>
      </c>
      <c r="Q218" t="str">
        <f>TEXT(Europe_Sales_Records34[[#This Row],[Ship Date Fixed]],"MMM-YYYY")</f>
        <v>Apr-2016</v>
      </c>
      <c r="R218" t="s">
        <v>484</v>
      </c>
      <c r="S218" s="3">
        <f>Europe_Sales_Records34[[#This Row],[Ship Date Fixed]]-Europe_Sales_Records34[[#This Row],[Order Date Fixed]]</f>
        <v>28</v>
      </c>
      <c r="T218">
        <v>8048</v>
      </c>
      <c r="U218">
        <v>152.58000000000001</v>
      </c>
      <c r="V218">
        <v>97.44</v>
      </c>
      <c r="W218">
        <f>Europe_Sales_Records34[[#This Row],[Total Revenue]]/Europe_Sales_Records34[[#This Row],[Units Sold]]</f>
        <v>152.58000000000001</v>
      </c>
      <c r="X218">
        <v>1227963.8400000001</v>
      </c>
      <c r="Y218">
        <v>784197.12</v>
      </c>
      <c r="Z218" s="4">
        <f>Europe_Sales_Records34[[#This Row],[Total Profit]]/Europe_Sales_Records34[[#This Row],[Total Revenue]]</f>
        <v>0.36138419189933146</v>
      </c>
      <c r="AA218">
        <v>443766.72</v>
      </c>
    </row>
    <row r="219" spans="1:27" x14ac:dyDescent="0.3">
      <c r="A219" t="s">
        <v>14</v>
      </c>
      <c r="B219" t="s">
        <v>220</v>
      </c>
      <c r="C219" t="s">
        <v>64</v>
      </c>
      <c r="D219" t="s">
        <v>17</v>
      </c>
      <c r="E219" t="s">
        <v>24</v>
      </c>
      <c r="F219" t="s">
        <v>485</v>
      </c>
      <c r="G219" s="2">
        <f t="shared" si="6"/>
        <v>40918</v>
      </c>
      <c r="H219">
        <f>DAY(Europe_Sales_Records34[[#This Row],[Order Date Fixed]])</f>
        <v>10</v>
      </c>
      <c r="I219" t="str">
        <f>TEXT(Europe_Sales_Records34[[#This Row],[Order Date Fixed]],"MMM")</f>
        <v>Jan</v>
      </c>
      <c r="J219">
        <f>YEAR(Europe_Sales_Records34[[#This Row],[Order Date Fixed]])</f>
        <v>2012</v>
      </c>
      <c r="K219" t="str">
        <f>TEXT(Europe_Sales_Records34[[#This Row],[Order Date Fixed]],"MMM-YYYY")</f>
        <v>Jan-2012</v>
      </c>
      <c r="L219">
        <v>415837943</v>
      </c>
      <c r="M219" s="2">
        <f t="shared" si="7"/>
        <v>40962</v>
      </c>
      <c r="N219">
        <f>DAY(Europe_Sales_Records34[[#This Row],[Ship Date Fixed]])</f>
        <v>23</v>
      </c>
      <c r="O219" t="str">
        <f>TEXT(Europe_Sales_Records34[[#This Row],[Ship Date Fixed]],"MMM")</f>
        <v>Feb</v>
      </c>
      <c r="P219">
        <f>YEAR(Europe_Sales_Records34[[#This Row],[Ship Date Fixed]])</f>
        <v>2012</v>
      </c>
      <c r="Q219" t="str">
        <f>TEXT(Europe_Sales_Records34[[#This Row],[Ship Date Fixed]],"MMM-YYYY")</f>
        <v>Feb-2012</v>
      </c>
      <c r="R219" t="s">
        <v>486</v>
      </c>
      <c r="S219" s="3">
        <f>Europe_Sales_Records34[[#This Row],[Ship Date Fixed]]-Europe_Sales_Records34[[#This Row],[Order Date Fixed]]</f>
        <v>44</v>
      </c>
      <c r="T219">
        <v>4543</v>
      </c>
      <c r="U219">
        <v>255.28</v>
      </c>
      <c r="V219">
        <v>159.41999999999999</v>
      </c>
      <c r="W219">
        <f>Europe_Sales_Records34[[#This Row],[Total Revenue]]/Europe_Sales_Records34[[#This Row],[Units Sold]]</f>
        <v>255.28</v>
      </c>
      <c r="X219">
        <v>1159737.04</v>
      </c>
      <c r="Y219">
        <v>724245.06</v>
      </c>
      <c r="Z219" s="4">
        <f>Europe_Sales_Records34[[#This Row],[Total Profit]]/Europe_Sales_Records34[[#This Row],[Total Revenue]]</f>
        <v>0.37550924475086178</v>
      </c>
      <c r="AA219">
        <v>435491.98</v>
      </c>
    </row>
    <row r="220" spans="1:27" x14ac:dyDescent="0.3">
      <c r="A220" t="s">
        <v>14</v>
      </c>
      <c r="B220" t="s">
        <v>135</v>
      </c>
      <c r="C220" t="s">
        <v>64</v>
      </c>
      <c r="D220" t="s">
        <v>17</v>
      </c>
      <c r="E220" t="s">
        <v>54</v>
      </c>
      <c r="F220" t="s">
        <v>487</v>
      </c>
      <c r="G220" s="2">
        <f t="shared" si="6"/>
        <v>41776</v>
      </c>
      <c r="H220">
        <f>DAY(Europe_Sales_Records34[[#This Row],[Order Date Fixed]])</f>
        <v>17</v>
      </c>
      <c r="I220" t="str">
        <f>TEXT(Europe_Sales_Records34[[#This Row],[Order Date Fixed]],"MMM")</f>
        <v>May</v>
      </c>
      <c r="J220">
        <f>YEAR(Europe_Sales_Records34[[#This Row],[Order Date Fixed]])</f>
        <v>2014</v>
      </c>
      <c r="K220" t="str">
        <f>TEXT(Europe_Sales_Records34[[#This Row],[Order Date Fixed]],"MMM-YYYY")</f>
        <v>May-2014</v>
      </c>
      <c r="L220">
        <v>398645198</v>
      </c>
      <c r="M220" s="2">
        <f t="shared" si="7"/>
        <v>41785</v>
      </c>
      <c r="N220">
        <f>DAY(Europe_Sales_Records34[[#This Row],[Ship Date Fixed]])</f>
        <v>26</v>
      </c>
      <c r="O220" t="str">
        <f>TEXT(Europe_Sales_Records34[[#This Row],[Ship Date Fixed]],"MMM")</f>
        <v>May</v>
      </c>
      <c r="P220">
        <f>YEAR(Europe_Sales_Records34[[#This Row],[Ship Date Fixed]])</f>
        <v>2014</v>
      </c>
      <c r="Q220" t="str">
        <f>TEXT(Europe_Sales_Records34[[#This Row],[Ship Date Fixed]],"MMM-YYYY")</f>
        <v>May-2014</v>
      </c>
      <c r="R220" t="s">
        <v>488</v>
      </c>
      <c r="S220" s="3">
        <f>Europe_Sales_Records34[[#This Row],[Ship Date Fixed]]-Europe_Sales_Records34[[#This Row],[Order Date Fixed]]</f>
        <v>9</v>
      </c>
      <c r="T220">
        <v>6828</v>
      </c>
      <c r="U220">
        <v>255.28</v>
      </c>
      <c r="V220">
        <v>159.41999999999999</v>
      </c>
      <c r="W220">
        <f>Europe_Sales_Records34[[#This Row],[Total Revenue]]/Europe_Sales_Records34[[#This Row],[Units Sold]]</f>
        <v>255.28</v>
      </c>
      <c r="X220">
        <v>1743051.84</v>
      </c>
      <c r="Y220">
        <v>1088519.76</v>
      </c>
      <c r="Z220" s="4">
        <f>Europe_Sales_Records34[[#This Row],[Total Profit]]/Europe_Sales_Records34[[#This Row],[Total Revenue]]</f>
        <v>0.37550924475086178</v>
      </c>
      <c r="AA220">
        <v>654532.07999999996</v>
      </c>
    </row>
    <row r="221" spans="1:27" x14ac:dyDescent="0.3">
      <c r="A221" t="s">
        <v>14</v>
      </c>
      <c r="B221" t="s">
        <v>80</v>
      </c>
      <c r="C221" t="s">
        <v>102</v>
      </c>
      <c r="D221" t="s">
        <v>17</v>
      </c>
      <c r="E221" t="s">
        <v>54</v>
      </c>
      <c r="F221" t="s">
        <v>489</v>
      </c>
      <c r="G221" s="2">
        <f t="shared" si="6"/>
        <v>41580</v>
      </c>
      <c r="H221">
        <f>DAY(Europe_Sales_Records34[[#This Row],[Order Date Fixed]])</f>
        <v>2</v>
      </c>
      <c r="I221" t="str">
        <f>TEXT(Europe_Sales_Records34[[#This Row],[Order Date Fixed]],"MMM")</f>
        <v>Nov</v>
      </c>
      <c r="J221">
        <f>YEAR(Europe_Sales_Records34[[#This Row],[Order Date Fixed]])</f>
        <v>2013</v>
      </c>
      <c r="K221" t="str">
        <f>TEXT(Europe_Sales_Records34[[#This Row],[Order Date Fixed]],"MMM-YYYY")</f>
        <v>Nov-2013</v>
      </c>
      <c r="L221">
        <v>913074433</v>
      </c>
      <c r="M221" s="2">
        <f t="shared" si="7"/>
        <v>41625</v>
      </c>
      <c r="N221">
        <f>DAY(Europe_Sales_Records34[[#This Row],[Ship Date Fixed]])</f>
        <v>17</v>
      </c>
      <c r="O221" t="str">
        <f>TEXT(Europe_Sales_Records34[[#This Row],[Ship Date Fixed]],"MMM")</f>
        <v>Dec</v>
      </c>
      <c r="P221">
        <f>YEAR(Europe_Sales_Records34[[#This Row],[Ship Date Fixed]])</f>
        <v>2013</v>
      </c>
      <c r="Q221" t="str">
        <f>TEXT(Europe_Sales_Records34[[#This Row],[Ship Date Fixed]],"MMM-YYYY")</f>
        <v>Dec-2013</v>
      </c>
      <c r="R221" t="s">
        <v>490</v>
      </c>
      <c r="S221" s="3">
        <f>Europe_Sales_Records34[[#This Row],[Ship Date Fixed]]-Europe_Sales_Records34[[#This Row],[Order Date Fixed]]</f>
        <v>45</v>
      </c>
      <c r="T221">
        <v>7870</v>
      </c>
      <c r="U221">
        <v>81.73</v>
      </c>
      <c r="V221">
        <v>56.67</v>
      </c>
      <c r="W221">
        <f>Europe_Sales_Records34[[#This Row],[Total Revenue]]/Europe_Sales_Records34[[#This Row],[Units Sold]]</f>
        <v>81.73</v>
      </c>
      <c r="X221">
        <v>643215.1</v>
      </c>
      <c r="Y221">
        <v>445992.9</v>
      </c>
      <c r="Z221" s="4">
        <f>Europe_Sales_Records34[[#This Row],[Total Profit]]/Europe_Sales_Records34[[#This Row],[Total Revenue]]</f>
        <v>0.30661935641747218</v>
      </c>
      <c r="AA221">
        <v>197222.2</v>
      </c>
    </row>
    <row r="222" spans="1:27" x14ac:dyDescent="0.3">
      <c r="A222" t="s">
        <v>14</v>
      </c>
      <c r="B222" t="s">
        <v>220</v>
      </c>
      <c r="C222" t="s">
        <v>37</v>
      </c>
      <c r="D222" t="s">
        <v>17</v>
      </c>
      <c r="E222" t="s">
        <v>54</v>
      </c>
      <c r="F222" t="s">
        <v>491</v>
      </c>
      <c r="G222" s="2">
        <f t="shared" si="6"/>
        <v>41786</v>
      </c>
      <c r="H222">
        <f>DAY(Europe_Sales_Records34[[#This Row],[Order Date Fixed]])</f>
        <v>27</v>
      </c>
      <c r="I222" t="str">
        <f>TEXT(Europe_Sales_Records34[[#This Row],[Order Date Fixed]],"MMM")</f>
        <v>May</v>
      </c>
      <c r="J222">
        <f>YEAR(Europe_Sales_Records34[[#This Row],[Order Date Fixed]])</f>
        <v>2014</v>
      </c>
      <c r="K222" t="str">
        <f>TEXT(Europe_Sales_Records34[[#This Row],[Order Date Fixed]],"MMM-YYYY")</f>
        <v>May-2014</v>
      </c>
      <c r="L222">
        <v>889125955</v>
      </c>
      <c r="M222" s="2">
        <f t="shared" si="7"/>
        <v>41805</v>
      </c>
      <c r="N222">
        <f>DAY(Europe_Sales_Records34[[#This Row],[Ship Date Fixed]])</f>
        <v>15</v>
      </c>
      <c r="O222" t="str">
        <f>TEXT(Europe_Sales_Records34[[#This Row],[Ship Date Fixed]],"MMM")</f>
        <v>Jun</v>
      </c>
      <c r="P222">
        <f>YEAR(Europe_Sales_Records34[[#This Row],[Ship Date Fixed]])</f>
        <v>2014</v>
      </c>
      <c r="Q222" t="str">
        <f>TEXT(Europe_Sales_Records34[[#This Row],[Ship Date Fixed]],"MMM-YYYY")</f>
        <v>Jun-2014</v>
      </c>
      <c r="R222" t="s">
        <v>492</v>
      </c>
      <c r="S222" s="3">
        <f>Europe_Sales_Records34[[#This Row],[Ship Date Fixed]]-Europe_Sales_Records34[[#This Row],[Order Date Fixed]]</f>
        <v>19</v>
      </c>
      <c r="T222">
        <v>983</v>
      </c>
      <c r="U222">
        <v>9.33</v>
      </c>
      <c r="V222">
        <v>6.92</v>
      </c>
      <c r="W222">
        <f>Europe_Sales_Records34[[#This Row],[Total Revenue]]/Europe_Sales_Records34[[#This Row],[Units Sold]]</f>
        <v>9.33</v>
      </c>
      <c r="X222">
        <v>9171.39</v>
      </c>
      <c r="Y222">
        <v>6802.36</v>
      </c>
      <c r="Z222" s="4">
        <f>Europe_Sales_Records34[[#This Row],[Total Profit]]/Europe_Sales_Records34[[#This Row],[Total Revenue]]</f>
        <v>0.25830653804930337</v>
      </c>
      <c r="AA222">
        <v>2369.0300000000002</v>
      </c>
    </row>
    <row r="223" spans="1:27" x14ac:dyDescent="0.3">
      <c r="A223" t="s">
        <v>14</v>
      </c>
      <c r="B223" t="s">
        <v>27</v>
      </c>
      <c r="C223" t="s">
        <v>37</v>
      </c>
      <c r="D223" t="s">
        <v>17</v>
      </c>
      <c r="E223" t="s">
        <v>54</v>
      </c>
      <c r="F223" t="s">
        <v>320</v>
      </c>
      <c r="G223" s="2">
        <f t="shared" si="6"/>
        <v>40761</v>
      </c>
      <c r="H223">
        <f>DAY(Europe_Sales_Records34[[#This Row],[Order Date Fixed]])</f>
        <v>6</v>
      </c>
      <c r="I223" t="str">
        <f>TEXT(Europe_Sales_Records34[[#This Row],[Order Date Fixed]],"MMM")</f>
        <v>Aug</v>
      </c>
      <c r="J223">
        <f>YEAR(Europe_Sales_Records34[[#This Row],[Order Date Fixed]])</f>
        <v>2011</v>
      </c>
      <c r="K223" t="str">
        <f>TEXT(Europe_Sales_Records34[[#This Row],[Order Date Fixed]],"MMM-YYYY")</f>
        <v>Aug-2011</v>
      </c>
      <c r="L223">
        <v>263427960</v>
      </c>
      <c r="M223" s="2">
        <f t="shared" si="7"/>
        <v>40806</v>
      </c>
      <c r="N223">
        <f>DAY(Europe_Sales_Records34[[#This Row],[Ship Date Fixed]])</f>
        <v>20</v>
      </c>
      <c r="O223" t="str">
        <f>TEXT(Europe_Sales_Records34[[#This Row],[Ship Date Fixed]],"MMM")</f>
        <v>Sep</v>
      </c>
      <c r="P223">
        <f>YEAR(Europe_Sales_Records34[[#This Row],[Ship Date Fixed]])</f>
        <v>2011</v>
      </c>
      <c r="Q223" t="str">
        <f>TEXT(Europe_Sales_Records34[[#This Row],[Ship Date Fixed]],"MMM-YYYY")</f>
        <v>Sep-2011</v>
      </c>
      <c r="R223" t="s">
        <v>341</v>
      </c>
      <c r="S223" s="3">
        <f>Europe_Sales_Records34[[#This Row],[Ship Date Fixed]]-Europe_Sales_Records34[[#This Row],[Order Date Fixed]]</f>
        <v>45</v>
      </c>
      <c r="T223">
        <v>3042</v>
      </c>
      <c r="U223">
        <v>9.33</v>
      </c>
      <c r="V223">
        <v>6.92</v>
      </c>
      <c r="W223">
        <f>Europe_Sales_Records34[[#This Row],[Total Revenue]]/Europe_Sales_Records34[[#This Row],[Units Sold]]</f>
        <v>9.33</v>
      </c>
      <c r="X223">
        <v>28381.86</v>
      </c>
      <c r="Y223">
        <v>21050.639999999999</v>
      </c>
      <c r="Z223" s="4">
        <f>Europe_Sales_Records34[[#This Row],[Total Profit]]/Europe_Sales_Records34[[#This Row],[Total Revenue]]</f>
        <v>0.25830653804930331</v>
      </c>
      <c r="AA223">
        <v>7331.22</v>
      </c>
    </row>
    <row r="224" spans="1:27" x14ac:dyDescent="0.3">
      <c r="A224" t="s">
        <v>14</v>
      </c>
      <c r="B224" t="s">
        <v>92</v>
      </c>
      <c r="C224" t="s">
        <v>50</v>
      </c>
      <c r="D224" t="s">
        <v>23</v>
      </c>
      <c r="E224" t="s">
        <v>54</v>
      </c>
      <c r="F224" t="s">
        <v>493</v>
      </c>
      <c r="G224" s="2">
        <f t="shared" si="6"/>
        <v>40371</v>
      </c>
      <c r="H224">
        <f>DAY(Europe_Sales_Records34[[#This Row],[Order Date Fixed]])</f>
        <v>12</v>
      </c>
      <c r="I224" t="str">
        <f>TEXT(Europe_Sales_Records34[[#This Row],[Order Date Fixed]],"MMM")</f>
        <v>Jul</v>
      </c>
      <c r="J224">
        <f>YEAR(Europe_Sales_Records34[[#This Row],[Order Date Fixed]])</f>
        <v>2010</v>
      </c>
      <c r="K224" t="str">
        <f>TEXT(Europe_Sales_Records34[[#This Row],[Order Date Fixed]],"MMM-YYYY")</f>
        <v>Jul-2010</v>
      </c>
      <c r="L224">
        <v>730490243</v>
      </c>
      <c r="M224" s="2">
        <f t="shared" si="7"/>
        <v>40373</v>
      </c>
      <c r="N224">
        <f>DAY(Europe_Sales_Records34[[#This Row],[Ship Date Fixed]])</f>
        <v>14</v>
      </c>
      <c r="O224" t="str">
        <f>TEXT(Europe_Sales_Records34[[#This Row],[Ship Date Fixed]],"MMM")</f>
        <v>Jul</v>
      </c>
      <c r="P224">
        <f>YEAR(Europe_Sales_Records34[[#This Row],[Ship Date Fixed]])</f>
        <v>2010</v>
      </c>
      <c r="Q224" t="str">
        <f>TEXT(Europe_Sales_Records34[[#This Row],[Ship Date Fixed]],"MMM-YYYY")</f>
        <v>Jul-2010</v>
      </c>
      <c r="R224" t="s">
        <v>494</v>
      </c>
      <c r="S224" s="3">
        <f>Europe_Sales_Records34[[#This Row],[Ship Date Fixed]]-Europe_Sales_Records34[[#This Row],[Order Date Fixed]]</f>
        <v>2</v>
      </c>
      <c r="T224">
        <v>7151</v>
      </c>
      <c r="U224">
        <v>421.89</v>
      </c>
      <c r="V224">
        <v>364.69</v>
      </c>
      <c r="W224">
        <f>Europe_Sales_Records34[[#This Row],[Total Revenue]]/Europe_Sales_Records34[[#This Row],[Units Sold]]</f>
        <v>421.89000000000004</v>
      </c>
      <c r="X224">
        <v>3016935.39</v>
      </c>
      <c r="Y224">
        <v>2607898.19</v>
      </c>
      <c r="Z224" s="4">
        <f>Europe_Sales_Records34[[#This Row],[Total Profit]]/Europe_Sales_Records34[[#This Row],[Total Revenue]]</f>
        <v>0.13558036455000119</v>
      </c>
      <c r="AA224">
        <v>409037.2</v>
      </c>
    </row>
    <row r="225" spans="1:27" x14ac:dyDescent="0.3">
      <c r="A225" t="s">
        <v>14</v>
      </c>
      <c r="B225" t="s">
        <v>89</v>
      </c>
      <c r="C225" t="s">
        <v>28</v>
      </c>
      <c r="D225" t="s">
        <v>23</v>
      </c>
      <c r="E225" t="s">
        <v>33</v>
      </c>
      <c r="F225" t="s">
        <v>39</v>
      </c>
      <c r="G225" s="2">
        <f t="shared" si="6"/>
        <v>42675</v>
      </c>
      <c r="H225">
        <f>DAY(Europe_Sales_Records34[[#This Row],[Order Date Fixed]])</f>
        <v>1</v>
      </c>
      <c r="I225" t="str">
        <f>TEXT(Europe_Sales_Records34[[#This Row],[Order Date Fixed]],"MMM")</f>
        <v>Nov</v>
      </c>
      <c r="J225">
        <f>YEAR(Europe_Sales_Records34[[#This Row],[Order Date Fixed]])</f>
        <v>2016</v>
      </c>
      <c r="K225" t="str">
        <f>TEXT(Europe_Sales_Records34[[#This Row],[Order Date Fixed]],"MMM-YYYY")</f>
        <v>Nov-2016</v>
      </c>
      <c r="L225">
        <v>905036389</v>
      </c>
      <c r="M225" s="2">
        <f t="shared" si="7"/>
        <v>42694</v>
      </c>
      <c r="N225">
        <f>DAY(Europe_Sales_Records34[[#This Row],[Ship Date Fixed]])</f>
        <v>20</v>
      </c>
      <c r="O225" t="str">
        <f>TEXT(Europe_Sales_Records34[[#This Row],[Ship Date Fixed]],"MMM")</f>
        <v>Nov</v>
      </c>
      <c r="P225">
        <f>YEAR(Europe_Sales_Records34[[#This Row],[Ship Date Fixed]])</f>
        <v>2016</v>
      </c>
      <c r="Q225" t="str">
        <f>TEXT(Europe_Sales_Records34[[#This Row],[Ship Date Fixed]],"MMM-YYYY")</f>
        <v>Nov-2016</v>
      </c>
      <c r="R225" t="s">
        <v>495</v>
      </c>
      <c r="S225" s="3">
        <f>Europe_Sales_Records34[[#This Row],[Ship Date Fixed]]-Europe_Sales_Records34[[#This Row],[Order Date Fixed]]</f>
        <v>19</v>
      </c>
      <c r="T225">
        <v>9234</v>
      </c>
      <c r="U225">
        <v>205.7</v>
      </c>
      <c r="V225">
        <v>117.11</v>
      </c>
      <c r="W225">
        <f>Europe_Sales_Records34[[#This Row],[Total Revenue]]/Europe_Sales_Records34[[#This Row],[Units Sold]]</f>
        <v>205.70000000000002</v>
      </c>
      <c r="X225">
        <v>1899433.8</v>
      </c>
      <c r="Y225">
        <v>1081393.74</v>
      </c>
      <c r="Z225" s="4">
        <f>Europe_Sales_Records34[[#This Row],[Total Profit]]/Europe_Sales_Records34[[#This Row],[Total Revenue]]</f>
        <v>0.43067574137092857</v>
      </c>
      <c r="AA225">
        <v>818040.06</v>
      </c>
    </row>
    <row r="226" spans="1:27" x14ac:dyDescent="0.3">
      <c r="A226" t="s">
        <v>14</v>
      </c>
      <c r="B226" t="s">
        <v>40</v>
      </c>
      <c r="C226" t="s">
        <v>22</v>
      </c>
      <c r="D226" t="s">
        <v>23</v>
      </c>
      <c r="E226" t="s">
        <v>18</v>
      </c>
      <c r="F226" t="s">
        <v>496</v>
      </c>
      <c r="G226" s="2">
        <f t="shared" si="6"/>
        <v>40972</v>
      </c>
      <c r="H226">
        <f>DAY(Europe_Sales_Records34[[#This Row],[Order Date Fixed]])</f>
        <v>4</v>
      </c>
      <c r="I226" t="str">
        <f>TEXT(Europe_Sales_Records34[[#This Row],[Order Date Fixed]],"MMM")</f>
        <v>Mar</v>
      </c>
      <c r="J226">
        <f>YEAR(Europe_Sales_Records34[[#This Row],[Order Date Fixed]])</f>
        <v>2012</v>
      </c>
      <c r="K226" t="str">
        <f>TEXT(Europe_Sales_Records34[[#This Row],[Order Date Fixed]],"MMM-YYYY")</f>
        <v>Mar-2012</v>
      </c>
      <c r="L226">
        <v>381759297</v>
      </c>
      <c r="M226" s="2">
        <f t="shared" si="7"/>
        <v>40993</v>
      </c>
      <c r="N226">
        <f>DAY(Europe_Sales_Records34[[#This Row],[Ship Date Fixed]])</f>
        <v>25</v>
      </c>
      <c r="O226" t="str">
        <f>TEXT(Europe_Sales_Records34[[#This Row],[Ship Date Fixed]],"MMM")</f>
        <v>Mar</v>
      </c>
      <c r="P226">
        <f>YEAR(Europe_Sales_Records34[[#This Row],[Ship Date Fixed]])</f>
        <v>2012</v>
      </c>
      <c r="Q226" t="str">
        <f>TEXT(Europe_Sales_Records34[[#This Row],[Ship Date Fixed]],"MMM-YYYY")</f>
        <v>Mar-2012</v>
      </c>
      <c r="R226" t="s">
        <v>497</v>
      </c>
      <c r="S226" s="3">
        <f>Europe_Sales_Records34[[#This Row],[Ship Date Fixed]]-Europe_Sales_Records34[[#This Row],[Order Date Fixed]]</f>
        <v>21</v>
      </c>
      <c r="T226">
        <v>9914</v>
      </c>
      <c r="U226">
        <v>109.28</v>
      </c>
      <c r="V226">
        <v>35.840000000000003</v>
      </c>
      <c r="W226">
        <f>Europe_Sales_Records34[[#This Row],[Total Revenue]]/Europe_Sales_Records34[[#This Row],[Units Sold]]</f>
        <v>109.27999999999999</v>
      </c>
      <c r="X226">
        <v>1083401.92</v>
      </c>
      <c r="Y226">
        <v>355317.76000000001</v>
      </c>
      <c r="Z226" s="4">
        <f>Europe_Sales_Records34[[#This Row],[Total Profit]]/Europe_Sales_Records34[[#This Row],[Total Revenue]]</f>
        <v>0.67203513909224022</v>
      </c>
      <c r="AA226">
        <v>728084.16</v>
      </c>
    </row>
    <row r="227" spans="1:27" x14ac:dyDescent="0.3">
      <c r="A227" t="s">
        <v>14</v>
      </c>
      <c r="B227" t="s">
        <v>264</v>
      </c>
      <c r="C227" t="s">
        <v>75</v>
      </c>
      <c r="D227" t="s">
        <v>17</v>
      </c>
      <c r="E227" t="s">
        <v>24</v>
      </c>
      <c r="F227" t="s">
        <v>498</v>
      </c>
      <c r="G227" s="2">
        <f t="shared" si="6"/>
        <v>40788</v>
      </c>
      <c r="H227">
        <f>DAY(Europe_Sales_Records34[[#This Row],[Order Date Fixed]])</f>
        <v>2</v>
      </c>
      <c r="I227" t="str">
        <f>TEXT(Europe_Sales_Records34[[#This Row],[Order Date Fixed]],"MMM")</f>
        <v>Sep</v>
      </c>
      <c r="J227">
        <f>YEAR(Europe_Sales_Records34[[#This Row],[Order Date Fixed]])</f>
        <v>2011</v>
      </c>
      <c r="K227" t="str">
        <f>TEXT(Europe_Sales_Records34[[#This Row],[Order Date Fixed]],"MMM-YYYY")</f>
        <v>Sep-2011</v>
      </c>
      <c r="L227">
        <v>613166129</v>
      </c>
      <c r="M227" s="2">
        <f t="shared" si="7"/>
        <v>40837</v>
      </c>
      <c r="N227">
        <f>DAY(Europe_Sales_Records34[[#This Row],[Ship Date Fixed]])</f>
        <v>21</v>
      </c>
      <c r="O227" t="str">
        <f>TEXT(Europe_Sales_Records34[[#This Row],[Ship Date Fixed]],"MMM")</f>
        <v>Oct</v>
      </c>
      <c r="P227">
        <f>YEAR(Europe_Sales_Records34[[#This Row],[Ship Date Fixed]])</f>
        <v>2011</v>
      </c>
      <c r="Q227" t="str">
        <f>TEXT(Europe_Sales_Records34[[#This Row],[Ship Date Fixed]],"MMM-YYYY")</f>
        <v>Oct-2011</v>
      </c>
      <c r="R227" t="s">
        <v>499</v>
      </c>
      <c r="S227" s="3">
        <f>Europe_Sales_Records34[[#This Row],[Ship Date Fixed]]-Europe_Sales_Records34[[#This Row],[Order Date Fixed]]</f>
        <v>49</v>
      </c>
      <c r="T227">
        <v>8338</v>
      </c>
      <c r="U227">
        <v>437.2</v>
      </c>
      <c r="V227">
        <v>263.33</v>
      </c>
      <c r="W227">
        <f>Europe_Sales_Records34[[#This Row],[Total Revenue]]/Europe_Sales_Records34[[#This Row],[Units Sold]]</f>
        <v>437.2</v>
      </c>
      <c r="X227">
        <v>3645373.6</v>
      </c>
      <c r="Y227">
        <v>2195645.54</v>
      </c>
      <c r="Z227" s="4">
        <f>Europe_Sales_Records34[[#This Row],[Total Profit]]/Europe_Sales_Records34[[#This Row],[Total Revenue]]</f>
        <v>0.39768984446477584</v>
      </c>
      <c r="AA227">
        <v>1449728.06</v>
      </c>
    </row>
    <row r="228" spans="1:27" x14ac:dyDescent="0.3">
      <c r="A228" t="s">
        <v>14</v>
      </c>
      <c r="B228" t="s">
        <v>74</v>
      </c>
      <c r="C228" t="s">
        <v>32</v>
      </c>
      <c r="D228" t="s">
        <v>17</v>
      </c>
      <c r="E228" t="s">
        <v>24</v>
      </c>
      <c r="F228" t="s">
        <v>500</v>
      </c>
      <c r="G228" s="2">
        <f t="shared" si="6"/>
        <v>42858</v>
      </c>
      <c r="H228">
        <f>DAY(Europe_Sales_Records34[[#This Row],[Order Date Fixed]])</f>
        <v>3</v>
      </c>
      <c r="I228" t="str">
        <f>TEXT(Europe_Sales_Records34[[#This Row],[Order Date Fixed]],"MMM")</f>
        <v>May</v>
      </c>
      <c r="J228">
        <f>YEAR(Europe_Sales_Records34[[#This Row],[Order Date Fixed]])</f>
        <v>2017</v>
      </c>
      <c r="K228" t="str">
        <f>TEXT(Europe_Sales_Records34[[#This Row],[Order Date Fixed]],"MMM-YYYY")</f>
        <v>May-2017</v>
      </c>
      <c r="L228">
        <v>181260526</v>
      </c>
      <c r="M228" s="2">
        <f t="shared" si="7"/>
        <v>42889</v>
      </c>
      <c r="N228">
        <f>DAY(Europe_Sales_Records34[[#This Row],[Ship Date Fixed]])</f>
        <v>3</v>
      </c>
      <c r="O228" t="str">
        <f>TEXT(Europe_Sales_Records34[[#This Row],[Ship Date Fixed]],"MMM")</f>
        <v>Jun</v>
      </c>
      <c r="P228">
        <f>YEAR(Europe_Sales_Records34[[#This Row],[Ship Date Fixed]])</f>
        <v>2017</v>
      </c>
      <c r="Q228" t="str">
        <f>TEXT(Europe_Sales_Records34[[#This Row],[Ship Date Fixed]],"MMM-YYYY")</f>
        <v>Jun-2017</v>
      </c>
      <c r="R228" t="s">
        <v>378</v>
      </c>
      <c r="S228" s="3">
        <f>Europe_Sales_Records34[[#This Row],[Ship Date Fixed]]-Europe_Sales_Records34[[#This Row],[Order Date Fixed]]</f>
        <v>31</v>
      </c>
      <c r="T228">
        <v>7872</v>
      </c>
      <c r="U228">
        <v>651.21</v>
      </c>
      <c r="V228">
        <v>524.96</v>
      </c>
      <c r="W228">
        <f>Europe_Sales_Records34[[#This Row],[Total Revenue]]/Europe_Sales_Records34[[#This Row],[Units Sold]]</f>
        <v>651.21</v>
      </c>
      <c r="X228">
        <v>5126325.12</v>
      </c>
      <c r="Y228">
        <v>4132485.1200000001</v>
      </c>
      <c r="Z228" s="4">
        <f>Europe_Sales_Records34[[#This Row],[Total Profit]]/Europe_Sales_Records34[[#This Row],[Total Revenue]]</f>
        <v>0.19386987300563566</v>
      </c>
      <c r="AA228">
        <v>993840</v>
      </c>
    </row>
    <row r="229" spans="1:27" x14ac:dyDescent="0.3">
      <c r="A229" t="s">
        <v>14</v>
      </c>
      <c r="B229" t="s">
        <v>364</v>
      </c>
      <c r="C229" t="s">
        <v>58</v>
      </c>
      <c r="D229" t="s">
        <v>23</v>
      </c>
      <c r="E229" t="s">
        <v>18</v>
      </c>
      <c r="F229" t="s">
        <v>302</v>
      </c>
      <c r="G229" s="2">
        <f t="shared" si="6"/>
        <v>41518</v>
      </c>
      <c r="H229">
        <f>DAY(Europe_Sales_Records34[[#This Row],[Order Date Fixed]])</f>
        <v>1</v>
      </c>
      <c r="I229" t="str">
        <f>TEXT(Europe_Sales_Records34[[#This Row],[Order Date Fixed]],"MMM")</f>
        <v>Sep</v>
      </c>
      <c r="J229">
        <f>YEAR(Europe_Sales_Records34[[#This Row],[Order Date Fixed]])</f>
        <v>2013</v>
      </c>
      <c r="K229" t="str">
        <f>TEXT(Europe_Sales_Records34[[#This Row],[Order Date Fixed]],"MMM-YYYY")</f>
        <v>Sep-2013</v>
      </c>
      <c r="L229">
        <v>264959609</v>
      </c>
      <c r="M229" s="2">
        <f t="shared" si="7"/>
        <v>41565</v>
      </c>
      <c r="N229">
        <f>DAY(Europe_Sales_Records34[[#This Row],[Ship Date Fixed]])</f>
        <v>18</v>
      </c>
      <c r="O229" t="str">
        <f>TEXT(Europe_Sales_Records34[[#This Row],[Ship Date Fixed]],"MMM")</f>
        <v>Oct</v>
      </c>
      <c r="P229">
        <f>YEAR(Europe_Sales_Records34[[#This Row],[Ship Date Fixed]])</f>
        <v>2013</v>
      </c>
      <c r="Q229" t="str">
        <f>TEXT(Europe_Sales_Records34[[#This Row],[Ship Date Fixed]],"MMM-YYYY")</f>
        <v>Oct-2013</v>
      </c>
      <c r="R229" t="s">
        <v>501</v>
      </c>
      <c r="S229" s="3">
        <f>Europe_Sales_Records34[[#This Row],[Ship Date Fixed]]-Europe_Sales_Records34[[#This Row],[Order Date Fixed]]</f>
        <v>47</v>
      </c>
      <c r="T229">
        <v>6291</v>
      </c>
      <c r="U229">
        <v>152.58000000000001</v>
      </c>
      <c r="V229">
        <v>97.44</v>
      </c>
      <c r="W229">
        <f>Europe_Sales_Records34[[#This Row],[Total Revenue]]/Europe_Sales_Records34[[#This Row],[Units Sold]]</f>
        <v>152.58000000000001</v>
      </c>
      <c r="X229">
        <v>959880.78</v>
      </c>
      <c r="Y229">
        <v>612995.04</v>
      </c>
      <c r="Z229" s="4">
        <f>Europe_Sales_Records34[[#This Row],[Total Profit]]/Europe_Sales_Records34[[#This Row],[Total Revenue]]</f>
        <v>0.36138419189933146</v>
      </c>
      <c r="AA229">
        <v>346885.74</v>
      </c>
    </row>
    <row r="230" spans="1:27" x14ac:dyDescent="0.3">
      <c r="A230" t="s">
        <v>14</v>
      </c>
      <c r="B230" t="s">
        <v>100</v>
      </c>
      <c r="C230" t="s">
        <v>37</v>
      </c>
      <c r="D230" t="s">
        <v>23</v>
      </c>
      <c r="E230" t="s">
        <v>33</v>
      </c>
      <c r="F230" t="s">
        <v>502</v>
      </c>
      <c r="G230" s="2">
        <f t="shared" si="6"/>
        <v>40390</v>
      </c>
      <c r="H230">
        <f>DAY(Europe_Sales_Records34[[#This Row],[Order Date Fixed]])</f>
        <v>31</v>
      </c>
      <c r="I230" t="str">
        <f>TEXT(Europe_Sales_Records34[[#This Row],[Order Date Fixed]],"MMM")</f>
        <v>Jul</v>
      </c>
      <c r="J230">
        <f>YEAR(Europe_Sales_Records34[[#This Row],[Order Date Fixed]])</f>
        <v>2010</v>
      </c>
      <c r="K230" t="str">
        <f>TEXT(Europe_Sales_Records34[[#This Row],[Order Date Fixed]],"MMM-YYYY")</f>
        <v>Jul-2010</v>
      </c>
      <c r="L230">
        <v>475176560</v>
      </c>
      <c r="M230" s="2">
        <f t="shared" si="7"/>
        <v>40425</v>
      </c>
      <c r="N230">
        <f>DAY(Europe_Sales_Records34[[#This Row],[Ship Date Fixed]])</f>
        <v>4</v>
      </c>
      <c r="O230" t="str">
        <f>TEXT(Europe_Sales_Records34[[#This Row],[Ship Date Fixed]],"MMM")</f>
        <v>Sep</v>
      </c>
      <c r="P230">
        <f>YEAR(Europe_Sales_Records34[[#This Row],[Ship Date Fixed]])</f>
        <v>2010</v>
      </c>
      <c r="Q230" t="str">
        <f>TEXT(Europe_Sales_Records34[[#This Row],[Ship Date Fixed]],"MMM-YYYY")</f>
        <v>Sep-2010</v>
      </c>
      <c r="R230" t="s">
        <v>503</v>
      </c>
      <c r="S230" s="3">
        <f>Europe_Sales_Records34[[#This Row],[Ship Date Fixed]]-Europe_Sales_Records34[[#This Row],[Order Date Fixed]]</f>
        <v>35</v>
      </c>
      <c r="T230">
        <v>4159</v>
      </c>
      <c r="U230">
        <v>9.33</v>
      </c>
      <c r="V230">
        <v>6.92</v>
      </c>
      <c r="W230">
        <f>Europe_Sales_Records34[[#This Row],[Total Revenue]]/Europe_Sales_Records34[[#This Row],[Units Sold]]</f>
        <v>9.33</v>
      </c>
      <c r="X230">
        <v>38803.47</v>
      </c>
      <c r="Y230">
        <v>28780.28</v>
      </c>
      <c r="Z230" s="4">
        <f>Europe_Sales_Records34[[#This Row],[Total Profit]]/Europe_Sales_Records34[[#This Row],[Total Revenue]]</f>
        <v>0.25830653804930331</v>
      </c>
      <c r="AA230">
        <v>10023.19</v>
      </c>
    </row>
    <row r="231" spans="1:27" x14ac:dyDescent="0.3">
      <c r="A231" t="s">
        <v>14</v>
      </c>
      <c r="B231" t="s">
        <v>122</v>
      </c>
      <c r="C231" t="s">
        <v>64</v>
      </c>
      <c r="D231" t="s">
        <v>17</v>
      </c>
      <c r="E231" t="s">
        <v>54</v>
      </c>
      <c r="F231" t="s">
        <v>504</v>
      </c>
      <c r="G231" s="2">
        <f t="shared" si="6"/>
        <v>40931</v>
      </c>
      <c r="H231">
        <f>DAY(Europe_Sales_Records34[[#This Row],[Order Date Fixed]])</f>
        <v>23</v>
      </c>
      <c r="I231" t="str">
        <f>TEXT(Europe_Sales_Records34[[#This Row],[Order Date Fixed]],"MMM")</f>
        <v>Jan</v>
      </c>
      <c r="J231">
        <f>YEAR(Europe_Sales_Records34[[#This Row],[Order Date Fixed]])</f>
        <v>2012</v>
      </c>
      <c r="K231" t="str">
        <f>TEXT(Europe_Sales_Records34[[#This Row],[Order Date Fixed]],"MMM-YYYY")</f>
        <v>Jan-2012</v>
      </c>
      <c r="L231">
        <v>194922626</v>
      </c>
      <c r="M231" s="2">
        <f t="shared" si="7"/>
        <v>40946</v>
      </c>
      <c r="N231">
        <f>DAY(Europe_Sales_Records34[[#This Row],[Ship Date Fixed]])</f>
        <v>7</v>
      </c>
      <c r="O231" t="str">
        <f>TEXT(Europe_Sales_Records34[[#This Row],[Ship Date Fixed]],"MMM")</f>
        <v>Feb</v>
      </c>
      <c r="P231">
        <f>YEAR(Europe_Sales_Records34[[#This Row],[Ship Date Fixed]])</f>
        <v>2012</v>
      </c>
      <c r="Q231" t="str">
        <f>TEXT(Europe_Sales_Records34[[#This Row],[Ship Date Fixed]],"MMM-YYYY")</f>
        <v>Feb-2012</v>
      </c>
      <c r="R231" t="s">
        <v>505</v>
      </c>
      <c r="S231" s="3">
        <f>Europe_Sales_Records34[[#This Row],[Ship Date Fixed]]-Europe_Sales_Records34[[#This Row],[Order Date Fixed]]</f>
        <v>15</v>
      </c>
      <c r="T231">
        <v>791</v>
      </c>
      <c r="U231">
        <v>255.28</v>
      </c>
      <c r="V231">
        <v>159.41999999999999</v>
      </c>
      <c r="W231">
        <f>Europe_Sales_Records34[[#This Row],[Total Revenue]]/Europe_Sales_Records34[[#This Row],[Units Sold]]</f>
        <v>255.28</v>
      </c>
      <c r="X231">
        <v>201926.48</v>
      </c>
      <c r="Y231">
        <v>126101.22</v>
      </c>
      <c r="Z231" s="4">
        <f>Europe_Sales_Records34[[#This Row],[Total Profit]]/Europe_Sales_Records34[[#This Row],[Total Revenue]]</f>
        <v>0.37550924475086173</v>
      </c>
      <c r="AA231">
        <v>75825.259999999995</v>
      </c>
    </row>
    <row r="232" spans="1:27" x14ac:dyDescent="0.3">
      <c r="A232" t="s">
        <v>14</v>
      </c>
      <c r="B232" t="s">
        <v>163</v>
      </c>
      <c r="C232" t="s">
        <v>58</v>
      </c>
      <c r="D232" t="s">
        <v>17</v>
      </c>
      <c r="E232" t="s">
        <v>24</v>
      </c>
      <c r="F232" t="s">
        <v>506</v>
      </c>
      <c r="G232" s="2">
        <f t="shared" si="6"/>
        <v>42554</v>
      </c>
      <c r="H232">
        <f>DAY(Europe_Sales_Records34[[#This Row],[Order Date Fixed]])</f>
        <v>3</v>
      </c>
      <c r="I232" t="str">
        <f>TEXT(Europe_Sales_Records34[[#This Row],[Order Date Fixed]],"MMM")</f>
        <v>Jul</v>
      </c>
      <c r="J232">
        <f>YEAR(Europe_Sales_Records34[[#This Row],[Order Date Fixed]])</f>
        <v>2016</v>
      </c>
      <c r="K232" t="str">
        <f>TEXT(Europe_Sales_Records34[[#This Row],[Order Date Fixed]],"MMM-YYYY")</f>
        <v>Jul-2016</v>
      </c>
      <c r="L232">
        <v>447684133</v>
      </c>
      <c r="M232" s="2">
        <f t="shared" si="7"/>
        <v>42596</v>
      </c>
      <c r="N232">
        <f>DAY(Europe_Sales_Records34[[#This Row],[Ship Date Fixed]])</f>
        <v>14</v>
      </c>
      <c r="O232" t="str">
        <f>TEXT(Europe_Sales_Records34[[#This Row],[Ship Date Fixed]],"MMM")</f>
        <v>Aug</v>
      </c>
      <c r="P232">
        <f>YEAR(Europe_Sales_Records34[[#This Row],[Ship Date Fixed]])</f>
        <v>2016</v>
      </c>
      <c r="Q232" t="str">
        <f>TEXT(Europe_Sales_Records34[[#This Row],[Ship Date Fixed]],"MMM-YYYY")</f>
        <v>Aug-2016</v>
      </c>
      <c r="R232" t="s">
        <v>507</v>
      </c>
      <c r="S232" s="3">
        <f>Europe_Sales_Records34[[#This Row],[Ship Date Fixed]]-Europe_Sales_Records34[[#This Row],[Order Date Fixed]]</f>
        <v>42</v>
      </c>
      <c r="T232">
        <v>8538</v>
      </c>
      <c r="U232">
        <v>152.58000000000001</v>
      </c>
      <c r="V232">
        <v>97.44</v>
      </c>
      <c r="W232">
        <f>Europe_Sales_Records34[[#This Row],[Total Revenue]]/Europe_Sales_Records34[[#This Row],[Units Sold]]</f>
        <v>152.58000000000001</v>
      </c>
      <c r="X232">
        <v>1302728.04</v>
      </c>
      <c r="Y232">
        <v>831942.72</v>
      </c>
      <c r="Z232" s="4">
        <f>Europe_Sales_Records34[[#This Row],[Total Profit]]/Europe_Sales_Records34[[#This Row],[Total Revenue]]</f>
        <v>0.36138419189933152</v>
      </c>
      <c r="AA232">
        <v>470785.32</v>
      </c>
    </row>
    <row r="233" spans="1:27" x14ac:dyDescent="0.3">
      <c r="A233" t="s">
        <v>14</v>
      </c>
      <c r="B233" t="s">
        <v>92</v>
      </c>
      <c r="C233" t="s">
        <v>102</v>
      </c>
      <c r="D233" t="s">
        <v>23</v>
      </c>
      <c r="E233" t="s">
        <v>54</v>
      </c>
      <c r="F233" t="s">
        <v>508</v>
      </c>
      <c r="G233" s="2">
        <f t="shared" si="6"/>
        <v>40912</v>
      </c>
      <c r="H233">
        <f>DAY(Europe_Sales_Records34[[#This Row],[Order Date Fixed]])</f>
        <v>4</v>
      </c>
      <c r="I233" t="str">
        <f>TEXT(Europe_Sales_Records34[[#This Row],[Order Date Fixed]],"MMM")</f>
        <v>Jan</v>
      </c>
      <c r="J233">
        <f>YEAR(Europe_Sales_Records34[[#This Row],[Order Date Fixed]])</f>
        <v>2012</v>
      </c>
      <c r="K233" t="str">
        <f>TEXT(Europe_Sales_Records34[[#This Row],[Order Date Fixed]],"MMM-YYYY")</f>
        <v>Jan-2012</v>
      </c>
      <c r="L233">
        <v>527259910</v>
      </c>
      <c r="M233" s="2">
        <f t="shared" si="7"/>
        <v>40919</v>
      </c>
      <c r="N233">
        <f>DAY(Europe_Sales_Records34[[#This Row],[Ship Date Fixed]])</f>
        <v>11</v>
      </c>
      <c r="O233" t="str">
        <f>TEXT(Europe_Sales_Records34[[#This Row],[Ship Date Fixed]],"MMM")</f>
        <v>Jan</v>
      </c>
      <c r="P233">
        <f>YEAR(Europe_Sales_Records34[[#This Row],[Ship Date Fixed]])</f>
        <v>2012</v>
      </c>
      <c r="Q233" t="str">
        <f>TEXT(Europe_Sales_Records34[[#This Row],[Ship Date Fixed]],"MMM-YYYY")</f>
        <v>Jan-2012</v>
      </c>
      <c r="R233" t="s">
        <v>509</v>
      </c>
      <c r="S233" s="3">
        <f>Europe_Sales_Records34[[#This Row],[Ship Date Fixed]]-Europe_Sales_Records34[[#This Row],[Order Date Fixed]]</f>
        <v>7</v>
      </c>
      <c r="T233">
        <v>6779</v>
      </c>
      <c r="U233">
        <v>81.73</v>
      </c>
      <c r="V233">
        <v>56.67</v>
      </c>
      <c r="W233">
        <f>Europe_Sales_Records34[[#This Row],[Total Revenue]]/Europe_Sales_Records34[[#This Row],[Units Sold]]</f>
        <v>81.73</v>
      </c>
      <c r="X233">
        <v>554047.67000000004</v>
      </c>
      <c r="Y233">
        <v>384165.93</v>
      </c>
      <c r="Z233" s="4">
        <f>Europe_Sales_Records34[[#This Row],[Total Profit]]/Europe_Sales_Records34[[#This Row],[Total Revenue]]</f>
        <v>0.30661935641747212</v>
      </c>
      <c r="AA233">
        <v>169881.74</v>
      </c>
    </row>
    <row r="234" spans="1:27" x14ac:dyDescent="0.3">
      <c r="A234" t="s">
        <v>14</v>
      </c>
      <c r="B234" t="s">
        <v>135</v>
      </c>
      <c r="C234" t="s">
        <v>64</v>
      </c>
      <c r="D234" t="s">
        <v>23</v>
      </c>
      <c r="E234" t="s">
        <v>24</v>
      </c>
      <c r="F234" t="s">
        <v>510</v>
      </c>
      <c r="G234" s="2">
        <f t="shared" si="6"/>
        <v>41861</v>
      </c>
      <c r="H234">
        <f>DAY(Europe_Sales_Records34[[#This Row],[Order Date Fixed]])</f>
        <v>10</v>
      </c>
      <c r="I234" t="str">
        <f>TEXT(Europe_Sales_Records34[[#This Row],[Order Date Fixed]],"MMM")</f>
        <v>Aug</v>
      </c>
      <c r="J234">
        <f>YEAR(Europe_Sales_Records34[[#This Row],[Order Date Fixed]])</f>
        <v>2014</v>
      </c>
      <c r="K234" t="str">
        <f>TEXT(Europe_Sales_Records34[[#This Row],[Order Date Fixed]],"MMM-YYYY")</f>
        <v>Aug-2014</v>
      </c>
      <c r="L234">
        <v>879923617</v>
      </c>
      <c r="M234" s="2">
        <f t="shared" si="7"/>
        <v>41897</v>
      </c>
      <c r="N234">
        <f>DAY(Europe_Sales_Records34[[#This Row],[Ship Date Fixed]])</f>
        <v>15</v>
      </c>
      <c r="O234" t="str">
        <f>TEXT(Europe_Sales_Records34[[#This Row],[Ship Date Fixed]],"MMM")</f>
        <v>Sep</v>
      </c>
      <c r="P234">
        <f>YEAR(Europe_Sales_Records34[[#This Row],[Ship Date Fixed]])</f>
        <v>2014</v>
      </c>
      <c r="Q234" t="str">
        <f>TEXT(Europe_Sales_Records34[[#This Row],[Ship Date Fixed]],"MMM-YYYY")</f>
        <v>Sep-2014</v>
      </c>
      <c r="R234" t="s">
        <v>343</v>
      </c>
      <c r="S234" s="3">
        <f>Europe_Sales_Records34[[#This Row],[Ship Date Fixed]]-Europe_Sales_Records34[[#This Row],[Order Date Fixed]]</f>
        <v>36</v>
      </c>
      <c r="T234">
        <v>7807</v>
      </c>
      <c r="U234">
        <v>255.28</v>
      </c>
      <c r="V234">
        <v>159.41999999999999</v>
      </c>
      <c r="W234">
        <f>Europe_Sales_Records34[[#This Row],[Total Revenue]]/Europe_Sales_Records34[[#This Row],[Units Sold]]</f>
        <v>255.28</v>
      </c>
      <c r="X234">
        <v>1992970.96</v>
      </c>
      <c r="Y234">
        <v>1244591.94</v>
      </c>
      <c r="Z234" s="4">
        <f>Europe_Sales_Records34[[#This Row],[Total Profit]]/Europe_Sales_Records34[[#This Row],[Total Revenue]]</f>
        <v>0.37550924475086184</v>
      </c>
      <c r="AA234">
        <v>748379.02</v>
      </c>
    </row>
    <row r="235" spans="1:27" x14ac:dyDescent="0.3">
      <c r="A235" t="s">
        <v>14</v>
      </c>
      <c r="B235" t="s">
        <v>86</v>
      </c>
      <c r="C235" t="s">
        <v>58</v>
      </c>
      <c r="D235" t="s">
        <v>17</v>
      </c>
      <c r="E235" t="s">
        <v>54</v>
      </c>
      <c r="F235" t="s">
        <v>511</v>
      </c>
      <c r="G235" s="2">
        <f t="shared" si="6"/>
        <v>41707</v>
      </c>
      <c r="H235">
        <f>DAY(Europe_Sales_Records34[[#This Row],[Order Date Fixed]])</f>
        <v>9</v>
      </c>
      <c r="I235" t="str">
        <f>TEXT(Europe_Sales_Records34[[#This Row],[Order Date Fixed]],"MMM")</f>
        <v>Mar</v>
      </c>
      <c r="J235">
        <f>YEAR(Europe_Sales_Records34[[#This Row],[Order Date Fixed]])</f>
        <v>2014</v>
      </c>
      <c r="K235" t="str">
        <f>TEXT(Europe_Sales_Records34[[#This Row],[Order Date Fixed]],"MMM-YYYY")</f>
        <v>Mar-2014</v>
      </c>
      <c r="L235">
        <v>279816472</v>
      </c>
      <c r="M235" s="2">
        <f t="shared" si="7"/>
        <v>41743</v>
      </c>
      <c r="N235">
        <f>DAY(Europe_Sales_Records34[[#This Row],[Ship Date Fixed]])</f>
        <v>14</v>
      </c>
      <c r="O235" t="str">
        <f>TEXT(Europe_Sales_Records34[[#This Row],[Ship Date Fixed]],"MMM")</f>
        <v>Apr</v>
      </c>
      <c r="P235">
        <f>YEAR(Europe_Sales_Records34[[#This Row],[Ship Date Fixed]])</f>
        <v>2014</v>
      </c>
      <c r="Q235" t="str">
        <f>TEXT(Europe_Sales_Records34[[#This Row],[Ship Date Fixed]],"MMM-YYYY")</f>
        <v>Apr-2014</v>
      </c>
      <c r="R235" t="s">
        <v>512</v>
      </c>
      <c r="S235" s="3">
        <f>Europe_Sales_Records34[[#This Row],[Ship Date Fixed]]-Europe_Sales_Records34[[#This Row],[Order Date Fixed]]</f>
        <v>36</v>
      </c>
      <c r="T235">
        <v>2767</v>
      </c>
      <c r="U235">
        <v>152.58000000000001</v>
      </c>
      <c r="V235">
        <v>97.44</v>
      </c>
      <c r="W235">
        <f>Europe_Sales_Records34[[#This Row],[Total Revenue]]/Europe_Sales_Records34[[#This Row],[Units Sold]]</f>
        <v>152.57999999999998</v>
      </c>
      <c r="X235">
        <v>422188.86</v>
      </c>
      <c r="Y235">
        <v>269616.48</v>
      </c>
      <c r="Z235" s="4">
        <f>Europe_Sales_Records34[[#This Row],[Total Profit]]/Europe_Sales_Records34[[#This Row],[Total Revenue]]</f>
        <v>0.36138419189933152</v>
      </c>
      <c r="AA235">
        <v>152572.38</v>
      </c>
    </row>
    <row r="236" spans="1:27" x14ac:dyDescent="0.3">
      <c r="A236" t="s">
        <v>14</v>
      </c>
      <c r="B236" t="s">
        <v>105</v>
      </c>
      <c r="C236" t="s">
        <v>58</v>
      </c>
      <c r="D236" t="s">
        <v>23</v>
      </c>
      <c r="E236" t="s">
        <v>24</v>
      </c>
      <c r="F236" t="s">
        <v>513</v>
      </c>
      <c r="G236" s="2">
        <f t="shared" si="6"/>
        <v>41218</v>
      </c>
      <c r="H236">
        <f>DAY(Europe_Sales_Records34[[#This Row],[Order Date Fixed]])</f>
        <v>5</v>
      </c>
      <c r="I236" t="str">
        <f>TEXT(Europe_Sales_Records34[[#This Row],[Order Date Fixed]],"MMM")</f>
        <v>Nov</v>
      </c>
      <c r="J236">
        <f>YEAR(Europe_Sales_Records34[[#This Row],[Order Date Fixed]])</f>
        <v>2012</v>
      </c>
      <c r="K236" t="str">
        <f>TEXT(Europe_Sales_Records34[[#This Row],[Order Date Fixed]],"MMM-YYYY")</f>
        <v>Nov-2012</v>
      </c>
      <c r="L236">
        <v>593018233</v>
      </c>
      <c r="M236" s="2">
        <f t="shared" si="7"/>
        <v>41254</v>
      </c>
      <c r="N236">
        <f>DAY(Europe_Sales_Records34[[#This Row],[Ship Date Fixed]])</f>
        <v>11</v>
      </c>
      <c r="O236" t="str">
        <f>TEXT(Europe_Sales_Records34[[#This Row],[Ship Date Fixed]],"MMM")</f>
        <v>Dec</v>
      </c>
      <c r="P236">
        <f>YEAR(Europe_Sales_Records34[[#This Row],[Ship Date Fixed]])</f>
        <v>2012</v>
      </c>
      <c r="Q236" t="str">
        <f>TEXT(Europe_Sales_Records34[[#This Row],[Ship Date Fixed]],"MMM-YYYY")</f>
        <v>Dec-2012</v>
      </c>
      <c r="R236" t="s">
        <v>514</v>
      </c>
      <c r="S236" s="3">
        <f>Europe_Sales_Records34[[#This Row],[Ship Date Fixed]]-Europe_Sales_Records34[[#This Row],[Order Date Fixed]]</f>
        <v>36</v>
      </c>
      <c r="T236">
        <v>6128</v>
      </c>
      <c r="U236">
        <v>152.58000000000001</v>
      </c>
      <c r="V236">
        <v>97.44</v>
      </c>
      <c r="W236">
        <f>Europe_Sales_Records34[[#This Row],[Total Revenue]]/Europe_Sales_Records34[[#This Row],[Units Sold]]</f>
        <v>152.58000000000001</v>
      </c>
      <c r="X236">
        <v>935010.24</v>
      </c>
      <c r="Y236">
        <v>597112.31999999995</v>
      </c>
      <c r="Z236" s="4">
        <f>Europe_Sales_Records34[[#This Row],[Total Profit]]/Europe_Sales_Records34[[#This Row],[Total Revenue]]</f>
        <v>0.36138419189933146</v>
      </c>
      <c r="AA236">
        <v>337897.92</v>
      </c>
    </row>
    <row r="237" spans="1:27" x14ac:dyDescent="0.3">
      <c r="A237" t="s">
        <v>14</v>
      </c>
      <c r="B237" t="s">
        <v>181</v>
      </c>
      <c r="C237" t="s">
        <v>64</v>
      </c>
      <c r="D237" t="s">
        <v>23</v>
      </c>
      <c r="E237" t="s">
        <v>54</v>
      </c>
      <c r="F237" t="s">
        <v>515</v>
      </c>
      <c r="G237" s="2">
        <f t="shared" si="6"/>
        <v>42629</v>
      </c>
      <c r="H237">
        <f>DAY(Europe_Sales_Records34[[#This Row],[Order Date Fixed]])</f>
        <v>16</v>
      </c>
      <c r="I237" t="str">
        <f>TEXT(Europe_Sales_Records34[[#This Row],[Order Date Fixed]],"MMM")</f>
        <v>Sep</v>
      </c>
      <c r="J237">
        <f>YEAR(Europe_Sales_Records34[[#This Row],[Order Date Fixed]])</f>
        <v>2016</v>
      </c>
      <c r="K237" t="str">
        <f>TEXT(Europe_Sales_Records34[[#This Row],[Order Date Fixed]],"MMM-YYYY")</f>
        <v>Sep-2016</v>
      </c>
      <c r="L237">
        <v>349060380</v>
      </c>
      <c r="M237" s="2">
        <f t="shared" si="7"/>
        <v>42641</v>
      </c>
      <c r="N237">
        <f>DAY(Europe_Sales_Records34[[#This Row],[Ship Date Fixed]])</f>
        <v>28</v>
      </c>
      <c r="O237" t="str">
        <f>TEXT(Europe_Sales_Records34[[#This Row],[Ship Date Fixed]],"MMM")</f>
        <v>Sep</v>
      </c>
      <c r="P237">
        <f>YEAR(Europe_Sales_Records34[[#This Row],[Ship Date Fixed]])</f>
        <v>2016</v>
      </c>
      <c r="Q237" t="str">
        <f>TEXT(Europe_Sales_Records34[[#This Row],[Ship Date Fixed]],"MMM-YYYY")</f>
        <v>Sep-2016</v>
      </c>
      <c r="R237" t="s">
        <v>38</v>
      </c>
      <c r="S237" s="3">
        <f>Europe_Sales_Records34[[#This Row],[Ship Date Fixed]]-Europe_Sales_Records34[[#This Row],[Order Date Fixed]]</f>
        <v>12</v>
      </c>
      <c r="T237">
        <v>3578</v>
      </c>
      <c r="U237">
        <v>255.28</v>
      </c>
      <c r="V237">
        <v>159.41999999999999</v>
      </c>
      <c r="W237">
        <f>Europe_Sales_Records34[[#This Row],[Total Revenue]]/Europe_Sales_Records34[[#This Row],[Units Sold]]</f>
        <v>255.28</v>
      </c>
      <c r="X237">
        <v>913391.84</v>
      </c>
      <c r="Y237">
        <v>570404.76</v>
      </c>
      <c r="Z237" s="4">
        <f>Europe_Sales_Records34[[#This Row],[Total Profit]]/Europe_Sales_Records34[[#This Row],[Total Revenue]]</f>
        <v>0.37550924475086184</v>
      </c>
      <c r="AA237">
        <v>342987.08</v>
      </c>
    </row>
    <row r="238" spans="1:27" x14ac:dyDescent="0.3">
      <c r="A238" t="s">
        <v>14</v>
      </c>
      <c r="B238" t="s">
        <v>80</v>
      </c>
      <c r="C238" t="s">
        <v>71</v>
      </c>
      <c r="D238" t="s">
        <v>17</v>
      </c>
      <c r="E238" t="s">
        <v>18</v>
      </c>
      <c r="F238" t="s">
        <v>516</v>
      </c>
      <c r="G238" s="2">
        <f t="shared" si="6"/>
        <v>40530</v>
      </c>
      <c r="H238">
        <f>DAY(Europe_Sales_Records34[[#This Row],[Order Date Fixed]])</f>
        <v>18</v>
      </c>
      <c r="I238" t="str">
        <f>TEXT(Europe_Sales_Records34[[#This Row],[Order Date Fixed]],"MMM")</f>
        <v>Dec</v>
      </c>
      <c r="J238">
        <f>YEAR(Europe_Sales_Records34[[#This Row],[Order Date Fixed]])</f>
        <v>2010</v>
      </c>
      <c r="K238" t="str">
        <f>TEXT(Europe_Sales_Records34[[#This Row],[Order Date Fixed]],"MMM-YYYY")</f>
        <v>Dec-2010</v>
      </c>
      <c r="L238">
        <v>863890445</v>
      </c>
      <c r="M238" s="2">
        <f t="shared" si="7"/>
        <v>40537</v>
      </c>
      <c r="N238">
        <f>DAY(Europe_Sales_Records34[[#This Row],[Ship Date Fixed]])</f>
        <v>25</v>
      </c>
      <c r="O238" t="str">
        <f>TEXT(Europe_Sales_Records34[[#This Row],[Ship Date Fixed]],"MMM")</f>
        <v>Dec</v>
      </c>
      <c r="P238">
        <f>YEAR(Europe_Sales_Records34[[#This Row],[Ship Date Fixed]])</f>
        <v>2010</v>
      </c>
      <c r="Q238" t="str">
        <f>TEXT(Europe_Sales_Records34[[#This Row],[Ship Date Fixed]],"MMM-YYYY")</f>
        <v>Dec-2010</v>
      </c>
      <c r="R238" t="s">
        <v>517</v>
      </c>
      <c r="S238" s="3">
        <f>Europe_Sales_Records34[[#This Row],[Ship Date Fixed]]-Europe_Sales_Records34[[#This Row],[Order Date Fixed]]</f>
        <v>7</v>
      </c>
      <c r="T238">
        <v>3235</v>
      </c>
      <c r="U238">
        <v>668.27</v>
      </c>
      <c r="V238">
        <v>502.54</v>
      </c>
      <c r="W238">
        <f>Europe_Sales_Records34[[#This Row],[Total Revenue]]/Europe_Sales_Records34[[#This Row],[Units Sold]]</f>
        <v>668.2700000000001</v>
      </c>
      <c r="X238">
        <v>2161853.4500000002</v>
      </c>
      <c r="Y238">
        <v>1625716.9</v>
      </c>
      <c r="Z238" s="4">
        <f>Europe_Sales_Records34[[#This Row],[Total Profit]]/Europe_Sales_Records34[[#This Row],[Total Revenue]]</f>
        <v>0.24799856345489099</v>
      </c>
      <c r="AA238">
        <v>536136.55000000005</v>
      </c>
    </row>
    <row r="239" spans="1:27" x14ac:dyDescent="0.3">
      <c r="A239" t="s">
        <v>14</v>
      </c>
      <c r="B239" t="s">
        <v>122</v>
      </c>
      <c r="C239" t="s">
        <v>102</v>
      </c>
      <c r="D239" t="s">
        <v>23</v>
      </c>
      <c r="E239" t="s">
        <v>18</v>
      </c>
      <c r="F239" t="s">
        <v>518</v>
      </c>
      <c r="G239" s="2">
        <f t="shared" si="6"/>
        <v>40194</v>
      </c>
      <c r="H239">
        <f>DAY(Europe_Sales_Records34[[#This Row],[Order Date Fixed]])</f>
        <v>16</v>
      </c>
      <c r="I239" t="str">
        <f>TEXT(Europe_Sales_Records34[[#This Row],[Order Date Fixed]],"MMM")</f>
        <v>Jan</v>
      </c>
      <c r="J239">
        <f>YEAR(Europe_Sales_Records34[[#This Row],[Order Date Fixed]])</f>
        <v>2010</v>
      </c>
      <c r="K239" t="str">
        <f>TEXT(Europe_Sales_Records34[[#This Row],[Order Date Fixed]],"MMM-YYYY")</f>
        <v>Jan-2010</v>
      </c>
      <c r="L239">
        <v>667420995</v>
      </c>
      <c r="M239" s="2">
        <f t="shared" si="7"/>
        <v>40196</v>
      </c>
      <c r="N239">
        <f>DAY(Europe_Sales_Records34[[#This Row],[Ship Date Fixed]])</f>
        <v>18</v>
      </c>
      <c r="O239" t="str">
        <f>TEXT(Europe_Sales_Records34[[#This Row],[Ship Date Fixed]],"MMM")</f>
        <v>Jan</v>
      </c>
      <c r="P239">
        <f>YEAR(Europe_Sales_Records34[[#This Row],[Ship Date Fixed]])</f>
        <v>2010</v>
      </c>
      <c r="Q239" t="str">
        <f>TEXT(Europe_Sales_Records34[[#This Row],[Ship Date Fixed]],"MMM-YYYY")</f>
        <v>Jan-2010</v>
      </c>
      <c r="R239" t="s">
        <v>519</v>
      </c>
      <c r="S239" s="3">
        <f>Europe_Sales_Records34[[#This Row],[Ship Date Fixed]]-Europe_Sales_Records34[[#This Row],[Order Date Fixed]]</f>
        <v>2</v>
      </c>
      <c r="T239">
        <v>3559</v>
      </c>
      <c r="U239">
        <v>81.73</v>
      </c>
      <c r="V239">
        <v>56.67</v>
      </c>
      <c r="W239">
        <f>Europe_Sales_Records34[[#This Row],[Total Revenue]]/Europe_Sales_Records34[[#This Row],[Units Sold]]</f>
        <v>81.73</v>
      </c>
      <c r="X239">
        <v>290877.07</v>
      </c>
      <c r="Y239">
        <v>201688.53</v>
      </c>
      <c r="Z239" s="4">
        <f>Europe_Sales_Records34[[#This Row],[Total Profit]]/Europe_Sales_Records34[[#This Row],[Total Revenue]]</f>
        <v>0.30661935641747212</v>
      </c>
      <c r="AA239">
        <v>89188.54</v>
      </c>
    </row>
    <row r="240" spans="1:27" x14ac:dyDescent="0.3">
      <c r="A240" t="s">
        <v>14</v>
      </c>
      <c r="B240" t="s">
        <v>40</v>
      </c>
      <c r="C240" t="s">
        <v>46</v>
      </c>
      <c r="D240" t="s">
        <v>17</v>
      </c>
      <c r="E240" t="s">
        <v>54</v>
      </c>
      <c r="F240" t="s">
        <v>520</v>
      </c>
      <c r="G240" s="2">
        <f t="shared" si="6"/>
        <v>40643</v>
      </c>
      <c r="H240">
        <f>DAY(Europe_Sales_Records34[[#This Row],[Order Date Fixed]])</f>
        <v>10</v>
      </c>
      <c r="I240" t="str">
        <f>TEXT(Europe_Sales_Records34[[#This Row],[Order Date Fixed]],"MMM")</f>
        <v>Apr</v>
      </c>
      <c r="J240">
        <f>YEAR(Europe_Sales_Records34[[#This Row],[Order Date Fixed]])</f>
        <v>2011</v>
      </c>
      <c r="K240" t="str">
        <f>TEXT(Europe_Sales_Records34[[#This Row],[Order Date Fixed]],"MMM-YYYY")</f>
        <v>Apr-2011</v>
      </c>
      <c r="L240">
        <v>842687690</v>
      </c>
      <c r="M240" s="2">
        <f t="shared" si="7"/>
        <v>40689</v>
      </c>
      <c r="N240">
        <f>DAY(Europe_Sales_Records34[[#This Row],[Ship Date Fixed]])</f>
        <v>26</v>
      </c>
      <c r="O240" t="str">
        <f>TEXT(Europe_Sales_Records34[[#This Row],[Ship Date Fixed]],"MMM")</f>
        <v>May</v>
      </c>
      <c r="P240">
        <f>YEAR(Europe_Sales_Records34[[#This Row],[Ship Date Fixed]])</f>
        <v>2011</v>
      </c>
      <c r="Q240" t="str">
        <f>TEXT(Europe_Sales_Records34[[#This Row],[Ship Date Fixed]],"MMM-YYYY")</f>
        <v>May-2011</v>
      </c>
      <c r="R240" t="s">
        <v>521</v>
      </c>
      <c r="S240" s="3">
        <f>Europe_Sales_Records34[[#This Row],[Ship Date Fixed]]-Europe_Sales_Records34[[#This Row],[Order Date Fixed]]</f>
        <v>46</v>
      </c>
      <c r="T240">
        <v>8869</v>
      </c>
      <c r="U240">
        <v>154.06</v>
      </c>
      <c r="V240">
        <v>90.93</v>
      </c>
      <c r="W240">
        <f>Europe_Sales_Records34[[#This Row],[Total Revenue]]/Europe_Sales_Records34[[#This Row],[Units Sold]]</f>
        <v>154.06</v>
      </c>
      <c r="X240">
        <v>1366358.14</v>
      </c>
      <c r="Y240">
        <v>806458.17</v>
      </c>
      <c r="Z240" s="4">
        <f>Europe_Sales_Records34[[#This Row],[Total Profit]]/Europe_Sales_Records34[[#This Row],[Total Revenue]]</f>
        <v>0.40977541217707386</v>
      </c>
      <c r="AA240">
        <v>559899.97</v>
      </c>
    </row>
    <row r="241" spans="1:27" x14ac:dyDescent="0.3">
      <c r="A241" t="s">
        <v>14</v>
      </c>
      <c r="B241" t="s">
        <v>61</v>
      </c>
      <c r="C241" t="s">
        <v>16</v>
      </c>
      <c r="D241" t="s">
        <v>17</v>
      </c>
      <c r="E241" t="s">
        <v>33</v>
      </c>
      <c r="F241" t="s">
        <v>522</v>
      </c>
      <c r="G241" s="2">
        <f t="shared" si="6"/>
        <v>40910</v>
      </c>
      <c r="H241">
        <f>DAY(Europe_Sales_Records34[[#This Row],[Order Date Fixed]])</f>
        <v>2</v>
      </c>
      <c r="I241" t="str">
        <f>TEXT(Europe_Sales_Records34[[#This Row],[Order Date Fixed]],"MMM")</f>
        <v>Jan</v>
      </c>
      <c r="J241">
        <f>YEAR(Europe_Sales_Records34[[#This Row],[Order Date Fixed]])</f>
        <v>2012</v>
      </c>
      <c r="K241" t="str">
        <f>TEXT(Europe_Sales_Records34[[#This Row],[Order Date Fixed]],"MMM-YYYY")</f>
        <v>Jan-2012</v>
      </c>
      <c r="L241">
        <v>772893178</v>
      </c>
      <c r="M241" s="2">
        <f t="shared" si="7"/>
        <v>40910</v>
      </c>
      <c r="N241">
        <f>DAY(Europe_Sales_Records34[[#This Row],[Ship Date Fixed]])</f>
        <v>2</v>
      </c>
      <c r="O241" t="str">
        <f>TEXT(Europe_Sales_Records34[[#This Row],[Ship Date Fixed]],"MMM")</f>
        <v>Jan</v>
      </c>
      <c r="P241">
        <f>YEAR(Europe_Sales_Records34[[#This Row],[Ship Date Fixed]])</f>
        <v>2012</v>
      </c>
      <c r="Q241" t="str">
        <f>TEXT(Europe_Sales_Records34[[#This Row],[Ship Date Fixed]],"MMM-YYYY")</f>
        <v>Jan-2012</v>
      </c>
      <c r="R241" t="s">
        <v>522</v>
      </c>
      <c r="S241" s="3">
        <f>Europe_Sales_Records34[[#This Row],[Ship Date Fixed]]-Europe_Sales_Records34[[#This Row],[Order Date Fixed]]</f>
        <v>0</v>
      </c>
      <c r="T241">
        <v>5122</v>
      </c>
      <c r="U241">
        <v>47.45</v>
      </c>
      <c r="V241">
        <v>31.79</v>
      </c>
      <c r="W241">
        <f>Europe_Sales_Records34[[#This Row],[Total Revenue]]/Europe_Sales_Records34[[#This Row],[Units Sold]]</f>
        <v>47.449999999999996</v>
      </c>
      <c r="X241">
        <v>243038.9</v>
      </c>
      <c r="Y241">
        <v>162828.38</v>
      </c>
      <c r="Z241" s="4">
        <f>Europe_Sales_Records34[[#This Row],[Total Profit]]/Europe_Sales_Records34[[#This Row],[Total Revenue]]</f>
        <v>0.33003161222339306</v>
      </c>
      <c r="AA241">
        <v>80210.52</v>
      </c>
    </row>
    <row r="242" spans="1:27" x14ac:dyDescent="0.3">
      <c r="A242" t="s">
        <v>14</v>
      </c>
      <c r="B242" t="s">
        <v>15</v>
      </c>
      <c r="C242" t="s">
        <v>58</v>
      </c>
      <c r="D242" t="s">
        <v>23</v>
      </c>
      <c r="E242" t="s">
        <v>24</v>
      </c>
      <c r="F242" t="s">
        <v>523</v>
      </c>
      <c r="G242" s="2">
        <f t="shared" si="6"/>
        <v>40729</v>
      </c>
      <c r="H242">
        <f>DAY(Europe_Sales_Records34[[#This Row],[Order Date Fixed]])</f>
        <v>5</v>
      </c>
      <c r="I242" t="str">
        <f>TEXT(Europe_Sales_Records34[[#This Row],[Order Date Fixed]],"MMM")</f>
        <v>Jul</v>
      </c>
      <c r="J242">
        <f>YEAR(Europe_Sales_Records34[[#This Row],[Order Date Fixed]])</f>
        <v>2011</v>
      </c>
      <c r="K242" t="str">
        <f>TEXT(Europe_Sales_Records34[[#This Row],[Order Date Fixed]],"MMM-YYYY")</f>
        <v>Jul-2011</v>
      </c>
      <c r="L242">
        <v>789484250</v>
      </c>
      <c r="M242" s="2">
        <f t="shared" si="7"/>
        <v>40754</v>
      </c>
      <c r="N242">
        <f>DAY(Europe_Sales_Records34[[#This Row],[Ship Date Fixed]])</f>
        <v>30</v>
      </c>
      <c r="O242" t="str">
        <f>TEXT(Europe_Sales_Records34[[#This Row],[Ship Date Fixed]],"MMM")</f>
        <v>Jul</v>
      </c>
      <c r="P242">
        <f>YEAR(Europe_Sales_Records34[[#This Row],[Ship Date Fixed]])</f>
        <v>2011</v>
      </c>
      <c r="Q242" t="str">
        <f>TEXT(Europe_Sales_Records34[[#This Row],[Ship Date Fixed]],"MMM-YYYY")</f>
        <v>Jul-2011</v>
      </c>
      <c r="R242" t="s">
        <v>524</v>
      </c>
      <c r="S242" s="3">
        <f>Europe_Sales_Records34[[#This Row],[Ship Date Fixed]]-Europe_Sales_Records34[[#This Row],[Order Date Fixed]]</f>
        <v>25</v>
      </c>
      <c r="T242">
        <v>4789</v>
      </c>
      <c r="U242">
        <v>152.58000000000001</v>
      </c>
      <c r="V242">
        <v>97.44</v>
      </c>
      <c r="W242">
        <f>Europe_Sales_Records34[[#This Row],[Total Revenue]]/Europe_Sales_Records34[[#This Row],[Units Sold]]</f>
        <v>152.58000000000001</v>
      </c>
      <c r="X242">
        <v>730705.62</v>
      </c>
      <c r="Y242">
        <v>466640.16</v>
      </c>
      <c r="Z242" s="4">
        <f>Europe_Sales_Records34[[#This Row],[Total Profit]]/Europe_Sales_Records34[[#This Row],[Total Revenue]]</f>
        <v>0.36138419189933152</v>
      </c>
      <c r="AA242">
        <v>264065.46000000002</v>
      </c>
    </row>
    <row r="243" spans="1:27" x14ac:dyDescent="0.3">
      <c r="A243" t="s">
        <v>14</v>
      </c>
      <c r="B243" t="s">
        <v>257</v>
      </c>
      <c r="C243" t="s">
        <v>102</v>
      </c>
      <c r="D243" t="s">
        <v>17</v>
      </c>
      <c r="E243" t="s">
        <v>24</v>
      </c>
      <c r="F243" t="s">
        <v>525</v>
      </c>
      <c r="G243" s="2">
        <f t="shared" si="6"/>
        <v>41053</v>
      </c>
      <c r="H243">
        <f>DAY(Europe_Sales_Records34[[#This Row],[Order Date Fixed]])</f>
        <v>24</v>
      </c>
      <c r="I243" t="str">
        <f>TEXT(Europe_Sales_Records34[[#This Row],[Order Date Fixed]],"MMM")</f>
        <v>May</v>
      </c>
      <c r="J243">
        <f>YEAR(Europe_Sales_Records34[[#This Row],[Order Date Fixed]])</f>
        <v>2012</v>
      </c>
      <c r="K243" t="str">
        <f>TEXT(Europe_Sales_Records34[[#This Row],[Order Date Fixed]],"MMM-YYYY")</f>
        <v>May-2012</v>
      </c>
      <c r="L243">
        <v>336111962</v>
      </c>
      <c r="M243" s="2">
        <f t="shared" si="7"/>
        <v>41076</v>
      </c>
      <c r="N243">
        <f>DAY(Europe_Sales_Records34[[#This Row],[Ship Date Fixed]])</f>
        <v>16</v>
      </c>
      <c r="O243" t="str">
        <f>TEXT(Europe_Sales_Records34[[#This Row],[Ship Date Fixed]],"MMM")</f>
        <v>Jun</v>
      </c>
      <c r="P243">
        <f>YEAR(Europe_Sales_Records34[[#This Row],[Ship Date Fixed]])</f>
        <v>2012</v>
      </c>
      <c r="Q243" t="str">
        <f>TEXT(Europe_Sales_Records34[[#This Row],[Ship Date Fixed]],"MMM-YYYY")</f>
        <v>Jun-2012</v>
      </c>
      <c r="R243" t="s">
        <v>526</v>
      </c>
      <c r="S243" s="3">
        <f>Europe_Sales_Records34[[#This Row],[Ship Date Fixed]]-Europe_Sales_Records34[[#This Row],[Order Date Fixed]]</f>
        <v>23</v>
      </c>
      <c r="T243">
        <v>1854</v>
      </c>
      <c r="U243">
        <v>81.73</v>
      </c>
      <c r="V243">
        <v>56.67</v>
      </c>
      <c r="W243">
        <f>Europe_Sales_Records34[[#This Row],[Total Revenue]]/Europe_Sales_Records34[[#This Row],[Units Sold]]</f>
        <v>81.73</v>
      </c>
      <c r="X243">
        <v>151527.42000000001</v>
      </c>
      <c r="Y243">
        <v>105066.18</v>
      </c>
      <c r="Z243" s="4">
        <f>Europe_Sales_Records34[[#This Row],[Total Profit]]/Europe_Sales_Records34[[#This Row],[Total Revenue]]</f>
        <v>0.30661935641747212</v>
      </c>
      <c r="AA243">
        <v>46461.24</v>
      </c>
    </row>
    <row r="244" spans="1:27" x14ac:dyDescent="0.3">
      <c r="A244" t="s">
        <v>14</v>
      </c>
      <c r="B244" t="s">
        <v>61</v>
      </c>
      <c r="C244" t="s">
        <v>71</v>
      </c>
      <c r="D244" t="s">
        <v>17</v>
      </c>
      <c r="E244" t="s">
        <v>54</v>
      </c>
      <c r="F244" t="s">
        <v>527</v>
      </c>
      <c r="G244" s="2">
        <f t="shared" si="6"/>
        <v>42347</v>
      </c>
      <c r="H244">
        <f>DAY(Europe_Sales_Records34[[#This Row],[Order Date Fixed]])</f>
        <v>9</v>
      </c>
      <c r="I244" t="str">
        <f>TEXT(Europe_Sales_Records34[[#This Row],[Order Date Fixed]],"MMM")</f>
        <v>Dec</v>
      </c>
      <c r="J244">
        <f>YEAR(Europe_Sales_Records34[[#This Row],[Order Date Fixed]])</f>
        <v>2015</v>
      </c>
      <c r="K244" t="str">
        <f>TEXT(Europe_Sales_Records34[[#This Row],[Order Date Fixed]],"MMM-YYYY")</f>
        <v>Dec-2015</v>
      </c>
      <c r="L244">
        <v>821131742</v>
      </c>
      <c r="M244" s="2">
        <f t="shared" si="7"/>
        <v>42347</v>
      </c>
      <c r="N244">
        <f>DAY(Europe_Sales_Records34[[#This Row],[Ship Date Fixed]])</f>
        <v>9</v>
      </c>
      <c r="O244" t="str">
        <f>TEXT(Europe_Sales_Records34[[#This Row],[Ship Date Fixed]],"MMM")</f>
        <v>Dec</v>
      </c>
      <c r="P244">
        <f>YEAR(Europe_Sales_Records34[[#This Row],[Ship Date Fixed]])</f>
        <v>2015</v>
      </c>
      <c r="Q244" t="str">
        <f>TEXT(Europe_Sales_Records34[[#This Row],[Ship Date Fixed]],"MMM-YYYY")</f>
        <v>Dec-2015</v>
      </c>
      <c r="R244" t="s">
        <v>527</v>
      </c>
      <c r="S244" s="3">
        <f>Europe_Sales_Records34[[#This Row],[Ship Date Fixed]]-Europe_Sales_Records34[[#This Row],[Order Date Fixed]]</f>
        <v>0</v>
      </c>
      <c r="T244">
        <v>9985</v>
      </c>
      <c r="U244">
        <v>668.27</v>
      </c>
      <c r="V244">
        <v>502.54</v>
      </c>
      <c r="W244">
        <f>Europe_Sales_Records34[[#This Row],[Total Revenue]]/Europe_Sales_Records34[[#This Row],[Units Sold]]</f>
        <v>668.27</v>
      </c>
      <c r="X244">
        <v>6672675.9500000002</v>
      </c>
      <c r="Y244">
        <v>5017861.9000000004</v>
      </c>
      <c r="Z244" s="4">
        <f>Europe_Sales_Records34[[#This Row],[Total Profit]]/Europe_Sales_Records34[[#This Row],[Total Revenue]]</f>
        <v>0.24799856345489099</v>
      </c>
      <c r="AA244">
        <v>1654814.05</v>
      </c>
    </row>
    <row r="245" spans="1:27" x14ac:dyDescent="0.3">
      <c r="A245" t="s">
        <v>14</v>
      </c>
      <c r="B245" t="s">
        <v>92</v>
      </c>
      <c r="C245" t="s">
        <v>71</v>
      </c>
      <c r="D245" t="s">
        <v>23</v>
      </c>
      <c r="E245" t="s">
        <v>24</v>
      </c>
      <c r="F245" t="s">
        <v>528</v>
      </c>
      <c r="G245" s="2">
        <f t="shared" si="6"/>
        <v>41756</v>
      </c>
      <c r="H245">
        <f>DAY(Europe_Sales_Records34[[#This Row],[Order Date Fixed]])</f>
        <v>27</v>
      </c>
      <c r="I245" t="str">
        <f>TEXT(Europe_Sales_Records34[[#This Row],[Order Date Fixed]],"MMM")</f>
        <v>Apr</v>
      </c>
      <c r="J245">
        <f>YEAR(Europe_Sales_Records34[[#This Row],[Order Date Fixed]])</f>
        <v>2014</v>
      </c>
      <c r="K245" t="str">
        <f>TEXT(Europe_Sales_Records34[[#This Row],[Order Date Fixed]],"MMM-YYYY")</f>
        <v>Apr-2014</v>
      </c>
      <c r="L245">
        <v>679108560</v>
      </c>
      <c r="M245" s="2">
        <f t="shared" si="7"/>
        <v>41801</v>
      </c>
      <c r="N245">
        <f>DAY(Europe_Sales_Records34[[#This Row],[Ship Date Fixed]])</f>
        <v>11</v>
      </c>
      <c r="O245" t="str">
        <f>TEXT(Europe_Sales_Records34[[#This Row],[Ship Date Fixed]],"MMM")</f>
        <v>Jun</v>
      </c>
      <c r="P245">
        <f>YEAR(Europe_Sales_Records34[[#This Row],[Ship Date Fixed]])</f>
        <v>2014</v>
      </c>
      <c r="Q245" t="str">
        <f>TEXT(Europe_Sales_Records34[[#This Row],[Ship Date Fixed]],"MMM-YYYY")</f>
        <v>Jun-2014</v>
      </c>
      <c r="R245" t="s">
        <v>373</v>
      </c>
      <c r="S245" s="3">
        <f>Europe_Sales_Records34[[#This Row],[Ship Date Fixed]]-Europe_Sales_Records34[[#This Row],[Order Date Fixed]]</f>
        <v>45</v>
      </c>
      <c r="T245">
        <v>2169</v>
      </c>
      <c r="U245">
        <v>668.27</v>
      </c>
      <c r="V245">
        <v>502.54</v>
      </c>
      <c r="W245">
        <f>Europe_Sales_Records34[[#This Row],[Total Revenue]]/Europe_Sales_Records34[[#This Row],[Units Sold]]</f>
        <v>668.27</v>
      </c>
      <c r="X245">
        <v>1449477.63</v>
      </c>
      <c r="Y245">
        <v>1090009.26</v>
      </c>
      <c r="Z245" s="4">
        <f>Europe_Sales_Records34[[#This Row],[Total Profit]]/Europe_Sales_Records34[[#This Row],[Total Revenue]]</f>
        <v>0.24799856345489099</v>
      </c>
      <c r="AA245">
        <v>359468.37</v>
      </c>
    </row>
    <row r="246" spans="1:27" x14ac:dyDescent="0.3">
      <c r="A246" t="s">
        <v>14</v>
      </c>
      <c r="B246" t="s">
        <v>138</v>
      </c>
      <c r="C246" t="s">
        <v>102</v>
      </c>
      <c r="D246" t="s">
        <v>17</v>
      </c>
      <c r="E246" t="s">
        <v>33</v>
      </c>
      <c r="F246" t="s">
        <v>529</v>
      </c>
      <c r="G246" s="2">
        <f t="shared" si="6"/>
        <v>40652</v>
      </c>
      <c r="H246">
        <f>DAY(Europe_Sales_Records34[[#This Row],[Order Date Fixed]])</f>
        <v>19</v>
      </c>
      <c r="I246" t="str">
        <f>TEXT(Europe_Sales_Records34[[#This Row],[Order Date Fixed]],"MMM")</f>
        <v>Apr</v>
      </c>
      <c r="J246">
        <f>YEAR(Europe_Sales_Records34[[#This Row],[Order Date Fixed]])</f>
        <v>2011</v>
      </c>
      <c r="K246" t="str">
        <f>TEXT(Europe_Sales_Records34[[#This Row],[Order Date Fixed]],"MMM-YYYY")</f>
        <v>Apr-2011</v>
      </c>
      <c r="L246">
        <v>129875409</v>
      </c>
      <c r="M246" s="2">
        <f t="shared" si="7"/>
        <v>40659</v>
      </c>
      <c r="N246">
        <f>DAY(Europe_Sales_Records34[[#This Row],[Ship Date Fixed]])</f>
        <v>26</v>
      </c>
      <c r="O246" t="str">
        <f>TEXT(Europe_Sales_Records34[[#This Row],[Ship Date Fixed]],"MMM")</f>
        <v>Apr</v>
      </c>
      <c r="P246">
        <f>YEAR(Europe_Sales_Records34[[#This Row],[Ship Date Fixed]])</f>
        <v>2011</v>
      </c>
      <c r="Q246" t="str">
        <f>TEXT(Europe_Sales_Records34[[#This Row],[Ship Date Fixed]],"MMM-YYYY")</f>
        <v>Apr-2011</v>
      </c>
      <c r="R246" t="s">
        <v>530</v>
      </c>
      <c r="S246" s="3">
        <f>Europe_Sales_Records34[[#This Row],[Ship Date Fixed]]-Europe_Sales_Records34[[#This Row],[Order Date Fixed]]</f>
        <v>7</v>
      </c>
      <c r="T246">
        <v>1875</v>
      </c>
      <c r="U246">
        <v>81.73</v>
      </c>
      <c r="V246">
        <v>56.67</v>
      </c>
      <c r="W246">
        <f>Europe_Sales_Records34[[#This Row],[Total Revenue]]/Europe_Sales_Records34[[#This Row],[Units Sold]]</f>
        <v>81.73</v>
      </c>
      <c r="X246">
        <v>153243.75</v>
      </c>
      <c r="Y246">
        <v>106256.25</v>
      </c>
      <c r="Z246" s="4">
        <f>Europe_Sales_Records34[[#This Row],[Total Profit]]/Europe_Sales_Records34[[#This Row],[Total Revenue]]</f>
        <v>0.30661935641747218</v>
      </c>
      <c r="AA246">
        <v>46987.5</v>
      </c>
    </row>
    <row r="247" spans="1:27" x14ac:dyDescent="0.3">
      <c r="A247" t="s">
        <v>14</v>
      </c>
      <c r="B247" t="s">
        <v>271</v>
      </c>
      <c r="C247" t="s">
        <v>37</v>
      </c>
      <c r="D247" t="s">
        <v>17</v>
      </c>
      <c r="E247" t="s">
        <v>54</v>
      </c>
      <c r="F247" t="s">
        <v>531</v>
      </c>
      <c r="G247" s="2">
        <f t="shared" si="6"/>
        <v>42075</v>
      </c>
      <c r="H247">
        <f>DAY(Europe_Sales_Records34[[#This Row],[Order Date Fixed]])</f>
        <v>12</v>
      </c>
      <c r="I247" t="str">
        <f>TEXT(Europe_Sales_Records34[[#This Row],[Order Date Fixed]],"MMM")</f>
        <v>Mar</v>
      </c>
      <c r="J247">
        <f>YEAR(Europe_Sales_Records34[[#This Row],[Order Date Fixed]])</f>
        <v>2015</v>
      </c>
      <c r="K247" t="str">
        <f>TEXT(Europe_Sales_Records34[[#This Row],[Order Date Fixed]],"MMM-YYYY")</f>
        <v>Mar-2015</v>
      </c>
      <c r="L247">
        <v>155914723</v>
      </c>
      <c r="M247" s="2">
        <f t="shared" si="7"/>
        <v>42092</v>
      </c>
      <c r="N247">
        <f>DAY(Europe_Sales_Records34[[#This Row],[Ship Date Fixed]])</f>
        <v>29</v>
      </c>
      <c r="O247" t="str">
        <f>TEXT(Europe_Sales_Records34[[#This Row],[Ship Date Fixed]],"MMM")</f>
        <v>Mar</v>
      </c>
      <c r="P247">
        <f>YEAR(Europe_Sales_Records34[[#This Row],[Ship Date Fixed]])</f>
        <v>2015</v>
      </c>
      <c r="Q247" t="str">
        <f>TEXT(Europe_Sales_Records34[[#This Row],[Ship Date Fixed]],"MMM-YYYY")</f>
        <v>Mar-2015</v>
      </c>
      <c r="R247" t="s">
        <v>532</v>
      </c>
      <c r="S247" s="3">
        <f>Europe_Sales_Records34[[#This Row],[Ship Date Fixed]]-Europe_Sales_Records34[[#This Row],[Order Date Fixed]]</f>
        <v>17</v>
      </c>
      <c r="T247">
        <v>7486</v>
      </c>
      <c r="U247">
        <v>9.33</v>
      </c>
      <c r="V247">
        <v>6.92</v>
      </c>
      <c r="W247">
        <f>Europe_Sales_Records34[[#This Row],[Total Revenue]]/Europe_Sales_Records34[[#This Row],[Units Sold]]</f>
        <v>9.33</v>
      </c>
      <c r="X247">
        <v>69844.38</v>
      </c>
      <c r="Y247">
        <v>51803.12</v>
      </c>
      <c r="Z247" s="4">
        <f>Europe_Sales_Records34[[#This Row],[Total Profit]]/Europe_Sales_Records34[[#This Row],[Total Revenue]]</f>
        <v>0.25830653804930326</v>
      </c>
      <c r="AA247">
        <v>18041.259999999998</v>
      </c>
    </row>
    <row r="248" spans="1:27" x14ac:dyDescent="0.3">
      <c r="A248" t="s">
        <v>14</v>
      </c>
      <c r="B248" t="s">
        <v>166</v>
      </c>
      <c r="C248" t="s">
        <v>37</v>
      </c>
      <c r="D248" t="s">
        <v>23</v>
      </c>
      <c r="E248" t="s">
        <v>54</v>
      </c>
      <c r="F248" t="s">
        <v>533</v>
      </c>
      <c r="G248" s="2">
        <f t="shared" si="6"/>
        <v>40825</v>
      </c>
      <c r="H248">
        <f>DAY(Europe_Sales_Records34[[#This Row],[Order Date Fixed]])</f>
        <v>9</v>
      </c>
      <c r="I248" t="str">
        <f>TEXT(Europe_Sales_Records34[[#This Row],[Order Date Fixed]],"MMM")</f>
        <v>Oct</v>
      </c>
      <c r="J248">
        <f>YEAR(Europe_Sales_Records34[[#This Row],[Order Date Fixed]])</f>
        <v>2011</v>
      </c>
      <c r="K248" t="str">
        <f>TEXT(Europe_Sales_Records34[[#This Row],[Order Date Fixed]],"MMM-YYYY")</f>
        <v>Oct-2011</v>
      </c>
      <c r="L248">
        <v>753166282</v>
      </c>
      <c r="M248" s="2">
        <f t="shared" si="7"/>
        <v>40872</v>
      </c>
      <c r="N248">
        <f>DAY(Europe_Sales_Records34[[#This Row],[Ship Date Fixed]])</f>
        <v>25</v>
      </c>
      <c r="O248" t="str">
        <f>TEXT(Europe_Sales_Records34[[#This Row],[Ship Date Fixed]],"MMM")</f>
        <v>Nov</v>
      </c>
      <c r="P248">
        <f>YEAR(Europe_Sales_Records34[[#This Row],[Ship Date Fixed]])</f>
        <v>2011</v>
      </c>
      <c r="Q248" t="str">
        <f>TEXT(Europe_Sales_Records34[[#This Row],[Ship Date Fixed]],"MMM-YYYY")</f>
        <v>Nov-2011</v>
      </c>
      <c r="R248" t="s">
        <v>534</v>
      </c>
      <c r="S248" s="3">
        <f>Europe_Sales_Records34[[#This Row],[Ship Date Fixed]]-Europe_Sales_Records34[[#This Row],[Order Date Fixed]]</f>
        <v>47</v>
      </c>
      <c r="T248">
        <v>7495</v>
      </c>
      <c r="U248">
        <v>9.33</v>
      </c>
      <c r="V248">
        <v>6.92</v>
      </c>
      <c r="W248">
        <f>Europe_Sales_Records34[[#This Row],[Total Revenue]]/Europe_Sales_Records34[[#This Row],[Units Sold]]</f>
        <v>9.33</v>
      </c>
      <c r="X248">
        <v>69928.350000000006</v>
      </c>
      <c r="Y248">
        <v>51865.4</v>
      </c>
      <c r="Z248" s="4">
        <f>Europe_Sales_Records34[[#This Row],[Total Profit]]/Europe_Sales_Records34[[#This Row],[Total Revenue]]</f>
        <v>0.25830653804930331</v>
      </c>
      <c r="AA248">
        <v>18062.95</v>
      </c>
    </row>
    <row r="249" spans="1:27" x14ac:dyDescent="0.3">
      <c r="A249" t="s">
        <v>14</v>
      </c>
      <c r="B249" t="s">
        <v>220</v>
      </c>
      <c r="C249" t="s">
        <v>28</v>
      </c>
      <c r="D249" t="s">
        <v>17</v>
      </c>
      <c r="E249" t="s">
        <v>24</v>
      </c>
      <c r="F249" t="s">
        <v>535</v>
      </c>
      <c r="G249" s="2">
        <f t="shared" si="6"/>
        <v>42083</v>
      </c>
      <c r="H249">
        <f>DAY(Europe_Sales_Records34[[#This Row],[Order Date Fixed]])</f>
        <v>20</v>
      </c>
      <c r="I249" t="str">
        <f>TEXT(Europe_Sales_Records34[[#This Row],[Order Date Fixed]],"MMM")</f>
        <v>Mar</v>
      </c>
      <c r="J249">
        <f>YEAR(Europe_Sales_Records34[[#This Row],[Order Date Fixed]])</f>
        <v>2015</v>
      </c>
      <c r="K249" t="str">
        <f>TEXT(Europe_Sales_Records34[[#This Row],[Order Date Fixed]],"MMM-YYYY")</f>
        <v>Mar-2015</v>
      </c>
      <c r="L249">
        <v>443347108</v>
      </c>
      <c r="M249" s="2">
        <f t="shared" si="7"/>
        <v>42103</v>
      </c>
      <c r="N249">
        <f>DAY(Europe_Sales_Records34[[#This Row],[Ship Date Fixed]])</f>
        <v>9</v>
      </c>
      <c r="O249" t="str">
        <f>TEXT(Europe_Sales_Records34[[#This Row],[Ship Date Fixed]],"MMM")</f>
        <v>Apr</v>
      </c>
      <c r="P249">
        <f>YEAR(Europe_Sales_Records34[[#This Row],[Ship Date Fixed]])</f>
        <v>2015</v>
      </c>
      <c r="Q249" t="str">
        <f>TEXT(Europe_Sales_Records34[[#This Row],[Ship Date Fixed]],"MMM-YYYY")</f>
        <v>Apr-2015</v>
      </c>
      <c r="R249" t="s">
        <v>536</v>
      </c>
      <c r="S249" s="3">
        <f>Europe_Sales_Records34[[#This Row],[Ship Date Fixed]]-Europe_Sales_Records34[[#This Row],[Order Date Fixed]]</f>
        <v>20</v>
      </c>
      <c r="T249">
        <v>5116</v>
      </c>
      <c r="U249">
        <v>205.7</v>
      </c>
      <c r="V249">
        <v>117.11</v>
      </c>
      <c r="W249">
        <f>Europe_Sales_Records34[[#This Row],[Total Revenue]]/Europe_Sales_Records34[[#This Row],[Units Sold]]</f>
        <v>205.7</v>
      </c>
      <c r="X249">
        <v>1052361.2</v>
      </c>
      <c r="Y249">
        <v>599134.76</v>
      </c>
      <c r="Z249" s="4">
        <f>Europe_Sales_Records34[[#This Row],[Total Profit]]/Europe_Sales_Records34[[#This Row],[Total Revenue]]</f>
        <v>0.43067574137092857</v>
      </c>
      <c r="AA249">
        <v>453226.44</v>
      </c>
    </row>
    <row r="250" spans="1:27" x14ac:dyDescent="0.3">
      <c r="A250" t="s">
        <v>14</v>
      </c>
      <c r="B250" t="s">
        <v>223</v>
      </c>
      <c r="C250" t="s">
        <v>32</v>
      </c>
      <c r="D250" t="s">
        <v>23</v>
      </c>
      <c r="E250" t="s">
        <v>18</v>
      </c>
      <c r="F250" t="s">
        <v>537</v>
      </c>
      <c r="G250" s="2">
        <f t="shared" si="6"/>
        <v>41444</v>
      </c>
      <c r="H250">
        <f>DAY(Europe_Sales_Records34[[#This Row],[Order Date Fixed]])</f>
        <v>19</v>
      </c>
      <c r="I250" t="str">
        <f>TEXT(Europe_Sales_Records34[[#This Row],[Order Date Fixed]],"MMM")</f>
        <v>Jun</v>
      </c>
      <c r="J250">
        <f>YEAR(Europe_Sales_Records34[[#This Row],[Order Date Fixed]])</f>
        <v>2013</v>
      </c>
      <c r="K250" t="str">
        <f>TEXT(Europe_Sales_Records34[[#This Row],[Order Date Fixed]],"MMM-YYYY")</f>
        <v>Jun-2013</v>
      </c>
      <c r="L250">
        <v>527509677</v>
      </c>
      <c r="M250" s="2">
        <f t="shared" si="7"/>
        <v>41465</v>
      </c>
      <c r="N250">
        <f>DAY(Europe_Sales_Records34[[#This Row],[Ship Date Fixed]])</f>
        <v>10</v>
      </c>
      <c r="O250" t="str">
        <f>TEXT(Europe_Sales_Records34[[#This Row],[Ship Date Fixed]],"MMM")</f>
        <v>Jul</v>
      </c>
      <c r="P250">
        <f>YEAR(Europe_Sales_Records34[[#This Row],[Ship Date Fixed]])</f>
        <v>2013</v>
      </c>
      <c r="Q250" t="str">
        <f>TEXT(Europe_Sales_Records34[[#This Row],[Ship Date Fixed]],"MMM-YYYY")</f>
        <v>Jul-2013</v>
      </c>
      <c r="R250" t="s">
        <v>538</v>
      </c>
      <c r="S250" s="3">
        <f>Europe_Sales_Records34[[#This Row],[Ship Date Fixed]]-Europe_Sales_Records34[[#This Row],[Order Date Fixed]]</f>
        <v>21</v>
      </c>
      <c r="T250">
        <v>691</v>
      </c>
      <c r="U250">
        <v>651.21</v>
      </c>
      <c r="V250">
        <v>524.96</v>
      </c>
      <c r="W250">
        <f>Europe_Sales_Records34[[#This Row],[Total Revenue]]/Europe_Sales_Records34[[#This Row],[Units Sold]]</f>
        <v>651.21</v>
      </c>
      <c r="X250">
        <v>449986.11</v>
      </c>
      <c r="Y250">
        <v>362747.36</v>
      </c>
      <c r="Z250" s="4">
        <f>Europe_Sales_Records34[[#This Row],[Total Profit]]/Europe_Sales_Records34[[#This Row],[Total Revenue]]</f>
        <v>0.19386987300563566</v>
      </c>
      <c r="AA250">
        <v>87238.75</v>
      </c>
    </row>
    <row r="251" spans="1:27" x14ac:dyDescent="0.3">
      <c r="A251" t="s">
        <v>14</v>
      </c>
      <c r="B251" t="s">
        <v>271</v>
      </c>
      <c r="C251" t="s">
        <v>16</v>
      </c>
      <c r="D251" t="s">
        <v>17</v>
      </c>
      <c r="E251" t="s">
        <v>54</v>
      </c>
      <c r="F251" t="s">
        <v>539</v>
      </c>
      <c r="G251" s="2">
        <f t="shared" si="6"/>
        <v>42633</v>
      </c>
      <c r="H251">
        <f>DAY(Europe_Sales_Records34[[#This Row],[Order Date Fixed]])</f>
        <v>20</v>
      </c>
      <c r="I251" t="str">
        <f>TEXT(Europe_Sales_Records34[[#This Row],[Order Date Fixed]],"MMM")</f>
        <v>Sep</v>
      </c>
      <c r="J251">
        <f>YEAR(Europe_Sales_Records34[[#This Row],[Order Date Fixed]])</f>
        <v>2016</v>
      </c>
      <c r="K251" t="str">
        <f>TEXT(Europe_Sales_Records34[[#This Row],[Order Date Fixed]],"MMM-YYYY")</f>
        <v>Sep-2016</v>
      </c>
      <c r="L251">
        <v>416953313</v>
      </c>
      <c r="M251" s="2">
        <f t="shared" si="7"/>
        <v>42672</v>
      </c>
      <c r="N251">
        <f>DAY(Europe_Sales_Records34[[#This Row],[Ship Date Fixed]])</f>
        <v>29</v>
      </c>
      <c r="O251" t="str">
        <f>TEXT(Europe_Sales_Records34[[#This Row],[Ship Date Fixed]],"MMM")</f>
        <v>Oct</v>
      </c>
      <c r="P251">
        <f>YEAR(Europe_Sales_Records34[[#This Row],[Ship Date Fixed]])</f>
        <v>2016</v>
      </c>
      <c r="Q251" t="str">
        <f>TEXT(Europe_Sales_Records34[[#This Row],[Ship Date Fixed]],"MMM-YYYY")</f>
        <v>Oct-2016</v>
      </c>
      <c r="R251" t="s">
        <v>540</v>
      </c>
      <c r="S251" s="3">
        <f>Europe_Sales_Records34[[#This Row],[Ship Date Fixed]]-Europe_Sales_Records34[[#This Row],[Order Date Fixed]]</f>
        <v>39</v>
      </c>
      <c r="T251">
        <v>4606</v>
      </c>
      <c r="U251">
        <v>47.45</v>
      </c>
      <c r="V251">
        <v>31.79</v>
      </c>
      <c r="W251">
        <f>Europe_Sales_Records34[[#This Row],[Total Revenue]]/Europe_Sales_Records34[[#This Row],[Units Sold]]</f>
        <v>47.45</v>
      </c>
      <c r="X251">
        <v>218554.7</v>
      </c>
      <c r="Y251">
        <v>146424.74</v>
      </c>
      <c r="Z251" s="4">
        <f>Europe_Sales_Records34[[#This Row],[Total Profit]]/Europe_Sales_Records34[[#This Row],[Total Revenue]]</f>
        <v>0.33003161222339306</v>
      </c>
      <c r="AA251">
        <v>72129.960000000006</v>
      </c>
    </row>
    <row r="252" spans="1:27" x14ac:dyDescent="0.3">
      <c r="A252" t="s">
        <v>14</v>
      </c>
      <c r="B252" t="s">
        <v>21</v>
      </c>
      <c r="C252" t="s">
        <v>28</v>
      </c>
      <c r="D252" t="s">
        <v>23</v>
      </c>
      <c r="E252" t="s">
        <v>18</v>
      </c>
      <c r="F252" t="s">
        <v>541</v>
      </c>
      <c r="G252" s="2">
        <f t="shared" si="6"/>
        <v>40632</v>
      </c>
      <c r="H252">
        <f>DAY(Europe_Sales_Records34[[#This Row],[Order Date Fixed]])</f>
        <v>30</v>
      </c>
      <c r="I252" t="str">
        <f>TEXT(Europe_Sales_Records34[[#This Row],[Order Date Fixed]],"MMM")</f>
        <v>Mar</v>
      </c>
      <c r="J252">
        <f>YEAR(Europe_Sales_Records34[[#This Row],[Order Date Fixed]])</f>
        <v>2011</v>
      </c>
      <c r="K252" t="str">
        <f>TEXT(Europe_Sales_Records34[[#This Row],[Order Date Fixed]],"MMM-YYYY")</f>
        <v>Mar-2011</v>
      </c>
      <c r="L252">
        <v>639126908</v>
      </c>
      <c r="M252" s="2">
        <f t="shared" si="7"/>
        <v>40673</v>
      </c>
      <c r="N252">
        <f>DAY(Europe_Sales_Records34[[#This Row],[Ship Date Fixed]])</f>
        <v>10</v>
      </c>
      <c r="O252" t="str">
        <f>TEXT(Europe_Sales_Records34[[#This Row],[Ship Date Fixed]],"MMM")</f>
        <v>May</v>
      </c>
      <c r="P252">
        <f>YEAR(Europe_Sales_Records34[[#This Row],[Ship Date Fixed]])</f>
        <v>2011</v>
      </c>
      <c r="Q252" t="str">
        <f>TEXT(Europe_Sales_Records34[[#This Row],[Ship Date Fixed]],"MMM-YYYY")</f>
        <v>May-2011</v>
      </c>
      <c r="R252" t="s">
        <v>542</v>
      </c>
      <c r="S252" s="3">
        <f>Europe_Sales_Records34[[#This Row],[Ship Date Fixed]]-Europe_Sales_Records34[[#This Row],[Order Date Fixed]]</f>
        <v>41</v>
      </c>
      <c r="T252">
        <v>710</v>
      </c>
      <c r="U252">
        <v>205.7</v>
      </c>
      <c r="V252">
        <v>117.11</v>
      </c>
      <c r="W252">
        <f>Europe_Sales_Records34[[#This Row],[Total Revenue]]/Europe_Sales_Records34[[#This Row],[Units Sold]]</f>
        <v>205.7</v>
      </c>
      <c r="X252">
        <v>146047</v>
      </c>
      <c r="Y252">
        <v>83148.100000000006</v>
      </c>
      <c r="Z252" s="4">
        <f>Europe_Sales_Records34[[#This Row],[Total Profit]]/Europe_Sales_Records34[[#This Row],[Total Revenue]]</f>
        <v>0.43067574137092857</v>
      </c>
      <c r="AA252">
        <v>62898.9</v>
      </c>
    </row>
    <row r="253" spans="1:27" x14ac:dyDescent="0.3">
      <c r="A253" t="s">
        <v>14</v>
      </c>
      <c r="B253" t="s">
        <v>264</v>
      </c>
      <c r="C253" t="s">
        <v>16</v>
      </c>
      <c r="D253" t="s">
        <v>23</v>
      </c>
      <c r="E253" t="s">
        <v>33</v>
      </c>
      <c r="F253" t="s">
        <v>543</v>
      </c>
      <c r="G253" s="2">
        <f t="shared" si="6"/>
        <v>41793</v>
      </c>
      <c r="H253">
        <f>DAY(Europe_Sales_Records34[[#This Row],[Order Date Fixed]])</f>
        <v>3</v>
      </c>
      <c r="I253" t="str">
        <f>TEXT(Europe_Sales_Records34[[#This Row],[Order Date Fixed]],"MMM")</f>
        <v>Jun</v>
      </c>
      <c r="J253">
        <f>YEAR(Europe_Sales_Records34[[#This Row],[Order Date Fixed]])</f>
        <v>2014</v>
      </c>
      <c r="K253" t="str">
        <f>TEXT(Europe_Sales_Records34[[#This Row],[Order Date Fixed]],"MMM-YYYY")</f>
        <v>Jun-2014</v>
      </c>
      <c r="L253">
        <v>879405200</v>
      </c>
      <c r="M253" s="2">
        <f t="shared" si="7"/>
        <v>41840</v>
      </c>
      <c r="N253">
        <f>DAY(Europe_Sales_Records34[[#This Row],[Ship Date Fixed]])</f>
        <v>20</v>
      </c>
      <c r="O253" t="str">
        <f>TEXT(Europe_Sales_Records34[[#This Row],[Ship Date Fixed]],"MMM")</f>
        <v>Jul</v>
      </c>
      <c r="P253">
        <f>YEAR(Europe_Sales_Records34[[#This Row],[Ship Date Fixed]])</f>
        <v>2014</v>
      </c>
      <c r="Q253" t="str">
        <f>TEXT(Europe_Sales_Records34[[#This Row],[Ship Date Fixed]],"MMM-YYYY")</f>
        <v>Jul-2014</v>
      </c>
      <c r="R253" t="s">
        <v>544</v>
      </c>
      <c r="S253" s="3">
        <f>Europe_Sales_Records34[[#This Row],[Ship Date Fixed]]-Europe_Sales_Records34[[#This Row],[Order Date Fixed]]</f>
        <v>47</v>
      </c>
      <c r="T253">
        <v>4396</v>
      </c>
      <c r="U253">
        <v>47.45</v>
      </c>
      <c r="V253">
        <v>31.79</v>
      </c>
      <c r="W253">
        <f>Europe_Sales_Records34[[#This Row],[Total Revenue]]/Europe_Sales_Records34[[#This Row],[Units Sold]]</f>
        <v>47.45</v>
      </c>
      <c r="X253">
        <v>208590.2</v>
      </c>
      <c r="Y253">
        <v>139748.84</v>
      </c>
      <c r="Z253" s="4">
        <f>Europe_Sales_Records34[[#This Row],[Total Profit]]/Europe_Sales_Records34[[#This Row],[Total Revenue]]</f>
        <v>0.33003161222339306</v>
      </c>
      <c r="AA253">
        <v>68841.36</v>
      </c>
    </row>
    <row r="254" spans="1:27" x14ac:dyDescent="0.3">
      <c r="A254" t="s">
        <v>14</v>
      </c>
      <c r="B254" t="s">
        <v>97</v>
      </c>
      <c r="C254" t="s">
        <v>16</v>
      </c>
      <c r="D254" t="s">
        <v>17</v>
      </c>
      <c r="E254" t="s">
        <v>54</v>
      </c>
      <c r="F254" t="s">
        <v>545</v>
      </c>
      <c r="G254" s="2">
        <f t="shared" si="6"/>
        <v>40254</v>
      </c>
      <c r="H254">
        <f>DAY(Europe_Sales_Records34[[#This Row],[Order Date Fixed]])</f>
        <v>17</v>
      </c>
      <c r="I254" t="str">
        <f>TEXT(Europe_Sales_Records34[[#This Row],[Order Date Fixed]],"MMM")</f>
        <v>Mar</v>
      </c>
      <c r="J254">
        <f>YEAR(Europe_Sales_Records34[[#This Row],[Order Date Fixed]])</f>
        <v>2010</v>
      </c>
      <c r="K254" t="str">
        <f>TEXT(Europe_Sales_Records34[[#This Row],[Order Date Fixed]],"MMM-YYYY")</f>
        <v>Mar-2010</v>
      </c>
      <c r="L254">
        <v>844105184</v>
      </c>
      <c r="M254" s="2">
        <f t="shared" si="7"/>
        <v>40288</v>
      </c>
      <c r="N254">
        <f>DAY(Europe_Sales_Records34[[#This Row],[Ship Date Fixed]])</f>
        <v>20</v>
      </c>
      <c r="O254" t="str">
        <f>TEXT(Europe_Sales_Records34[[#This Row],[Ship Date Fixed]],"MMM")</f>
        <v>Apr</v>
      </c>
      <c r="P254">
        <f>YEAR(Europe_Sales_Records34[[#This Row],[Ship Date Fixed]])</f>
        <v>2010</v>
      </c>
      <c r="Q254" t="str">
        <f>TEXT(Europe_Sales_Records34[[#This Row],[Ship Date Fixed]],"MMM-YYYY")</f>
        <v>Apr-2010</v>
      </c>
      <c r="R254" t="s">
        <v>546</v>
      </c>
      <c r="S254" s="3">
        <f>Europe_Sales_Records34[[#This Row],[Ship Date Fixed]]-Europe_Sales_Records34[[#This Row],[Order Date Fixed]]</f>
        <v>34</v>
      </c>
      <c r="T254">
        <v>8337</v>
      </c>
      <c r="U254">
        <v>47.45</v>
      </c>
      <c r="V254">
        <v>31.79</v>
      </c>
      <c r="W254">
        <f>Europe_Sales_Records34[[#This Row],[Total Revenue]]/Europe_Sales_Records34[[#This Row],[Units Sold]]</f>
        <v>47.45</v>
      </c>
      <c r="X254">
        <v>395590.65</v>
      </c>
      <c r="Y254">
        <v>265033.23</v>
      </c>
      <c r="Z254" s="4">
        <f>Europe_Sales_Records34[[#This Row],[Total Profit]]/Europe_Sales_Records34[[#This Row],[Total Revenue]]</f>
        <v>0.330031612223393</v>
      </c>
      <c r="AA254">
        <v>130557.42</v>
      </c>
    </row>
    <row r="255" spans="1:27" x14ac:dyDescent="0.3">
      <c r="A255" t="s">
        <v>14</v>
      </c>
      <c r="B255" t="s">
        <v>67</v>
      </c>
      <c r="C255" t="s">
        <v>37</v>
      </c>
      <c r="D255" t="s">
        <v>17</v>
      </c>
      <c r="E255" t="s">
        <v>18</v>
      </c>
      <c r="F255" t="s">
        <v>547</v>
      </c>
      <c r="G255" s="2">
        <f t="shared" si="6"/>
        <v>41537</v>
      </c>
      <c r="H255">
        <f>DAY(Europe_Sales_Records34[[#This Row],[Order Date Fixed]])</f>
        <v>20</v>
      </c>
      <c r="I255" t="str">
        <f>TEXT(Europe_Sales_Records34[[#This Row],[Order Date Fixed]],"MMM")</f>
        <v>Sep</v>
      </c>
      <c r="J255">
        <f>YEAR(Europe_Sales_Records34[[#This Row],[Order Date Fixed]])</f>
        <v>2013</v>
      </c>
      <c r="K255" t="str">
        <f>TEXT(Europe_Sales_Records34[[#This Row],[Order Date Fixed]],"MMM-YYYY")</f>
        <v>Sep-2013</v>
      </c>
      <c r="L255">
        <v>127838218</v>
      </c>
      <c r="M255" s="2">
        <f t="shared" si="7"/>
        <v>41576</v>
      </c>
      <c r="N255">
        <f>DAY(Europe_Sales_Records34[[#This Row],[Ship Date Fixed]])</f>
        <v>29</v>
      </c>
      <c r="O255" t="str">
        <f>TEXT(Europe_Sales_Records34[[#This Row],[Ship Date Fixed]],"MMM")</f>
        <v>Oct</v>
      </c>
      <c r="P255">
        <f>YEAR(Europe_Sales_Records34[[#This Row],[Ship Date Fixed]])</f>
        <v>2013</v>
      </c>
      <c r="Q255" t="str">
        <f>TEXT(Europe_Sales_Records34[[#This Row],[Ship Date Fixed]],"MMM-YYYY")</f>
        <v>Oct-2013</v>
      </c>
      <c r="R255" t="s">
        <v>548</v>
      </c>
      <c r="S255" s="3">
        <f>Europe_Sales_Records34[[#This Row],[Ship Date Fixed]]-Europe_Sales_Records34[[#This Row],[Order Date Fixed]]</f>
        <v>39</v>
      </c>
      <c r="T255">
        <v>9024</v>
      </c>
      <c r="U255">
        <v>9.33</v>
      </c>
      <c r="V255">
        <v>6.92</v>
      </c>
      <c r="W255">
        <f>Europe_Sales_Records34[[#This Row],[Total Revenue]]/Europe_Sales_Records34[[#This Row],[Units Sold]]</f>
        <v>9.33</v>
      </c>
      <c r="X255">
        <v>84193.919999999998</v>
      </c>
      <c r="Y255">
        <v>62446.080000000002</v>
      </c>
      <c r="Z255" s="4">
        <f>Europe_Sales_Records34[[#This Row],[Total Profit]]/Europe_Sales_Records34[[#This Row],[Total Revenue]]</f>
        <v>0.25830653804930331</v>
      </c>
      <c r="AA255">
        <v>21747.84</v>
      </c>
    </row>
    <row r="256" spans="1:27" x14ac:dyDescent="0.3">
      <c r="A256" t="s">
        <v>14</v>
      </c>
      <c r="B256" t="s">
        <v>57</v>
      </c>
      <c r="C256" t="s">
        <v>58</v>
      </c>
      <c r="D256" t="s">
        <v>23</v>
      </c>
      <c r="E256" t="s">
        <v>24</v>
      </c>
      <c r="F256" t="s">
        <v>440</v>
      </c>
      <c r="G256" s="2">
        <f t="shared" si="6"/>
        <v>40504</v>
      </c>
      <c r="H256">
        <f>DAY(Europe_Sales_Records34[[#This Row],[Order Date Fixed]])</f>
        <v>22</v>
      </c>
      <c r="I256" t="str">
        <f>TEXT(Europe_Sales_Records34[[#This Row],[Order Date Fixed]],"MMM")</f>
        <v>Nov</v>
      </c>
      <c r="J256">
        <f>YEAR(Europe_Sales_Records34[[#This Row],[Order Date Fixed]])</f>
        <v>2010</v>
      </c>
      <c r="K256" t="str">
        <f>TEXT(Europe_Sales_Records34[[#This Row],[Order Date Fixed]],"MMM-YYYY")</f>
        <v>Nov-2010</v>
      </c>
      <c r="L256">
        <v>881717050</v>
      </c>
      <c r="M256" s="2">
        <f t="shared" si="7"/>
        <v>40535</v>
      </c>
      <c r="N256">
        <f>DAY(Europe_Sales_Records34[[#This Row],[Ship Date Fixed]])</f>
        <v>23</v>
      </c>
      <c r="O256" t="str">
        <f>TEXT(Europe_Sales_Records34[[#This Row],[Ship Date Fixed]],"MMM")</f>
        <v>Dec</v>
      </c>
      <c r="P256">
        <f>YEAR(Europe_Sales_Records34[[#This Row],[Ship Date Fixed]])</f>
        <v>2010</v>
      </c>
      <c r="Q256" t="str">
        <f>TEXT(Europe_Sales_Records34[[#This Row],[Ship Date Fixed]],"MMM-YYYY")</f>
        <v>Dec-2010</v>
      </c>
      <c r="R256" t="s">
        <v>549</v>
      </c>
      <c r="S256" s="3">
        <f>Europe_Sales_Records34[[#This Row],[Ship Date Fixed]]-Europe_Sales_Records34[[#This Row],[Order Date Fixed]]</f>
        <v>31</v>
      </c>
      <c r="T256">
        <v>8524</v>
      </c>
      <c r="U256">
        <v>152.58000000000001</v>
      </c>
      <c r="V256">
        <v>97.44</v>
      </c>
      <c r="W256">
        <f>Europe_Sales_Records34[[#This Row],[Total Revenue]]/Europe_Sales_Records34[[#This Row],[Units Sold]]</f>
        <v>152.57999999999998</v>
      </c>
      <c r="X256">
        <v>1300591.92</v>
      </c>
      <c r="Y256">
        <v>830578.56</v>
      </c>
      <c r="Z256" s="4">
        <f>Europe_Sales_Records34[[#This Row],[Total Profit]]/Europe_Sales_Records34[[#This Row],[Total Revenue]]</f>
        <v>0.36138419189933152</v>
      </c>
      <c r="AA256">
        <v>470013.36</v>
      </c>
    </row>
    <row r="257" spans="1:27" x14ac:dyDescent="0.3">
      <c r="A257" t="s">
        <v>14</v>
      </c>
      <c r="B257" t="s">
        <v>181</v>
      </c>
      <c r="C257" t="s">
        <v>71</v>
      </c>
      <c r="D257" t="s">
        <v>17</v>
      </c>
      <c r="E257" t="s">
        <v>33</v>
      </c>
      <c r="F257" t="s">
        <v>550</v>
      </c>
      <c r="G257" s="2">
        <f t="shared" si="6"/>
        <v>42290</v>
      </c>
      <c r="H257">
        <f>DAY(Europe_Sales_Records34[[#This Row],[Order Date Fixed]])</f>
        <v>13</v>
      </c>
      <c r="I257" t="str">
        <f>TEXT(Europe_Sales_Records34[[#This Row],[Order Date Fixed]],"MMM")</f>
        <v>Oct</v>
      </c>
      <c r="J257">
        <f>YEAR(Europe_Sales_Records34[[#This Row],[Order Date Fixed]])</f>
        <v>2015</v>
      </c>
      <c r="K257" t="str">
        <f>TEXT(Europe_Sales_Records34[[#This Row],[Order Date Fixed]],"MMM-YYYY")</f>
        <v>Oct-2015</v>
      </c>
      <c r="L257">
        <v>905509746</v>
      </c>
      <c r="M257" s="2">
        <f t="shared" si="7"/>
        <v>42297</v>
      </c>
      <c r="N257">
        <f>DAY(Europe_Sales_Records34[[#This Row],[Ship Date Fixed]])</f>
        <v>20</v>
      </c>
      <c r="O257" t="str">
        <f>TEXT(Europe_Sales_Records34[[#This Row],[Ship Date Fixed]],"MMM")</f>
        <v>Oct</v>
      </c>
      <c r="P257">
        <f>YEAR(Europe_Sales_Records34[[#This Row],[Ship Date Fixed]])</f>
        <v>2015</v>
      </c>
      <c r="Q257" t="str">
        <f>TEXT(Europe_Sales_Records34[[#This Row],[Ship Date Fixed]],"MMM-YYYY")</f>
        <v>Oct-2015</v>
      </c>
      <c r="R257" t="s">
        <v>551</v>
      </c>
      <c r="S257" s="3">
        <f>Europe_Sales_Records34[[#This Row],[Ship Date Fixed]]-Europe_Sales_Records34[[#This Row],[Order Date Fixed]]</f>
        <v>7</v>
      </c>
      <c r="T257">
        <v>9311</v>
      </c>
      <c r="U257">
        <v>668.27</v>
      </c>
      <c r="V257">
        <v>502.54</v>
      </c>
      <c r="W257">
        <f>Europe_Sales_Records34[[#This Row],[Total Revenue]]/Europe_Sales_Records34[[#This Row],[Units Sold]]</f>
        <v>668.27</v>
      </c>
      <c r="X257">
        <v>6222261.9699999997</v>
      </c>
      <c r="Y257">
        <v>4679149.9400000004</v>
      </c>
      <c r="Z257" s="4">
        <f>Europe_Sales_Records34[[#This Row],[Total Profit]]/Europe_Sales_Records34[[#This Row],[Total Revenue]]</f>
        <v>0.24799856345489099</v>
      </c>
      <c r="AA257">
        <v>1543112.03</v>
      </c>
    </row>
    <row r="258" spans="1:27" x14ac:dyDescent="0.3">
      <c r="A258" t="s">
        <v>14</v>
      </c>
      <c r="B258" t="s">
        <v>92</v>
      </c>
      <c r="C258" t="s">
        <v>64</v>
      </c>
      <c r="D258" t="s">
        <v>23</v>
      </c>
      <c r="E258" t="s">
        <v>54</v>
      </c>
      <c r="F258" t="s">
        <v>552</v>
      </c>
      <c r="G258" s="2">
        <f t="shared" ref="G258:G321" si="8">DATE(
  RIGHT(F258,4),
  LEFT(F258,FIND("/",F258)-1),
  MID(F258,FIND("/",F258)+1, FIND("/",F258,FIND("/",F258)+1)-FIND("/",F258)-1)
)</f>
        <v>41082</v>
      </c>
      <c r="H258">
        <f>DAY(Europe_Sales_Records34[[#This Row],[Order Date Fixed]])</f>
        <v>22</v>
      </c>
      <c r="I258" t="str">
        <f>TEXT(Europe_Sales_Records34[[#This Row],[Order Date Fixed]],"MMM")</f>
        <v>Jun</v>
      </c>
      <c r="J258">
        <f>YEAR(Europe_Sales_Records34[[#This Row],[Order Date Fixed]])</f>
        <v>2012</v>
      </c>
      <c r="K258" t="str">
        <f>TEXT(Europe_Sales_Records34[[#This Row],[Order Date Fixed]],"MMM-YYYY")</f>
        <v>Jun-2012</v>
      </c>
      <c r="L258">
        <v>720878922</v>
      </c>
      <c r="M258" s="2">
        <f t="shared" ref="M258:M321" si="9">DATE(
  RIGHT(R258,4),
  LEFT(R258,FIND("/",R258)-1),
  MID(
      R258,
      FIND("/",R258)+1,
      FIND("/",R258,FIND("/",R258)+1)-FIND("/",R258)-1
     )
)</f>
        <v>41122</v>
      </c>
      <c r="N258">
        <f>DAY(Europe_Sales_Records34[[#This Row],[Ship Date Fixed]])</f>
        <v>1</v>
      </c>
      <c r="O258" t="str">
        <f>TEXT(Europe_Sales_Records34[[#This Row],[Ship Date Fixed]],"MMM")</f>
        <v>Aug</v>
      </c>
      <c r="P258">
        <f>YEAR(Europe_Sales_Records34[[#This Row],[Ship Date Fixed]])</f>
        <v>2012</v>
      </c>
      <c r="Q258" t="str">
        <f>TEXT(Europe_Sales_Records34[[#This Row],[Ship Date Fixed]],"MMM-YYYY")</f>
        <v>Aug-2012</v>
      </c>
      <c r="R258" t="s">
        <v>284</v>
      </c>
      <c r="S258" s="3">
        <f>Europe_Sales_Records34[[#This Row],[Ship Date Fixed]]-Europe_Sales_Records34[[#This Row],[Order Date Fixed]]</f>
        <v>40</v>
      </c>
      <c r="T258">
        <v>2948</v>
      </c>
      <c r="U258">
        <v>255.28</v>
      </c>
      <c r="V258">
        <v>159.41999999999999</v>
      </c>
      <c r="W258">
        <f>Europe_Sales_Records34[[#This Row],[Total Revenue]]/Europe_Sales_Records34[[#This Row],[Units Sold]]</f>
        <v>255.27999999999997</v>
      </c>
      <c r="X258">
        <v>752565.44</v>
      </c>
      <c r="Y258">
        <v>469970.16</v>
      </c>
      <c r="Z258" s="4">
        <f>Europe_Sales_Records34[[#This Row],[Total Profit]]/Europe_Sales_Records34[[#This Row],[Total Revenue]]</f>
        <v>0.37550924475086184</v>
      </c>
      <c r="AA258">
        <v>282595.28000000003</v>
      </c>
    </row>
    <row r="259" spans="1:27" x14ac:dyDescent="0.3">
      <c r="A259" t="s">
        <v>14</v>
      </c>
      <c r="B259" t="s">
        <v>185</v>
      </c>
      <c r="C259" t="s">
        <v>102</v>
      </c>
      <c r="D259" t="s">
        <v>17</v>
      </c>
      <c r="E259" t="s">
        <v>33</v>
      </c>
      <c r="F259" t="s">
        <v>553</v>
      </c>
      <c r="G259" s="2">
        <f t="shared" si="8"/>
        <v>41227</v>
      </c>
      <c r="H259">
        <f>DAY(Europe_Sales_Records34[[#This Row],[Order Date Fixed]])</f>
        <v>14</v>
      </c>
      <c r="I259" t="str">
        <f>TEXT(Europe_Sales_Records34[[#This Row],[Order Date Fixed]],"MMM")</f>
        <v>Nov</v>
      </c>
      <c r="J259">
        <f>YEAR(Europe_Sales_Records34[[#This Row],[Order Date Fixed]])</f>
        <v>2012</v>
      </c>
      <c r="K259" t="str">
        <f>TEXT(Europe_Sales_Records34[[#This Row],[Order Date Fixed]],"MMM-YYYY")</f>
        <v>Nov-2012</v>
      </c>
      <c r="L259">
        <v>306256616</v>
      </c>
      <c r="M259" s="2">
        <f t="shared" si="9"/>
        <v>41231</v>
      </c>
      <c r="N259">
        <f>DAY(Europe_Sales_Records34[[#This Row],[Ship Date Fixed]])</f>
        <v>18</v>
      </c>
      <c r="O259" t="str">
        <f>TEXT(Europe_Sales_Records34[[#This Row],[Ship Date Fixed]],"MMM")</f>
        <v>Nov</v>
      </c>
      <c r="P259">
        <f>YEAR(Europe_Sales_Records34[[#This Row],[Ship Date Fixed]])</f>
        <v>2012</v>
      </c>
      <c r="Q259" t="str">
        <f>TEXT(Europe_Sales_Records34[[#This Row],[Ship Date Fixed]],"MMM-YYYY")</f>
        <v>Nov-2012</v>
      </c>
      <c r="R259" t="s">
        <v>416</v>
      </c>
      <c r="S259" s="3">
        <f>Europe_Sales_Records34[[#This Row],[Ship Date Fixed]]-Europe_Sales_Records34[[#This Row],[Order Date Fixed]]</f>
        <v>4</v>
      </c>
      <c r="T259">
        <v>6993</v>
      </c>
      <c r="U259">
        <v>81.73</v>
      </c>
      <c r="V259">
        <v>56.67</v>
      </c>
      <c r="W259">
        <f>Europe_Sales_Records34[[#This Row],[Total Revenue]]/Europe_Sales_Records34[[#This Row],[Units Sold]]</f>
        <v>81.73</v>
      </c>
      <c r="X259">
        <v>571537.89</v>
      </c>
      <c r="Y259">
        <v>396293.31</v>
      </c>
      <c r="Z259" s="4">
        <f>Europe_Sales_Records34[[#This Row],[Total Profit]]/Europe_Sales_Records34[[#This Row],[Total Revenue]]</f>
        <v>0.30661935641747212</v>
      </c>
      <c r="AA259">
        <v>175244.58</v>
      </c>
    </row>
    <row r="260" spans="1:27" x14ac:dyDescent="0.3">
      <c r="A260" t="s">
        <v>14</v>
      </c>
      <c r="B260" t="s">
        <v>166</v>
      </c>
      <c r="C260" t="s">
        <v>28</v>
      </c>
      <c r="D260" t="s">
        <v>17</v>
      </c>
      <c r="E260" t="s">
        <v>24</v>
      </c>
      <c r="F260" t="s">
        <v>554</v>
      </c>
      <c r="G260" s="2">
        <f t="shared" si="8"/>
        <v>42008</v>
      </c>
      <c r="H260">
        <f>DAY(Europe_Sales_Records34[[#This Row],[Order Date Fixed]])</f>
        <v>4</v>
      </c>
      <c r="I260" t="str">
        <f>TEXT(Europe_Sales_Records34[[#This Row],[Order Date Fixed]],"MMM")</f>
        <v>Jan</v>
      </c>
      <c r="J260">
        <f>YEAR(Europe_Sales_Records34[[#This Row],[Order Date Fixed]])</f>
        <v>2015</v>
      </c>
      <c r="K260" t="str">
        <f>TEXT(Europe_Sales_Records34[[#This Row],[Order Date Fixed]],"MMM-YYYY")</f>
        <v>Jan-2015</v>
      </c>
      <c r="L260">
        <v>392252957</v>
      </c>
      <c r="M260" s="2">
        <f t="shared" si="9"/>
        <v>42057</v>
      </c>
      <c r="N260">
        <f>DAY(Europe_Sales_Records34[[#This Row],[Ship Date Fixed]])</f>
        <v>22</v>
      </c>
      <c r="O260" t="str">
        <f>TEXT(Europe_Sales_Records34[[#This Row],[Ship Date Fixed]],"MMM")</f>
        <v>Feb</v>
      </c>
      <c r="P260">
        <f>YEAR(Europe_Sales_Records34[[#This Row],[Ship Date Fixed]])</f>
        <v>2015</v>
      </c>
      <c r="Q260" t="str">
        <f>TEXT(Europe_Sales_Records34[[#This Row],[Ship Date Fixed]],"MMM-YYYY")</f>
        <v>Feb-2015</v>
      </c>
      <c r="R260" t="s">
        <v>555</v>
      </c>
      <c r="S260" s="3">
        <f>Europe_Sales_Records34[[#This Row],[Ship Date Fixed]]-Europe_Sales_Records34[[#This Row],[Order Date Fixed]]</f>
        <v>49</v>
      </c>
      <c r="T260">
        <v>5222</v>
      </c>
      <c r="U260">
        <v>205.7</v>
      </c>
      <c r="V260">
        <v>117.11</v>
      </c>
      <c r="W260">
        <f>Europe_Sales_Records34[[#This Row],[Total Revenue]]/Europe_Sales_Records34[[#This Row],[Units Sold]]</f>
        <v>205.7</v>
      </c>
      <c r="X260">
        <v>1074165.3999999999</v>
      </c>
      <c r="Y260">
        <v>611548.42000000004</v>
      </c>
      <c r="Z260" s="4">
        <f>Europe_Sales_Records34[[#This Row],[Total Profit]]/Europe_Sales_Records34[[#This Row],[Total Revenue]]</f>
        <v>0.43067574137092857</v>
      </c>
      <c r="AA260">
        <v>462616.98</v>
      </c>
    </row>
    <row r="261" spans="1:27" x14ac:dyDescent="0.3">
      <c r="A261" t="s">
        <v>14</v>
      </c>
      <c r="B261" t="s">
        <v>115</v>
      </c>
      <c r="C261" t="s">
        <v>75</v>
      </c>
      <c r="D261" t="s">
        <v>17</v>
      </c>
      <c r="E261" t="s">
        <v>18</v>
      </c>
      <c r="F261" t="s">
        <v>556</v>
      </c>
      <c r="G261" s="2">
        <f t="shared" si="8"/>
        <v>41712</v>
      </c>
      <c r="H261">
        <f>DAY(Europe_Sales_Records34[[#This Row],[Order Date Fixed]])</f>
        <v>14</v>
      </c>
      <c r="I261" t="str">
        <f>TEXT(Europe_Sales_Records34[[#This Row],[Order Date Fixed]],"MMM")</f>
        <v>Mar</v>
      </c>
      <c r="J261">
        <f>YEAR(Europe_Sales_Records34[[#This Row],[Order Date Fixed]])</f>
        <v>2014</v>
      </c>
      <c r="K261" t="str">
        <f>TEXT(Europe_Sales_Records34[[#This Row],[Order Date Fixed]],"MMM-YYYY")</f>
        <v>Mar-2014</v>
      </c>
      <c r="L261">
        <v>746563756</v>
      </c>
      <c r="M261" s="2">
        <f t="shared" si="9"/>
        <v>41741</v>
      </c>
      <c r="N261">
        <f>DAY(Europe_Sales_Records34[[#This Row],[Ship Date Fixed]])</f>
        <v>12</v>
      </c>
      <c r="O261" t="str">
        <f>TEXT(Europe_Sales_Records34[[#This Row],[Ship Date Fixed]],"MMM")</f>
        <v>Apr</v>
      </c>
      <c r="P261">
        <f>YEAR(Europe_Sales_Records34[[#This Row],[Ship Date Fixed]])</f>
        <v>2014</v>
      </c>
      <c r="Q261" t="str">
        <f>TEXT(Europe_Sales_Records34[[#This Row],[Ship Date Fixed]],"MMM-YYYY")</f>
        <v>Apr-2014</v>
      </c>
      <c r="R261" t="s">
        <v>557</v>
      </c>
      <c r="S261" s="3">
        <f>Europe_Sales_Records34[[#This Row],[Ship Date Fixed]]-Europe_Sales_Records34[[#This Row],[Order Date Fixed]]</f>
        <v>29</v>
      </c>
      <c r="T261">
        <v>3661</v>
      </c>
      <c r="U261">
        <v>437.2</v>
      </c>
      <c r="V261">
        <v>263.33</v>
      </c>
      <c r="W261">
        <f>Europe_Sales_Records34[[#This Row],[Total Revenue]]/Europe_Sales_Records34[[#This Row],[Units Sold]]</f>
        <v>437.2</v>
      </c>
      <c r="X261">
        <v>1600589.2</v>
      </c>
      <c r="Y261">
        <v>964051.13</v>
      </c>
      <c r="Z261" s="4">
        <f>Europe_Sales_Records34[[#This Row],[Total Profit]]/Europe_Sales_Records34[[#This Row],[Total Revenue]]</f>
        <v>0.39768984446477584</v>
      </c>
      <c r="AA261">
        <v>636538.06999999995</v>
      </c>
    </row>
    <row r="262" spans="1:27" x14ac:dyDescent="0.3">
      <c r="A262" t="s">
        <v>14</v>
      </c>
      <c r="B262" t="s">
        <v>31</v>
      </c>
      <c r="C262" t="s">
        <v>71</v>
      </c>
      <c r="D262" t="s">
        <v>23</v>
      </c>
      <c r="E262" t="s">
        <v>18</v>
      </c>
      <c r="F262" t="s">
        <v>51</v>
      </c>
      <c r="G262" s="2">
        <f t="shared" si="8"/>
        <v>41719</v>
      </c>
      <c r="H262">
        <f>DAY(Europe_Sales_Records34[[#This Row],[Order Date Fixed]])</f>
        <v>21</v>
      </c>
      <c r="I262" t="str">
        <f>TEXT(Europe_Sales_Records34[[#This Row],[Order Date Fixed]],"MMM")</f>
        <v>Mar</v>
      </c>
      <c r="J262">
        <f>YEAR(Europe_Sales_Records34[[#This Row],[Order Date Fixed]])</f>
        <v>2014</v>
      </c>
      <c r="K262" t="str">
        <f>TEXT(Europe_Sales_Records34[[#This Row],[Order Date Fixed]],"MMM-YYYY")</f>
        <v>Mar-2014</v>
      </c>
      <c r="L262">
        <v>129902875</v>
      </c>
      <c r="M262" s="2">
        <f t="shared" si="9"/>
        <v>41753</v>
      </c>
      <c r="N262">
        <f>DAY(Europe_Sales_Records34[[#This Row],[Ship Date Fixed]])</f>
        <v>24</v>
      </c>
      <c r="O262" t="str">
        <f>TEXT(Europe_Sales_Records34[[#This Row],[Ship Date Fixed]],"MMM")</f>
        <v>Apr</v>
      </c>
      <c r="P262">
        <f>YEAR(Europe_Sales_Records34[[#This Row],[Ship Date Fixed]])</f>
        <v>2014</v>
      </c>
      <c r="Q262" t="str">
        <f>TEXT(Europe_Sales_Records34[[#This Row],[Ship Date Fixed]],"MMM-YYYY")</f>
        <v>Apr-2014</v>
      </c>
      <c r="R262" t="s">
        <v>558</v>
      </c>
      <c r="S262" s="3">
        <f>Europe_Sales_Records34[[#This Row],[Ship Date Fixed]]-Europe_Sales_Records34[[#This Row],[Order Date Fixed]]</f>
        <v>34</v>
      </c>
      <c r="T262">
        <v>2</v>
      </c>
      <c r="U262">
        <v>668.27</v>
      </c>
      <c r="V262">
        <v>502.54</v>
      </c>
      <c r="W262">
        <f>Europe_Sales_Records34[[#This Row],[Total Revenue]]/Europe_Sales_Records34[[#This Row],[Units Sold]]</f>
        <v>668.27</v>
      </c>
      <c r="X262">
        <v>1336.54</v>
      </c>
      <c r="Y262">
        <v>1005.08</v>
      </c>
      <c r="Z262" s="4">
        <f>Europe_Sales_Records34[[#This Row],[Total Profit]]/Europe_Sales_Records34[[#This Row],[Total Revenue]]</f>
        <v>0.24799856345489099</v>
      </c>
      <c r="AA262">
        <v>331.46</v>
      </c>
    </row>
    <row r="263" spans="1:27" x14ac:dyDescent="0.3">
      <c r="A263" t="s">
        <v>14</v>
      </c>
      <c r="B263" t="s">
        <v>61</v>
      </c>
      <c r="C263" t="s">
        <v>16</v>
      </c>
      <c r="D263" t="s">
        <v>17</v>
      </c>
      <c r="E263" t="s">
        <v>24</v>
      </c>
      <c r="F263" t="s">
        <v>331</v>
      </c>
      <c r="G263" s="2">
        <f t="shared" si="8"/>
        <v>41769</v>
      </c>
      <c r="H263">
        <f>DAY(Europe_Sales_Records34[[#This Row],[Order Date Fixed]])</f>
        <v>10</v>
      </c>
      <c r="I263" t="str">
        <f>TEXT(Europe_Sales_Records34[[#This Row],[Order Date Fixed]],"MMM")</f>
        <v>May</v>
      </c>
      <c r="J263">
        <f>YEAR(Europe_Sales_Records34[[#This Row],[Order Date Fixed]])</f>
        <v>2014</v>
      </c>
      <c r="K263" t="str">
        <f>TEXT(Europe_Sales_Records34[[#This Row],[Order Date Fixed]],"MMM-YYYY")</f>
        <v>May-2014</v>
      </c>
      <c r="L263">
        <v>595395314</v>
      </c>
      <c r="M263" s="2">
        <f t="shared" si="9"/>
        <v>41789</v>
      </c>
      <c r="N263">
        <f>DAY(Europe_Sales_Records34[[#This Row],[Ship Date Fixed]])</f>
        <v>30</v>
      </c>
      <c r="O263" t="str">
        <f>TEXT(Europe_Sales_Records34[[#This Row],[Ship Date Fixed]],"MMM")</f>
        <v>May</v>
      </c>
      <c r="P263">
        <f>YEAR(Europe_Sales_Records34[[#This Row],[Ship Date Fixed]])</f>
        <v>2014</v>
      </c>
      <c r="Q263" t="str">
        <f>TEXT(Europe_Sales_Records34[[#This Row],[Ship Date Fixed]],"MMM-YYYY")</f>
        <v>May-2014</v>
      </c>
      <c r="R263" t="s">
        <v>156</v>
      </c>
      <c r="S263" s="3">
        <f>Europe_Sales_Records34[[#This Row],[Ship Date Fixed]]-Europe_Sales_Records34[[#This Row],[Order Date Fixed]]</f>
        <v>20</v>
      </c>
      <c r="T263">
        <v>9559</v>
      </c>
      <c r="U263">
        <v>47.45</v>
      </c>
      <c r="V263">
        <v>31.79</v>
      </c>
      <c r="W263">
        <f>Europe_Sales_Records34[[#This Row],[Total Revenue]]/Europe_Sales_Records34[[#This Row],[Units Sold]]</f>
        <v>47.449999999999996</v>
      </c>
      <c r="X263">
        <v>453574.55</v>
      </c>
      <c r="Y263">
        <v>303880.61</v>
      </c>
      <c r="Z263" s="4">
        <f>Europe_Sales_Records34[[#This Row],[Total Profit]]/Europe_Sales_Records34[[#This Row],[Total Revenue]]</f>
        <v>0.33003161222339306</v>
      </c>
      <c r="AA263">
        <v>149693.94</v>
      </c>
    </row>
    <row r="264" spans="1:27" x14ac:dyDescent="0.3">
      <c r="A264" t="s">
        <v>14</v>
      </c>
      <c r="B264" t="s">
        <v>127</v>
      </c>
      <c r="C264" t="s">
        <v>37</v>
      </c>
      <c r="D264" t="s">
        <v>23</v>
      </c>
      <c r="E264" t="s">
        <v>33</v>
      </c>
      <c r="F264" t="s">
        <v>559</v>
      </c>
      <c r="G264" s="2">
        <f t="shared" si="8"/>
        <v>40606</v>
      </c>
      <c r="H264">
        <f>DAY(Europe_Sales_Records34[[#This Row],[Order Date Fixed]])</f>
        <v>4</v>
      </c>
      <c r="I264" t="str">
        <f>TEXT(Europe_Sales_Records34[[#This Row],[Order Date Fixed]],"MMM")</f>
        <v>Mar</v>
      </c>
      <c r="J264">
        <f>YEAR(Europe_Sales_Records34[[#This Row],[Order Date Fixed]])</f>
        <v>2011</v>
      </c>
      <c r="K264" t="str">
        <f>TEXT(Europe_Sales_Records34[[#This Row],[Order Date Fixed]],"MMM-YYYY")</f>
        <v>Mar-2011</v>
      </c>
      <c r="L264">
        <v>272425591</v>
      </c>
      <c r="M264" s="2">
        <f t="shared" si="9"/>
        <v>40623</v>
      </c>
      <c r="N264">
        <f>DAY(Europe_Sales_Records34[[#This Row],[Ship Date Fixed]])</f>
        <v>21</v>
      </c>
      <c r="O264" t="str">
        <f>TEXT(Europe_Sales_Records34[[#This Row],[Ship Date Fixed]],"MMM")</f>
        <v>Mar</v>
      </c>
      <c r="P264">
        <f>YEAR(Europe_Sales_Records34[[#This Row],[Ship Date Fixed]])</f>
        <v>2011</v>
      </c>
      <c r="Q264" t="str">
        <f>TEXT(Europe_Sales_Records34[[#This Row],[Ship Date Fixed]],"MMM-YYYY")</f>
        <v>Mar-2011</v>
      </c>
      <c r="R264" t="s">
        <v>560</v>
      </c>
      <c r="S264" s="3">
        <f>Europe_Sales_Records34[[#This Row],[Ship Date Fixed]]-Europe_Sales_Records34[[#This Row],[Order Date Fixed]]</f>
        <v>17</v>
      </c>
      <c r="T264">
        <v>5641</v>
      </c>
      <c r="U264">
        <v>9.33</v>
      </c>
      <c r="V264">
        <v>6.92</v>
      </c>
      <c r="W264">
        <f>Europe_Sales_Records34[[#This Row],[Total Revenue]]/Europe_Sales_Records34[[#This Row],[Units Sold]]</f>
        <v>9.33</v>
      </c>
      <c r="X264">
        <v>52630.53</v>
      </c>
      <c r="Y264">
        <v>39035.72</v>
      </c>
      <c r="Z264" s="4">
        <f>Europe_Sales_Records34[[#This Row],[Total Profit]]/Europe_Sales_Records34[[#This Row],[Total Revenue]]</f>
        <v>0.25830653804930331</v>
      </c>
      <c r="AA264">
        <v>13594.81</v>
      </c>
    </row>
    <row r="265" spans="1:27" x14ac:dyDescent="0.3">
      <c r="A265" t="s">
        <v>14</v>
      </c>
      <c r="B265" t="s">
        <v>196</v>
      </c>
      <c r="C265" t="s">
        <v>64</v>
      </c>
      <c r="D265" t="s">
        <v>17</v>
      </c>
      <c r="E265" t="s">
        <v>54</v>
      </c>
      <c r="F265" t="s">
        <v>453</v>
      </c>
      <c r="G265" s="2">
        <f t="shared" si="8"/>
        <v>41605</v>
      </c>
      <c r="H265">
        <f>DAY(Europe_Sales_Records34[[#This Row],[Order Date Fixed]])</f>
        <v>27</v>
      </c>
      <c r="I265" t="str">
        <f>TEXT(Europe_Sales_Records34[[#This Row],[Order Date Fixed]],"MMM")</f>
        <v>Nov</v>
      </c>
      <c r="J265">
        <f>YEAR(Europe_Sales_Records34[[#This Row],[Order Date Fixed]])</f>
        <v>2013</v>
      </c>
      <c r="K265" t="str">
        <f>TEXT(Europe_Sales_Records34[[#This Row],[Order Date Fixed]],"MMM-YYYY")</f>
        <v>Nov-2013</v>
      </c>
      <c r="L265">
        <v>596166074</v>
      </c>
      <c r="M265" s="2">
        <f t="shared" si="9"/>
        <v>41652</v>
      </c>
      <c r="N265">
        <f>DAY(Europe_Sales_Records34[[#This Row],[Ship Date Fixed]])</f>
        <v>13</v>
      </c>
      <c r="O265" t="str">
        <f>TEXT(Europe_Sales_Records34[[#This Row],[Ship Date Fixed]],"MMM")</f>
        <v>Jan</v>
      </c>
      <c r="P265">
        <f>YEAR(Europe_Sales_Records34[[#This Row],[Ship Date Fixed]])</f>
        <v>2014</v>
      </c>
      <c r="Q265" t="str">
        <f>TEXT(Europe_Sales_Records34[[#This Row],[Ship Date Fixed]],"MMM-YYYY")</f>
        <v>Jan-2014</v>
      </c>
      <c r="R265" t="s">
        <v>561</v>
      </c>
      <c r="S265" s="3">
        <f>Europe_Sales_Records34[[#This Row],[Ship Date Fixed]]-Europe_Sales_Records34[[#This Row],[Order Date Fixed]]</f>
        <v>47</v>
      </c>
      <c r="T265">
        <v>7644</v>
      </c>
      <c r="U265">
        <v>255.28</v>
      </c>
      <c r="V265">
        <v>159.41999999999999</v>
      </c>
      <c r="W265">
        <f>Europe_Sales_Records34[[#This Row],[Total Revenue]]/Europe_Sales_Records34[[#This Row],[Units Sold]]</f>
        <v>255.28</v>
      </c>
      <c r="X265">
        <v>1951360.32</v>
      </c>
      <c r="Y265">
        <v>1218606.48</v>
      </c>
      <c r="Z265" s="4">
        <f>Europe_Sales_Records34[[#This Row],[Total Profit]]/Europe_Sales_Records34[[#This Row],[Total Revenue]]</f>
        <v>0.37550924475086178</v>
      </c>
      <c r="AA265">
        <v>732753.84</v>
      </c>
    </row>
    <row r="266" spans="1:27" x14ac:dyDescent="0.3">
      <c r="A266" t="s">
        <v>14</v>
      </c>
      <c r="B266" t="s">
        <v>67</v>
      </c>
      <c r="C266" t="s">
        <v>16</v>
      </c>
      <c r="D266" t="s">
        <v>17</v>
      </c>
      <c r="E266" t="s">
        <v>18</v>
      </c>
      <c r="F266" t="s">
        <v>562</v>
      </c>
      <c r="G266" s="2">
        <f t="shared" si="8"/>
        <v>41200</v>
      </c>
      <c r="H266">
        <f>DAY(Europe_Sales_Records34[[#This Row],[Order Date Fixed]])</f>
        <v>18</v>
      </c>
      <c r="I266" t="str">
        <f>TEXT(Europe_Sales_Records34[[#This Row],[Order Date Fixed]],"MMM")</f>
        <v>Oct</v>
      </c>
      <c r="J266">
        <f>YEAR(Europe_Sales_Records34[[#This Row],[Order Date Fixed]])</f>
        <v>2012</v>
      </c>
      <c r="K266" t="str">
        <f>TEXT(Europe_Sales_Records34[[#This Row],[Order Date Fixed]],"MMM-YYYY")</f>
        <v>Oct-2012</v>
      </c>
      <c r="L266">
        <v>906345736</v>
      </c>
      <c r="M266" s="2">
        <f t="shared" si="9"/>
        <v>41234</v>
      </c>
      <c r="N266">
        <f>DAY(Europe_Sales_Records34[[#This Row],[Ship Date Fixed]])</f>
        <v>21</v>
      </c>
      <c r="O266" t="str">
        <f>TEXT(Europe_Sales_Records34[[#This Row],[Ship Date Fixed]],"MMM")</f>
        <v>Nov</v>
      </c>
      <c r="P266">
        <f>YEAR(Europe_Sales_Records34[[#This Row],[Ship Date Fixed]])</f>
        <v>2012</v>
      </c>
      <c r="Q266" t="str">
        <f>TEXT(Europe_Sales_Records34[[#This Row],[Ship Date Fixed]],"MMM-YYYY")</f>
        <v>Nov-2012</v>
      </c>
      <c r="R266" t="s">
        <v>563</v>
      </c>
      <c r="S266" s="3">
        <f>Europe_Sales_Records34[[#This Row],[Ship Date Fixed]]-Europe_Sales_Records34[[#This Row],[Order Date Fixed]]</f>
        <v>34</v>
      </c>
      <c r="T266">
        <v>6699</v>
      </c>
      <c r="U266">
        <v>47.45</v>
      </c>
      <c r="V266">
        <v>31.79</v>
      </c>
      <c r="W266">
        <f>Europe_Sales_Records34[[#This Row],[Total Revenue]]/Europe_Sales_Records34[[#This Row],[Units Sold]]</f>
        <v>47.449999999999996</v>
      </c>
      <c r="X266">
        <v>317867.55</v>
      </c>
      <c r="Y266">
        <v>212961.21</v>
      </c>
      <c r="Z266" s="4">
        <f>Europe_Sales_Records34[[#This Row],[Total Profit]]/Europe_Sales_Records34[[#This Row],[Total Revenue]]</f>
        <v>0.33003161222339306</v>
      </c>
      <c r="AA266">
        <v>104906.34</v>
      </c>
    </row>
    <row r="267" spans="1:27" x14ac:dyDescent="0.3">
      <c r="A267" t="s">
        <v>14</v>
      </c>
      <c r="B267" t="s">
        <v>196</v>
      </c>
      <c r="C267" t="s">
        <v>75</v>
      </c>
      <c r="D267" t="s">
        <v>17</v>
      </c>
      <c r="E267" t="s">
        <v>24</v>
      </c>
      <c r="F267" t="s">
        <v>564</v>
      </c>
      <c r="G267" s="2">
        <f t="shared" si="8"/>
        <v>40965</v>
      </c>
      <c r="H267">
        <f>DAY(Europe_Sales_Records34[[#This Row],[Order Date Fixed]])</f>
        <v>26</v>
      </c>
      <c r="I267" t="str">
        <f>TEXT(Europe_Sales_Records34[[#This Row],[Order Date Fixed]],"MMM")</f>
        <v>Feb</v>
      </c>
      <c r="J267">
        <f>YEAR(Europe_Sales_Records34[[#This Row],[Order Date Fixed]])</f>
        <v>2012</v>
      </c>
      <c r="K267" t="str">
        <f>TEXT(Europe_Sales_Records34[[#This Row],[Order Date Fixed]],"MMM-YYYY")</f>
        <v>Feb-2012</v>
      </c>
      <c r="L267">
        <v>385340154</v>
      </c>
      <c r="M267" s="2">
        <f t="shared" si="9"/>
        <v>40986</v>
      </c>
      <c r="N267">
        <f>DAY(Europe_Sales_Records34[[#This Row],[Ship Date Fixed]])</f>
        <v>18</v>
      </c>
      <c r="O267" t="str">
        <f>TEXT(Europe_Sales_Records34[[#This Row],[Ship Date Fixed]],"MMM")</f>
        <v>Mar</v>
      </c>
      <c r="P267">
        <f>YEAR(Europe_Sales_Records34[[#This Row],[Ship Date Fixed]])</f>
        <v>2012</v>
      </c>
      <c r="Q267" t="str">
        <f>TEXT(Europe_Sales_Records34[[#This Row],[Ship Date Fixed]],"MMM-YYYY")</f>
        <v>Mar-2012</v>
      </c>
      <c r="R267" t="s">
        <v>565</v>
      </c>
      <c r="S267" s="3">
        <f>Europe_Sales_Records34[[#This Row],[Ship Date Fixed]]-Europe_Sales_Records34[[#This Row],[Order Date Fixed]]</f>
        <v>21</v>
      </c>
      <c r="T267">
        <v>9569</v>
      </c>
      <c r="U267">
        <v>437.2</v>
      </c>
      <c r="V267">
        <v>263.33</v>
      </c>
      <c r="W267">
        <f>Europe_Sales_Records34[[#This Row],[Total Revenue]]/Europe_Sales_Records34[[#This Row],[Units Sold]]</f>
        <v>437.2</v>
      </c>
      <c r="X267">
        <v>4183566.8</v>
      </c>
      <c r="Y267">
        <v>2519804.77</v>
      </c>
      <c r="Z267" s="4">
        <f>Europe_Sales_Records34[[#This Row],[Total Profit]]/Europe_Sales_Records34[[#This Row],[Total Revenue]]</f>
        <v>0.39768984446477584</v>
      </c>
      <c r="AA267">
        <v>1663762.03</v>
      </c>
    </row>
    <row r="268" spans="1:27" x14ac:dyDescent="0.3">
      <c r="A268" t="s">
        <v>14</v>
      </c>
      <c r="B268" t="s">
        <v>169</v>
      </c>
      <c r="C268" t="s">
        <v>75</v>
      </c>
      <c r="D268" t="s">
        <v>17</v>
      </c>
      <c r="E268" t="s">
        <v>54</v>
      </c>
      <c r="F268" t="s">
        <v>566</v>
      </c>
      <c r="G268" s="2">
        <f t="shared" si="8"/>
        <v>41063</v>
      </c>
      <c r="H268">
        <f>DAY(Europe_Sales_Records34[[#This Row],[Order Date Fixed]])</f>
        <v>3</v>
      </c>
      <c r="I268" t="str">
        <f>TEXT(Europe_Sales_Records34[[#This Row],[Order Date Fixed]],"MMM")</f>
        <v>Jun</v>
      </c>
      <c r="J268">
        <f>YEAR(Europe_Sales_Records34[[#This Row],[Order Date Fixed]])</f>
        <v>2012</v>
      </c>
      <c r="K268" t="str">
        <f>TEXT(Europe_Sales_Records34[[#This Row],[Order Date Fixed]],"MMM-YYYY")</f>
        <v>Jun-2012</v>
      </c>
      <c r="L268">
        <v>679039466</v>
      </c>
      <c r="M268" s="2">
        <f t="shared" si="9"/>
        <v>41095</v>
      </c>
      <c r="N268">
        <f>DAY(Europe_Sales_Records34[[#This Row],[Ship Date Fixed]])</f>
        <v>5</v>
      </c>
      <c r="O268" t="str">
        <f>TEXT(Europe_Sales_Records34[[#This Row],[Ship Date Fixed]],"MMM")</f>
        <v>Jul</v>
      </c>
      <c r="P268">
        <f>YEAR(Europe_Sales_Records34[[#This Row],[Ship Date Fixed]])</f>
        <v>2012</v>
      </c>
      <c r="Q268" t="str">
        <f>TEXT(Europe_Sales_Records34[[#This Row],[Ship Date Fixed]],"MMM-YYYY")</f>
        <v>Jul-2012</v>
      </c>
      <c r="R268" t="s">
        <v>567</v>
      </c>
      <c r="S268" s="3">
        <f>Europe_Sales_Records34[[#This Row],[Ship Date Fixed]]-Europe_Sales_Records34[[#This Row],[Order Date Fixed]]</f>
        <v>32</v>
      </c>
      <c r="T268">
        <v>1723</v>
      </c>
      <c r="U268">
        <v>437.2</v>
      </c>
      <c r="V268">
        <v>263.33</v>
      </c>
      <c r="W268">
        <f>Europe_Sales_Records34[[#This Row],[Total Revenue]]/Europe_Sales_Records34[[#This Row],[Units Sold]]</f>
        <v>437.2</v>
      </c>
      <c r="X268">
        <v>753295.6</v>
      </c>
      <c r="Y268">
        <v>453717.59</v>
      </c>
      <c r="Z268" s="4">
        <f>Europe_Sales_Records34[[#This Row],[Total Profit]]/Europe_Sales_Records34[[#This Row],[Total Revenue]]</f>
        <v>0.39768984446477584</v>
      </c>
      <c r="AA268">
        <v>299578.01</v>
      </c>
    </row>
    <row r="269" spans="1:27" x14ac:dyDescent="0.3">
      <c r="A269" t="s">
        <v>14</v>
      </c>
      <c r="B269" t="s">
        <v>61</v>
      </c>
      <c r="C269" t="s">
        <v>64</v>
      </c>
      <c r="D269" t="s">
        <v>17</v>
      </c>
      <c r="E269" t="s">
        <v>33</v>
      </c>
      <c r="F269" t="s">
        <v>568</v>
      </c>
      <c r="G269" s="2">
        <f t="shared" si="8"/>
        <v>40589</v>
      </c>
      <c r="H269">
        <f>DAY(Europe_Sales_Records34[[#This Row],[Order Date Fixed]])</f>
        <v>15</v>
      </c>
      <c r="I269" t="str">
        <f>TEXT(Europe_Sales_Records34[[#This Row],[Order Date Fixed]],"MMM")</f>
        <v>Feb</v>
      </c>
      <c r="J269">
        <f>YEAR(Europe_Sales_Records34[[#This Row],[Order Date Fixed]])</f>
        <v>2011</v>
      </c>
      <c r="K269" t="str">
        <f>TEXT(Europe_Sales_Records34[[#This Row],[Order Date Fixed]],"MMM-YYYY")</f>
        <v>Feb-2011</v>
      </c>
      <c r="L269">
        <v>587799727</v>
      </c>
      <c r="M269" s="2">
        <f t="shared" si="9"/>
        <v>40629</v>
      </c>
      <c r="N269">
        <f>DAY(Europe_Sales_Records34[[#This Row],[Ship Date Fixed]])</f>
        <v>27</v>
      </c>
      <c r="O269" t="str">
        <f>TEXT(Europe_Sales_Records34[[#This Row],[Ship Date Fixed]],"MMM")</f>
        <v>Mar</v>
      </c>
      <c r="P269">
        <f>YEAR(Europe_Sales_Records34[[#This Row],[Ship Date Fixed]])</f>
        <v>2011</v>
      </c>
      <c r="Q269" t="str">
        <f>TEXT(Europe_Sales_Records34[[#This Row],[Ship Date Fixed]],"MMM-YYYY")</f>
        <v>Mar-2011</v>
      </c>
      <c r="R269" t="s">
        <v>569</v>
      </c>
      <c r="S269" s="3">
        <f>Europe_Sales_Records34[[#This Row],[Ship Date Fixed]]-Europe_Sales_Records34[[#This Row],[Order Date Fixed]]</f>
        <v>40</v>
      </c>
      <c r="T269">
        <v>1856</v>
      </c>
      <c r="U269">
        <v>255.28</v>
      </c>
      <c r="V269">
        <v>159.41999999999999</v>
      </c>
      <c r="W269">
        <f>Europe_Sales_Records34[[#This Row],[Total Revenue]]/Europe_Sales_Records34[[#This Row],[Units Sold]]</f>
        <v>255.28</v>
      </c>
      <c r="X269">
        <v>473799.67999999999</v>
      </c>
      <c r="Y269">
        <v>295883.52000000002</v>
      </c>
      <c r="Z269" s="4">
        <f>Europe_Sales_Records34[[#This Row],[Total Profit]]/Europe_Sales_Records34[[#This Row],[Total Revenue]]</f>
        <v>0.37550924475086184</v>
      </c>
      <c r="AA269">
        <v>177916.16</v>
      </c>
    </row>
    <row r="270" spans="1:27" x14ac:dyDescent="0.3">
      <c r="A270" t="s">
        <v>14</v>
      </c>
      <c r="B270" t="s">
        <v>364</v>
      </c>
      <c r="C270" t="s">
        <v>58</v>
      </c>
      <c r="D270" t="s">
        <v>17</v>
      </c>
      <c r="E270" t="s">
        <v>33</v>
      </c>
      <c r="F270" t="s">
        <v>570</v>
      </c>
      <c r="G270" s="2">
        <f t="shared" si="8"/>
        <v>42757</v>
      </c>
      <c r="H270">
        <f>DAY(Europe_Sales_Records34[[#This Row],[Order Date Fixed]])</f>
        <v>22</v>
      </c>
      <c r="I270" t="str">
        <f>TEXT(Europe_Sales_Records34[[#This Row],[Order Date Fixed]],"MMM")</f>
        <v>Jan</v>
      </c>
      <c r="J270">
        <f>YEAR(Europe_Sales_Records34[[#This Row],[Order Date Fixed]])</f>
        <v>2017</v>
      </c>
      <c r="K270" t="str">
        <f>TEXT(Europe_Sales_Records34[[#This Row],[Order Date Fixed]],"MMM-YYYY")</f>
        <v>Jan-2017</v>
      </c>
      <c r="L270">
        <v>341398274</v>
      </c>
      <c r="M270" s="2">
        <f t="shared" si="9"/>
        <v>42801</v>
      </c>
      <c r="N270">
        <f>DAY(Europe_Sales_Records34[[#This Row],[Ship Date Fixed]])</f>
        <v>7</v>
      </c>
      <c r="O270" t="str">
        <f>TEXT(Europe_Sales_Records34[[#This Row],[Ship Date Fixed]],"MMM")</f>
        <v>Mar</v>
      </c>
      <c r="P270">
        <f>YEAR(Europe_Sales_Records34[[#This Row],[Ship Date Fixed]])</f>
        <v>2017</v>
      </c>
      <c r="Q270" t="str">
        <f>TEXT(Europe_Sales_Records34[[#This Row],[Ship Date Fixed]],"MMM-YYYY")</f>
        <v>Mar-2017</v>
      </c>
      <c r="R270" t="s">
        <v>571</v>
      </c>
      <c r="S270" s="3">
        <f>Europe_Sales_Records34[[#This Row],[Ship Date Fixed]]-Europe_Sales_Records34[[#This Row],[Order Date Fixed]]</f>
        <v>44</v>
      </c>
      <c r="T270">
        <v>6191</v>
      </c>
      <c r="U270">
        <v>152.58000000000001</v>
      </c>
      <c r="V270">
        <v>97.44</v>
      </c>
      <c r="W270">
        <f>Europe_Sales_Records34[[#This Row],[Total Revenue]]/Europe_Sales_Records34[[#This Row],[Units Sold]]</f>
        <v>152.58000000000001</v>
      </c>
      <c r="X270">
        <v>944622.78</v>
      </c>
      <c r="Y270">
        <v>603251.04</v>
      </c>
      <c r="Z270" s="4">
        <f>Europe_Sales_Records34[[#This Row],[Total Profit]]/Europe_Sales_Records34[[#This Row],[Total Revenue]]</f>
        <v>0.36138419189933146</v>
      </c>
      <c r="AA270">
        <v>341371.74</v>
      </c>
    </row>
    <row r="271" spans="1:27" x14ac:dyDescent="0.3">
      <c r="A271" t="s">
        <v>14</v>
      </c>
      <c r="B271" t="s">
        <v>183</v>
      </c>
      <c r="C271" t="s">
        <v>37</v>
      </c>
      <c r="D271" t="s">
        <v>17</v>
      </c>
      <c r="E271" t="s">
        <v>54</v>
      </c>
      <c r="F271" t="s">
        <v>572</v>
      </c>
      <c r="G271" s="2">
        <f t="shared" si="8"/>
        <v>42169</v>
      </c>
      <c r="H271">
        <f>DAY(Europe_Sales_Records34[[#This Row],[Order Date Fixed]])</f>
        <v>14</v>
      </c>
      <c r="I271" t="str">
        <f>TEXT(Europe_Sales_Records34[[#This Row],[Order Date Fixed]],"MMM")</f>
        <v>Jun</v>
      </c>
      <c r="J271">
        <f>YEAR(Europe_Sales_Records34[[#This Row],[Order Date Fixed]])</f>
        <v>2015</v>
      </c>
      <c r="K271" t="str">
        <f>TEXT(Europe_Sales_Records34[[#This Row],[Order Date Fixed]],"MMM-YYYY")</f>
        <v>Jun-2015</v>
      </c>
      <c r="L271">
        <v>516994559</v>
      </c>
      <c r="M271" s="2">
        <f t="shared" si="9"/>
        <v>42175</v>
      </c>
      <c r="N271">
        <f>DAY(Europe_Sales_Records34[[#This Row],[Ship Date Fixed]])</f>
        <v>20</v>
      </c>
      <c r="O271" t="str">
        <f>TEXT(Europe_Sales_Records34[[#This Row],[Ship Date Fixed]],"MMM")</f>
        <v>Jun</v>
      </c>
      <c r="P271">
        <f>YEAR(Europe_Sales_Records34[[#This Row],[Ship Date Fixed]])</f>
        <v>2015</v>
      </c>
      <c r="Q271" t="str">
        <f>TEXT(Europe_Sales_Records34[[#This Row],[Ship Date Fixed]],"MMM-YYYY")</f>
        <v>Jun-2015</v>
      </c>
      <c r="R271" t="s">
        <v>573</v>
      </c>
      <c r="S271" s="3">
        <f>Europe_Sales_Records34[[#This Row],[Ship Date Fixed]]-Europe_Sales_Records34[[#This Row],[Order Date Fixed]]</f>
        <v>6</v>
      </c>
      <c r="T271">
        <v>9034</v>
      </c>
      <c r="U271">
        <v>9.33</v>
      </c>
      <c r="V271">
        <v>6.92</v>
      </c>
      <c r="W271">
        <f>Europe_Sales_Records34[[#This Row],[Total Revenue]]/Europe_Sales_Records34[[#This Row],[Units Sold]]</f>
        <v>9.33</v>
      </c>
      <c r="X271">
        <v>84287.22</v>
      </c>
      <c r="Y271">
        <v>62515.28</v>
      </c>
      <c r="Z271" s="4">
        <f>Europe_Sales_Records34[[#This Row],[Total Profit]]/Europe_Sales_Records34[[#This Row],[Total Revenue]]</f>
        <v>0.25830653804930331</v>
      </c>
      <c r="AA271">
        <v>21771.94</v>
      </c>
    </row>
    <row r="272" spans="1:27" x14ac:dyDescent="0.3">
      <c r="A272" t="s">
        <v>14</v>
      </c>
      <c r="B272" t="s">
        <v>97</v>
      </c>
      <c r="C272" t="s">
        <v>32</v>
      </c>
      <c r="D272" t="s">
        <v>23</v>
      </c>
      <c r="E272" t="s">
        <v>54</v>
      </c>
      <c r="F272" t="s">
        <v>574</v>
      </c>
      <c r="G272" s="2">
        <f t="shared" si="8"/>
        <v>40277</v>
      </c>
      <c r="H272">
        <f>DAY(Europe_Sales_Records34[[#This Row],[Order Date Fixed]])</f>
        <v>9</v>
      </c>
      <c r="I272" t="str">
        <f>TEXT(Europe_Sales_Records34[[#This Row],[Order Date Fixed]],"MMM")</f>
        <v>Apr</v>
      </c>
      <c r="J272">
        <f>YEAR(Europe_Sales_Records34[[#This Row],[Order Date Fixed]])</f>
        <v>2010</v>
      </c>
      <c r="K272" t="str">
        <f>TEXT(Europe_Sales_Records34[[#This Row],[Order Date Fixed]],"MMM-YYYY")</f>
        <v>Apr-2010</v>
      </c>
      <c r="L272">
        <v>483981502</v>
      </c>
      <c r="M272" s="2">
        <f t="shared" si="9"/>
        <v>40302</v>
      </c>
      <c r="N272">
        <f>DAY(Europe_Sales_Records34[[#This Row],[Ship Date Fixed]])</f>
        <v>4</v>
      </c>
      <c r="O272" t="str">
        <f>TEXT(Europe_Sales_Records34[[#This Row],[Ship Date Fixed]],"MMM")</f>
        <v>May</v>
      </c>
      <c r="P272">
        <f>YEAR(Europe_Sales_Records34[[#This Row],[Ship Date Fixed]])</f>
        <v>2010</v>
      </c>
      <c r="Q272" t="str">
        <f>TEXT(Europe_Sales_Records34[[#This Row],[Ship Date Fixed]],"MMM-YYYY")</f>
        <v>May-2010</v>
      </c>
      <c r="R272" t="s">
        <v>575</v>
      </c>
      <c r="S272" s="3">
        <f>Europe_Sales_Records34[[#This Row],[Ship Date Fixed]]-Europe_Sales_Records34[[#This Row],[Order Date Fixed]]</f>
        <v>25</v>
      </c>
      <c r="T272">
        <v>9736</v>
      </c>
      <c r="U272">
        <v>651.21</v>
      </c>
      <c r="V272">
        <v>524.96</v>
      </c>
      <c r="W272">
        <f>Europe_Sales_Records34[[#This Row],[Total Revenue]]/Europe_Sales_Records34[[#This Row],[Units Sold]]</f>
        <v>651.20999999999992</v>
      </c>
      <c r="X272">
        <v>6340180.5599999996</v>
      </c>
      <c r="Y272">
        <v>5111010.5599999996</v>
      </c>
      <c r="Z272" s="4">
        <f>Europe_Sales_Records34[[#This Row],[Total Profit]]/Europe_Sales_Records34[[#This Row],[Total Revenue]]</f>
        <v>0.19386987300563568</v>
      </c>
      <c r="AA272">
        <v>1229170</v>
      </c>
    </row>
    <row r="273" spans="1:27" x14ac:dyDescent="0.3">
      <c r="A273" t="s">
        <v>14</v>
      </c>
      <c r="B273" t="s">
        <v>243</v>
      </c>
      <c r="C273" t="s">
        <v>75</v>
      </c>
      <c r="D273" t="s">
        <v>23</v>
      </c>
      <c r="E273" t="s">
        <v>54</v>
      </c>
      <c r="F273" t="s">
        <v>576</v>
      </c>
      <c r="G273" s="2">
        <f t="shared" si="8"/>
        <v>42154</v>
      </c>
      <c r="H273">
        <f>DAY(Europe_Sales_Records34[[#This Row],[Order Date Fixed]])</f>
        <v>30</v>
      </c>
      <c r="I273" t="str">
        <f>TEXT(Europe_Sales_Records34[[#This Row],[Order Date Fixed]],"MMM")</f>
        <v>May</v>
      </c>
      <c r="J273">
        <f>YEAR(Europe_Sales_Records34[[#This Row],[Order Date Fixed]])</f>
        <v>2015</v>
      </c>
      <c r="K273" t="str">
        <f>TEXT(Europe_Sales_Records34[[#This Row],[Order Date Fixed]],"MMM-YYYY")</f>
        <v>May-2015</v>
      </c>
      <c r="L273">
        <v>549187934</v>
      </c>
      <c r="M273" s="2">
        <f t="shared" si="9"/>
        <v>42202</v>
      </c>
      <c r="N273">
        <f>DAY(Europe_Sales_Records34[[#This Row],[Ship Date Fixed]])</f>
        <v>17</v>
      </c>
      <c r="O273" t="str">
        <f>TEXT(Europe_Sales_Records34[[#This Row],[Ship Date Fixed]],"MMM")</f>
        <v>Jul</v>
      </c>
      <c r="P273">
        <f>YEAR(Europe_Sales_Records34[[#This Row],[Ship Date Fixed]])</f>
        <v>2015</v>
      </c>
      <c r="Q273" t="str">
        <f>TEXT(Europe_Sales_Records34[[#This Row],[Ship Date Fixed]],"MMM-YYYY")</f>
        <v>Jul-2015</v>
      </c>
      <c r="R273" t="s">
        <v>577</v>
      </c>
      <c r="S273" s="3">
        <f>Europe_Sales_Records34[[#This Row],[Ship Date Fixed]]-Europe_Sales_Records34[[#This Row],[Order Date Fixed]]</f>
        <v>48</v>
      </c>
      <c r="T273">
        <v>5769</v>
      </c>
      <c r="U273">
        <v>437.2</v>
      </c>
      <c r="V273">
        <v>263.33</v>
      </c>
      <c r="W273">
        <f>Europe_Sales_Records34[[#This Row],[Total Revenue]]/Europe_Sales_Records34[[#This Row],[Units Sold]]</f>
        <v>437.2</v>
      </c>
      <c r="X273">
        <v>2522206.7999999998</v>
      </c>
      <c r="Y273">
        <v>1519150.77</v>
      </c>
      <c r="Z273" s="4">
        <f>Europe_Sales_Records34[[#This Row],[Total Profit]]/Europe_Sales_Records34[[#This Row],[Total Revenue]]</f>
        <v>0.3976898444647759</v>
      </c>
      <c r="AA273">
        <v>1003056.03</v>
      </c>
    </row>
    <row r="274" spans="1:27" x14ac:dyDescent="0.3">
      <c r="A274" t="s">
        <v>14</v>
      </c>
      <c r="B274" t="s">
        <v>181</v>
      </c>
      <c r="C274" t="s">
        <v>22</v>
      </c>
      <c r="D274" t="s">
        <v>23</v>
      </c>
      <c r="E274" t="s">
        <v>24</v>
      </c>
      <c r="F274" t="s">
        <v>578</v>
      </c>
      <c r="G274" s="2">
        <f t="shared" si="8"/>
        <v>42116</v>
      </c>
      <c r="H274">
        <f>DAY(Europe_Sales_Records34[[#This Row],[Order Date Fixed]])</f>
        <v>22</v>
      </c>
      <c r="I274" t="str">
        <f>TEXT(Europe_Sales_Records34[[#This Row],[Order Date Fixed]],"MMM")</f>
        <v>Apr</v>
      </c>
      <c r="J274">
        <f>YEAR(Europe_Sales_Records34[[#This Row],[Order Date Fixed]])</f>
        <v>2015</v>
      </c>
      <c r="K274" t="str">
        <f>TEXT(Europe_Sales_Records34[[#This Row],[Order Date Fixed]],"MMM-YYYY")</f>
        <v>Apr-2015</v>
      </c>
      <c r="L274">
        <v>989403665</v>
      </c>
      <c r="M274" s="2">
        <f t="shared" si="9"/>
        <v>42149</v>
      </c>
      <c r="N274">
        <f>DAY(Europe_Sales_Records34[[#This Row],[Ship Date Fixed]])</f>
        <v>25</v>
      </c>
      <c r="O274" t="str">
        <f>TEXT(Europe_Sales_Records34[[#This Row],[Ship Date Fixed]],"MMM")</f>
        <v>May</v>
      </c>
      <c r="P274">
        <f>YEAR(Europe_Sales_Records34[[#This Row],[Ship Date Fixed]])</f>
        <v>2015</v>
      </c>
      <c r="Q274" t="str">
        <f>TEXT(Europe_Sales_Records34[[#This Row],[Ship Date Fixed]],"MMM-YYYY")</f>
        <v>May-2015</v>
      </c>
      <c r="R274" t="s">
        <v>579</v>
      </c>
      <c r="S274" s="3">
        <f>Europe_Sales_Records34[[#This Row],[Ship Date Fixed]]-Europe_Sales_Records34[[#This Row],[Order Date Fixed]]</f>
        <v>33</v>
      </c>
      <c r="T274">
        <v>5386</v>
      </c>
      <c r="U274">
        <v>109.28</v>
      </c>
      <c r="V274">
        <v>35.840000000000003</v>
      </c>
      <c r="W274">
        <f>Europe_Sales_Records34[[#This Row],[Total Revenue]]/Europe_Sales_Records34[[#This Row],[Units Sold]]</f>
        <v>109.27999999999999</v>
      </c>
      <c r="X274">
        <v>588582.07999999996</v>
      </c>
      <c r="Y274">
        <v>193034.23999999999</v>
      </c>
      <c r="Z274" s="4">
        <f>Europe_Sales_Records34[[#This Row],[Total Profit]]/Europe_Sales_Records34[[#This Row],[Total Revenue]]</f>
        <v>0.67203513909224022</v>
      </c>
      <c r="AA274">
        <v>395547.84</v>
      </c>
    </row>
    <row r="275" spans="1:27" x14ac:dyDescent="0.3">
      <c r="A275" t="s">
        <v>14</v>
      </c>
      <c r="B275" t="s">
        <v>138</v>
      </c>
      <c r="C275" t="s">
        <v>71</v>
      </c>
      <c r="D275" t="s">
        <v>23</v>
      </c>
      <c r="E275" t="s">
        <v>54</v>
      </c>
      <c r="F275" t="s">
        <v>580</v>
      </c>
      <c r="G275" s="2">
        <f t="shared" si="8"/>
        <v>40933</v>
      </c>
      <c r="H275">
        <f>DAY(Europe_Sales_Records34[[#This Row],[Order Date Fixed]])</f>
        <v>25</v>
      </c>
      <c r="I275" t="str">
        <f>TEXT(Europe_Sales_Records34[[#This Row],[Order Date Fixed]],"MMM")</f>
        <v>Jan</v>
      </c>
      <c r="J275">
        <f>YEAR(Europe_Sales_Records34[[#This Row],[Order Date Fixed]])</f>
        <v>2012</v>
      </c>
      <c r="K275" t="str">
        <f>TEXT(Europe_Sales_Records34[[#This Row],[Order Date Fixed]],"MMM-YYYY")</f>
        <v>Jan-2012</v>
      </c>
      <c r="L275">
        <v>516635358</v>
      </c>
      <c r="M275" s="2">
        <f t="shared" si="9"/>
        <v>40965</v>
      </c>
      <c r="N275">
        <f>DAY(Europe_Sales_Records34[[#This Row],[Ship Date Fixed]])</f>
        <v>26</v>
      </c>
      <c r="O275" t="str">
        <f>TEXT(Europe_Sales_Records34[[#This Row],[Ship Date Fixed]],"MMM")</f>
        <v>Feb</v>
      </c>
      <c r="P275">
        <f>YEAR(Europe_Sales_Records34[[#This Row],[Ship Date Fixed]])</f>
        <v>2012</v>
      </c>
      <c r="Q275" t="str">
        <f>TEXT(Europe_Sales_Records34[[#This Row],[Ship Date Fixed]],"MMM-YYYY")</f>
        <v>Feb-2012</v>
      </c>
      <c r="R275" t="s">
        <v>564</v>
      </c>
      <c r="S275" s="3">
        <f>Europe_Sales_Records34[[#This Row],[Ship Date Fixed]]-Europe_Sales_Records34[[#This Row],[Order Date Fixed]]</f>
        <v>32</v>
      </c>
      <c r="T275">
        <v>2738</v>
      </c>
      <c r="U275">
        <v>668.27</v>
      </c>
      <c r="V275">
        <v>502.54</v>
      </c>
      <c r="W275">
        <f>Europe_Sales_Records34[[#This Row],[Total Revenue]]/Europe_Sales_Records34[[#This Row],[Units Sold]]</f>
        <v>668.27</v>
      </c>
      <c r="X275">
        <v>1829723.26</v>
      </c>
      <c r="Y275">
        <v>1375954.52</v>
      </c>
      <c r="Z275" s="4">
        <f>Europe_Sales_Records34[[#This Row],[Total Profit]]/Europe_Sales_Records34[[#This Row],[Total Revenue]]</f>
        <v>0.24799856345489099</v>
      </c>
      <c r="AA275">
        <v>453768.74</v>
      </c>
    </row>
    <row r="276" spans="1:27" x14ac:dyDescent="0.3">
      <c r="A276" t="s">
        <v>14</v>
      </c>
      <c r="B276" t="s">
        <v>264</v>
      </c>
      <c r="C276" t="s">
        <v>22</v>
      </c>
      <c r="D276" t="s">
        <v>17</v>
      </c>
      <c r="E276" t="s">
        <v>24</v>
      </c>
      <c r="F276" t="s">
        <v>581</v>
      </c>
      <c r="G276" s="2">
        <f t="shared" si="8"/>
        <v>42163</v>
      </c>
      <c r="H276">
        <f>DAY(Europe_Sales_Records34[[#This Row],[Order Date Fixed]])</f>
        <v>8</v>
      </c>
      <c r="I276" t="str">
        <f>TEXT(Europe_Sales_Records34[[#This Row],[Order Date Fixed]],"MMM")</f>
        <v>Jun</v>
      </c>
      <c r="J276">
        <f>YEAR(Europe_Sales_Records34[[#This Row],[Order Date Fixed]])</f>
        <v>2015</v>
      </c>
      <c r="K276" t="str">
        <f>TEXT(Europe_Sales_Records34[[#This Row],[Order Date Fixed]],"MMM-YYYY")</f>
        <v>Jun-2015</v>
      </c>
      <c r="L276">
        <v>173122918</v>
      </c>
      <c r="M276" s="2">
        <f t="shared" si="9"/>
        <v>42210</v>
      </c>
      <c r="N276">
        <f>DAY(Europe_Sales_Records34[[#This Row],[Ship Date Fixed]])</f>
        <v>25</v>
      </c>
      <c r="O276" t="str">
        <f>TEXT(Europe_Sales_Records34[[#This Row],[Ship Date Fixed]],"MMM")</f>
        <v>Jul</v>
      </c>
      <c r="P276">
        <f>YEAR(Europe_Sales_Records34[[#This Row],[Ship Date Fixed]])</f>
        <v>2015</v>
      </c>
      <c r="Q276" t="str">
        <f>TEXT(Europe_Sales_Records34[[#This Row],[Ship Date Fixed]],"MMM-YYYY")</f>
        <v>Jul-2015</v>
      </c>
      <c r="R276" t="s">
        <v>582</v>
      </c>
      <c r="S276" s="3">
        <f>Europe_Sales_Records34[[#This Row],[Ship Date Fixed]]-Europe_Sales_Records34[[#This Row],[Order Date Fixed]]</f>
        <v>47</v>
      </c>
      <c r="T276">
        <v>9773</v>
      </c>
      <c r="U276">
        <v>109.28</v>
      </c>
      <c r="V276">
        <v>35.840000000000003</v>
      </c>
      <c r="W276">
        <f>Europe_Sales_Records34[[#This Row],[Total Revenue]]/Europe_Sales_Records34[[#This Row],[Units Sold]]</f>
        <v>109.28</v>
      </c>
      <c r="X276">
        <v>1067993.44</v>
      </c>
      <c r="Y276">
        <v>350264.32000000001</v>
      </c>
      <c r="Z276" s="4">
        <f>Europe_Sales_Records34[[#This Row],[Total Profit]]/Europe_Sales_Records34[[#This Row],[Total Revenue]]</f>
        <v>0.67203513909224011</v>
      </c>
      <c r="AA276">
        <v>717729.12</v>
      </c>
    </row>
    <row r="277" spans="1:27" x14ac:dyDescent="0.3">
      <c r="A277" t="s">
        <v>14</v>
      </c>
      <c r="B277" t="s">
        <v>271</v>
      </c>
      <c r="C277" t="s">
        <v>16</v>
      </c>
      <c r="D277" t="s">
        <v>23</v>
      </c>
      <c r="E277" t="s">
        <v>18</v>
      </c>
      <c r="F277" t="s">
        <v>583</v>
      </c>
      <c r="G277" s="2">
        <f t="shared" si="8"/>
        <v>41834</v>
      </c>
      <c r="H277">
        <f>DAY(Europe_Sales_Records34[[#This Row],[Order Date Fixed]])</f>
        <v>14</v>
      </c>
      <c r="I277" t="str">
        <f>TEXT(Europe_Sales_Records34[[#This Row],[Order Date Fixed]],"MMM")</f>
        <v>Jul</v>
      </c>
      <c r="J277">
        <f>YEAR(Europe_Sales_Records34[[#This Row],[Order Date Fixed]])</f>
        <v>2014</v>
      </c>
      <c r="K277" t="str">
        <f>TEXT(Europe_Sales_Records34[[#This Row],[Order Date Fixed]],"MMM-YYYY")</f>
        <v>Jul-2014</v>
      </c>
      <c r="L277">
        <v>357482516</v>
      </c>
      <c r="M277" s="2">
        <f t="shared" si="9"/>
        <v>41848</v>
      </c>
      <c r="N277">
        <f>DAY(Europe_Sales_Records34[[#This Row],[Ship Date Fixed]])</f>
        <v>28</v>
      </c>
      <c r="O277" t="str">
        <f>TEXT(Europe_Sales_Records34[[#This Row],[Ship Date Fixed]],"MMM")</f>
        <v>Jul</v>
      </c>
      <c r="P277">
        <f>YEAR(Europe_Sales_Records34[[#This Row],[Ship Date Fixed]])</f>
        <v>2014</v>
      </c>
      <c r="Q277" t="str">
        <f>TEXT(Europe_Sales_Records34[[#This Row],[Ship Date Fixed]],"MMM-YYYY")</f>
        <v>Jul-2014</v>
      </c>
      <c r="R277" t="s">
        <v>423</v>
      </c>
      <c r="S277" s="3">
        <f>Europe_Sales_Records34[[#This Row],[Ship Date Fixed]]-Europe_Sales_Records34[[#This Row],[Order Date Fixed]]</f>
        <v>14</v>
      </c>
      <c r="T277">
        <v>5875</v>
      </c>
      <c r="U277">
        <v>47.45</v>
      </c>
      <c r="V277">
        <v>31.79</v>
      </c>
      <c r="W277">
        <f>Europe_Sales_Records34[[#This Row],[Total Revenue]]/Europe_Sales_Records34[[#This Row],[Units Sold]]</f>
        <v>47.45</v>
      </c>
      <c r="X277">
        <v>278768.75</v>
      </c>
      <c r="Y277">
        <v>186766.25</v>
      </c>
      <c r="Z277" s="4">
        <f>Europe_Sales_Records34[[#This Row],[Total Profit]]/Europe_Sales_Records34[[#This Row],[Total Revenue]]</f>
        <v>0.33003161222339306</v>
      </c>
      <c r="AA277">
        <v>92002.5</v>
      </c>
    </row>
    <row r="278" spans="1:27" x14ac:dyDescent="0.3">
      <c r="A278" t="s">
        <v>14</v>
      </c>
      <c r="B278" t="s">
        <v>97</v>
      </c>
      <c r="C278" t="s">
        <v>37</v>
      </c>
      <c r="D278" t="s">
        <v>23</v>
      </c>
      <c r="E278" t="s">
        <v>33</v>
      </c>
      <c r="F278" t="s">
        <v>519</v>
      </c>
      <c r="G278" s="2">
        <f t="shared" si="8"/>
        <v>40196</v>
      </c>
      <c r="H278">
        <f>DAY(Europe_Sales_Records34[[#This Row],[Order Date Fixed]])</f>
        <v>18</v>
      </c>
      <c r="I278" t="str">
        <f>TEXT(Europe_Sales_Records34[[#This Row],[Order Date Fixed]],"MMM")</f>
        <v>Jan</v>
      </c>
      <c r="J278">
        <f>YEAR(Europe_Sales_Records34[[#This Row],[Order Date Fixed]])</f>
        <v>2010</v>
      </c>
      <c r="K278" t="str">
        <f>TEXT(Europe_Sales_Records34[[#This Row],[Order Date Fixed]],"MMM-YYYY")</f>
        <v>Jan-2010</v>
      </c>
      <c r="L278">
        <v>756252324</v>
      </c>
      <c r="M278" s="2">
        <f t="shared" si="9"/>
        <v>40218</v>
      </c>
      <c r="N278">
        <f>DAY(Europe_Sales_Records34[[#This Row],[Ship Date Fixed]])</f>
        <v>9</v>
      </c>
      <c r="O278" t="str">
        <f>TEXT(Europe_Sales_Records34[[#This Row],[Ship Date Fixed]],"MMM")</f>
        <v>Feb</v>
      </c>
      <c r="P278">
        <f>YEAR(Europe_Sales_Records34[[#This Row],[Ship Date Fixed]])</f>
        <v>2010</v>
      </c>
      <c r="Q278" t="str">
        <f>TEXT(Europe_Sales_Records34[[#This Row],[Ship Date Fixed]],"MMM-YYYY")</f>
        <v>Feb-2010</v>
      </c>
      <c r="R278" t="s">
        <v>584</v>
      </c>
      <c r="S278" s="3">
        <f>Europe_Sales_Records34[[#This Row],[Ship Date Fixed]]-Europe_Sales_Records34[[#This Row],[Order Date Fixed]]</f>
        <v>22</v>
      </c>
      <c r="T278">
        <v>723</v>
      </c>
      <c r="U278">
        <v>9.33</v>
      </c>
      <c r="V278">
        <v>6.92</v>
      </c>
      <c r="W278">
        <f>Europe_Sales_Records34[[#This Row],[Total Revenue]]/Europe_Sales_Records34[[#This Row],[Units Sold]]</f>
        <v>9.33</v>
      </c>
      <c r="X278">
        <v>6745.59</v>
      </c>
      <c r="Y278">
        <v>5003.16</v>
      </c>
      <c r="Z278" s="4">
        <f>Europe_Sales_Records34[[#This Row],[Total Profit]]/Europe_Sales_Records34[[#This Row],[Total Revenue]]</f>
        <v>0.25830653804930331</v>
      </c>
      <c r="AA278">
        <v>1742.43</v>
      </c>
    </row>
    <row r="279" spans="1:27" x14ac:dyDescent="0.3">
      <c r="A279" t="s">
        <v>14</v>
      </c>
      <c r="B279" t="s">
        <v>110</v>
      </c>
      <c r="C279" t="s">
        <v>22</v>
      </c>
      <c r="D279" t="s">
        <v>17</v>
      </c>
      <c r="E279" t="s">
        <v>54</v>
      </c>
      <c r="F279" t="s">
        <v>585</v>
      </c>
      <c r="G279" s="2">
        <f t="shared" si="8"/>
        <v>42690</v>
      </c>
      <c r="H279">
        <f>DAY(Europe_Sales_Records34[[#This Row],[Order Date Fixed]])</f>
        <v>16</v>
      </c>
      <c r="I279" t="str">
        <f>TEXT(Europe_Sales_Records34[[#This Row],[Order Date Fixed]],"MMM")</f>
        <v>Nov</v>
      </c>
      <c r="J279">
        <f>YEAR(Europe_Sales_Records34[[#This Row],[Order Date Fixed]])</f>
        <v>2016</v>
      </c>
      <c r="K279" t="str">
        <f>TEXT(Europe_Sales_Records34[[#This Row],[Order Date Fixed]],"MMM-YYYY")</f>
        <v>Nov-2016</v>
      </c>
      <c r="L279">
        <v>926763570</v>
      </c>
      <c r="M279" s="2">
        <f t="shared" si="9"/>
        <v>42699</v>
      </c>
      <c r="N279">
        <f>DAY(Europe_Sales_Records34[[#This Row],[Ship Date Fixed]])</f>
        <v>25</v>
      </c>
      <c r="O279" t="str">
        <f>TEXT(Europe_Sales_Records34[[#This Row],[Ship Date Fixed]],"MMM")</f>
        <v>Nov</v>
      </c>
      <c r="P279">
        <f>YEAR(Europe_Sales_Records34[[#This Row],[Ship Date Fixed]])</f>
        <v>2016</v>
      </c>
      <c r="Q279" t="str">
        <f>TEXT(Europe_Sales_Records34[[#This Row],[Ship Date Fixed]],"MMM-YYYY")</f>
        <v>Nov-2016</v>
      </c>
      <c r="R279" t="s">
        <v>586</v>
      </c>
      <c r="S279" s="3">
        <f>Europe_Sales_Records34[[#This Row],[Ship Date Fixed]]-Europe_Sales_Records34[[#This Row],[Order Date Fixed]]</f>
        <v>9</v>
      </c>
      <c r="T279">
        <v>8790</v>
      </c>
      <c r="U279">
        <v>109.28</v>
      </c>
      <c r="V279">
        <v>35.840000000000003</v>
      </c>
      <c r="W279">
        <f>Europe_Sales_Records34[[#This Row],[Total Revenue]]/Europe_Sales_Records34[[#This Row],[Units Sold]]</f>
        <v>109.28</v>
      </c>
      <c r="X279">
        <v>960571.2</v>
      </c>
      <c r="Y279">
        <v>315033.59999999998</v>
      </c>
      <c r="Z279" s="4">
        <f>Europe_Sales_Records34[[#This Row],[Total Profit]]/Europe_Sales_Records34[[#This Row],[Total Revenue]]</f>
        <v>0.67203513909224011</v>
      </c>
      <c r="AA279">
        <v>645537.6</v>
      </c>
    </row>
    <row r="280" spans="1:27" x14ac:dyDescent="0.3">
      <c r="A280" t="s">
        <v>14</v>
      </c>
      <c r="B280" t="s">
        <v>232</v>
      </c>
      <c r="C280" t="s">
        <v>71</v>
      </c>
      <c r="D280" t="s">
        <v>23</v>
      </c>
      <c r="E280" t="s">
        <v>24</v>
      </c>
      <c r="F280" t="s">
        <v>587</v>
      </c>
      <c r="G280" s="2">
        <f t="shared" si="8"/>
        <v>41575</v>
      </c>
      <c r="H280">
        <f>DAY(Europe_Sales_Records34[[#This Row],[Order Date Fixed]])</f>
        <v>28</v>
      </c>
      <c r="I280" t="str">
        <f>TEXT(Europe_Sales_Records34[[#This Row],[Order Date Fixed]],"MMM")</f>
        <v>Oct</v>
      </c>
      <c r="J280">
        <f>YEAR(Europe_Sales_Records34[[#This Row],[Order Date Fixed]])</f>
        <v>2013</v>
      </c>
      <c r="K280" t="str">
        <f>TEXT(Europe_Sales_Records34[[#This Row],[Order Date Fixed]],"MMM-YYYY")</f>
        <v>Oct-2013</v>
      </c>
      <c r="L280">
        <v>107651269</v>
      </c>
      <c r="M280" s="2">
        <f t="shared" si="9"/>
        <v>41589</v>
      </c>
      <c r="N280">
        <f>DAY(Europe_Sales_Records34[[#This Row],[Ship Date Fixed]])</f>
        <v>11</v>
      </c>
      <c r="O280" t="str">
        <f>TEXT(Europe_Sales_Records34[[#This Row],[Ship Date Fixed]],"MMM")</f>
        <v>Nov</v>
      </c>
      <c r="P280">
        <f>YEAR(Europe_Sales_Records34[[#This Row],[Ship Date Fixed]])</f>
        <v>2013</v>
      </c>
      <c r="Q280" t="str">
        <f>TEXT(Europe_Sales_Records34[[#This Row],[Ship Date Fixed]],"MMM-YYYY")</f>
        <v>Nov-2013</v>
      </c>
      <c r="R280" t="s">
        <v>588</v>
      </c>
      <c r="S280" s="3">
        <f>Europe_Sales_Records34[[#This Row],[Ship Date Fixed]]-Europe_Sales_Records34[[#This Row],[Order Date Fixed]]</f>
        <v>14</v>
      </c>
      <c r="T280">
        <v>5258</v>
      </c>
      <c r="U280">
        <v>668.27</v>
      </c>
      <c r="V280">
        <v>502.54</v>
      </c>
      <c r="W280">
        <f>Europe_Sales_Records34[[#This Row],[Total Revenue]]/Europe_Sales_Records34[[#This Row],[Units Sold]]</f>
        <v>668.27</v>
      </c>
      <c r="X280">
        <v>3513763.66</v>
      </c>
      <c r="Y280">
        <v>2642355.3199999998</v>
      </c>
      <c r="Z280" s="4">
        <f>Europe_Sales_Records34[[#This Row],[Total Profit]]/Europe_Sales_Records34[[#This Row],[Total Revenue]]</f>
        <v>0.24799856345489096</v>
      </c>
      <c r="AA280">
        <v>871408.34</v>
      </c>
    </row>
    <row r="281" spans="1:27" x14ac:dyDescent="0.3">
      <c r="A281" t="s">
        <v>14</v>
      </c>
      <c r="B281" t="s">
        <v>220</v>
      </c>
      <c r="C281" t="s">
        <v>16</v>
      </c>
      <c r="D281" t="s">
        <v>23</v>
      </c>
      <c r="E281" t="s">
        <v>54</v>
      </c>
      <c r="F281" t="s">
        <v>589</v>
      </c>
      <c r="G281" s="2">
        <f t="shared" si="8"/>
        <v>40409</v>
      </c>
      <c r="H281">
        <f>DAY(Europe_Sales_Records34[[#This Row],[Order Date Fixed]])</f>
        <v>19</v>
      </c>
      <c r="I281" t="str">
        <f>TEXT(Europe_Sales_Records34[[#This Row],[Order Date Fixed]],"MMM")</f>
        <v>Aug</v>
      </c>
      <c r="J281">
        <f>YEAR(Europe_Sales_Records34[[#This Row],[Order Date Fixed]])</f>
        <v>2010</v>
      </c>
      <c r="K281" t="str">
        <f>TEXT(Europe_Sales_Records34[[#This Row],[Order Date Fixed]],"MMM-YYYY")</f>
        <v>Aug-2010</v>
      </c>
      <c r="L281">
        <v>425547969</v>
      </c>
      <c r="M281" s="2">
        <f t="shared" si="9"/>
        <v>40432</v>
      </c>
      <c r="N281">
        <f>DAY(Europe_Sales_Records34[[#This Row],[Ship Date Fixed]])</f>
        <v>11</v>
      </c>
      <c r="O281" t="str">
        <f>TEXT(Europe_Sales_Records34[[#This Row],[Ship Date Fixed]],"MMM")</f>
        <v>Sep</v>
      </c>
      <c r="P281">
        <f>YEAR(Europe_Sales_Records34[[#This Row],[Ship Date Fixed]])</f>
        <v>2010</v>
      </c>
      <c r="Q281" t="str">
        <f>TEXT(Europe_Sales_Records34[[#This Row],[Ship Date Fixed]],"MMM-YYYY")</f>
        <v>Sep-2010</v>
      </c>
      <c r="R281" t="s">
        <v>590</v>
      </c>
      <c r="S281" s="3">
        <f>Europe_Sales_Records34[[#This Row],[Ship Date Fixed]]-Europe_Sales_Records34[[#This Row],[Order Date Fixed]]</f>
        <v>23</v>
      </c>
      <c r="T281">
        <v>7955</v>
      </c>
      <c r="U281">
        <v>47.45</v>
      </c>
      <c r="V281">
        <v>31.79</v>
      </c>
      <c r="W281">
        <f>Europe_Sales_Records34[[#This Row],[Total Revenue]]/Europe_Sales_Records34[[#This Row],[Units Sold]]</f>
        <v>47.45</v>
      </c>
      <c r="X281">
        <v>377464.75</v>
      </c>
      <c r="Y281">
        <v>252889.45</v>
      </c>
      <c r="Z281" s="4">
        <f>Europe_Sales_Records34[[#This Row],[Total Profit]]/Europe_Sales_Records34[[#This Row],[Total Revenue]]</f>
        <v>0.33003161222339306</v>
      </c>
      <c r="AA281">
        <v>124575.3</v>
      </c>
    </row>
    <row r="282" spans="1:27" x14ac:dyDescent="0.3">
      <c r="A282" t="s">
        <v>14</v>
      </c>
      <c r="B282" t="s">
        <v>36</v>
      </c>
      <c r="C282" t="s">
        <v>22</v>
      </c>
      <c r="D282" t="s">
        <v>17</v>
      </c>
      <c r="E282" t="s">
        <v>33</v>
      </c>
      <c r="F282" t="s">
        <v>591</v>
      </c>
      <c r="G282" s="2">
        <f t="shared" si="8"/>
        <v>42393</v>
      </c>
      <c r="H282">
        <f>DAY(Europe_Sales_Records34[[#This Row],[Order Date Fixed]])</f>
        <v>24</v>
      </c>
      <c r="I282" t="str">
        <f>TEXT(Europe_Sales_Records34[[#This Row],[Order Date Fixed]],"MMM")</f>
        <v>Jan</v>
      </c>
      <c r="J282">
        <f>YEAR(Europe_Sales_Records34[[#This Row],[Order Date Fixed]])</f>
        <v>2016</v>
      </c>
      <c r="K282" t="str">
        <f>TEXT(Europe_Sales_Records34[[#This Row],[Order Date Fixed]],"MMM-YYYY")</f>
        <v>Jan-2016</v>
      </c>
      <c r="L282">
        <v>264928710</v>
      </c>
      <c r="M282" s="2">
        <f t="shared" si="9"/>
        <v>42396</v>
      </c>
      <c r="N282">
        <f>DAY(Europe_Sales_Records34[[#This Row],[Ship Date Fixed]])</f>
        <v>27</v>
      </c>
      <c r="O282" t="str">
        <f>TEXT(Europe_Sales_Records34[[#This Row],[Ship Date Fixed]],"MMM")</f>
        <v>Jan</v>
      </c>
      <c r="P282">
        <f>YEAR(Europe_Sales_Records34[[#This Row],[Ship Date Fixed]])</f>
        <v>2016</v>
      </c>
      <c r="Q282" t="str">
        <f>TEXT(Europe_Sales_Records34[[#This Row],[Ship Date Fixed]],"MMM-YYYY")</f>
        <v>Jan-2016</v>
      </c>
      <c r="R282" t="s">
        <v>592</v>
      </c>
      <c r="S282" s="3">
        <f>Europe_Sales_Records34[[#This Row],[Ship Date Fixed]]-Europe_Sales_Records34[[#This Row],[Order Date Fixed]]</f>
        <v>3</v>
      </c>
      <c r="T282">
        <v>7147</v>
      </c>
      <c r="U282">
        <v>109.28</v>
      </c>
      <c r="V282">
        <v>35.840000000000003</v>
      </c>
      <c r="W282">
        <f>Europe_Sales_Records34[[#This Row],[Total Revenue]]/Europe_Sales_Records34[[#This Row],[Units Sold]]</f>
        <v>109.28</v>
      </c>
      <c r="X282">
        <v>781024.16</v>
      </c>
      <c r="Y282">
        <v>256148.48000000001</v>
      </c>
      <c r="Z282" s="4">
        <f>Europe_Sales_Records34[[#This Row],[Total Profit]]/Europe_Sales_Records34[[#This Row],[Total Revenue]]</f>
        <v>0.67203513909224011</v>
      </c>
      <c r="AA282">
        <v>524875.68000000005</v>
      </c>
    </row>
    <row r="283" spans="1:27" x14ac:dyDescent="0.3">
      <c r="A283" t="s">
        <v>14</v>
      </c>
      <c r="B283" t="s">
        <v>220</v>
      </c>
      <c r="C283" t="s">
        <v>16</v>
      </c>
      <c r="D283" t="s">
        <v>17</v>
      </c>
      <c r="E283" t="s">
        <v>33</v>
      </c>
      <c r="F283" t="s">
        <v>593</v>
      </c>
      <c r="G283" s="2">
        <f t="shared" si="8"/>
        <v>40191</v>
      </c>
      <c r="H283">
        <f>DAY(Europe_Sales_Records34[[#This Row],[Order Date Fixed]])</f>
        <v>13</v>
      </c>
      <c r="I283" t="str">
        <f>TEXT(Europe_Sales_Records34[[#This Row],[Order Date Fixed]],"MMM")</f>
        <v>Jan</v>
      </c>
      <c r="J283">
        <f>YEAR(Europe_Sales_Records34[[#This Row],[Order Date Fixed]])</f>
        <v>2010</v>
      </c>
      <c r="K283" t="str">
        <f>TEXT(Europe_Sales_Records34[[#This Row],[Order Date Fixed]],"MMM-YYYY")</f>
        <v>Jan-2010</v>
      </c>
      <c r="L283">
        <v>861180341</v>
      </c>
      <c r="M283" s="2">
        <f t="shared" si="9"/>
        <v>40229</v>
      </c>
      <c r="N283">
        <f>DAY(Europe_Sales_Records34[[#This Row],[Ship Date Fixed]])</f>
        <v>20</v>
      </c>
      <c r="O283" t="str">
        <f>TEXT(Europe_Sales_Records34[[#This Row],[Ship Date Fixed]],"MMM")</f>
        <v>Feb</v>
      </c>
      <c r="P283">
        <f>YEAR(Europe_Sales_Records34[[#This Row],[Ship Date Fixed]])</f>
        <v>2010</v>
      </c>
      <c r="Q283" t="str">
        <f>TEXT(Europe_Sales_Records34[[#This Row],[Ship Date Fixed]],"MMM-YYYY")</f>
        <v>Feb-2010</v>
      </c>
      <c r="R283" t="s">
        <v>244</v>
      </c>
      <c r="S283" s="3">
        <f>Europe_Sales_Records34[[#This Row],[Ship Date Fixed]]-Europe_Sales_Records34[[#This Row],[Order Date Fixed]]</f>
        <v>38</v>
      </c>
      <c r="T283">
        <v>1255</v>
      </c>
      <c r="U283">
        <v>47.45</v>
      </c>
      <c r="V283">
        <v>31.79</v>
      </c>
      <c r="W283">
        <f>Europe_Sales_Records34[[#This Row],[Total Revenue]]/Europe_Sales_Records34[[#This Row],[Units Sold]]</f>
        <v>47.45</v>
      </c>
      <c r="X283">
        <v>59549.75</v>
      </c>
      <c r="Y283">
        <v>39896.449999999997</v>
      </c>
      <c r="Z283" s="4">
        <f>Europe_Sales_Records34[[#This Row],[Total Profit]]/Europe_Sales_Records34[[#This Row],[Total Revenue]]</f>
        <v>0.33003161222339306</v>
      </c>
      <c r="AA283">
        <v>19653.3</v>
      </c>
    </row>
    <row r="284" spans="1:27" x14ac:dyDescent="0.3">
      <c r="A284" t="s">
        <v>14</v>
      </c>
      <c r="B284" t="s">
        <v>271</v>
      </c>
      <c r="C284" t="s">
        <v>16</v>
      </c>
      <c r="D284" t="s">
        <v>17</v>
      </c>
      <c r="E284" t="s">
        <v>24</v>
      </c>
      <c r="F284" t="s">
        <v>594</v>
      </c>
      <c r="G284" s="2">
        <f t="shared" si="8"/>
        <v>40704</v>
      </c>
      <c r="H284">
        <f>DAY(Europe_Sales_Records34[[#This Row],[Order Date Fixed]])</f>
        <v>10</v>
      </c>
      <c r="I284" t="str">
        <f>TEXT(Europe_Sales_Records34[[#This Row],[Order Date Fixed]],"MMM")</f>
        <v>Jun</v>
      </c>
      <c r="J284">
        <f>YEAR(Europe_Sales_Records34[[#This Row],[Order Date Fixed]])</f>
        <v>2011</v>
      </c>
      <c r="K284" t="str">
        <f>TEXT(Europe_Sales_Records34[[#This Row],[Order Date Fixed]],"MMM-YYYY")</f>
        <v>Jun-2011</v>
      </c>
      <c r="L284">
        <v>580569350</v>
      </c>
      <c r="M284" s="2">
        <f t="shared" si="9"/>
        <v>40727</v>
      </c>
      <c r="N284">
        <f>DAY(Europe_Sales_Records34[[#This Row],[Ship Date Fixed]])</f>
        <v>3</v>
      </c>
      <c r="O284" t="str">
        <f>TEXT(Europe_Sales_Records34[[#This Row],[Ship Date Fixed]],"MMM")</f>
        <v>Jul</v>
      </c>
      <c r="P284">
        <f>YEAR(Europe_Sales_Records34[[#This Row],[Ship Date Fixed]])</f>
        <v>2011</v>
      </c>
      <c r="Q284" t="str">
        <f>TEXT(Europe_Sales_Records34[[#This Row],[Ship Date Fixed]],"MMM-YYYY")</f>
        <v>Jul-2011</v>
      </c>
      <c r="R284" t="s">
        <v>595</v>
      </c>
      <c r="S284" s="3">
        <f>Europe_Sales_Records34[[#This Row],[Ship Date Fixed]]-Europe_Sales_Records34[[#This Row],[Order Date Fixed]]</f>
        <v>23</v>
      </c>
      <c r="T284">
        <v>2227</v>
      </c>
      <c r="U284">
        <v>47.45</v>
      </c>
      <c r="V284">
        <v>31.79</v>
      </c>
      <c r="W284">
        <f>Europe_Sales_Records34[[#This Row],[Total Revenue]]/Europe_Sales_Records34[[#This Row],[Units Sold]]</f>
        <v>47.449999999999996</v>
      </c>
      <c r="X284">
        <v>105671.15</v>
      </c>
      <c r="Y284">
        <v>70796.33</v>
      </c>
      <c r="Z284" s="4">
        <f>Europe_Sales_Records34[[#This Row],[Total Profit]]/Europe_Sales_Records34[[#This Row],[Total Revenue]]</f>
        <v>0.33003161222339306</v>
      </c>
      <c r="AA284">
        <v>34874.82</v>
      </c>
    </row>
    <row r="285" spans="1:27" x14ac:dyDescent="0.3">
      <c r="A285" t="s">
        <v>14</v>
      </c>
      <c r="B285" t="s">
        <v>83</v>
      </c>
      <c r="C285" t="s">
        <v>46</v>
      </c>
      <c r="D285" t="s">
        <v>17</v>
      </c>
      <c r="E285" t="s">
        <v>24</v>
      </c>
      <c r="F285" t="s">
        <v>596</v>
      </c>
      <c r="G285" s="2">
        <f t="shared" si="8"/>
        <v>41330</v>
      </c>
      <c r="H285">
        <f>DAY(Europe_Sales_Records34[[#This Row],[Order Date Fixed]])</f>
        <v>25</v>
      </c>
      <c r="I285" t="str">
        <f>TEXT(Europe_Sales_Records34[[#This Row],[Order Date Fixed]],"MMM")</f>
        <v>Feb</v>
      </c>
      <c r="J285">
        <f>YEAR(Europe_Sales_Records34[[#This Row],[Order Date Fixed]])</f>
        <v>2013</v>
      </c>
      <c r="K285" t="str">
        <f>TEXT(Europe_Sales_Records34[[#This Row],[Order Date Fixed]],"MMM-YYYY")</f>
        <v>Feb-2013</v>
      </c>
      <c r="L285">
        <v>559417665</v>
      </c>
      <c r="M285" s="2">
        <f t="shared" si="9"/>
        <v>41333</v>
      </c>
      <c r="N285">
        <f>DAY(Europe_Sales_Records34[[#This Row],[Ship Date Fixed]])</f>
        <v>28</v>
      </c>
      <c r="O285" t="str">
        <f>TEXT(Europe_Sales_Records34[[#This Row],[Ship Date Fixed]],"MMM")</f>
        <v>Feb</v>
      </c>
      <c r="P285">
        <f>YEAR(Europe_Sales_Records34[[#This Row],[Ship Date Fixed]])</f>
        <v>2013</v>
      </c>
      <c r="Q285" t="str">
        <f>TEXT(Europe_Sales_Records34[[#This Row],[Ship Date Fixed]],"MMM-YYYY")</f>
        <v>Feb-2013</v>
      </c>
      <c r="R285" t="s">
        <v>597</v>
      </c>
      <c r="S285" s="3">
        <f>Europe_Sales_Records34[[#This Row],[Ship Date Fixed]]-Europe_Sales_Records34[[#This Row],[Order Date Fixed]]</f>
        <v>3</v>
      </c>
      <c r="T285">
        <v>2973</v>
      </c>
      <c r="U285">
        <v>154.06</v>
      </c>
      <c r="V285">
        <v>90.93</v>
      </c>
      <c r="W285">
        <f>Europe_Sales_Records34[[#This Row],[Total Revenue]]/Europe_Sales_Records34[[#This Row],[Units Sold]]</f>
        <v>154.06</v>
      </c>
      <c r="X285">
        <v>458020.38</v>
      </c>
      <c r="Y285">
        <v>270334.89</v>
      </c>
      <c r="Z285" s="4">
        <f>Europe_Sales_Records34[[#This Row],[Total Profit]]/Europe_Sales_Records34[[#This Row],[Total Revenue]]</f>
        <v>0.40977541217707386</v>
      </c>
      <c r="AA285">
        <v>187685.49</v>
      </c>
    </row>
    <row r="286" spans="1:27" x14ac:dyDescent="0.3">
      <c r="A286" t="s">
        <v>14</v>
      </c>
      <c r="B286" t="s">
        <v>92</v>
      </c>
      <c r="C286" t="s">
        <v>71</v>
      </c>
      <c r="D286" t="s">
        <v>23</v>
      </c>
      <c r="E286" t="s">
        <v>18</v>
      </c>
      <c r="F286" t="s">
        <v>598</v>
      </c>
      <c r="G286" s="2">
        <f t="shared" si="8"/>
        <v>42237</v>
      </c>
      <c r="H286">
        <f>DAY(Europe_Sales_Records34[[#This Row],[Order Date Fixed]])</f>
        <v>21</v>
      </c>
      <c r="I286" t="str">
        <f>TEXT(Europe_Sales_Records34[[#This Row],[Order Date Fixed]],"MMM")</f>
        <v>Aug</v>
      </c>
      <c r="J286">
        <f>YEAR(Europe_Sales_Records34[[#This Row],[Order Date Fixed]])</f>
        <v>2015</v>
      </c>
      <c r="K286" t="str">
        <f>TEXT(Europe_Sales_Records34[[#This Row],[Order Date Fixed]],"MMM-YYYY")</f>
        <v>Aug-2015</v>
      </c>
      <c r="L286">
        <v>184976994</v>
      </c>
      <c r="M286" s="2">
        <f t="shared" si="9"/>
        <v>42268</v>
      </c>
      <c r="N286">
        <f>DAY(Europe_Sales_Records34[[#This Row],[Ship Date Fixed]])</f>
        <v>21</v>
      </c>
      <c r="O286" t="str">
        <f>TEXT(Europe_Sales_Records34[[#This Row],[Ship Date Fixed]],"MMM")</f>
        <v>Sep</v>
      </c>
      <c r="P286">
        <f>YEAR(Europe_Sales_Records34[[#This Row],[Ship Date Fixed]])</f>
        <v>2015</v>
      </c>
      <c r="Q286" t="str">
        <f>TEXT(Europe_Sales_Records34[[#This Row],[Ship Date Fixed]],"MMM-YYYY")</f>
        <v>Sep-2015</v>
      </c>
      <c r="R286" t="s">
        <v>599</v>
      </c>
      <c r="S286" s="3">
        <f>Europe_Sales_Records34[[#This Row],[Ship Date Fixed]]-Europe_Sales_Records34[[#This Row],[Order Date Fixed]]</f>
        <v>31</v>
      </c>
      <c r="T286">
        <v>7658</v>
      </c>
      <c r="U286">
        <v>668.27</v>
      </c>
      <c r="V286">
        <v>502.54</v>
      </c>
      <c r="W286">
        <f>Europe_Sales_Records34[[#This Row],[Total Revenue]]/Europe_Sales_Records34[[#This Row],[Units Sold]]</f>
        <v>668.27</v>
      </c>
      <c r="X286">
        <v>5117611.66</v>
      </c>
      <c r="Y286">
        <v>3848451.32</v>
      </c>
      <c r="Z286" s="4">
        <f>Europe_Sales_Records34[[#This Row],[Total Profit]]/Europe_Sales_Records34[[#This Row],[Total Revenue]]</f>
        <v>0.24799856345489099</v>
      </c>
      <c r="AA286">
        <v>1269160.3400000001</v>
      </c>
    </row>
    <row r="287" spans="1:27" x14ac:dyDescent="0.3">
      <c r="A287" t="s">
        <v>14</v>
      </c>
      <c r="B287" t="s">
        <v>105</v>
      </c>
      <c r="C287" t="s">
        <v>16</v>
      </c>
      <c r="D287" t="s">
        <v>23</v>
      </c>
      <c r="E287" t="s">
        <v>24</v>
      </c>
      <c r="F287" t="s">
        <v>600</v>
      </c>
      <c r="G287" s="2">
        <f t="shared" si="8"/>
        <v>41616</v>
      </c>
      <c r="H287">
        <f>DAY(Europe_Sales_Records34[[#This Row],[Order Date Fixed]])</f>
        <v>8</v>
      </c>
      <c r="I287" t="str">
        <f>TEXT(Europe_Sales_Records34[[#This Row],[Order Date Fixed]],"MMM")</f>
        <v>Dec</v>
      </c>
      <c r="J287">
        <f>YEAR(Europe_Sales_Records34[[#This Row],[Order Date Fixed]])</f>
        <v>2013</v>
      </c>
      <c r="K287" t="str">
        <f>TEXT(Europe_Sales_Records34[[#This Row],[Order Date Fixed]],"MMM-YYYY")</f>
        <v>Dec-2013</v>
      </c>
      <c r="L287">
        <v>874349772</v>
      </c>
      <c r="M287" s="2">
        <f t="shared" si="9"/>
        <v>41643</v>
      </c>
      <c r="N287">
        <f>DAY(Europe_Sales_Records34[[#This Row],[Ship Date Fixed]])</f>
        <v>4</v>
      </c>
      <c r="O287" t="str">
        <f>TEXT(Europe_Sales_Records34[[#This Row],[Ship Date Fixed]],"MMM")</f>
        <v>Jan</v>
      </c>
      <c r="P287">
        <f>YEAR(Europe_Sales_Records34[[#This Row],[Ship Date Fixed]])</f>
        <v>2014</v>
      </c>
      <c r="Q287" t="str">
        <f>TEXT(Europe_Sales_Records34[[#This Row],[Ship Date Fixed]],"MMM-YYYY")</f>
        <v>Jan-2014</v>
      </c>
      <c r="R287" t="s">
        <v>601</v>
      </c>
      <c r="S287" s="3">
        <f>Europe_Sales_Records34[[#This Row],[Ship Date Fixed]]-Europe_Sales_Records34[[#This Row],[Order Date Fixed]]</f>
        <v>27</v>
      </c>
      <c r="T287">
        <v>8383</v>
      </c>
      <c r="U287">
        <v>47.45</v>
      </c>
      <c r="V287">
        <v>31.79</v>
      </c>
      <c r="W287">
        <f>Europe_Sales_Records34[[#This Row],[Total Revenue]]/Europe_Sales_Records34[[#This Row],[Units Sold]]</f>
        <v>47.449999999999996</v>
      </c>
      <c r="X287">
        <v>397773.35</v>
      </c>
      <c r="Y287">
        <v>266495.57</v>
      </c>
      <c r="Z287" s="4">
        <f>Europe_Sales_Records34[[#This Row],[Total Profit]]/Europe_Sales_Records34[[#This Row],[Total Revenue]]</f>
        <v>0.33003161222339306</v>
      </c>
      <c r="AA287">
        <v>131277.78</v>
      </c>
    </row>
    <row r="288" spans="1:27" x14ac:dyDescent="0.3">
      <c r="A288" t="s">
        <v>14</v>
      </c>
      <c r="B288" t="s">
        <v>220</v>
      </c>
      <c r="C288" t="s">
        <v>71</v>
      </c>
      <c r="D288" t="s">
        <v>23</v>
      </c>
      <c r="E288" t="s">
        <v>54</v>
      </c>
      <c r="F288" t="s">
        <v>602</v>
      </c>
      <c r="G288" s="2">
        <f t="shared" si="8"/>
        <v>42689</v>
      </c>
      <c r="H288">
        <f>DAY(Europe_Sales_Records34[[#This Row],[Order Date Fixed]])</f>
        <v>15</v>
      </c>
      <c r="I288" t="str">
        <f>TEXT(Europe_Sales_Records34[[#This Row],[Order Date Fixed]],"MMM")</f>
        <v>Nov</v>
      </c>
      <c r="J288">
        <f>YEAR(Europe_Sales_Records34[[#This Row],[Order Date Fixed]])</f>
        <v>2016</v>
      </c>
      <c r="K288" t="str">
        <f>TEXT(Europe_Sales_Records34[[#This Row],[Order Date Fixed]],"MMM-YYYY")</f>
        <v>Nov-2016</v>
      </c>
      <c r="L288">
        <v>713009965</v>
      </c>
      <c r="M288" s="2">
        <f t="shared" si="9"/>
        <v>42720</v>
      </c>
      <c r="N288">
        <f>DAY(Europe_Sales_Records34[[#This Row],[Ship Date Fixed]])</f>
        <v>16</v>
      </c>
      <c r="O288" t="str">
        <f>TEXT(Europe_Sales_Records34[[#This Row],[Ship Date Fixed]],"MMM")</f>
        <v>Dec</v>
      </c>
      <c r="P288">
        <f>YEAR(Europe_Sales_Records34[[#This Row],[Ship Date Fixed]])</f>
        <v>2016</v>
      </c>
      <c r="Q288" t="str">
        <f>TEXT(Europe_Sales_Records34[[#This Row],[Ship Date Fixed]],"MMM-YYYY")</f>
        <v>Dec-2016</v>
      </c>
      <c r="R288" t="s">
        <v>603</v>
      </c>
      <c r="S288" s="3">
        <f>Europe_Sales_Records34[[#This Row],[Ship Date Fixed]]-Europe_Sales_Records34[[#This Row],[Order Date Fixed]]</f>
        <v>31</v>
      </c>
      <c r="T288">
        <v>4348</v>
      </c>
      <c r="U288">
        <v>668.27</v>
      </c>
      <c r="V288">
        <v>502.54</v>
      </c>
      <c r="W288">
        <f>Europe_Sales_Records34[[#This Row],[Total Revenue]]/Europe_Sales_Records34[[#This Row],[Units Sold]]</f>
        <v>668.27</v>
      </c>
      <c r="X288">
        <v>2905637.96</v>
      </c>
      <c r="Y288">
        <v>2185043.92</v>
      </c>
      <c r="Z288" s="4">
        <f>Europe_Sales_Records34[[#This Row],[Total Profit]]/Europe_Sales_Records34[[#This Row],[Total Revenue]]</f>
        <v>0.24799856345489099</v>
      </c>
      <c r="AA288">
        <v>720594.04</v>
      </c>
    </row>
    <row r="289" spans="1:27" x14ac:dyDescent="0.3">
      <c r="A289" t="s">
        <v>14</v>
      </c>
      <c r="B289" t="s">
        <v>220</v>
      </c>
      <c r="C289" t="s">
        <v>64</v>
      </c>
      <c r="D289" t="s">
        <v>23</v>
      </c>
      <c r="E289" t="s">
        <v>24</v>
      </c>
      <c r="F289" t="s">
        <v>604</v>
      </c>
      <c r="G289" s="2">
        <f t="shared" si="8"/>
        <v>42667</v>
      </c>
      <c r="H289">
        <f>DAY(Europe_Sales_Records34[[#This Row],[Order Date Fixed]])</f>
        <v>24</v>
      </c>
      <c r="I289" t="str">
        <f>TEXT(Europe_Sales_Records34[[#This Row],[Order Date Fixed]],"MMM")</f>
        <v>Oct</v>
      </c>
      <c r="J289">
        <f>YEAR(Europe_Sales_Records34[[#This Row],[Order Date Fixed]])</f>
        <v>2016</v>
      </c>
      <c r="K289" t="str">
        <f>TEXT(Europe_Sales_Records34[[#This Row],[Order Date Fixed]],"MMM-YYYY")</f>
        <v>Oct-2016</v>
      </c>
      <c r="L289">
        <v>569941365</v>
      </c>
      <c r="M289" s="2">
        <f t="shared" si="9"/>
        <v>42700</v>
      </c>
      <c r="N289">
        <f>DAY(Europe_Sales_Records34[[#This Row],[Ship Date Fixed]])</f>
        <v>26</v>
      </c>
      <c r="O289" t="str">
        <f>TEXT(Europe_Sales_Records34[[#This Row],[Ship Date Fixed]],"MMM")</f>
        <v>Nov</v>
      </c>
      <c r="P289">
        <f>YEAR(Europe_Sales_Records34[[#This Row],[Ship Date Fixed]])</f>
        <v>2016</v>
      </c>
      <c r="Q289" t="str">
        <f>TEXT(Europe_Sales_Records34[[#This Row],[Ship Date Fixed]],"MMM-YYYY")</f>
        <v>Nov-2016</v>
      </c>
      <c r="R289" t="s">
        <v>605</v>
      </c>
      <c r="S289" s="3">
        <f>Europe_Sales_Records34[[#This Row],[Ship Date Fixed]]-Europe_Sales_Records34[[#This Row],[Order Date Fixed]]</f>
        <v>33</v>
      </c>
      <c r="T289">
        <v>7170</v>
      </c>
      <c r="U289">
        <v>255.28</v>
      </c>
      <c r="V289">
        <v>159.41999999999999</v>
      </c>
      <c r="W289">
        <f>Europe_Sales_Records34[[#This Row],[Total Revenue]]/Europe_Sales_Records34[[#This Row],[Units Sold]]</f>
        <v>255.28</v>
      </c>
      <c r="X289">
        <v>1830357.6</v>
      </c>
      <c r="Y289">
        <v>1143041.3999999999</v>
      </c>
      <c r="Z289" s="4">
        <f>Europe_Sales_Records34[[#This Row],[Total Profit]]/Europe_Sales_Records34[[#This Row],[Total Revenue]]</f>
        <v>0.37550924475086178</v>
      </c>
      <c r="AA289">
        <v>687316.2</v>
      </c>
    </row>
    <row r="290" spans="1:27" x14ac:dyDescent="0.3">
      <c r="A290" t="s">
        <v>14</v>
      </c>
      <c r="B290" t="s">
        <v>100</v>
      </c>
      <c r="C290" t="s">
        <v>71</v>
      </c>
      <c r="D290" t="s">
        <v>23</v>
      </c>
      <c r="E290" t="s">
        <v>54</v>
      </c>
      <c r="F290" t="s">
        <v>606</v>
      </c>
      <c r="G290" s="2">
        <f t="shared" si="8"/>
        <v>40430</v>
      </c>
      <c r="H290">
        <f>DAY(Europe_Sales_Records34[[#This Row],[Order Date Fixed]])</f>
        <v>9</v>
      </c>
      <c r="I290" t="str">
        <f>TEXT(Europe_Sales_Records34[[#This Row],[Order Date Fixed]],"MMM")</f>
        <v>Sep</v>
      </c>
      <c r="J290">
        <f>YEAR(Europe_Sales_Records34[[#This Row],[Order Date Fixed]])</f>
        <v>2010</v>
      </c>
      <c r="K290" t="str">
        <f>TEXT(Europe_Sales_Records34[[#This Row],[Order Date Fixed]],"MMM-YYYY")</f>
        <v>Sep-2010</v>
      </c>
      <c r="L290">
        <v>845067346</v>
      </c>
      <c r="M290" s="2">
        <f t="shared" si="9"/>
        <v>40434</v>
      </c>
      <c r="N290">
        <f>DAY(Europe_Sales_Records34[[#This Row],[Ship Date Fixed]])</f>
        <v>13</v>
      </c>
      <c r="O290" t="str">
        <f>TEXT(Europe_Sales_Records34[[#This Row],[Ship Date Fixed]],"MMM")</f>
        <v>Sep</v>
      </c>
      <c r="P290">
        <f>YEAR(Europe_Sales_Records34[[#This Row],[Ship Date Fixed]])</f>
        <v>2010</v>
      </c>
      <c r="Q290" t="str">
        <f>TEXT(Europe_Sales_Records34[[#This Row],[Ship Date Fixed]],"MMM-YYYY")</f>
        <v>Sep-2010</v>
      </c>
      <c r="R290" t="s">
        <v>607</v>
      </c>
      <c r="S290" s="3">
        <f>Europe_Sales_Records34[[#This Row],[Ship Date Fixed]]-Europe_Sales_Records34[[#This Row],[Order Date Fixed]]</f>
        <v>4</v>
      </c>
      <c r="T290">
        <v>3062</v>
      </c>
      <c r="U290">
        <v>668.27</v>
      </c>
      <c r="V290">
        <v>502.54</v>
      </c>
      <c r="W290">
        <f>Europe_Sales_Records34[[#This Row],[Total Revenue]]/Europe_Sales_Records34[[#This Row],[Units Sold]]</f>
        <v>668.27</v>
      </c>
      <c r="X290">
        <v>2046242.74</v>
      </c>
      <c r="Y290">
        <v>1538777.48</v>
      </c>
      <c r="Z290" s="4">
        <f>Europe_Sales_Records34[[#This Row],[Total Profit]]/Europe_Sales_Records34[[#This Row],[Total Revenue]]</f>
        <v>0.24799856345489099</v>
      </c>
      <c r="AA290">
        <v>507465.26</v>
      </c>
    </row>
    <row r="291" spans="1:27" x14ac:dyDescent="0.3">
      <c r="A291" t="s">
        <v>14</v>
      </c>
      <c r="B291" t="s">
        <v>15</v>
      </c>
      <c r="C291" t="s">
        <v>37</v>
      </c>
      <c r="D291" t="s">
        <v>17</v>
      </c>
      <c r="E291" t="s">
        <v>24</v>
      </c>
      <c r="F291" t="s">
        <v>608</v>
      </c>
      <c r="G291" s="2">
        <f t="shared" si="8"/>
        <v>41967</v>
      </c>
      <c r="H291">
        <f>DAY(Europe_Sales_Records34[[#This Row],[Order Date Fixed]])</f>
        <v>24</v>
      </c>
      <c r="I291" t="str">
        <f>TEXT(Europe_Sales_Records34[[#This Row],[Order Date Fixed]],"MMM")</f>
        <v>Nov</v>
      </c>
      <c r="J291">
        <f>YEAR(Europe_Sales_Records34[[#This Row],[Order Date Fixed]])</f>
        <v>2014</v>
      </c>
      <c r="K291" t="str">
        <f>TEXT(Europe_Sales_Records34[[#This Row],[Order Date Fixed]],"MMM-YYYY")</f>
        <v>Nov-2014</v>
      </c>
      <c r="L291">
        <v>774926936</v>
      </c>
      <c r="M291" s="2">
        <f t="shared" si="9"/>
        <v>41970</v>
      </c>
      <c r="N291">
        <f>DAY(Europe_Sales_Records34[[#This Row],[Ship Date Fixed]])</f>
        <v>27</v>
      </c>
      <c r="O291" t="str">
        <f>TEXT(Europe_Sales_Records34[[#This Row],[Ship Date Fixed]],"MMM")</f>
        <v>Nov</v>
      </c>
      <c r="P291">
        <f>YEAR(Europe_Sales_Records34[[#This Row],[Ship Date Fixed]])</f>
        <v>2014</v>
      </c>
      <c r="Q291" t="str">
        <f>TEXT(Europe_Sales_Records34[[#This Row],[Ship Date Fixed]],"MMM-YYYY")</f>
        <v>Nov-2014</v>
      </c>
      <c r="R291" t="s">
        <v>609</v>
      </c>
      <c r="S291" s="3">
        <f>Europe_Sales_Records34[[#This Row],[Ship Date Fixed]]-Europe_Sales_Records34[[#This Row],[Order Date Fixed]]</f>
        <v>3</v>
      </c>
      <c r="T291">
        <v>6956</v>
      </c>
      <c r="U291">
        <v>9.33</v>
      </c>
      <c r="V291">
        <v>6.92</v>
      </c>
      <c r="W291">
        <f>Europe_Sales_Records34[[#This Row],[Total Revenue]]/Europe_Sales_Records34[[#This Row],[Units Sold]]</f>
        <v>9.33</v>
      </c>
      <c r="X291">
        <v>64899.48</v>
      </c>
      <c r="Y291">
        <v>48135.519999999997</v>
      </c>
      <c r="Z291" s="4">
        <f>Europe_Sales_Records34[[#This Row],[Total Profit]]/Europe_Sales_Records34[[#This Row],[Total Revenue]]</f>
        <v>0.25830653804930331</v>
      </c>
      <c r="AA291">
        <v>16763.96</v>
      </c>
    </row>
    <row r="292" spans="1:27" x14ac:dyDescent="0.3">
      <c r="A292" t="s">
        <v>14</v>
      </c>
      <c r="B292" t="s">
        <v>135</v>
      </c>
      <c r="C292" t="s">
        <v>64</v>
      </c>
      <c r="D292" t="s">
        <v>23</v>
      </c>
      <c r="E292" t="s">
        <v>54</v>
      </c>
      <c r="F292" t="s">
        <v>610</v>
      </c>
      <c r="G292" s="2">
        <f t="shared" si="8"/>
        <v>40669</v>
      </c>
      <c r="H292">
        <f>DAY(Europe_Sales_Records34[[#This Row],[Order Date Fixed]])</f>
        <v>6</v>
      </c>
      <c r="I292" t="str">
        <f>TEXT(Europe_Sales_Records34[[#This Row],[Order Date Fixed]],"MMM")</f>
        <v>May</v>
      </c>
      <c r="J292">
        <f>YEAR(Europe_Sales_Records34[[#This Row],[Order Date Fixed]])</f>
        <v>2011</v>
      </c>
      <c r="K292" t="str">
        <f>TEXT(Europe_Sales_Records34[[#This Row],[Order Date Fixed]],"MMM-YYYY")</f>
        <v>May-2011</v>
      </c>
      <c r="L292">
        <v>217920958</v>
      </c>
      <c r="M292" s="2">
        <f t="shared" si="9"/>
        <v>40719</v>
      </c>
      <c r="N292">
        <f>DAY(Europe_Sales_Records34[[#This Row],[Ship Date Fixed]])</f>
        <v>25</v>
      </c>
      <c r="O292" t="str">
        <f>TEXT(Europe_Sales_Records34[[#This Row],[Ship Date Fixed]],"MMM")</f>
        <v>Jun</v>
      </c>
      <c r="P292">
        <f>YEAR(Europe_Sales_Records34[[#This Row],[Ship Date Fixed]])</f>
        <v>2011</v>
      </c>
      <c r="Q292" t="str">
        <f>TEXT(Europe_Sales_Records34[[#This Row],[Ship Date Fixed]],"MMM-YYYY")</f>
        <v>Jun-2011</v>
      </c>
      <c r="R292" t="s">
        <v>401</v>
      </c>
      <c r="S292" s="3">
        <f>Europe_Sales_Records34[[#This Row],[Ship Date Fixed]]-Europe_Sales_Records34[[#This Row],[Order Date Fixed]]</f>
        <v>50</v>
      </c>
      <c r="T292">
        <v>6509</v>
      </c>
      <c r="U292">
        <v>255.28</v>
      </c>
      <c r="V292">
        <v>159.41999999999999</v>
      </c>
      <c r="W292">
        <f>Europe_Sales_Records34[[#This Row],[Total Revenue]]/Europe_Sales_Records34[[#This Row],[Units Sold]]</f>
        <v>255.28</v>
      </c>
      <c r="X292">
        <v>1661617.52</v>
      </c>
      <c r="Y292">
        <v>1037664.78</v>
      </c>
      <c r="Z292" s="4">
        <f>Europe_Sales_Records34[[#This Row],[Total Profit]]/Europe_Sales_Records34[[#This Row],[Total Revenue]]</f>
        <v>0.37550924475086178</v>
      </c>
      <c r="AA292">
        <v>623952.74</v>
      </c>
    </row>
    <row r="293" spans="1:27" x14ac:dyDescent="0.3">
      <c r="A293" t="s">
        <v>14</v>
      </c>
      <c r="B293" t="s">
        <v>138</v>
      </c>
      <c r="C293" t="s">
        <v>22</v>
      </c>
      <c r="D293" t="s">
        <v>23</v>
      </c>
      <c r="E293" t="s">
        <v>18</v>
      </c>
      <c r="F293" t="s">
        <v>611</v>
      </c>
      <c r="G293" s="2">
        <f t="shared" si="8"/>
        <v>41311</v>
      </c>
      <c r="H293">
        <f>DAY(Europe_Sales_Records34[[#This Row],[Order Date Fixed]])</f>
        <v>6</v>
      </c>
      <c r="I293" t="str">
        <f>TEXT(Europe_Sales_Records34[[#This Row],[Order Date Fixed]],"MMM")</f>
        <v>Feb</v>
      </c>
      <c r="J293">
        <f>YEAR(Europe_Sales_Records34[[#This Row],[Order Date Fixed]])</f>
        <v>2013</v>
      </c>
      <c r="K293" t="str">
        <f>TEXT(Europe_Sales_Records34[[#This Row],[Order Date Fixed]],"MMM-YYYY")</f>
        <v>Feb-2013</v>
      </c>
      <c r="L293">
        <v>523836123</v>
      </c>
      <c r="M293" s="2">
        <f t="shared" si="9"/>
        <v>41355</v>
      </c>
      <c r="N293">
        <f>DAY(Europe_Sales_Records34[[#This Row],[Ship Date Fixed]])</f>
        <v>22</v>
      </c>
      <c r="O293" t="str">
        <f>TEXT(Europe_Sales_Records34[[#This Row],[Ship Date Fixed]],"MMM")</f>
        <v>Mar</v>
      </c>
      <c r="P293">
        <f>YEAR(Europe_Sales_Records34[[#This Row],[Ship Date Fixed]])</f>
        <v>2013</v>
      </c>
      <c r="Q293" t="str">
        <f>TEXT(Europe_Sales_Records34[[#This Row],[Ship Date Fixed]],"MMM-YYYY")</f>
        <v>Mar-2013</v>
      </c>
      <c r="R293" t="s">
        <v>612</v>
      </c>
      <c r="S293" s="3">
        <f>Europe_Sales_Records34[[#This Row],[Ship Date Fixed]]-Europe_Sales_Records34[[#This Row],[Order Date Fixed]]</f>
        <v>44</v>
      </c>
      <c r="T293">
        <v>3605</v>
      </c>
      <c r="U293">
        <v>109.28</v>
      </c>
      <c r="V293">
        <v>35.840000000000003</v>
      </c>
      <c r="W293">
        <f>Europe_Sales_Records34[[#This Row],[Total Revenue]]/Europe_Sales_Records34[[#This Row],[Units Sold]]</f>
        <v>109.28</v>
      </c>
      <c r="X293">
        <v>393954.4</v>
      </c>
      <c r="Y293">
        <v>129203.2</v>
      </c>
      <c r="Z293" s="4">
        <f>Europe_Sales_Records34[[#This Row],[Total Profit]]/Europe_Sales_Records34[[#This Row],[Total Revenue]]</f>
        <v>0.67203513909224011</v>
      </c>
      <c r="AA293">
        <v>264751.2</v>
      </c>
    </row>
    <row r="294" spans="1:27" x14ac:dyDescent="0.3">
      <c r="A294" t="s">
        <v>14</v>
      </c>
      <c r="B294" t="s">
        <v>74</v>
      </c>
      <c r="C294" t="s">
        <v>46</v>
      </c>
      <c r="D294" t="s">
        <v>23</v>
      </c>
      <c r="E294" t="s">
        <v>18</v>
      </c>
      <c r="F294" t="s">
        <v>613</v>
      </c>
      <c r="G294" s="2">
        <f t="shared" si="8"/>
        <v>40853</v>
      </c>
      <c r="H294">
        <f>DAY(Europe_Sales_Records34[[#This Row],[Order Date Fixed]])</f>
        <v>6</v>
      </c>
      <c r="I294" t="str">
        <f>TEXT(Europe_Sales_Records34[[#This Row],[Order Date Fixed]],"MMM")</f>
        <v>Nov</v>
      </c>
      <c r="J294">
        <f>YEAR(Europe_Sales_Records34[[#This Row],[Order Date Fixed]])</f>
        <v>2011</v>
      </c>
      <c r="K294" t="str">
        <f>TEXT(Europe_Sales_Records34[[#This Row],[Order Date Fixed]],"MMM-YYYY")</f>
        <v>Nov-2011</v>
      </c>
      <c r="L294">
        <v>446019017</v>
      </c>
      <c r="M294" s="2">
        <f t="shared" si="9"/>
        <v>40872</v>
      </c>
      <c r="N294">
        <f>DAY(Europe_Sales_Records34[[#This Row],[Ship Date Fixed]])</f>
        <v>25</v>
      </c>
      <c r="O294" t="str">
        <f>TEXT(Europe_Sales_Records34[[#This Row],[Ship Date Fixed]],"MMM")</f>
        <v>Nov</v>
      </c>
      <c r="P294">
        <f>YEAR(Europe_Sales_Records34[[#This Row],[Ship Date Fixed]])</f>
        <v>2011</v>
      </c>
      <c r="Q294" t="str">
        <f>TEXT(Europe_Sales_Records34[[#This Row],[Ship Date Fixed]],"MMM-YYYY")</f>
        <v>Nov-2011</v>
      </c>
      <c r="R294" t="s">
        <v>534</v>
      </c>
      <c r="S294" s="3">
        <f>Europe_Sales_Records34[[#This Row],[Ship Date Fixed]]-Europe_Sales_Records34[[#This Row],[Order Date Fixed]]</f>
        <v>19</v>
      </c>
      <c r="T294">
        <v>5794</v>
      </c>
      <c r="U294">
        <v>154.06</v>
      </c>
      <c r="V294">
        <v>90.93</v>
      </c>
      <c r="W294">
        <f>Europe_Sales_Records34[[#This Row],[Total Revenue]]/Europe_Sales_Records34[[#This Row],[Units Sold]]</f>
        <v>154.06</v>
      </c>
      <c r="X294">
        <v>892623.64</v>
      </c>
      <c r="Y294">
        <v>526848.42000000004</v>
      </c>
      <c r="Z294" s="4">
        <f>Europe_Sales_Records34[[#This Row],[Total Profit]]/Europe_Sales_Records34[[#This Row],[Total Revenue]]</f>
        <v>0.40977541217707381</v>
      </c>
      <c r="AA294">
        <v>365775.22</v>
      </c>
    </row>
    <row r="295" spans="1:27" x14ac:dyDescent="0.3">
      <c r="A295" t="s">
        <v>14</v>
      </c>
      <c r="B295" t="s">
        <v>45</v>
      </c>
      <c r="C295" t="s">
        <v>22</v>
      </c>
      <c r="D295" t="s">
        <v>23</v>
      </c>
      <c r="E295" t="s">
        <v>54</v>
      </c>
      <c r="F295" t="s">
        <v>614</v>
      </c>
      <c r="G295" s="2">
        <f t="shared" si="8"/>
        <v>40677</v>
      </c>
      <c r="H295">
        <f>DAY(Europe_Sales_Records34[[#This Row],[Order Date Fixed]])</f>
        <v>14</v>
      </c>
      <c r="I295" t="str">
        <f>TEXT(Europe_Sales_Records34[[#This Row],[Order Date Fixed]],"MMM")</f>
        <v>May</v>
      </c>
      <c r="J295">
        <f>YEAR(Europe_Sales_Records34[[#This Row],[Order Date Fixed]])</f>
        <v>2011</v>
      </c>
      <c r="K295" t="str">
        <f>TEXT(Europe_Sales_Records34[[#This Row],[Order Date Fixed]],"MMM-YYYY")</f>
        <v>May-2011</v>
      </c>
      <c r="L295">
        <v>475992381</v>
      </c>
      <c r="M295" s="2">
        <f t="shared" si="9"/>
        <v>40689</v>
      </c>
      <c r="N295">
        <f>DAY(Europe_Sales_Records34[[#This Row],[Ship Date Fixed]])</f>
        <v>26</v>
      </c>
      <c r="O295" t="str">
        <f>TEXT(Europe_Sales_Records34[[#This Row],[Ship Date Fixed]],"MMM")</f>
        <v>May</v>
      </c>
      <c r="P295">
        <f>YEAR(Europe_Sales_Records34[[#This Row],[Ship Date Fixed]])</f>
        <v>2011</v>
      </c>
      <c r="Q295" t="str">
        <f>TEXT(Europe_Sales_Records34[[#This Row],[Ship Date Fixed]],"MMM-YYYY")</f>
        <v>May-2011</v>
      </c>
      <c r="R295" t="s">
        <v>521</v>
      </c>
      <c r="S295" s="3">
        <f>Europe_Sales_Records34[[#This Row],[Ship Date Fixed]]-Europe_Sales_Records34[[#This Row],[Order Date Fixed]]</f>
        <v>12</v>
      </c>
      <c r="T295">
        <v>5578</v>
      </c>
      <c r="U295">
        <v>109.28</v>
      </c>
      <c r="V295">
        <v>35.840000000000003</v>
      </c>
      <c r="W295">
        <f>Europe_Sales_Records34[[#This Row],[Total Revenue]]/Europe_Sales_Records34[[#This Row],[Units Sold]]</f>
        <v>109.28</v>
      </c>
      <c r="X295">
        <v>609563.84</v>
      </c>
      <c r="Y295">
        <v>199915.51999999999</v>
      </c>
      <c r="Z295" s="4">
        <f>Europe_Sales_Records34[[#This Row],[Total Profit]]/Europe_Sales_Records34[[#This Row],[Total Revenue]]</f>
        <v>0.67203513909224022</v>
      </c>
      <c r="AA295">
        <v>409648.32</v>
      </c>
    </row>
    <row r="296" spans="1:27" x14ac:dyDescent="0.3">
      <c r="A296" t="s">
        <v>14</v>
      </c>
      <c r="B296" t="s">
        <v>83</v>
      </c>
      <c r="C296" t="s">
        <v>32</v>
      </c>
      <c r="D296" t="s">
        <v>17</v>
      </c>
      <c r="E296" t="s">
        <v>18</v>
      </c>
      <c r="F296" t="s">
        <v>615</v>
      </c>
      <c r="G296" s="2">
        <f t="shared" si="8"/>
        <v>42795</v>
      </c>
      <c r="H296">
        <f>DAY(Europe_Sales_Records34[[#This Row],[Order Date Fixed]])</f>
        <v>1</v>
      </c>
      <c r="I296" t="str">
        <f>TEXT(Europe_Sales_Records34[[#This Row],[Order Date Fixed]],"MMM")</f>
        <v>Mar</v>
      </c>
      <c r="J296">
        <f>YEAR(Europe_Sales_Records34[[#This Row],[Order Date Fixed]])</f>
        <v>2017</v>
      </c>
      <c r="K296" t="str">
        <f>TEXT(Europe_Sales_Records34[[#This Row],[Order Date Fixed]],"MMM-YYYY")</f>
        <v>Mar-2017</v>
      </c>
      <c r="L296">
        <v>410514724</v>
      </c>
      <c r="M296" s="2">
        <f t="shared" si="9"/>
        <v>42835</v>
      </c>
      <c r="N296">
        <f>DAY(Europe_Sales_Records34[[#This Row],[Ship Date Fixed]])</f>
        <v>10</v>
      </c>
      <c r="O296" t="str">
        <f>TEXT(Europe_Sales_Records34[[#This Row],[Ship Date Fixed]],"MMM")</f>
        <v>Apr</v>
      </c>
      <c r="P296">
        <f>YEAR(Europe_Sales_Records34[[#This Row],[Ship Date Fixed]])</f>
        <v>2017</v>
      </c>
      <c r="Q296" t="str">
        <f>TEXT(Europe_Sales_Records34[[#This Row],[Ship Date Fixed]],"MMM-YYYY")</f>
        <v>Apr-2017</v>
      </c>
      <c r="R296" t="s">
        <v>616</v>
      </c>
      <c r="S296" s="3">
        <f>Europe_Sales_Records34[[#This Row],[Ship Date Fixed]]-Europe_Sales_Records34[[#This Row],[Order Date Fixed]]</f>
        <v>40</v>
      </c>
      <c r="T296">
        <v>9284</v>
      </c>
      <c r="U296">
        <v>651.21</v>
      </c>
      <c r="V296">
        <v>524.96</v>
      </c>
      <c r="W296">
        <f>Europe_Sales_Records34[[#This Row],[Total Revenue]]/Europe_Sales_Records34[[#This Row],[Units Sold]]</f>
        <v>651.20999999999992</v>
      </c>
      <c r="X296">
        <v>6045833.6399999997</v>
      </c>
      <c r="Y296">
        <v>4873728.6399999997</v>
      </c>
      <c r="Z296" s="4">
        <f>Europe_Sales_Records34[[#This Row],[Total Profit]]/Europe_Sales_Records34[[#This Row],[Total Revenue]]</f>
        <v>0.19386987300563568</v>
      </c>
      <c r="AA296">
        <v>1172105</v>
      </c>
    </row>
    <row r="297" spans="1:27" x14ac:dyDescent="0.3">
      <c r="A297" t="s">
        <v>14</v>
      </c>
      <c r="B297" t="s">
        <v>196</v>
      </c>
      <c r="C297" t="s">
        <v>102</v>
      </c>
      <c r="D297" t="s">
        <v>17</v>
      </c>
      <c r="E297" t="s">
        <v>18</v>
      </c>
      <c r="F297" t="s">
        <v>617</v>
      </c>
      <c r="G297" s="2">
        <f t="shared" si="8"/>
        <v>40251</v>
      </c>
      <c r="H297">
        <f>DAY(Europe_Sales_Records34[[#This Row],[Order Date Fixed]])</f>
        <v>14</v>
      </c>
      <c r="I297" t="str">
        <f>TEXT(Europe_Sales_Records34[[#This Row],[Order Date Fixed]],"MMM")</f>
        <v>Mar</v>
      </c>
      <c r="J297">
        <f>YEAR(Europe_Sales_Records34[[#This Row],[Order Date Fixed]])</f>
        <v>2010</v>
      </c>
      <c r="K297" t="str">
        <f>TEXT(Europe_Sales_Records34[[#This Row],[Order Date Fixed]],"MMM-YYYY")</f>
        <v>Mar-2010</v>
      </c>
      <c r="L297">
        <v>938209950</v>
      </c>
      <c r="M297" s="2">
        <f t="shared" si="9"/>
        <v>40253</v>
      </c>
      <c r="N297">
        <f>DAY(Europe_Sales_Records34[[#This Row],[Ship Date Fixed]])</f>
        <v>16</v>
      </c>
      <c r="O297" t="str">
        <f>TEXT(Europe_Sales_Records34[[#This Row],[Ship Date Fixed]],"MMM")</f>
        <v>Mar</v>
      </c>
      <c r="P297">
        <f>YEAR(Europe_Sales_Records34[[#This Row],[Ship Date Fixed]])</f>
        <v>2010</v>
      </c>
      <c r="Q297" t="str">
        <f>TEXT(Europe_Sales_Records34[[#This Row],[Ship Date Fixed]],"MMM-YYYY")</f>
        <v>Mar-2010</v>
      </c>
      <c r="R297" t="s">
        <v>618</v>
      </c>
      <c r="S297" s="3">
        <f>Europe_Sales_Records34[[#This Row],[Ship Date Fixed]]-Europe_Sales_Records34[[#This Row],[Order Date Fixed]]</f>
        <v>2</v>
      </c>
      <c r="T297">
        <v>6028</v>
      </c>
      <c r="U297">
        <v>81.73</v>
      </c>
      <c r="V297">
        <v>56.67</v>
      </c>
      <c r="W297">
        <f>Europe_Sales_Records34[[#This Row],[Total Revenue]]/Europe_Sales_Records34[[#This Row],[Units Sold]]</f>
        <v>81.73</v>
      </c>
      <c r="X297">
        <v>492668.44</v>
      </c>
      <c r="Y297">
        <v>341606.76</v>
      </c>
      <c r="Z297" s="4">
        <f>Europe_Sales_Records34[[#This Row],[Total Profit]]/Europe_Sales_Records34[[#This Row],[Total Revenue]]</f>
        <v>0.30661935641747212</v>
      </c>
      <c r="AA297">
        <v>151061.68</v>
      </c>
    </row>
    <row r="298" spans="1:27" x14ac:dyDescent="0.3">
      <c r="A298" t="s">
        <v>14</v>
      </c>
      <c r="B298" t="s">
        <v>74</v>
      </c>
      <c r="C298" t="s">
        <v>22</v>
      </c>
      <c r="D298" t="s">
        <v>17</v>
      </c>
      <c r="E298" t="s">
        <v>54</v>
      </c>
      <c r="F298" t="s">
        <v>619</v>
      </c>
      <c r="G298" s="2">
        <f t="shared" si="8"/>
        <v>42640</v>
      </c>
      <c r="H298">
        <f>DAY(Europe_Sales_Records34[[#This Row],[Order Date Fixed]])</f>
        <v>27</v>
      </c>
      <c r="I298" t="str">
        <f>TEXT(Europe_Sales_Records34[[#This Row],[Order Date Fixed]],"MMM")</f>
        <v>Sep</v>
      </c>
      <c r="J298">
        <f>YEAR(Europe_Sales_Records34[[#This Row],[Order Date Fixed]])</f>
        <v>2016</v>
      </c>
      <c r="K298" t="str">
        <f>TEXT(Europe_Sales_Records34[[#This Row],[Order Date Fixed]],"MMM-YYYY")</f>
        <v>Sep-2016</v>
      </c>
      <c r="L298">
        <v>747955071</v>
      </c>
      <c r="M298" s="2">
        <f t="shared" si="9"/>
        <v>42668</v>
      </c>
      <c r="N298">
        <f>DAY(Europe_Sales_Records34[[#This Row],[Ship Date Fixed]])</f>
        <v>25</v>
      </c>
      <c r="O298" t="str">
        <f>TEXT(Europe_Sales_Records34[[#This Row],[Ship Date Fixed]],"MMM")</f>
        <v>Oct</v>
      </c>
      <c r="P298">
        <f>YEAR(Europe_Sales_Records34[[#This Row],[Ship Date Fixed]])</f>
        <v>2016</v>
      </c>
      <c r="Q298" t="str">
        <f>TEXT(Europe_Sales_Records34[[#This Row],[Ship Date Fixed]],"MMM-YYYY")</f>
        <v>Oct-2016</v>
      </c>
      <c r="R298" t="s">
        <v>620</v>
      </c>
      <c r="S298" s="3">
        <f>Europe_Sales_Records34[[#This Row],[Ship Date Fixed]]-Europe_Sales_Records34[[#This Row],[Order Date Fixed]]</f>
        <v>28</v>
      </c>
      <c r="T298">
        <v>5382</v>
      </c>
      <c r="U298">
        <v>109.28</v>
      </c>
      <c r="V298">
        <v>35.840000000000003</v>
      </c>
      <c r="W298">
        <f>Europe_Sales_Records34[[#This Row],[Total Revenue]]/Europe_Sales_Records34[[#This Row],[Units Sold]]</f>
        <v>109.27999999999999</v>
      </c>
      <c r="X298">
        <v>588144.96</v>
      </c>
      <c r="Y298">
        <v>192890.88</v>
      </c>
      <c r="Z298" s="4">
        <f>Europe_Sales_Records34[[#This Row],[Total Profit]]/Europe_Sales_Records34[[#This Row],[Total Revenue]]</f>
        <v>0.67203513909224022</v>
      </c>
      <c r="AA298">
        <v>395254.08</v>
      </c>
    </row>
    <row r="299" spans="1:27" x14ac:dyDescent="0.3">
      <c r="A299" t="s">
        <v>14</v>
      </c>
      <c r="B299" t="s">
        <v>220</v>
      </c>
      <c r="C299" t="s">
        <v>22</v>
      </c>
      <c r="D299" t="s">
        <v>17</v>
      </c>
      <c r="E299" t="s">
        <v>33</v>
      </c>
      <c r="F299" t="s">
        <v>404</v>
      </c>
      <c r="G299" s="2">
        <f t="shared" si="8"/>
        <v>42869</v>
      </c>
      <c r="H299">
        <f>DAY(Europe_Sales_Records34[[#This Row],[Order Date Fixed]])</f>
        <v>14</v>
      </c>
      <c r="I299" t="str">
        <f>TEXT(Europe_Sales_Records34[[#This Row],[Order Date Fixed]],"MMM")</f>
        <v>May</v>
      </c>
      <c r="J299">
        <f>YEAR(Europe_Sales_Records34[[#This Row],[Order Date Fixed]])</f>
        <v>2017</v>
      </c>
      <c r="K299" t="str">
        <f>TEXT(Europe_Sales_Records34[[#This Row],[Order Date Fixed]],"MMM-YYYY")</f>
        <v>May-2017</v>
      </c>
      <c r="L299">
        <v>923160398</v>
      </c>
      <c r="M299" s="2">
        <f t="shared" si="9"/>
        <v>42901</v>
      </c>
      <c r="N299">
        <f>DAY(Europe_Sales_Records34[[#This Row],[Ship Date Fixed]])</f>
        <v>15</v>
      </c>
      <c r="O299" t="str">
        <f>TEXT(Europe_Sales_Records34[[#This Row],[Ship Date Fixed]],"MMM")</f>
        <v>Jun</v>
      </c>
      <c r="P299">
        <f>YEAR(Europe_Sales_Records34[[#This Row],[Ship Date Fixed]])</f>
        <v>2017</v>
      </c>
      <c r="Q299" t="str">
        <f>TEXT(Europe_Sales_Records34[[#This Row],[Ship Date Fixed]],"MMM-YYYY")</f>
        <v>Jun-2017</v>
      </c>
      <c r="R299" t="s">
        <v>621</v>
      </c>
      <c r="S299" s="3">
        <f>Europe_Sales_Records34[[#This Row],[Ship Date Fixed]]-Europe_Sales_Records34[[#This Row],[Order Date Fixed]]</f>
        <v>32</v>
      </c>
      <c r="T299">
        <v>2531</v>
      </c>
      <c r="U299">
        <v>109.28</v>
      </c>
      <c r="V299">
        <v>35.840000000000003</v>
      </c>
      <c r="W299">
        <f>Europe_Sales_Records34[[#This Row],[Total Revenue]]/Europe_Sales_Records34[[#This Row],[Units Sold]]</f>
        <v>109.28</v>
      </c>
      <c r="X299">
        <v>276587.68</v>
      </c>
      <c r="Y299">
        <v>90711.039999999994</v>
      </c>
      <c r="Z299" s="4">
        <f>Europe_Sales_Records34[[#This Row],[Total Profit]]/Europe_Sales_Records34[[#This Row],[Total Revenue]]</f>
        <v>0.67203513909224022</v>
      </c>
      <c r="AA299">
        <v>185876.64</v>
      </c>
    </row>
    <row r="300" spans="1:27" x14ac:dyDescent="0.3">
      <c r="A300" t="s">
        <v>14</v>
      </c>
      <c r="B300" t="s">
        <v>110</v>
      </c>
      <c r="C300" t="s">
        <v>32</v>
      </c>
      <c r="D300" t="s">
        <v>23</v>
      </c>
      <c r="E300" t="s">
        <v>54</v>
      </c>
      <c r="F300" t="s">
        <v>286</v>
      </c>
      <c r="G300" s="2">
        <f t="shared" si="8"/>
        <v>41202</v>
      </c>
      <c r="H300">
        <f>DAY(Europe_Sales_Records34[[#This Row],[Order Date Fixed]])</f>
        <v>20</v>
      </c>
      <c r="I300" t="str">
        <f>TEXT(Europe_Sales_Records34[[#This Row],[Order Date Fixed]],"MMM")</f>
        <v>Oct</v>
      </c>
      <c r="J300">
        <f>YEAR(Europe_Sales_Records34[[#This Row],[Order Date Fixed]])</f>
        <v>2012</v>
      </c>
      <c r="K300" t="str">
        <f>TEXT(Europe_Sales_Records34[[#This Row],[Order Date Fixed]],"MMM-YYYY")</f>
        <v>Oct-2012</v>
      </c>
      <c r="L300">
        <v>754227149</v>
      </c>
      <c r="M300" s="2">
        <f t="shared" si="9"/>
        <v>41237</v>
      </c>
      <c r="N300">
        <f>DAY(Europe_Sales_Records34[[#This Row],[Ship Date Fixed]])</f>
        <v>24</v>
      </c>
      <c r="O300" t="str">
        <f>TEXT(Europe_Sales_Records34[[#This Row],[Ship Date Fixed]],"MMM")</f>
        <v>Nov</v>
      </c>
      <c r="P300">
        <f>YEAR(Europe_Sales_Records34[[#This Row],[Ship Date Fixed]])</f>
        <v>2012</v>
      </c>
      <c r="Q300" t="str">
        <f>TEXT(Europe_Sales_Records34[[#This Row],[Ship Date Fixed]],"MMM-YYYY")</f>
        <v>Nov-2012</v>
      </c>
      <c r="R300" t="s">
        <v>249</v>
      </c>
      <c r="S300" s="3">
        <f>Europe_Sales_Records34[[#This Row],[Ship Date Fixed]]-Europe_Sales_Records34[[#This Row],[Order Date Fixed]]</f>
        <v>35</v>
      </c>
      <c r="T300">
        <v>1429</v>
      </c>
      <c r="U300">
        <v>651.21</v>
      </c>
      <c r="V300">
        <v>524.96</v>
      </c>
      <c r="W300">
        <f>Europe_Sales_Records34[[#This Row],[Total Revenue]]/Europe_Sales_Records34[[#This Row],[Units Sold]]</f>
        <v>651.20999999999992</v>
      </c>
      <c r="X300">
        <v>930579.09</v>
      </c>
      <c r="Y300">
        <v>750167.84</v>
      </c>
      <c r="Z300" s="4">
        <f>Europe_Sales_Records34[[#This Row],[Total Profit]]/Europe_Sales_Records34[[#This Row],[Total Revenue]]</f>
        <v>0.19386987300563566</v>
      </c>
      <c r="AA300">
        <v>180411.25</v>
      </c>
    </row>
    <row r="301" spans="1:27" x14ac:dyDescent="0.3">
      <c r="A301" t="s">
        <v>14</v>
      </c>
      <c r="B301" t="s">
        <v>115</v>
      </c>
      <c r="C301" t="s">
        <v>64</v>
      </c>
      <c r="D301" t="s">
        <v>17</v>
      </c>
      <c r="E301" t="s">
        <v>33</v>
      </c>
      <c r="F301" t="s">
        <v>622</v>
      </c>
      <c r="G301" s="2">
        <f t="shared" si="8"/>
        <v>41329</v>
      </c>
      <c r="H301">
        <f>DAY(Europe_Sales_Records34[[#This Row],[Order Date Fixed]])</f>
        <v>24</v>
      </c>
      <c r="I301" t="str">
        <f>TEXT(Europe_Sales_Records34[[#This Row],[Order Date Fixed]],"MMM")</f>
        <v>Feb</v>
      </c>
      <c r="J301">
        <f>YEAR(Europe_Sales_Records34[[#This Row],[Order Date Fixed]])</f>
        <v>2013</v>
      </c>
      <c r="K301" t="str">
        <f>TEXT(Europe_Sales_Records34[[#This Row],[Order Date Fixed]],"MMM-YYYY")</f>
        <v>Feb-2013</v>
      </c>
      <c r="L301">
        <v>357943856</v>
      </c>
      <c r="M301" s="2">
        <f t="shared" si="9"/>
        <v>41350</v>
      </c>
      <c r="N301">
        <f>DAY(Europe_Sales_Records34[[#This Row],[Ship Date Fixed]])</f>
        <v>17</v>
      </c>
      <c r="O301" t="str">
        <f>TEXT(Europe_Sales_Records34[[#This Row],[Ship Date Fixed]],"MMM")</f>
        <v>Mar</v>
      </c>
      <c r="P301">
        <f>YEAR(Europe_Sales_Records34[[#This Row],[Ship Date Fixed]])</f>
        <v>2013</v>
      </c>
      <c r="Q301" t="str">
        <f>TEXT(Europe_Sales_Records34[[#This Row],[Ship Date Fixed]],"MMM-YYYY")</f>
        <v>Mar-2013</v>
      </c>
      <c r="R301" t="s">
        <v>623</v>
      </c>
      <c r="S301" s="3">
        <f>Europe_Sales_Records34[[#This Row],[Ship Date Fixed]]-Europe_Sales_Records34[[#This Row],[Order Date Fixed]]</f>
        <v>21</v>
      </c>
      <c r="T301">
        <v>2396</v>
      </c>
      <c r="U301">
        <v>255.28</v>
      </c>
      <c r="V301">
        <v>159.41999999999999</v>
      </c>
      <c r="W301">
        <f>Europe_Sales_Records34[[#This Row],[Total Revenue]]/Europe_Sales_Records34[[#This Row],[Units Sold]]</f>
        <v>255.28</v>
      </c>
      <c r="X301">
        <v>611650.88</v>
      </c>
      <c r="Y301">
        <v>381970.32</v>
      </c>
      <c r="Z301" s="4">
        <f>Europe_Sales_Records34[[#This Row],[Total Profit]]/Europe_Sales_Records34[[#This Row],[Total Revenue]]</f>
        <v>0.37550924475086178</v>
      </c>
      <c r="AA301">
        <v>229680.56</v>
      </c>
    </row>
    <row r="302" spans="1:27" x14ac:dyDescent="0.3">
      <c r="A302" t="s">
        <v>14</v>
      </c>
      <c r="B302" t="s">
        <v>271</v>
      </c>
      <c r="C302" t="s">
        <v>75</v>
      </c>
      <c r="D302" t="s">
        <v>23</v>
      </c>
      <c r="E302" t="s">
        <v>24</v>
      </c>
      <c r="F302" t="s">
        <v>77</v>
      </c>
      <c r="G302" s="2">
        <f t="shared" si="8"/>
        <v>40571</v>
      </c>
      <c r="H302">
        <f>DAY(Europe_Sales_Records34[[#This Row],[Order Date Fixed]])</f>
        <v>28</v>
      </c>
      <c r="I302" t="str">
        <f>TEXT(Europe_Sales_Records34[[#This Row],[Order Date Fixed]],"MMM")</f>
        <v>Jan</v>
      </c>
      <c r="J302">
        <f>YEAR(Europe_Sales_Records34[[#This Row],[Order Date Fixed]])</f>
        <v>2011</v>
      </c>
      <c r="K302" t="str">
        <f>TEXT(Europe_Sales_Records34[[#This Row],[Order Date Fixed]],"MMM-YYYY")</f>
        <v>Jan-2011</v>
      </c>
      <c r="L302">
        <v>815917098</v>
      </c>
      <c r="M302" s="2">
        <f t="shared" si="9"/>
        <v>40587</v>
      </c>
      <c r="N302">
        <f>DAY(Europe_Sales_Records34[[#This Row],[Ship Date Fixed]])</f>
        <v>13</v>
      </c>
      <c r="O302" t="str">
        <f>TEXT(Europe_Sales_Records34[[#This Row],[Ship Date Fixed]],"MMM")</f>
        <v>Feb</v>
      </c>
      <c r="P302">
        <f>YEAR(Europe_Sales_Records34[[#This Row],[Ship Date Fixed]])</f>
        <v>2011</v>
      </c>
      <c r="Q302" t="str">
        <f>TEXT(Europe_Sales_Records34[[#This Row],[Ship Date Fixed]],"MMM-YYYY")</f>
        <v>Feb-2011</v>
      </c>
      <c r="R302" t="s">
        <v>624</v>
      </c>
      <c r="S302" s="3">
        <f>Europe_Sales_Records34[[#This Row],[Ship Date Fixed]]-Europe_Sales_Records34[[#This Row],[Order Date Fixed]]</f>
        <v>16</v>
      </c>
      <c r="T302">
        <v>6856</v>
      </c>
      <c r="U302">
        <v>437.2</v>
      </c>
      <c r="V302">
        <v>263.33</v>
      </c>
      <c r="W302">
        <f>Europe_Sales_Records34[[#This Row],[Total Revenue]]/Europe_Sales_Records34[[#This Row],[Units Sold]]</f>
        <v>437.20000000000005</v>
      </c>
      <c r="X302">
        <v>2997443.2</v>
      </c>
      <c r="Y302">
        <v>1805390.48</v>
      </c>
      <c r="Z302" s="4">
        <f>Europe_Sales_Records34[[#This Row],[Total Profit]]/Europe_Sales_Records34[[#This Row],[Total Revenue]]</f>
        <v>0.39768984446477579</v>
      </c>
      <c r="AA302">
        <v>1192052.72</v>
      </c>
    </row>
    <row r="303" spans="1:27" x14ac:dyDescent="0.3">
      <c r="A303" t="s">
        <v>14</v>
      </c>
      <c r="B303" t="s">
        <v>110</v>
      </c>
      <c r="C303" t="s">
        <v>22</v>
      </c>
      <c r="D303" t="s">
        <v>17</v>
      </c>
      <c r="E303" t="s">
        <v>33</v>
      </c>
      <c r="F303" t="s">
        <v>625</v>
      </c>
      <c r="G303" s="2">
        <f t="shared" si="8"/>
        <v>40545</v>
      </c>
      <c r="H303">
        <f>DAY(Europe_Sales_Records34[[#This Row],[Order Date Fixed]])</f>
        <v>2</v>
      </c>
      <c r="I303" t="str">
        <f>TEXT(Europe_Sales_Records34[[#This Row],[Order Date Fixed]],"MMM")</f>
        <v>Jan</v>
      </c>
      <c r="J303">
        <f>YEAR(Europe_Sales_Records34[[#This Row],[Order Date Fixed]])</f>
        <v>2011</v>
      </c>
      <c r="K303" t="str">
        <f>TEXT(Europe_Sales_Records34[[#This Row],[Order Date Fixed]],"MMM-YYYY")</f>
        <v>Jan-2011</v>
      </c>
      <c r="L303">
        <v>626011979</v>
      </c>
      <c r="M303" s="2">
        <f t="shared" si="9"/>
        <v>40554</v>
      </c>
      <c r="N303">
        <f>DAY(Europe_Sales_Records34[[#This Row],[Ship Date Fixed]])</f>
        <v>11</v>
      </c>
      <c r="O303" t="str">
        <f>TEXT(Europe_Sales_Records34[[#This Row],[Ship Date Fixed]],"MMM")</f>
        <v>Jan</v>
      </c>
      <c r="P303">
        <f>YEAR(Europe_Sales_Records34[[#This Row],[Ship Date Fixed]])</f>
        <v>2011</v>
      </c>
      <c r="Q303" t="str">
        <f>TEXT(Europe_Sales_Records34[[#This Row],[Ship Date Fixed]],"MMM-YYYY")</f>
        <v>Jan-2011</v>
      </c>
      <c r="R303" t="s">
        <v>626</v>
      </c>
      <c r="S303" s="3">
        <f>Europe_Sales_Records34[[#This Row],[Ship Date Fixed]]-Europe_Sales_Records34[[#This Row],[Order Date Fixed]]</f>
        <v>9</v>
      </c>
      <c r="T303">
        <v>9711</v>
      </c>
      <c r="U303">
        <v>109.28</v>
      </c>
      <c r="V303">
        <v>35.840000000000003</v>
      </c>
      <c r="W303">
        <f>Europe_Sales_Records34[[#This Row],[Total Revenue]]/Europe_Sales_Records34[[#This Row],[Units Sold]]</f>
        <v>109.28</v>
      </c>
      <c r="X303">
        <v>1061218.08</v>
      </c>
      <c r="Y303">
        <v>348042.23999999999</v>
      </c>
      <c r="Z303" s="4">
        <f>Europe_Sales_Records34[[#This Row],[Total Profit]]/Europe_Sales_Records34[[#This Row],[Total Revenue]]</f>
        <v>0.67203513909224</v>
      </c>
      <c r="AA303">
        <v>713175.84</v>
      </c>
    </row>
    <row r="304" spans="1:27" x14ac:dyDescent="0.3">
      <c r="A304" t="s">
        <v>14</v>
      </c>
      <c r="B304" t="s">
        <v>21</v>
      </c>
      <c r="C304" t="s">
        <v>64</v>
      </c>
      <c r="D304" t="s">
        <v>23</v>
      </c>
      <c r="E304" t="s">
        <v>24</v>
      </c>
      <c r="F304" t="s">
        <v>627</v>
      </c>
      <c r="G304" s="2">
        <f t="shared" si="8"/>
        <v>42095</v>
      </c>
      <c r="H304">
        <f>DAY(Europe_Sales_Records34[[#This Row],[Order Date Fixed]])</f>
        <v>1</v>
      </c>
      <c r="I304" t="str">
        <f>TEXT(Europe_Sales_Records34[[#This Row],[Order Date Fixed]],"MMM")</f>
        <v>Apr</v>
      </c>
      <c r="J304">
        <f>YEAR(Europe_Sales_Records34[[#This Row],[Order Date Fixed]])</f>
        <v>2015</v>
      </c>
      <c r="K304" t="str">
        <f>TEXT(Europe_Sales_Records34[[#This Row],[Order Date Fixed]],"MMM-YYYY")</f>
        <v>Apr-2015</v>
      </c>
      <c r="L304">
        <v>640295922</v>
      </c>
      <c r="M304" s="2">
        <f t="shared" si="9"/>
        <v>42097</v>
      </c>
      <c r="N304">
        <f>DAY(Europe_Sales_Records34[[#This Row],[Ship Date Fixed]])</f>
        <v>3</v>
      </c>
      <c r="O304" t="str">
        <f>TEXT(Europe_Sales_Records34[[#This Row],[Ship Date Fixed]],"MMM")</f>
        <v>Apr</v>
      </c>
      <c r="P304">
        <f>YEAR(Europe_Sales_Records34[[#This Row],[Ship Date Fixed]])</f>
        <v>2015</v>
      </c>
      <c r="Q304" t="str">
        <f>TEXT(Europe_Sales_Records34[[#This Row],[Ship Date Fixed]],"MMM-YYYY")</f>
        <v>Apr-2015</v>
      </c>
      <c r="R304" t="s">
        <v>628</v>
      </c>
      <c r="S304" s="3">
        <f>Europe_Sales_Records34[[#This Row],[Ship Date Fixed]]-Europe_Sales_Records34[[#This Row],[Order Date Fixed]]</f>
        <v>2</v>
      </c>
      <c r="T304">
        <v>6647</v>
      </c>
      <c r="U304">
        <v>255.28</v>
      </c>
      <c r="V304">
        <v>159.41999999999999</v>
      </c>
      <c r="W304">
        <f>Europe_Sales_Records34[[#This Row],[Total Revenue]]/Europe_Sales_Records34[[#This Row],[Units Sold]]</f>
        <v>255.28</v>
      </c>
      <c r="X304">
        <v>1696846.16</v>
      </c>
      <c r="Y304">
        <v>1059664.74</v>
      </c>
      <c r="Z304" s="4">
        <f>Europe_Sales_Records34[[#This Row],[Total Profit]]/Europe_Sales_Records34[[#This Row],[Total Revenue]]</f>
        <v>0.37550924475086184</v>
      </c>
      <c r="AA304">
        <v>637181.42000000004</v>
      </c>
    </row>
    <row r="305" spans="1:27" x14ac:dyDescent="0.3">
      <c r="A305" t="s">
        <v>14</v>
      </c>
      <c r="B305" t="s">
        <v>342</v>
      </c>
      <c r="C305" t="s">
        <v>58</v>
      </c>
      <c r="D305" t="s">
        <v>23</v>
      </c>
      <c r="E305" t="s">
        <v>18</v>
      </c>
      <c r="F305" t="s">
        <v>629</v>
      </c>
      <c r="G305" s="2">
        <f t="shared" si="8"/>
        <v>40189</v>
      </c>
      <c r="H305">
        <f>DAY(Europe_Sales_Records34[[#This Row],[Order Date Fixed]])</f>
        <v>11</v>
      </c>
      <c r="I305" t="str">
        <f>TEXT(Europe_Sales_Records34[[#This Row],[Order Date Fixed]],"MMM")</f>
        <v>Jan</v>
      </c>
      <c r="J305">
        <f>YEAR(Europe_Sales_Records34[[#This Row],[Order Date Fixed]])</f>
        <v>2010</v>
      </c>
      <c r="K305" t="str">
        <f>TEXT(Europe_Sales_Records34[[#This Row],[Order Date Fixed]],"MMM-YYYY")</f>
        <v>Jan-2010</v>
      </c>
      <c r="L305">
        <v>653920686</v>
      </c>
      <c r="M305" s="2">
        <f t="shared" si="9"/>
        <v>40196</v>
      </c>
      <c r="N305">
        <f>DAY(Europe_Sales_Records34[[#This Row],[Ship Date Fixed]])</f>
        <v>18</v>
      </c>
      <c r="O305" t="str">
        <f>TEXT(Europe_Sales_Records34[[#This Row],[Ship Date Fixed]],"MMM")</f>
        <v>Jan</v>
      </c>
      <c r="P305">
        <f>YEAR(Europe_Sales_Records34[[#This Row],[Ship Date Fixed]])</f>
        <v>2010</v>
      </c>
      <c r="Q305" t="str">
        <f>TEXT(Europe_Sales_Records34[[#This Row],[Ship Date Fixed]],"MMM-YYYY")</f>
        <v>Jan-2010</v>
      </c>
      <c r="R305" t="s">
        <v>519</v>
      </c>
      <c r="S305" s="3">
        <f>Europe_Sales_Records34[[#This Row],[Ship Date Fixed]]-Europe_Sales_Records34[[#This Row],[Order Date Fixed]]</f>
        <v>7</v>
      </c>
      <c r="T305">
        <v>8517</v>
      </c>
      <c r="U305">
        <v>152.58000000000001</v>
      </c>
      <c r="V305">
        <v>97.44</v>
      </c>
      <c r="W305">
        <f>Europe_Sales_Records34[[#This Row],[Total Revenue]]/Europe_Sales_Records34[[#This Row],[Units Sold]]</f>
        <v>152.58000000000001</v>
      </c>
      <c r="X305">
        <v>1299523.8600000001</v>
      </c>
      <c r="Y305">
        <v>829896.48</v>
      </c>
      <c r="Z305" s="4">
        <f>Europe_Sales_Records34[[#This Row],[Total Profit]]/Europe_Sales_Records34[[#This Row],[Total Revenue]]</f>
        <v>0.36138419189933146</v>
      </c>
      <c r="AA305">
        <v>469627.38</v>
      </c>
    </row>
    <row r="306" spans="1:27" x14ac:dyDescent="0.3">
      <c r="A306" t="s">
        <v>14</v>
      </c>
      <c r="B306" t="s">
        <v>169</v>
      </c>
      <c r="C306" t="s">
        <v>37</v>
      </c>
      <c r="D306" t="s">
        <v>23</v>
      </c>
      <c r="E306" t="s">
        <v>24</v>
      </c>
      <c r="F306" t="s">
        <v>630</v>
      </c>
      <c r="G306" s="2">
        <f t="shared" si="8"/>
        <v>42745</v>
      </c>
      <c r="H306">
        <f>DAY(Europe_Sales_Records34[[#This Row],[Order Date Fixed]])</f>
        <v>10</v>
      </c>
      <c r="I306" t="str">
        <f>TEXT(Europe_Sales_Records34[[#This Row],[Order Date Fixed]],"MMM")</f>
        <v>Jan</v>
      </c>
      <c r="J306">
        <f>YEAR(Europe_Sales_Records34[[#This Row],[Order Date Fixed]])</f>
        <v>2017</v>
      </c>
      <c r="K306" t="str">
        <f>TEXT(Europe_Sales_Records34[[#This Row],[Order Date Fixed]],"MMM-YYYY")</f>
        <v>Jan-2017</v>
      </c>
      <c r="L306">
        <v>994504153</v>
      </c>
      <c r="M306" s="2">
        <f t="shared" si="9"/>
        <v>42748</v>
      </c>
      <c r="N306">
        <f>DAY(Europe_Sales_Records34[[#This Row],[Ship Date Fixed]])</f>
        <v>13</v>
      </c>
      <c r="O306" t="str">
        <f>TEXT(Europe_Sales_Records34[[#This Row],[Ship Date Fixed]],"MMM")</f>
        <v>Jan</v>
      </c>
      <c r="P306">
        <f>YEAR(Europe_Sales_Records34[[#This Row],[Ship Date Fixed]])</f>
        <v>2017</v>
      </c>
      <c r="Q306" t="str">
        <f>TEXT(Europe_Sales_Records34[[#This Row],[Ship Date Fixed]],"MMM-YYYY")</f>
        <v>Jan-2017</v>
      </c>
      <c r="R306" t="s">
        <v>631</v>
      </c>
      <c r="S306" s="3">
        <f>Europe_Sales_Records34[[#This Row],[Ship Date Fixed]]-Europe_Sales_Records34[[#This Row],[Order Date Fixed]]</f>
        <v>3</v>
      </c>
      <c r="T306">
        <v>4734</v>
      </c>
      <c r="U306">
        <v>9.33</v>
      </c>
      <c r="V306">
        <v>6.92</v>
      </c>
      <c r="W306">
        <f>Europe_Sales_Records34[[#This Row],[Total Revenue]]/Europe_Sales_Records34[[#This Row],[Units Sold]]</f>
        <v>9.33</v>
      </c>
      <c r="X306">
        <v>44168.22</v>
      </c>
      <c r="Y306">
        <v>32759.279999999999</v>
      </c>
      <c r="Z306" s="4">
        <f>Europe_Sales_Records34[[#This Row],[Total Profit]]/Europe_Sales_Records34[[#This Row],[Total Revenue]]</f>
        <v>0.25830653804930331</v>
      </c>
      <c r="AA306">
        <v>11408.94</v>
      </c>
    </row>
    <row r="307" spans="1:27" x14ac:dyDescent="0.3">
      <c r="A307" t="s">
        <v>14</v>
      </c>
      <c r="B307" t="s">
        <v>15</v>
      </c>
      <c r="C307" t="s">
        <v>50</v>
      </c>
      <c r="D307" t="s">
        <v>17</v>
      </c>
      <c r="E307" t="s">
        <v>24</v>
      </c>
      <c r="F307" t="s">
        <v>632</v>
      </c>
      <c r="G307" s="2">
        <f t="shared" si="8"/>
        <v>42864</v>
      </c>
      <c r="H307">
        <f>DAY(Europe_Sales_Records34[[#This Row],[Order Date Fixed]])</f>
        <v>9</v>
      </c>
      <c r="I307" t="str">
        <f>TEXT(Europe_Sales_Records34[[#This Row],[Order Date Fixed]],"MMM")</f>
        <v>May</v>
      </c>
      <c r="J307">
        <f>YEAR(Europe_Sales_Records34[[#This Row],[Order Date Fixed]])</f>
        <v>2017</v>
      </c>
      <c r="K307" t="str">
        <f>TEXT(Europe_Sales_Records34[[#This Row],[Order Date Fixed]],"MMM-YYYY")</f>
        <v>May-2017</v>
      </c>
      <c r="L307">
        <v>920011270</v>
      </c>
      <c r="M307" s="2">
        <f t="shared" si="9"/>
        <v>42898</v>
      </c>
      <c r="N307">
        <f>DAY(Europe_Sales_Records34[[#This Row],[Ship Date Fixed]])</f>
        <v>12</v>
      </c>
      <c r="O307" t="str">
        <f>TEXT(Europe_Sales_Records34[[#This Row],[Ship Date Fixed]],"MMM")</f>
        <v>Jun</v>
      </c>
      <c r="P307">
        <f>YEAR(Europe_Sales_Records34[[#This Row],[Ship Date Fixed]])</f>
        <v>2017</v>
      </c>
      <c r="Q307" t="str">
        <f>TEXT(Europe_Sales_Records34[[#This Row],[Ship Date Fixed]],"MMM-YYYY")</f>
        <v>Jun-2017</v>
      </c>
      <c r="R307" t="s">
        <v>633</v>
      </c>
      <c r="S307" s="3">
        <f>Europe_Sales_Records34[[#This Row],[Ship Date Fixed]]-Europe_Sales_Records34[[#This Row],[Order Date Fixed]]</f>
        <v>34</v>
      </c>
      <c r="T307">
        <v>634</v>
      </c>
      <c r="U307">
        <v>421.89</v>
      </c>
      <c r="V307">
        <v>364.69</v>
      </c>
      <c r="W307">
        <f>Europe_Sales_Records34[[#This Row],[Total Revenue]]/Europe_Sales_Records34[[#This Row],[Units Sold]]</f>
        <v>421.89</v>
      </c>
      <c r="X307">
        <v>267478.26</v>
      </c>
      <c r="Y307">
        <v>231213.46</v>
      </c>
      <c r="Z307" s="4">
        <f>Europe_Sales_Records34[[#This Row],[Total Profit]]/Europe_Sales_Records34[[#This Row],[Total Revenue]]</f>
        <v>0.13558036455000119</v>
      </c>
      <c r="AA307">
        <v>36264.800000000003</v>
      </c>
    </row>
    <row r="308" spans="1:27" x14ac:dyDescent="0.3">
      <c r="A308" t="s">
        <v>14</v>
      </c>
      <c r="B308" t="s">
        <v>21</v>
      </c>
      <c r="C308" t="s">
        <v>46</v>
      </c>
      <c r="D308" t="s">
        <v>23</v>
      </c>
      <c r="E308" t="s">
        <v>24</v>
      </c>
      <c r="F308" t="s">
        <v>634</v>
      </c>
      <c r="G308" s="2">
        <f t="shared" si="8"/>
        <v>41603</v>
      </c>
      <c r="H308">
        <f>DAY(Europe_Sales_Records34[[#This Row],[Order Date Fixed]])</f>
        <v>25</v>
      </c>
      <c r="I308" t="str">
        <f>TEXT(Europe_Sales_Records34[[#This Row],[Order Date Fixed]],"MMM")</f>
        <v>Nov</v>
      </c>
      <c r="J308">
        <f>YEAR(Europe_Sales_Records34[[#This Row],[Order Date Fixed]])</f>
        <v>2013</v>
      </c>
      <c r="K308" t="str">
        <f>TEXT(Europe_Sales_Records34[[#This Row],[Order Date Fixed]],"MMM-YYYY")</f>
        <v>Nov-2013</v>
      </c>
      <c r="L308">
        <v>523707807</v>
      </c>
      <c r="M308" s="2">
        <f t="shared" si="9"/>
        <v>41624</v>
      </c>
      <c r="N308">
        <f>DAY(Europe_Sales_Records34[[#This Row],[Ship Date Fixed]])</f>
        <v>16</v>
      </c>
      <c r="O308" t="str">
        <f>TEXT(Europe_Sales_Records34[[#This Row],[Ship Date Fixed]],"MMM")</f>
        <v>Dec</v>
      </c>
      <c r="P308">
        <f>YEAR(Europe_Sales_Records34[[#This Row],[Ship Date Fixed]])</f>
        <v>2013</v>
      </c>
      <c r="Q308" t="str">
        <f>TEXT(Europe_Sales_Records34[[#This Row],[Ship Date Fixed]],"MMM-YYYY")</f>
        <v>Dec-2013</v>
      </c>
      <c r="R308" t="s">
        <v>635</v>
      </c>
      <c r="S308" s="3">
        <f>Europe_Sales_Records34[[#This Row],[Ship Date Fixed]]-Europe_Sales_Records34[[#This Row],[Order Date Fixed]]</f>
        <v>21</v>
      </c>
      <c r="T308">
        <v>5633</v>
      </c>
      <c r="U308">
        <v>154.06</v>
      </c>
      <c r="V308">
        <v>90.93</v>
      </c>
      <c r="W308">
        <f>Europe_Sales_Records34[[#This Row],[Total Revenue]]/Europe_Sales_Records34[[#This Row],[Units Sold]]</f>
        <v>154.06</v>
      </c>
      <c r="X308">
        <v>867819.98</v>
      </c>
      <c r="Y308">
        <v>512208.69</v>
      </c>
      <c r="Z308" s="4">
        <f>Europe_Sales_Records34[[#This Row],[Total Profit]]/Europe_Sales_Records34[[#This Row],[Total Revenue]]</f>
        <v>0.40977541217707386</v>
      </c>
      <c r="AA308">
        <v>355611.29</v>
      </c>
    </row>
    <row r="309" spans="1:27" x14ac:dyDescent="0.3">
      <c r="A309" t="s">
        <v>14</v>
      </c>
      <c r="B309" t="s">
        <v>57</v>
      </c>
      <c r="C309" t="s">
        <v>37</v>
      </c>
      <c r="D309" t="s">
        <v>23</v>
      </c>
      <c r="E309" t="s">
        <v>33</v>
      </c>
      <c r="F309" t="s">
        <v>636</v>
      </c>
      <c r="G309" s="2">
        <f t="shared" si="8"/>
        <v>41564</v>
      </c>
      <c r="H309">
        <f>DAY(Europe_Sales_Records34[[#This Row],[Order Date Fixed]])</f>
        <v>17</v>
      </c>
      <c r="I309" t="str">
        <f>TEXT(Europe_Sales_Records34[[#This Row],[Order Date Fixed]],"MMM")</f>
        <v>Oct</v>
      </c>
      <c r="J309">
        <f>YEAR(Europe_Sales_Records34[[#This Row],[Order Date Fixed]])</f>
        <v>2013</v>
      </c>
      <c r="K309" t="str">
        <f>TEXT(Europe_Sales_Records34[[#This Row],[Order Date Fixed]],"MMM-YYYY")</f>
        <v>Oct-2013</v>
      </c>
      <c r="L309">
        <v>791692674</v>
      </c>
      <c r="M309" s="2">
        <f t="shared" si="9"/>
        <v>41602</v>
      </c>
      <c r="N309">
        <f>DAY(Europe_Sales_Records34[[#This Row],[Ship Date Fixed]])</f>
        <v>24</v>
      </c>
      <c r="O309" t="str">
        <f>TEXT(Europe_Sales_Records34[[#This Row],[Ship Date Fixed]],"MMM")</f>
        <v>Nov</v>
      </c>
      <c r="P309">
        <f>YEAR(Europe_Sales_Records34[[#This Row],[Ship Date Fixed]])</f>
        <v>2013</v>
      </c>
      <c r="Q309" t="str">
        <f>TEXT(Europe_Sales_Records34[[#This Row],[Ship Date Fixed]],"MMM-YYYY")</f>
        <v>Nov-2013</v>
      </c>
      <c r="R309" t="s">
        <v>637</v>
      </c>
      <c r="S309" s="3">
        <f>Europe_Sales_Records34[[#This Row],[Ship Date Fixed]]-Europe_Sales_Records34[[#This Row],[Order Date Fixed]]</f>
        <v>38</v>
      </c>
      <c r="T309">
        <v>8310</v>
      </c>
      <c r="U309">
        <v>9.33</v>
      </c>
      <c r="V309">
        <v>6.92</v>
      </c>
      <c r="W309">
        <f>Europe_Sales_Records34[[#This Row],[Total Revenue]]/Europe_Sales_Records34[[#This Row],[Units Sold]]</f>
        <v>9.33</v>
      </c>
      <c r="X309">
        <v>77532.3</v>
      </c>
      <c r="Y309">
        <v>57505.2</v>
      </c>
      <c r="Z309" s="4">
        <f>Europe_Sales_Records34[[#This Row],[Total Profit]]/Europe_Sales_Records34[[#This Row],[Total Revenue]]</f>
        <v>0.25830653804930331</v>
      </c>
      <c r="AA309">
        <v>20027.099999999999</v>
      </c>
    </row>
    <row r="310" spans="1:27" x14ac:dyDescent="0.3">
      <c r="A310" t="s">
        <v>14</v>
      </c>
      <c r="B310" t="s">
        <v>169</v>
      </c>
      <c r="C310" t="s">
        <v>46</v>
      </c>
      <c r="D310" t="s">
        <v>23</v>
      </c>
      <c r="E310" t="s">
        <v>18</v>
      </c>
      <c r="F310" t="s">
        <v>425</v>
      </c>
      <c r="G310" s="2">
        <f t="shared" si="8"/>
        <v>40915</v>
      </c>
      <c r="H310">
        <f>DAY(Europe_Sales_Records34[[#This Row],[Order Date Fixed]])</f>
        <v>7</v>
      </c>
      <c r="I310" t="str">
        <f>TEXT(Europe_Sales_Records34[[#This Row],[Order Date Fixed]],"MMM")</f>
        <v>Jan</v>
      </c>
      <c r="J310">
        <f>YEAR(Europe_Sales_Records34[[#This Row],[Order Date Fixed]])</f>
        <v>2012</v>
      </c>
      <c r="K310" t="str">
        <f>TEXT(Europe_Sales_Records34[[#This Row],[Order Date Fixed]],"MMM-YYYY")</f>
        <v>Jan-2012</v>
      </c>
      <c r="L310">
        <v>715863835</v>
      </c>
      <c r="M310" s="2">
        <f t="shared" si="9"/>
        <v>40934</v>
      </c>
      <c r="N310">
        <f>DAY(Europe_Sales_Records34[[#This Row],[Ship Date Fixed]])</f>
        <v>26</v>
      </c>
      <c r="O310" t="str">
        <f>TEXT(Europe_Sales_Records34[[#This Row],[Ship Date Fixed]],"MMM")</f>
        <v>Jan</v>
      </c>
      <c r="P310">
        <f>YEAR(Europe_Sales_Records34[[#This Row],[Ship Date Fixed]])</f>
        <v>2012</v>
      </c>
      <c r="Q310" t="str">
        <f>TEXT(Europe_Sales_Records34[[#This Row],[Ship Date Fixed]],"MMM-YYYY")</f>
        <v>Jan-2012</v>
      </c>
      <c r="R310" t="s">
        <v>638</v>
      </c>
      <c r="S310" s="3">
        <f>Europe_Sales_Records34[[#This Row],[Ship Date Fixed]]-Europe_Sales_Records34[[#This Row],[Order Date Fixed]]</f>
        <v>19</v>
      </c>
      <c r="T310">
        <v>8872</v>
      </c>
      <c r="U310">
        <v>154.06</v>
      </c>
      <c r="V310">
        <v>90.93</v>
      </c>
      <c r="W310">
        <f>Europe_Sales_Records34[[#This Row],[Total Revenue]]/Europe_Sales_Records34[[#This Row],[Units Sold]]</f>
        <v>154.06</v>
      </c>
      <c r="X310">
        <v>1366820.32</v>
      </c>
      <c r="Y310">
        <v>806730.96</v>
      </c>
      <c r="Z310" s="4">
        <f>Europe_Sales_Records34[[#This Row],[Total Profit]]/Europe_Sales_Records34[[#This Row],[Total Revenue]]</f>
        <v>0.40977541217707386</v>
      </c>
      <c r="AA310">
        <v>560089.36</v>
      </c>
    </row>
    <row r="311" spans="1:27" x14ac:dyDescent="0.3">
      <c r="A311" t="s">
        <v>14</v>
      </c>
      <c r="B311" t="s">
        <v>141</v>
      </c>
      <c r="C311" t="s">
        <v>75</v>
      </c>
      <c r="D311" t="s">
        <v>17</v>
      </c>
      <c r="E311" t="s">
        <v>18</v>
      </c>
      <c r="F311" t="s">
        <v>639</v>
      </c>
      <c r="G311" s="2">
        <f t="shared" si="8"/>
        <v>40413</v>
      </c>
      <c r="H311">
        <f>DAY(Europe_Sales_Records34[[#This Row],[Order Date Fixed]])</f>
        <v>23</v>
      </c>
      <c r="I311" t="str">
        <f>TEXT(Europe_Sales_Records34[[#This Row],[Order Date Fixed]],"MMM")</f>
        <v>Aug</v>
      </c>
      <c r="J311">
        <f>YEAR(Europe_Sales_Records34[[#This Row],[Order Date Fixed]])</f>
        <v>2010</v>
      </c>
      <c r="K311" t="str">
        <f>TEXT(Europe_Sales_Records34[[#This Row],[Order Date Fixed]],"MMM-YYYY")</f>
        <v>Aug-2010</v>
      </c>
      <c r="L311">
        <v>694914710</v>
      </c>
      <c r="M311" s="2">
        <f t="shared" si="9"/>
        <v>40446</v>
      </c>
      <c r="N311">
        <f>DAY(Europe_Sales_Records34[[#This Row],[Ship Date Fixed]])</f>
        <v>25</v>
      </c>
      <c r="O311" t="str">
        <f>TEXT(Europe_Sales_Records34[[#This Row],[Ship Date Fixed]],"MMM")</f>
        <v>Sep</v>
      </c>
      <c r="P311">
        <f>YEAR(Europe_Sales_Records34[[#This Row],[Ship Date Fixed]])</f>
        <v>2010</v>
      </c>
      <c r="Q311" t="str">
        <f>TEXT(Europe_Sales_Records34[[#This Row],[Ship Date Fixed]],"MMM-YYYY")</f>
        <v>Sep-2010</v>
      </c>
      <c r="R311" t="s">
        <v>640</v>
      </c>
      <c r="S311" s="3">
        <f>Europe_Sales_Records34[[#This Row],[Ship Date Fixed]]-Europe_Sales_Records34[[#This Row],[Order Date Fixed]]</f>
        <v>33</v>
      </c>
      <c r="T311">
        <v>9560</v>
      </c>
      <c r="U311">
        <v>437.2</v>
      </c>
      <c r="V311">
        <v>263.33</v>
      </c>
      <c r="W311">
        <f>Europe_Sales_Records34[[#This Row],[Total Revenue]]/Europe_Sales_Records34[[#This Row],[Units Sold]]</f>
        <v>437.2</v>
      </c>
      <c r="X311">
        <v>4179632</v>
      </c>
      <c r="Y311">
        <v>2517434.7999999998</v>
      </c>
      <c r="Z311" s="4">
        <f>Europe_Sales_Records34[[#This Row],[Total Profit]]/Europe_Sales_Records34[[#This Row],[Total Revenue]]</f>
        <v>0.39768984446477584</v>
      </c>
      <c r="AA311">
        <v>1662197.2</v>
      </c>
    </row>
    <row r="312" spans="1:27" x14ac:dyDescent="0.3">
      <c r="A312" t="s">
        <v>14</v>
      </c>
      <c r="B312" t="s">
        <v>181</v>
      </c>
      <c r="C312" t="s">
        <v>64</v>
      </c>
      <c r="D312" t="s">
        <v>23</v>
      </c>
      <c r="E312" t="s">
        <v>24</v>
      </c>
      <c r="F312" t="s">
        <v>641</v>
      </c>
      <c r="G312" s="2">
        <f t="shared" si="8"/>
        <v>42329</v>
      </c>
      <c r="H312">
        <f>DAY(Europe_Sales_Records34[[#This Row],[Order Date Fixed]])</f>
        <v>21</v>
      </c>
      <c r="I312" t="str">
        <f>TEXT(Europe_Sales_Records34[[#This Row],[Order Date Fixed]],"MMM")</f>
        <v>Nov</v>
      </c>
      <c r="J312">
        <f>YEAR(Europe_Sales_Records34[[#This Row],[Order Date Fixed]])</f>
        <v>2015</v>
      </c>
      <c r="K312" t="str">
        <f>TEXT(Europe_Sales_Records34[[#This Row],[Order Date Fixed]],"MMM-YYYY")</f>
        <v>Nov-2015</v>
      </c>
      <c r="L312">
        <v>525472486</v>
      </c>
      <c r="M312" s="2">
        <f t="shared" si="9"/>
        <v>42331</v>
      </c>
      <c r="N312">
        <f>DAY(Europe_Sales_Records34[[#This Row],[Ship Date Fixed]])</f>
        <v>23</v>
      </c>
      <c r="O312" t="str">
        <f>TEXT(Europe_Sales_Records34[[#This Row],[Ship Date Fixed]],"MMM")</f>
        <v>Nov</v>
      </c>
      <c r="P312">
        <f>YEAR(Europe_Sales_Records34[[#This Row],[Ship Date Fixed]])</f>
        <v>2015</v>
      </c>
      <c r="Q312" t="str">
        <f>TEXT(Europe_Sales_Records34[[#This Row],[Ship Date Fixed]],"MMM-YYYY")</f>
        <v>Nov-2015</v>
      </c>
      <c r="R312" t="s">
        <v>642</v>
      </c>
      <c r="S312" s="3">
        <f>Europe_Sales_Records34[[#This Row],[Ship Date Fixed]]-Europe_Sales_Records34[[#This Row],[Order Date Fixed]]</f>
        <v>2</v>
      </c>
      <c r="T312">
        <v>7840</v>
      </c>
      <c r="U312">
        <v>255.28</v>
      </c>
      <c r="V312">
        <v>159.41999999999999</v>
      </c>
      <c r="W312">
        <f>Europe_Sales_Records34[[#This Row],[Total Revenue]]/Europe_Sales_Records34[[#This Row],[Units Sold]]</f>
        <v>255.28</v>
      </c>
      <c r="X312">
        <v>2001395.2</v>
      </c>
      <c r="Y312">
        <v>1249852.8</v>
      </c>
      <c r="Z312" s="4">
        <f>Europe_Sales_Records34[[#This Row],[Total Profit]]/Europe_Sales_Records34[[#This Row],[Total Revenue]]</f>
        <v>0.37550924475086184</v>
      </c>
      <c r="AA312">
        <v>751542.4</v>
      </c>
    </row>
    <row r="313" spans="1:27" x14ac:dyDescent="0.3">
      <c r="A313" t="s">
        <v>14</v>
      </c>
      <c r="B313" t="s">
        <v>364</v>
      </c>
      <c r="C313" t="s">
        <v>37</v>
      </c>
      <c r="D313" t="s">
        <v>23</v>
      </c>
      <c r="E313" t="s">
        <v>33</v>
      </c>
      <c r="F313" t="s">
        <v>643</v>
      </c>
      <c r="G313" s="2">
        <f t="shared" si="8"/>
        <v>41210</v>
      </c>
      <c r="H313">
        <f>DAY(Europe_Sales_Records34[[#This Row],[Order Date Fixed]])</f>
        <v>28</v>
      </c>
      <c r="I313" t="str">
        <f>TEXT(Europe_Sales_Records34[[#This Row],[Order Date Fixed]],"MMM")</f>
        <v>Oct</v>
      </c>
      <c r="J313">
        <f>YEAR(Europe_Sales_Records34[[#This Row],[Order Date Fixed]])</f>
        <v>2012</v>
      </c>
      <c r="K313" t="str">
        <f>TEXT(Europe_Sales_Records34[[#This Row],[Order Date Fixed]],"MMM-YYYY")</f>
        <v>Oct-2012</v>
      </c>
      <c r="L313">
        <v>496826493</v>
      </c>
      <c r="M313" s="2">
        <f t="shared" si="9"/>
        <v>41254</v>
      </c>
      <c r="N313">
        <f>DAY(Europe_Sales_Records34[[#This Row],[Ship Date Fixed]])</f>
        <v>11</v>
      </c>
      <c r="O313" t="str">
        <f>TEXT(Europe_Sales_Records34[[#This Row],[Ship Date Fixed]],"MMM")</f>
        <v>Dec</v>
      </c>
      <c r="P313">
        <f>YEAR(Europe_Sales_Records34[[#This Row],[Ship Date Fixed]])</f>
        <v>2012</v>
      </c>
      <c r="Q313" t="str">
        <f>TEXT(Europe_Sales_Records34[[#This Row],[Ship Date Fixed]],"MMM-YYYY")</f>
        <v>Dec-2012</v>
      </c>
      <c r="R313" t="s">
        <v>514</v>
      </c>
      <c r="S313" s="3">
        <f>Europe_Sales_Records34[[#This Row],[Ship Date Fixed]]-Europe_Sales_Records34[[#This Row],[Order Date Fixed]]</f>
        <v>44</v>
      </c>
      <c r="T313">
        <v>855</v>
      </c>
      <c r="U313">
        <v>9.33</v>
      </c>
      <c r="V313">
        <v>6.92</v>
      </c>
      <c r="W313">
        <f>Europe_Sales_Records34[[#This Row],[Total Revenue]]/Europe_Sales_Records34[[#This Row],[Units Sold]]</f>
        <v>9.33</v>
      </c>
      <c r="X313">
        <v>7977.15</v>
      </c>
      <c r="Y313">
        <v>5916.6</v>
      </c>
      <c r="Z313" s="4">
        <f>Europe_Sales_Records34[[#This Row],[Total Profit]]/Europe_Sales_Records34[[#This Row],[Total Revenue]]</f>
        <v>0.25830653804930337</v>
      </c>
      <c r="AA313">
        <v>2060.5500000000002</v>
      </c>
    </row>
    <row r="314" spans="1:27" x14ac:dyDescent="0.3">
      <c r="A314" t="s">
        <v>14</v>
      </c>
      <c r="B314" t="s">
        <v>92</v>
      </c>
      <c r="C314" t="s">
        <v>28</v>
      </c>
      <c r="D314" t="s">
        <v>23</v>
      </c>
      <c r="E314" t="s">
        <v>33</v>
      </c>
      <c r="F314" t="s">
        <v>644</v>
      </c>
      <c r="G314" s="2">
        <f t="shared" si="8"/>
        <v>40179</v>
      </c>
      <c r="H314">
        <f>DAY(Europe_Sales_Records34[[#This Row],[Order Date Fixed]])</f>
        <v>1</v>
      </c>
      <c r="I314" t="str">
        <f>TEXT(Europe_Sales_Records34[[#This Row],[Order Date Fixed]],"MMM")</f>
        <v>Jan</v>
      </c>
      <c r="J314">
        <f>YEAR(Europe_Sales_Records34[[#This Row],[Order Date Fixed]])</f>
        <v>2010</v>
      </c>
      <c r="K314" t="str">
        <f>TEXT(Europe_Sales_Records34[[#This Row],[Order Date Fixed]],"MMM-YYYY")</f>
        <v>Jan-2010</v>
      </c>
      <c r="L314">
        <v>940682303</v>
      </c>
      <c r="M314" s="2">
        <f t="shared" si="9"/>
        <v>40218</v>
      </c>
      <c r="N314">
        <f>DAY(Europe_Sales_Records34[[#This Row],[Ship Date Fixed]])</f>
        <v>9</v>
      </c>
      <c r="O314" t="str">
        <f>TEXT(Europe_Sales_Records34[[#This Row],[Ship Date Fixed]],"MMM")</f>
        <v>Feb</v>
      </c>
      <c r="P314">
        <f>YEAR(Europe_Sales_Records34[[#This Row],[Ship Date Fixed]])</f>
        <v>2010</v>
      </c>
      <c r="Q314" t="str">
        <f>TEXT(Europe_Sales_Records34[[#This Row],[Ship Date Fixed]],"MMM-YYYY")</f>
        <v>Feb-2010</v>
      </c>
      <c r="R314" t="s">
        <v>584</v>
      </c>
      <c r="S314" s="3">
        <f>Europe_Sales_Records34[[#This Row],[Ship Date Fixed]]-Europe_Sales_Records34[[#This Row],[Order Date Fixed]]</f>
        <v>39</v>
      </c>
      <c r="T314">
        <v>7652</v>
      </c>
      <c r="U314">
        <v>205.7</v>
      </c>
      <c r="V314">
        <v>117.11</v>
      </c>
      <c r="W314">
        <f>Europe_Sales_Records34[[#This Row],[Total Revenue]]/Europe_Sales_Records34[[#This Row],[Units Sold]]</f>
        <v>205.7</v>
      </c>
      <c r="X314">
        <v>1574016.4</v>
      </c>
      <c r="Y314">
        <v>896125.72</v>
      </c>
      <c r="Z314" s="4">
        <f>Europe_Sales_Records34[[#This Row],[Total Profit]]/Europe_Sales_Records34[[#This Row],[Total Revenue]]</f>
        <v>0.43067574137092862</v>
      </c>
      <c r="AA314">
        <v>677890.68</v>
      </c>
    </row>
    <row r="315" spans="1:27" x14ac:dyDescent="0.3">
      <c r="A315" t="s">
        <v>14</v>
      </c>
      <c r="B315" t="s">
        <v>115</v>
      </c>
      <c r="C315" t="s">
        <v>37</v>
      </c>
      <c r="D315" t="s">
        <v>17</v>
      </c>
      <c r="E315" t="s">
        <v>18</v>
      </c>
      <c r="F315" t="s">
        <v>645</v>
      </c>
      <c r="G315" s="2">
        <f t="shared" si="8"/>
        <v>41918</v>
      </c>
      <c r="H315">
        <f>DAY(Europe_Sales_Records34[[#This Row],[Order Date Fixed]])</f>
        <v>6</v>
      </c>
      <c r="I315" t="str">
        <f>TEXT(Europe_Sales_Records34[[#This Row],[Order Date Fixed]],"MMM")</f>
        <v>Oct</v>
      </c>
      <c r="J315">
        <f>YEAR(Europe_Sales_Records34[[#This Row],[Order Date Fixed]])</f>
        <v>2014</v>
      </c>
      <c r="K315" t="str">
        <f>TEXT(Europe_Sales_Records34[[#This Row],[Order Date Fixed]],"MMM-YYYY")</f>
        <v>Oct-2014</v>
      </c>
      <c r="L315">
        <v>381774747</v>
      </c>
      <c r="M315" s="2">
        <f t="shared" si="9"/>
        <v>41935</v>
      </c>
      <c r="N315">
        <f>DAY(Europe_Sales_Records34[[#This Row],[Ship Date Fixed]])</f>
        <v>23</v>
      </c>
      <c r="O315" t="str">
        <f>TEXT(Europe_Sales_Records34[[#This Row],[Ship Date Fixed]],"MMM")</f>
        <v>Oct</v>
      </c>
      <c r="P315">
        <f>YEAR(Europe_Sales_Records34[[#This Row],[Ship Date Fixed]])</f>
        <v>2014</v>
      </c>
      <c r="Q315" t="str">
        <f>TEXT(Europe_Sales_Records34[[#This Row],[Ship Date Fixed]],"MMM-YYYY")</f>
        <v>Oct-2014</v>
      </c>
      <c r="R315" t="s">
        <v>646</v>
      </c>
      <c r="S315" s="3">
        <f>Europe_Sales_Records34[[#This Row],[Ship Date Fixed]]-Europe_Sales_Records34[[#This Row],[Order Date Fixed]]</f>
        <v>17</v>
      </c>
      <c r="T315">
        <v>4486</v>
      </c>
      <c r="U315">
        <v>9.33</v>
      </c>
      <c r="V315">
        <v>6.92</v>
      </c>
      <c r="W315">
        <f>Europe_Sales_Records34[[#This Row],[Total Revenue]]/Europe_Sales_Records34[[#This Row],[Units Sold]]</f>
        <v>9.33</v>
      </c>
      <c r="X315">
        <v>41854.379999999997</v>
      </c>
      <c r="Y315">
        <v>31043.119999999999</v>
      </c>
      <c r="Z315" s="4">
        <f>Europe_Sales_Records34[[#This Row],[Total Profit]]/Europe_Sales_Records34[[#This Row],[Total Revenue]]</f>
        <v>0.25830653804930337</v>
      </c>
      <c r="AA315">
        <v>10811.26</v>
      </c>
    </row>
    <row r="316" spans="1:27" x14ac:dyDescent="0.3">
      <c r="A316" t="s">
        <v>14</v>
      </c>
      <c r="B316" t="s">
        <v>271</v>
      </c>
      <c r="C316" t="s">
        <v>46</v>
      </c>
      <c r="D316" t="s">
        <v>23</v>
      </c>
      <c r="E316" t="s">
        <v>54</v>
      </c>
      <c r="F316" t="s">
        <v>647</v>
      </c>
      <c r="G316" s="2">
        <f t="shared" si="8"/>
        <v>42340</v>
      </c>
      <c r="H316">
        <f>DAY(Europe_Sales_Records34[[#This Row],[Order Date Fixed]])</f>
        <v>2</v>
      </c>
      <c r="I316" t="str">
        <f>TEXT(Europe_Sales_Records34[[#This Row],[Order Date Fixed]],"MMM")</f>
        <v>Dec</v>
      </c>
      <c r="J316">
        <f>YEAR(Europe_Sales_Records34[[#This Row],[Order Date Fixed]])</f>
        <v>2015</v>
      </c>
      <c r="K316" t="str">
        <f>TEXT(Europe_Sales_Records34[[#This Row],[Order Date Fixed]],"MMM-YYYY")</f>
        <v>Dec-2015</v>
      </c>
      <c r="L316">
        <v>934718358</v>
      </c>
      <c r="M316" s="2">
        <f t="shared" si="9"/>
        <v>42354</v>
      </c>
      <c r="N316">
        <f>DAY(Europe_Sales_Records34[[#This Row],[Ship Date Fixed]])</f>
        <v>16</v>
      </c>
      <c r="O316" t="str">
        <f>TEXT(Europe_Sales_Records34[[#This Row],[Ship Date Fixed]],"MMM")</f>
        <v>Dec</v>
      </c>
      <c r="P316">
        <f>YEAR(Europe_Sales_Records34[[#This Row],[Ship Date Fixed]])</f>
        <v>2015</v>
      </c>
      <c r="Q316" t="str">
        <f>TEXT(Europe_Sales_Records34[[#This Row],[Ship Date Fixed]],"MMM-YYYY")</f>
        <v>Dec-2015</v>
      </c>
      <c r="R316" t="s">
        <v>648</v>
      </c>
      <c r="S316" s="3">
        <f>Europe_Sales_Records34[[#This Row],[Ship Date Fixed]]-Europe_Sales_Records34[[#This Row],[Order Date Fixed]]</f>
        <v>14</v>
      </c>
      <c r="T316">
        <v>2789</v>
      </c>
      <c r="U316">
        <v>154.06</v>
      </c>
      <c r="V316">
        <v>90.93</v>
      </c>
      <c r="W316">
        <f>Europe_Sales_Records34[[#This Row],[Total Revenue]]/Europe_Sales_Records34[[#This Row],[Units Sold]]</f>
        <v>154.06</v>
      </c>
      <c r="X316">
        <v>429673.34</v>
      </c>
      <c r="Y316">
        <v>253603.77</v>
      </c>
      <c r="Z316" s="4">
        <f>Europe_Sales_Records34[[#This Row],[Total Profit]]/Europe_Sales_Records34[[#This Row],[Total Revenue]]</f>
        <v>0.40977541217707386</v>
      </c>
      <c r="AA316">
        <v>176069.57</v>
      </c>
    </row>
    <row r="317" spans="1:27" x14ac:dyDescent="0.3">
      <c r="A317" t="s">
        <v>14</v>
      </c>
      <c r="B317" t="s">
        <v>342</v>
      </c>
      <c r="C317" t="s">
        <v>50</v>
      </c>
      <c r="D317" t="s">
        <v>17</v>
      </c>
      <c r="E317" t="s">
        <v>18</v>
      </c>
      <c r="F317" t="s">
        <v>56</v>
      </c>
      <c r="G317" s="2">
        <f t="shared" si="8"/>
        <v>40991</v>
      </c>
      <c r="H317">
        <f>DAY(Europe_Sales_Records34[[#This Row],[Order Date Fixed]])</f>
        <v>23</v>
      </c>
      <c r="I317" t="str">
        <f>TEXT(Europe_Sales_Records34[[#This Row],[Order Date Fixed]],"MMM")</f>
        <v>Mar</v>
      </c>
      <c r="J317">
        <f>YEAR(Europe_Sales_Records34[[#This Row],[Order Date Fixed]])</f>
        <v>2012</v>
      </c>
      <c r="K317" t="str">
        <f>TEXT(Europe_Sales_Records34[[#This Row],[Order Date Fixed]],"MMM-YYYY")</f>
        <v>Mar-2012</v>
      </c>
      <c r="L317">
        <v>741690289</v>
      </c>
      <c r="M317" s="2">
        <f t="shared" si="9"/>
        <v>41039</v>
      </c>
      <c r="N317">
        <f>DAY(Europe_Sales_Records34[[#This Row],[Ship Date Fixed]])</f>
        <v>10</v>
      </c>
      <c r="O317" t="str">
        <f>TEXT(Europe_Sales_Records34[[#This Row],[Ship Date Fixed]],"MMM")</f>
        <v>May</v>
      </c>
      <c r="P317">
        <f>YEAR(Europe_Sales_Records34[[#This Row],[Ship Date Fixed]])</f>
        <v>2012</v>
      </c>
      <c r="Q317" t="str">
        <f>TEXT(Europe_Sales_Records34[[#This Row],[Ship Date Fixed]],"MMM-YYYY")</f>
        <v>May-2012</v>
      </c>
      <c r="R317" t="s">
        <v>649</v>
      </c>
      <c r="S317" s="3">
        <f>Europe_Sales_Records34[[#This Row],[Ship Date Fixed]]-Europe_Sales_Records34[[#This Row],[Order Date Fixed]]</f>
        <v>48</v>
      </c>
      <c r="T317">
        <v>1494</v>
      </c>
      <c r="U317">
        <v>421.89</v>
      </c>
      <c r="V317">
        <v>364.69</v>
      </c>
      <c r="W317">
        <f>Europe_Sales_Records34[[#This Row],[Total Revenue]]/Europe_Sales_Records34[[#This Row],[Units Sold]]</f>
        <v>421.89000000000004</v>
      </c>
      <c r="X317">
        <v>630303.66</v>
      </c>
      <c r="Y317">
        <v>544846.86</v>
      </c>
      <c r="Z317" s="4">
        <f>Europe_Sales_Records34[[#This Row],[Total Profit]]/Europe_Sales_Records34[[#This Row],[Total Revenue]]</f>
        <v>0.13558036455000119</v>
      </c>
      <c r="AA317">
        <v>85456.8</v>
      </c>
    </row>
    <row r="318" spans="1:27" x14ac:dyDescent="0.3">
      <c r="A318" t="s">
        <v>14</v>
      </c>
      <c r="B318" t="s">
        <v>83</v>
      </c>
      <c r="C318" t="s">
        <v>22</v>
      </c>
      <c r="D318" t="s">
        <v>17</v>
      </c>
      <c r="E318" t="s">
        <v>33</v>
      </c>
      <c r="F318" t="s">
        <v>650</v>
      </c>
      <c r="G318" s="2">
        <f t="shared" si="8"/>
        <v>40190</v>
      </c>
      <c r="H318">
        <f>DAY(Europe_Sales_Records34[[#This Row],[Order Date Fixed]])</f>
        <v>12</v>
      </c>
      <c r="I318" t="str">
        <f>TEXT(Europe_Sales_Records34[[#This Row],[Order Date Fixed]],"MMM")</f>
        <v>Jan</v>
      </c>
      <c r="J318">
        <f>YEAR(Europe_Sales_Records34[[#This Row],[Order Date Fixed]])</f>
        <v>2010</v>
      </c>
      <c r="K318" t="str">
        <f>TEXT(Europe_Sales_Records34[[#This Row],[Order Date Fixed]],"MMM-YYYY")</f>
        <v>Jan-2010</v>
      </c>
      <c r="L318">
        <v>393842971</v>
      </c>
      <c r="M318" s="2">
        <f t="shared" si="9"/>
        <v>40209</v>
      </c>
      <c r="N318">
        <f>DAY(Europe_Sales_Records34[[#This Row],[Ship Date Fixed]])</f>
        <v>31</v>
      </c>
      <c r="O318" t="str">
        <f>TEXT(Europe_Sales_Records34[[#This Row],[Ship Date Fixed]],"MMM")</f>
        <v>Jan</v>
      </c>
      <c r="P318">
        <f>YEAR(Europe_Sales_Records34[[#This Row],[Ship Date Fixed]])</f>
        <v>2010</v>
      </c>
      <c r="Q318" t="str">
        <f>TEXT(Europe_Sales_Records34[[#This Row],[Ship Date Fixed]],"MMM-YYYY")</f>
        <v>Jan-2010</v>
      </c>
      <c r="R318" t="s">
        <v>651</v>
      </c>
      <c r="S318" s="3">
        <f>Europe_Sales_Records34[[#This Row],[Ship Date Fixed]]-Europe_Sales_Records34[[#This Row],[Order Date Fixed]]</f>
        <v>19</v>
      </c>
      <c r="T318">
        <v>5742</v>
      </c>
      <c r="U318">
        <v>109.28</v>
      </c>
      <c r="V318">
        <v>35.840000000000003</v>
      </c>
      <c r="W318">
        <f>Europe_Sales_Records34[[#This Row],[Total Revenue]]/Europe_Sales_Records34[[#This Row],[Units Sold]]</f>
        <v>109.28</v>
      </c>
      <c r="X318">
        <v>627485.76</v>
      </c>
      <c r="Y318">
        <v>205793.28</v>
      </c>
      <c r="Z318" s="4">
        <f>Europe_Sales_Records34[[#This Row],[Total Profit]]/Europe_Sales_Records34[[#This Row],[Total Revenue]]</f>
        <v>0.67203513909224011</v>
      </c>
      <c r="AA318">
        <v>421692.48</v>
      </c>
    </row>
    <row r="319" spans="1:27" x14ac:dyDescent="0.3">
      <c r="A319" t="s">
        <v>14</v>
      </c>
      <c r="B319" t="s">
        <v>271</v>
      </c>
      <c r="C319" t="s">
        <v>71</v>
      </c>
      <c r="D319" t="s">
        <v>17</v>
      </c>
      <c r="E319" t="s">
        <v>54</v>
      </c>
      <c r="F319" t="s">
        <v>652</v>
      </c>
      <c r="G319" s="2">
        <f t="shared" si="8"/>
        <v>41050</v>
      </c>
      <c r="H319">
        <f>DAY(Europe_Sales_Records34[[#This Row],[Order Date Fixed]])</f>
        <v>21</v>
      </c>
      <c r="I319" t="str">
        <f>TEXT(Europe_Sales_Records34[[#This Row],[Order Date Fixed]],"MMM")</f>
        <v>May</v>
      </c>
      <c r="J319">
        <f>YEAR(Europe_Sales_Records34[[#This Row],[Order Date Fixed]])</f>
        <v>2012</v>
      </c>
      <c r="K319" t="str">
        <f>TEXT(Europe_Sales_Records34[[#This Row],[Order Date Fixed]],"MMM-YYYY")</f>
        <v>May-2012</v>
      </c>
      <c r="L319">
        <v>143414771</v>
      </c>
      <c r="M319" s="2">
        <f t="shared" si="9"/>
        <v>41063</v>
      </c>
      <c r="N319">
        <f>DAY(Europe_Sales_Records34[[#This Row],[Ship Date Fixed]])</f>
        <v>3</v>
      </c>
      <c r="O319" t="str">
        <f>TEXT(Europe_Sales_Records34[[#This Row],[Ship Date Fixed]],"MMM")</f>
        <v>Jun</v>
      </c>
      <c r="P319">
        <f>YEAR(Europe_Sales_Records34[[#This Row],[Ship Date Fixed]])</f>
        <v>2012</v>
      </c>
      <c r="Q319" t="str">
        <f>TEXT(Europe_Sales_Records34[[#This Row],[Ship Date Fixed]],"MMM-YYYY")</f>
        <v>Jun-2012</v>
      </c>
      <c r="R319" t="s">
        <v>566</v>
      </c>
      <c r="S319" s="3">
        <f>Europe_Sales_Records34[[#This Row],[Ship Date Fixed]]-Europe_Sales_Records34[[#This Row],[Order Date Fixed]]</f>
        <v>13</v>
      </c>
      <c r="T319">
        <v>8473</v>
      </c>
      <c r="U319">
        <v>668.27</v>
      </c>
      <c r="V319">
        <v>502.54</v>
      </c>
      <c r="W319">
        <f>Europe_Sales_Records34[[#This Row],[Total Revenue]]/Europe_Sales_Records34[[#This Row],[Units Sold]]</f>
        <v>668.27</v>
      </c>
      <c r="X319">
        <v>5662251.71</v>
      </c>
      <c r="Y319">
        <v>4258021.42</v>
      </c>
      <c r="Z319" s="4">
        <f>Europe_Sales_Records34[[#This Row],[Total Profit]]/Europe_Sales_Records34[[#This Row],[Total Revenue]]</f>
        <v>0.24799856345489099</v>
      </c>
      <c r="AA319">
        <v>1404230.29</v>
      </c>
    </row>
    <row r="320" spans="1:27" x14ac:dyDescent="0.3">
      <c r="A320" t="s">
        <v>14</v>
      </c>
      <c r="B320" t="s">
        <v>86</v>
      </c>
      <c r="C320" t="s">
        <v>58</v>
      </c>
      <c r="D320" t="s">
        <v>17</v>
      </c>
      <c r="E320" t="s">
        <v>18</v>
      </c>
      <c r="F320" t="s">
        <v>236</v>
      </c>
      <c r="G320" s="2">
        <f t="shared" si="8"/>
        <v>40355</v>
      </c>
      <c r="H320">
        <f>DAY(Europe_Sales_Records34[[#This Row],[Order Date Fixed]])</f>
        <v>26</v>
      </c>
      <c r="I320" t="str">
        <f>TEXT(Europe_Sales_Records34[[#This Row],[Order Date Fixed]],"MMM")</f>
        <v>Jun</v>
      </c>
      <c r="J320">
        <f>YEAR(Europe_Sales_Records34[[#This Row],[Order Date Fixed]])</f>
        <v>2010</v>
      </c>
      <c r="K320" t="str">
        <f>TEXT(Europe_Sales_Records34[[#This Row],[Order Date Fixed]],"MMM-YYYY")</f>
        <v>Jun-2010</v>
      </c>
      <c r="L320">
        <v>272361218</v>
      </c>
      <c r="M320" s="2">
        <f t="shared" si="9"/>
        <v>40362</v>
      </c>
      <c r="N320">
        <f>DAY(Europe_Sales_Records34[[#This Row],[Ship Date Fixed]])</f>
        <v>3</v>
      </c>
      <c r="O320" t="str">
        <f>TEXT(Europe_Sales_Records34[[#This Row],[Ship Date Fixed]],"MMM")</f>
        <v>Jul</v>
      </c>
      <c r="P320">
        <f>YEAR(Europe_Sales_Records34[[#This Row],[Ship Date Fixed]])</f>
        <v>2010</v>
      </c>
      <c r="Q320" t="str">
        <f>TEXT(Europe_Sales_Records34[[#This Row],[Ship Date Fixed]],"MMM-YYYY")</f>
        <v>Jul-2010</v>
      </c>
      <c r="R320" t="s">
        <v>653</v>
      </c>
      <c r="S320" s="3">
        <f>Europe_Sales_Records34[[#This Row],[Ship Date Fixed]]-Europe_Sales_Records34[[#This Row],[Order Date Fixed]]</f>
        <v>7</v>
      </c>
      <c r="T320">
        <v>6592</v>
      </c>
      <c r="U320">
        <v>152.58000000000001</v>
      </c>
      <c r="V320">
        <v>97.44</v>
      </c>
      <c r="W320">
        <f>Europe_Sales_Records34[[#This Row],[Total Revenue]]/Europe_Sales_Records34[[#This Row],[Units Sold]]</f>
        <v>152.57999999999998</v>
      </c>
      <c r="X320">
        <v>1005807.36</v>
      </c>
      <c r="Y320">
        <v>642324.47999999998</v>
      </c>
      <c r="Z320" s="4">
        <f>Europe_Sales_Records34[[#This Row],[Total Profit]]/Europe_Sales_Records34[[#This Row],[Total Revenue]]</f>
        <v>0.36138419189933152</v>
      </c>
      <c r="AA320">
        <v>363482.88</v>
      </c>
    </row>
    <row r="321" spans="1:27" x14ac:dyDescent="0.3">
      <c r="A321" t="s">
        <v>14</v>
      </c>
      <c r="B321" t="s">
        <v>138</v>
      </c>
      <c r="C321" t="s">
        <v>46</v>
      </c>
      <c r="D321" t="s">
        <v>23</v>
      </c>
      <c r="E321" t="s">
        <v>24</v>
      </c>
      <c r="F321" t="s">
        <v>654</v>
      </c>
      <c r="G321" s="2">
        <f t="shared" si="8"/>
        <v>42856</v>
      </c>
      <c r="H321">
        <f>DAY(Europe_Sales_Records34[[#This Row],[Order Date Fixed]])</f>
        <v>1</v>
      </c>
      <c r="I321" t="str">
        <f>TEXT(Europe_Sales_Records34[[#This Row],[Order Date Fixed]],"MMM")</f>
        <v>May</v>
      </c>
      <c r="J321">
        <f>YEAR(Europe_Sales_Records34[[#This Row],[Order Date Fixed]])</f>
        <v>2017</v>
      </c>
      <c r="K321" t="str">
        <f>TEXT(Europe_Sales_Records34[[#This Row],[Order Date Fixed]],"MMM-YYYY")</f>
        <v>May-2017</v>
      </c>
      <c r="L321">
        <v>146349751</v>
      </c>
      <c r="M321" s="2">
        <f t="shared" si="9"/>
        <v>42899</v>
      </c>
      <c r="N321">
        <f>DAY(Europe_Sales_Records34[[#This Row],[Ship Date Fixed]])</f>
        <v>13</v>
      </c>
      <c r="O321" t="str">
        <f>TEXT(Europe_Sales_Records34[[#This Row],[Ship Date Fixed]],"MMM")</f>
        <v>Jun</v>
      </c>
      <c r="P321">
        <f>YEAR(Europe_Sales_Records34[[#This Row],[Ship Date Fixed]])</f>
        <v>2017</v>
      </c>
      <c r="Q321" t="str">
        <f>TEXT(Europe_Sales_Records34[[#This Row],[Ship Date Fixed]],"MMM-YYYY")</f>
        <v>Jun-2017</v>
      </c>
      <c r="R321" t="s">
        <v>655</v>
      </c>
      <c r="S321" s="3">
        <f>Europe_Sales_Records34[[#This Row],[Ship Date Fixed]]-Europe_Sales_Records34[[#This Row],[Order Date Fixed]]</f>
        <v>43</v>
      </c>
      <c r="T321">
        <v>6999</v>
      </c>
      <c r="U321">
        <v>154.06</v>
      </c>
      <c r="V321">
        <v>90.93</v>
      </c>
      <c r="W321">
        <f>Europe_Sales_Records34[[#This Row],[Total Revenue]]/Europe_Sales_Records34[[#This Row],[Units Sold]]</f>
        <v>154.06</v>
      </c>
      <c r="X321">
        <v>1078265.94</v>
      </c>
      <c r="Y321">
        <v>636419.06999999995</v>
      </c>
      <c r="Z321" s="4">
        <f>Europe_Sales_Records34[[#This Row],[Total Profit]]/Europe_Sales_Records34[[#This Row],[Total Revenue]]</f>
        <v>0.40977541217707386</v>
      </c>
      <c r="AA321">
        <v>441846.87</v>
      </c>
    </row>
    <row r="322" spans="1:27" x14ac:dyDescent="0.3">
      <c r="A322" t="s">
        <v>14</v>
      </c>
      <c r="B322" t="s">
        <v>364</v>
      </c>
      <c r="C322" t="s">
        <v>50</v>
      </c>
      <c r="D322" t="s">
        <v>17</v>
      </c>
      <c r="E322" t="s">
        <v>18</v>
      </c>
      <c r="F322" t="s">
        <v>656</v>
      </c>
      <c r="G322" s="2">
        <f t="shared" ref="G322:G385" si="10">DATE(
  RIGHT(F322,4),
  LEFT(F322,FIND("/",F322)-1),
  MID(F322,FIND("/",F322)+1, FIND("/",F322,FIND("/",F322)+1)-FIND("/",F322)-1)
)</f>
        <v>42788</v>
      </c>
      <c r="H322">
        <f>DAY(Europe_Sales_Records34[[#This Row],[Order Date Fixed]])</f>
        <v>22</v>
      </c>
      <c r="I322" t="str">
        <f>TEXT(Europe_Sales_Records34[[#This Row],[Order Date Fixed]],"MMM")</f>
        <v>Feb</v>
      </c>
      <c r="J322">
        <f>YEAR(Europe_Sales_Records34[[#This Row],[Order Date Fixed]])</f>
        <v>2017</v>
      </c>
      <c r="K322" t="str">
        <f>TEXT(Europe_Sales_Records34[[#This Row],[Order Date Fixed]],"MMM-YYYY")</f>
        <v>Feb-2017</v>
      </c>
      <c r="L322">
        <v>104190576</v>
      </c>
      <c r="M322" s="2">
        <f t="shared" ref="M322:M385" si="11">DATE(
  RIGHT(R322,4),
  LEFT(R322,FIND("/",R322)-1),
  MID(
      R322,
      FIND("/",R322)+1,
      FIND("/",R322,FIND("/",R322)+1)-FIND("/",R322)-1
     )
)</f>
        <v>42806</v>
      </c>
      <c r="N322">
        <f>DAY(Europe_Sales_Records34[[#This Row],[Ship Date Fixed]])</f>
        <v>12</v>
      </c>
      <c r="O322" t="str">
        <f>TEXT(Europe_Sales_Records34[[#This Row],[Ship Date Fixed]],"MMM")</f>
        <v>Mar</v>
      </c>
      <c r="P322">
        <f>YEAR(Europe_Sales_Records34[[#This Row],[Ship Date Fixed]])</f>
        <v>2017</v>
      </c>
      <c r="Q322" t="str">
        <f>TEXT(Europe_Sales_Records34[[#This Row],[Ship Date Fixed]],"MMM-YYYY")</f>
        <v>Mar-2017</v>
      </c>
      <c r="R322" t="s">
        <v>657</v>
      </c>
      <c r="S322" s="3">
        <f>Europe_Sales_Records34[[#This Row],[Ship Date Fixed]]-Europe_Sales_Records34[[#This Row],[Order Date Fixed]]</f>
        <v>18</v>
      </c>
      <c r="T322">
        <v>1162</v>
      </c>
      <c r="U322">
        <v>421.89</v>
      </c>
      <c r="V322">
        <v>364.69</v>
      </c>
      <c r="W322">
        <f>Europe_Sales_Records34[[#This Row],[Total Revenue]]/Europe_Sales_Records34[[#This Row],[Units Sold]]</f>
        <v>421.89</v>
      </c>
      <c r="X322">
        <v>490236.18</v>
      </c>
      <c r="Y322">
        <v>423769.78</v>
      </c>
      <c r="Z322" s="4">
        <f>Europe_Sales_Records34[[#This Row],[Total Profit]]/Europe_Sales_Records34[[#This Row],[Total Revenue]]</f>
        <v>0.13558036455000116</v>
      </c>
      <c r="AA322">
        <v>66466.399999999994</v>
      </c>
    </row>
    <row r="323" spans="1:27" x14ac:dyDescent="0.3">
      <c r="A323" t="s">
        <v>14</v>
      </c>
      <c r="B323" t="s">
        <v>89</v>
      </c>
      <c r="C323" t="s">
        <v>28</v>
      </c>
      <c r="D323" t="s">
        <v>23</v>
      </c>
      <c r="E323" t="s">
        <v>18</v>
      </c>
      <c r="F323" t="s">
        <v>658</v>
      </c>
      <c r="G323" s="2">
        <f t="shared" si="10"/>
        <v>41584</v>
      </c>
      <c r="H323">
        <f>DAY(Europe_Sales_Records34[[#This Row],[Order Date Fixed]])</f>
        <v>6</v>
      </c>
      <c r="I323" t="str">
        <f>TEXT(Europe_Sales_Records34[[#This Row],[Order Date Fixed]],"MMM")</f>
        <v>Nov</v>
      </c>
      <c r="J323">
        <f>YEAR(Europe_Sales_Records34[[#This Row],[Order Date Fixed]])</f>
        <v>2013</v>
      </c>
      <c r="K323" t="str">
        <f>TEXT(Europe_Sales_Records34[[#This Row],[Order Date Fixed]],"MMM-YYYY")</f>
        <v>Nov-2013</v>
      </c>
      <c r="L323">
        <v>332268464</v>
      </c>
      <c r="M323" s="2">
        <f t="shared" si="11"/>
        <v>41622</v>
      </c>
      <c r="N323">
        <f>DAY(Europe_Sales_Records34[[#This Row],[Ship Date Fixed]])</f>
        <v>14</v>
      </c>
      <c r="O323" t="str">
        <f>TEXT(Europe_Sales_Records34[[#This Row],[Ship Date Fixed]],"MMM")</f>
        <v>Dec</v>
      </c>
      <c r="P323">
        <f>YEAR(Europe_Sales_Records34[[#This Row],[Ship Date Fixed]])</f>
        <v>2013</v>
      </c>
      <c r="Q323" t="str">
        <f>TEXT(Europe_Sales_Records34[[#This Row],[Ship Date Fixed]],"MMM-YYYY")</f>
        <v>Dec-2013</v>
      </c>
      <c r="R323" t="s">
        <v>659</v>
      </c>
      <c r="S323" s="3">
        <f>Europe_Sales_Records34[[#This Row],[Ship Date Fixed]]-Europe_Sales_Records34[[#This Row],[Order Date Fixed]]</f>
        <v>38</v>
      </c>
      <c r="T323">
        <v>4477</v>
      </c>
      <c r="U323">
        <v>205.7</v>
      </c>
      <c r="V323">
        <v>117.11</v>
      </c>
      <c r="W323">
        <f>Europe_Sales_Records34[[#This Row],[Total Revenue]]/Europe_Sales_Records34[[#This Row],[Units Sold]]</f>
        <v>205.70000000000002</v>
      </c>
      <c r="X323">
        <v>920918.9</v>
      </c>
      <c r="Y323">
        <v>524301.47</v>
      </c>
      <c r="Z323" s="4">
        <f>Europe_Sales_Records34[[#This Row],[Total Profit]]/Europe_Sales_Records34[[#This Row],[Total Revenue]]</f>
        <v>0.43067574137092851</v>
      </c>
      <c r="AA323">
        <v>396617.43</v>
      </c>
    </row>
    <row r="324" spans="1:27" x14ac:dyDescent="0.3">
      <c r="A324" t="s">
        <v>14</v>
      </c>
      <c r="B324" t="s">
        <v>166</v>
      </c>
      <c r="C324" t="s">
        <v>50</v>
      </c>
      <c r="D324" t="s">
        <v>23</v>
      </c>
      <c r="E324" t="s">
        <v>24</v>
      </c>
      <c r="F324" t="s">
        <v>660</v>
      </c>
      <c r="G324" s="2">
        <f t="shared" si="10"/>
        <v>41593</v>
      </c>
      <c r="H324">
        <f>DAY(Europe_Sales_Records34[[#This Row],[Order Date Fixed]])</f>
        <v>15</v>
      </c>
      <c r="I324" t="str">
        <f>TEXT(Europe_Sales_Records34[[#This Row],[Order Date Fixed]],"MMM")</f>
        <v>Nov</v>
      </c>
      <c r="J324">
        <f>YEAR(Europe_Sales_Records34[[#This Row],[Order Date Fixed]])</f>
        <v>2013</v>
      </c>
      <c r="K324" t="str">
        <f>TEXT(Europe_Sales_Records34[[#This Row],[Order Date Fixed]],"MMM-YYYY")</f>
        <v>Nov-2013</v>
      </c>
      <c r="L324">
        <v>459277713</v>
      </c>
      <c r="M324" s="2">
        <f t="shared" si="11"/>
        <v>41612</v>
      </c>
      <c r="N324">
        <f>DAY(Europe_Sales_Records34[[#This Row],[Ship Date Fixed]])</f>
        <v>4</v>
      </c>
      <c r="O324" t="str">
        <f>TEXT(Europe_Sales_Records34[[#This Row],[Ship Date Fixed]],"MMM")</f>
        <v>Dec</v>
      </c>
      <c r="P324">
        <f>YEAR(Europe_Sales_Records34[[#This Row],[Ship Date Fixed]])</f>
        <v>2013</v>
      </c>
      <c r="Q324" t="str">
        <f>TEXT(Europe_Sales_Records34[[#This Row],[Ship Date Fixed]],"MMM-YYYY")</f>
        <v>Dec-2013</v>
      </c>
      <c r="R324" t="s">
        <v>661</v>
      </c>
      <c r="S324" s="3">
        <f>Europe_Sales_Records34[[#This Row],[Ship Date Fixed]]-Europe_Sales_Records34[[#This Row],[Order Date Fixed]]</f>
        <v>19</v>
      </c>
      <c r="T324">
        <v>9336</v>
      </c>
      <c r="U324">
        <v>421.89</v>
      </c>
      <c r="V324">
        <v>364.69</v>
      </c>
      <c r="W324">
        <f>Europe_Sales_Records34[[#This Row],[Total Revenue]]/Europe_Sales_Records34[[#This Row],[Units Sold]]</f>
        <v>421.89</v>
      </c>
      <c r="X324">
        <v>3938765.04</v>
      </c>
      <c r="Y324">
        <v>3404745.84</v>
      </c>
      <c r="Z324" s="4">
        <f>Europe_Sales_Records34[[#This Row],[Total Profit]]/Europe_Sales_Records34[[#This Row],[Total Revenue]]</f>
        <v>0.13558036455000116</v>
      </c>
      <c r="AA324">
        <v>534019.19999999995</v>
      </c>
    </row>
    <row r="325" spans="1:27" x14ac:dyDescent="0.3">
      <c r="A325" t="s">
        <v>14</v>
      </c>
      <c r="B325" t="s">
        <v>342</v>
      </c>
      <c r="C325" t="s">
        <v>37</v>
      </c>
      <c r="D325" t="s">
        <v>17</v>
      </c>
      <c r="E325" t="s">
        <v>33</v>
      </c>
      <c r="F325" t="s">
        <v>662</v>
      </c>
      <c r="G325" s="2">
        <f t="shared" si="10"/>
        <v>40383</v>
      </c>
      <c r="H325">
        <f>DAY(Europe_Sales_Records34[[#This Row],[Order Date Fixed]])</f>
        <v>24</v>
      </c>
      <c r="I325" t="str">
        <f>TEXT(Europe_Sales_Records34[[#This Row],[Order Date Fixed]],"MMM")</f>
        <v>Jul</v>
      </c>
      <c r="J325">
        <f>YEAR(Europe_Sales_Records34[[#This Row],[Order Date Fixed]])</f>
        <v>2010</v>
      </c>
      <c r="K325" t="str">
        <f>TEXT(Europe_Sales_Records34[[#This Row],[Order Date Fixed]],"MMM-YYYY")</f>
        <v>Jul-2010</v>
      </c>
      <c r="L325">
        <v>665786778</v>
      </c>
      <c r="M325" s="2">
        <f t="shared" si="11"/>
        <v>40405</v>
      </c>
      <c r="N325">
        <f>DAY(Europe_Sales_Records34[[#This Row],[Ship Date Fixed]])</f>
        <v>15</v>
      </c>
      <c r="O325" t="str">
        <f>TEXT(Europe_Sales_Records34[[#This Row],[Ship Date Fixed]],"MMM")</f>
        <v>Aug</v>
      </c>
      <c r="P325">
        <f>YEAR(Europe_Sales_Records34[[#This Row],[Ship Date Fixed]])</f>
        <v>2010</v>
      </c>
      <c r="Q325" t="str">
        <f>TEXT(Europe_Sales_Records34[[#This Row],[Ship Date Fixed]],"MMM-YYYY")</f>
        <v>Aug-2010</v>
      </c>
      <c r="R325" t="s">
        <v>663</v>
      </c>
      <c r="S325" s="3">
        <f>Europe_Sales_Records34[[#This Row],[Ship Date Fixed]]-Europe_Sales_Records34[[#This Row],[Order Date Fixed]]</f>
        <v>22</v>
      </c>
      <c r="T325">
        <v>9958</v>
      </c>
      <c r="U325">
        <v>9.33</v>
      </c>
      <c r="V325">
        <v>6.92</v>
      </c>
      <c r="W325">
        <f>Europe_Sales_Records34[[#This Row],[Total Revenue]]/Europe_Sales_Records34[[#This Row],[Units Sold]]</f>
        <v>9.33</v>
      </c>
      <c r="X325">
        <v>92908.14</v>
      </c>
      <c r="Y325">
        <v>68909.36</v>
      </c>
      <c r="Z325" s="4">
        <f>Europe_Sales_Records34[[#This Row],[Total Profit]]/Europe_Sales_Records34[[#This Row],[Total Revenue]]</f>
        <v>0.25830653804930331</v>
      </c>
      <c r="AA325">
        <v>23998.78</v>
      </c>
    </row>
    <row r="326" spans="1:27" x14ac:dyDescent="0.3">
      <c r="A326" t="s">
        <v>14</v>
      </c>
      <c r="B326" t="s">
        <v>80</v>
      </c>
      <c r="C326" t="s">
        <v>64</v>
      </c>
      <c r="D326" t="s">
        <v>23</v>
      </c>
      <c r="E326" t="s">
        <v>33</v>
      </c>
      <c r="F326" t="s">
        <v>664</v>
      </c>
      <c r="G326" s="2">
        <f t="shared" si="10"/>
        <v>40422</v>
      </c>
      <c r="H326">
        <f>DAY(Europe_Sales_Records34[[#This Row],[Order Date Fixed]])</f>
        <v>1</v>
      </c>
      <c r="I326" t="str">
        <f>TEXT(Europe_Sales_Records34[[#This Row],[Order Date Fixed]],"MMM")</f>
        <v>Sep</v>
      </c>
      <c r="J326">
        <f>YEAR(Europe_Sales_Records34[[#This Row],[Order Date Fixed]])</f>
        <v>2010</v>
      </c>
      <c r="K326" t="str">
        <f>TEXT(Europe_Sales_Records34[[#This Row],[Order Date Fixed]],"MMM-YYYY")</f>
        <v>Sep-2010</v>
      </c>
      <c r="L326">
        <v>917485272</v>
      </c>
      <c r="M326" s="2">
        <f t="shared" si="11"/>
        <v>40454</v>
      </c>
      <c r="N326">
        <f>DAY(Europe_Sales_Records34[[#This Row],[Ship Date Fixed]])</f>
        <v>3</v>
      </c>
      <c r="O326" t="str">
        <f>TEXT(Europe_Sales_Records34[[#This Row],[Ship Date Fixed]],"MMM")</f>
        <v>Oct</v>
      </c>
      <c r="P326">
        <f>YEAR(Europe_Sales_Records34[[#This Row],[Ship Date Fixed]])</f>
        <v>2010</v>
      </c>
      <c r="Q326" t="str">
        <f>TEXT(Europe_Sales_Records34[[#This Row],[Ship Date Fixed]],"MMM-YYYY")</f>
        <v>Oct-2010</v>
      </c>
      <c r="R326" t="s">
        <v>665</v>
      </c>
      <c r="S326" s="3">
        <f>Europe_Sales_Records34[[#This Row],[Ship Date Fixed]]-Europe_Sales_Records34[[#This Row],[Order Date Fixed]]</f>
        <v>32</v>
      </c>
      <c r="T326">
        <v>3136</v>
      </c>
      <c r="U326">
        <v>255.28</v>
      </c>
      <c r="V326">
        <v>159.41999999999999</v>
      </c>
      <c r="W326">
        <f>Europe_Sales_Records34[[#This Row],[Total Revenue]]/Europe_Sales_Records34[[#This Row],[Units Sold]]</f>
        <v>255.27999999999997</v>
      </c>
      <c r="X326">
        <v>800558.07999999996</v>
      </c>
      <c r="Y326">
        <v>499941.12</v>
      </c>
      <c r="Z326" s="4">
        <f>Europe_Sales_Records34[[#This Row],[Total Profit]]/Europe_Sales_Records34[[#This Row],[Total Revenue]]</f>
        <v>0.37550924475086184</v>
      </c>
      <c r="AA326">
        <v>300616.96000000002</v>
      </c>
    </row>
    <row r="327" spans="1:27" x14ac:dyDescent="0.3">
      <c r="A327" t="s">
        <v>14</v>
      </c>
      <c r="B327" t="s">
        <v>271</v>
      </c>
      <c r="C327" t="s">
        <v>102</v>
      </c>
      <c r="D327" t="s">
        <v>17</v>
      </c>
      <c r="E327" t="s">
        <v>33</v>
      </c>
      <c r="F327" t="s">
        <v>666</v>
      </c>
      <c r="G327" s="2">
        <f t="shared" si="10"/>
        <v>41027</v>
      </c>
      <c r="H327">
        <f>DAY(Europe_Sales_Records34[[#This Row],[Order Date Fixed]])</f>
        <v>28</v>
      </c>
      <c r="I327" t="str">
        <f>TEXT(Europe_Sales_Records34[[#This Row],[Order Date Fixed]],"MMM")</f>
        <v>Apr</v>
      </c>
      <c r="J327">
        <f>YEAR(Europe_Sales_Records34[[#This Row],[Order Date Fixed]])</f>
        <v>2012</v>
      </c>
      <c r="K327" t="str">
        <f>TEXT(Europe_Sales_Records34[[#This Row],[Order Date Fixed]],"MMM-YYYY")</f>
        <v>Apr-2012</v>
      </c>
      <c r="L327">
        <v>547225844</v>
      </c>
      <c r="M327" s="2">
        <f t="shared" si="11"/>
        <v>41059</v>
      </c>
      <c r="N327">
        <f>DAY(Europe_Sales_Records34[[#This Row],[Ship Date Fixed]])</f>
        <v>30</v>
      </c>
      <c r="O327" t="str">
        <f>TEXT(Europe_Sales_Records34[[#This Row],[Ship Date Fixed]],"MMM")</f>
        <v>May</v>
      </c>
      <c r="P327">
        <f>YEAR(Europe_Sales_Records34[[#This Row],[Ship Date Fixed]])</f>
        <v>2012</v>
      </c>
      <c r="Q327" t="str">
        <f>TEXT(Europe_Sales_Records34[[#This Row],[Ship Date Fixed]],"MMM-YYYY")</f>
        <v>May-2012</v>
      </c>
      <c r="R327" t="s">
        <v>667</v>
      </c>
      <c r="S327" s="3">
        <f>Europe_Sales_Records34[[#This Row],[Ship Date Fixed]]-Europe_Sales_Records34[[#This Row],[Order Date Fixed]]</f>
        <v>32</v>
      </c>
      <c r="T327">
        <v>5143</v>
      </c>
      <c r="U327">
        <v>81.73</v>
      </c>
      <c r="V327">
        <v>56.67</v>
      </c>
      <c r="W327">
        <f>Europe_Sales_Records34[[#This Row],[Total Revenue]]/Europe_Sales_Records34[[#This Row],[Units Sold]]</f>
        <v>81.73</v>
      </c>
      <c r="X327">
        <v>420337.39</v>
      </c>
      <c r="Y327">
        <v>291453.81</v>
      </c>
      <c r="Z327" s="4">
        <f>Europe_Sales_Records34[[#This Row],[Total Profit]]/Europe_Sales_Records34[[#This Row],[Total Revenue]]</f>
        <v>0.30661935641747218</v>
      </c>
      <c r="AA327">
        <v>128883.58</v>
      </c>
    </row>
    <row r="328" spans="1:27" x14ac:dyDescent="0.3">
      <c r="A328" t="s">
        <v>14</v>
      </c>
      <c r="B328" t="s">
        <v>49</v>
      </c>
      <c r="C328" t="s">
        <v>71</v>
      </c>
      <c r="D328" t="s">
        <v>17</v>
      </c>
      <c r="E328" t="s">
        <v>33</v>
      </c>
      <c r="F328" t="s">
        <v>668</v>
      </c>
      <c r="G328" s="2">
        <f t="shared" si="10"/>
        <v>42204</v>
      </c>
      <c r="H328">
        <f>DAY(Europe_Sales_Records34[[#This Row],[Order Date Fixed]])</f>
        <v>19</v>
      </c>
      <c r="I328" t="str">
        <f>TEXT(Europe_Sales_Records34[[#This Row],[Order Date Fixed]],"MMM")</f>
        <v>Jul</v>
      </c>
      <c r="J328">
        <f>YEAR(Europe_Sales_Records34[[#This Row],[Order Date Fixed]])</f>
        <v>2015</v>
      </c>
      <c r="K328" t="str">
        <f>TEXT(Europe_Sales_Records34[[#This Row],[Order Date Fixed]],"MMM-YYYY")</f>
        <v>Jul-2015</v>
      </c>
      <c r="L328">
        <v>869291770</v>
      </c>
      <c r="M328" s="2">
        <f t="shared" si="11"/>
        <v>42237</v>
      </c>
      <c r="N328">
        <f>DAY(Europe_Sales_Records34[[#This Row],[Ship Date Fixed]])</f>
        <v>21</v>
      </c>
      <c r="O328" t="str">
        <f>TEXT(Europe_Sales_Records34[[#This Row],[Ship Date Fixed]],"MMM")</f>
        <v>Aug</v>
      </c>
      <c r="P328">
        <f>YEAR(Europe_Sales_Records34[[#This Row],[Ship Date Fixed]])</f>
        <v>2015</v>
      </c>
      <c r="Q328" t="str">
        <f>TEXT(Europe_Sales_Records34[[#This Row],[Ship Date Fixed]],"MMM-YYYY")</f>
        <v>Aug-2015</v>
      </c>
      <c r="R328" t="s">
        <v>598</v>
      </c>
      <c r="S328" s="3">
        <f>Europe_Sales_Records34[[#This Row],[Ship Date Fixed]]-Europe_Sales_Records34[[#This Row],[Order Date Fixed]]</f>
        <v>33</v>
      </c>
      <c r="T328">
        <v>1607</v>
      </c>
      <c r="U328">
        <v>668.27</v>
      </c>
      <c r="V328">
        <v>502.54</v>
      </c>
      <c r="W328">
        <f>Europe_Sales_Records34[[#This Row],[Total Revenue]]/Europe_Sales_Records34[[#This Row],[Units Sold]]</f>
        <v>668.27</v>
      </c>
      <c r="X328">
        <v>1073909.8899999999</v>
      </c>
      <c r="Y328">
        <v>807581.78</v>
      </c>
      <c r="Z328" s="4">
        <f>Europe_Sales_Records34[[#This Row],[Total Profit]]/Europe_Sales_Records34[[#This Row],[Total Revenue]]</f>
        <v>0.24799856345489099</v>
      </c>
      <c r="AA328">
        <v>266328.11</v>
      </c>
    </row>
    <row r="329" spans="1:27" x14ac:dyDescent="0.3">
      <c r="A329" t="s">
        <v>14</v>
      </c>
      <c r="B329" t="s">
        <v>342</v>
      </c>
      <c r="C329" t="s">
        <v>22</v>
      </c>
      <c r="D329" t="s">
        <v>17</v>
      </c>
      <c r="E329" t="s">
        <v>33</v>
      </c>
      <c r="F329" t="s">
        <v>669</v>
      </c>
      <c r="G329" s="2">
        <f t="shared" si="10"/>
        <v>42747</v>
      </c>
      <c r="H329">
        <f>DAY(Europe_Sales_Records34[[#This Row],[Order Date Fixed]])</f>
        <v>12</v>
      </c>
      <c r="I329" t="str">
        <f>TEXT(Europe_Sales_Records34[[#This Row],[Order Date Fixed]],"MMM")</f>
        <v>Jan</v>
      </c>
      <c r="J329">
        <f>YEAR(Europe_Sales_Records34[[#This Row],[Order Date Fixed]])</f>
        <v>2017</v>
      </c>
      <c r="K329" t="str">
        <f>TEXT(Europe_Sales_Records34[[#This Row],[Order Date Fixed]],"MMM-YYYY")</f>
        <v>Jan-2017</v>
      </c>
      <c r="L329">
        <v>709276759</v>
      </c>
      <c r="M329" s="2">
        <f t="shared" si="11"/>
        <v>42795</v>
      </c>
      <c r="N329">
        <f>DAY(Europe_Sales_Records34[[#This Row],[Ship Date Fixed]])</f>
        <v>1</v>
      </c>
      <c r="O329" t="str">
        <f>TEXT(Europe_Sales_Records34[[#This Row],[Ship Date Fixed]],"MMM")</f>
        <v>Mar</v>
      </c>
      <c r="P329">
        <f>YEAR(Europe_Sales_Records34[[#This Row],[Ship Date Fixed]])</f>
        <v>2017</v>
      </c>
      <c r="Q329" t="str">
        <f>TEXT(Europe_Sales_Records34[[#This Row],[Ship Date Fixed]],"MMM-YYYY")</f>
        <v>Mar-2017</v>
      </c>
      <c r="R329" t="s">
        <v>615</v>
      </c>
      <c r="S329" s="3">
        <f>Europe_Sales_Records34[[#This Row],[Ship Date Fixed]]-Europe_Sales_Records34[[#This Row],[Order Date Fixed]]</f>
        <v>48</v>
      </c>
      <c r="T329">
        <v>9610</v>
      </c>
      <c r="U329">
        <v>109.28</v>
      </c>
      <c r="V329">
        <v>35.840000000000003</v>
      </c>
      <c r="W329">
        <f>Europe_Sales_Records34[[#This Row],[Total Revenue]]/Europe_Sales_Records34[[#This Row],[Units Sold]]</f>
        <v>109.28</v>
      </c>
      <c r="X329">
        <v>1050180.8</v>
      </c>
      <c r="Y329">
        <v>344422.40000000002</v>
      </c>
      <c r="Z329" s="4">
        <f>Europe_Sales_Records34[[#This Row],[Total Profit]]/Europe_Sales_Records34[[#This Row],[Total Revenue]]</f>
        <v>0.67203513909224011</v>
      </c>
      <c r="AA329">
        <v>705758.4</v>
      </c>
    </row>
    <row r="330" spans="1:27" x14ac:dyDescent="0.3">
      <c r="A330" t="s">
        <v>14</v>
      </c>
      <c r="B330" t="s">
        <v>141</v>
      </c>
      <c r="C330" t="s">
        <v>16</v>
      </c>
      <c r="D330" t="s">
        <v>23</v>
      </c>
      <c r="E330" t="s">
        <v>18</v>
      </c>
      <c r="F330" t="s">
        <v>670</v>
      </c>
      <c r="G330" s="2">
        <f t="shared" si="10"/>
        <v>41191</v>
      </c>
      <c r="H330">
        <f>DAY(Europe_Sales_Records34[[#This Row],[Order Date Fixed]])</f>
        <v>9</v>
      </c>
      <c r="I330" t="str">
        <f>TEXT(Europe_Sales_Records34[[#This Row],[Order Date Fixed]],"MMM")</f>
        <v>Oct</v>
      </c>
      <c r="J330">
        <f>YEAR(Europe_Sales_Records34[[#This Row],[Order Date Fixed]])</f>
        <v>2012</v>
      </c>
      <c r="K330" t="str">
        <f>TEXT(Europe_Sales_Records34[[#This Row],[Order Date Fixed]],"MMM-YYYY")</f>
        <v>Oct-2012</v>
      </c>
      <c r="L330">
        <v>877062451</v>
      </c>
      <c r="M330" s="2">
        <f t="shared" si="11"/>
        <v>41211</v>
      </c>
      <c r="N330">
        <f>DAY(Europe_Sales_Records34[[#This Row],[Ship Date Fixed]])</f>
        <v>29</v>
      </c>
      <c r="O330" t="str">
        <f>TEXT(Europe_Sales_Records34[[#This Row],[Ship Date Fixed]],"MMM")</f>
        <v>Oct</v>
      </c>
      <c r="P330">
        <f>YEAR(Europe_Sales_Records34[[#This Row],[Ship Date Fixed]])</f>
        <v>2012</v>
      </c>
      <c r="Q330" t="str">
        <f>TEXT(Europe_Sales_Records34[[#This Row],[Ship Date Fixed]],"MMM-YYYY")</f>
        <v>Oct-2012</v>
      </c>
      <c r="R330" t="s">
        <v>671</v>
      </c>
      <c r="S330" s="3">
        <f>Europe_Sales_Records34[[#This Row],[Ship Date Fixed]]-Europe_Sales_Records34[[#This Row],[Order Date Fixed]]</f>
        <v>20</v>
      </c>
      <c r="T330">
        <v>1124</v>
      </c>
      <c r="U330">
        <v>47.45</v>
      </c>
      <c r="V330">
        <v>31.79</v>
      </c>
      <c r="W330">
        <f>Europe_Sales_Records34[[#This Row],[Total Revenue]]/Europe_Sales_Records34[[#This Row],[Units Sold]]</f>
        <v>47.45</v>
      </c>
      <c r="X330">
        <v>53333.8</v>
      </c>
      <c r="Y330">
        <v>35731.96</v>
      </c>
      <c r="Z330" s="4">
        <f>Europe_Sales_Records34[[#This Row],[Total Profit]]/Europe_Sales_Records34[[#This Row],[Total Revenue]]</f>
        <v>0.33003161222339306</v>
      </c>
      <c r="AA330">
        <v>17601.84</v>
      </c>
    </row>
    <row r="331" spans="1:27" x14ac:dyDescent="0.3">
      <c r="A331" t="s">
        <v>14</v>
      </c>
      <c r="B331" t="s">
        <v>97</v>
      </c>
      <c r="C331" t="s">
        <v>64</v>
      </c>
      <c r="D331" t="s">
        <v>23</v>
      </c>
      <c r="E331" t="s">
        <v>33</v>
      </c>
      <c r="F331" t="s">
        <v>672</v>
      </c>
      <c r="G331" s="2">
        <f t="shared" si="10"/>
        <v>42671</v>
      </c>
      <c r="H331">
        <f>DAY(Europe_Sales_Records34[[#This Row],[Order Date Fixed]])</f>
        <v>28</v>
      </c>
      <c r="I331" t="str">
        <f>TEXT(Europe_Sales_Records34[[#This Row],[Order Date Fixed]],"MMM")</f>
        <v>Oct</v>
      </c>
      <c r="J331">
        <f>YEAR(Europe_Sales_Records34[[#This Row],[Order Date Fixed]])</f>
        <v>2016</v>
      </c>
      <c r="K331" t="str">
        <f>TEXT(Europe_Sales_Records34[[#This Row],[Order Date Fixed]],"MMM-YYYY")</f>
        <v>Oct-2016</v>
      </c>
      <c r="L331">
        <v>111893022</v>
      </c>
      <c r="M331" s="2">
        <f t="shared" si="11"/>
        <v>42706</v>
      </c>
      <c r="N331">
        <f>DAY(Europe_Sales_Records34[[#This Row],[Ship Date Fixed]])</f>
        <v>2</v>
      </c>
      <c r="O331" t="str">
        <f>TEXT(Europe_Sales_Records34[[#This Row],[Ship Date Fixed]],"MMM")</f>
        <v>Dec</v>
      </c>
      <c r="P331">
        <f>YEAR(Europe_Sales_Records34[[#This Row],[Ship Date Fixed]])</f>
        <v>2016</v>
      </c>
      <c r="Q331" t="str">
        <f>TEXT(Europe_Sales_Records34[[#This Row],[Ship Date Fixed]],"MMM-YYYY")</f>
        <v>Dec-2016</v>
      </c>
      <c r="R331" t="s">
        <v>673</v>
      </c>
      <c r="S331" s="3">
        <f>Europe_Sales_Records34[[#This Row],[Ship Date Fixed]]-Europe_Sales_Records34[[#This Row],[Order Date Fixed]]</f>
        <v>35</v>
      </c>
      <c r="T331">
        <v>486</v>
      </c>
      <c r="U331">
        <v>255.28</v>
      </c>
      <c r="V331">
        <v>159.41999999999999</v>
      </c>
      <c r="W331">
        <f>Europe_Sales_Records34[[#This Row],[Total Revenue]]/Europe_Sales_Records34[[#This Row],[Units Sold]]</f>
        <v>255.28</v>
      </c>
      <c r="X331">
        <v>124066.08</v>
      </c>
      <c r="Y331">
        <v>77478.12</v>
      </c>
      <c r="Z331" s="4">
        <f>Europe_Sales_Records34[[#This Row],[Total Profit]]/Europe_Sales_Records34[[#This Row],[Total Revenue]]</f>
        <v>0.37550924475086178</v>
      </c>
      <c r="AA331">
        <v>46587.96</v>
      </c>
    </row>
    <row r="332" spans="1:27" x14ac:dyDescent="0.3">
      <c r="A332" t="s">
        <v>14</v>
      </c>
      <c r="B332" t="s">
        <v>243</v>
      </c>
      <c r="C332" t="s">
        <v>16</v>
      </c>
      <c r="D332" t="s">
        <v>23</v>
      </c>
      <c r="E332" t="s">
        <v>24</v>
      </c>
      <c r="F332" t="s">
        <v>674</v>
      </c>
      <c r="G332" s="2">
        <f t="shared" si="10"/>
        <v>41941</v>
      </c>
      <c r="H332">
        <f>DAY(Europe_Sales_Records34[[#This Row],[Order Date Fixed]])</f>
        <v>29</v>
      </c>
      <c r="I332" t="str">
        <f>TEXT(Europe_Sales_Records34[[#This Row],[Order Date Fixed]],"MMM")</f>
        <v>Oct</v>
      </c>
      <c r="J332">
        <f>YEAR(Europe_Sales_Records34[[#This Row],[Order Date Fixed]])</f>
        <v>2014</v>
      </c>
      <c r="K332" t="str">
        <f>TEXT(Europe_Sales_Records34[[#This Row],[Order Date Fixed]],"MMM-YYYY")</f>
        <v>Oct-2014</v>
      </c>
      <c r="L332">
        <v>397874438</v>
      </c>
      <c r="M332" s="2">
        <f t="shared" si="11"/>
        <v>41974</v>
      </c>
      <c r="N332">
        <f>DAY(Europe_Sales_Records34[[#This Row],[Ship Date Fixed]])</f>
        <v>1</v>
      </c>
      <c r="O332" t="str">
        <f>TEXT(Europe_Sales_Records34[[#This Row],[Ship Date Fixed]],"MMM")</f>
        <v>Dec</v>
      </c>
      <c r="P332">
        <f>YEAR(Europe_Sales_Records34[[#This Row],[Ship Date Fixed]])</f>
        <v>2014</v>
      </c>
      <c r="Q332" t="str">
        <f>TEXT(Europe_Sales_Records34[[#This Row],[Ship Date Fixed]],"MMM-YYYY")</f>
        <v>Dec-2014</v>
      </c>
      <c r="R332" t="s">
        <v>675</v>
      </c>
      <c r="S332" s="3">
        <f>Europe_Sales_Records34[[#This Row],[Ship Date Fixed]]-Europe_Sales_Records34[[#This Row],[Order Date Fixed]]</f>
        <v>33</v>
      </c>
      <c r="T332">
        <v>8743</v>
      </c>
      <c r="U332">
        <v>47.45</v>
      </c>
      <c r="V332">
        <v>31.79</v>
      </c>
      <c r="W332">
        <f>Europe_Sales_Records34[[#This Row],[Total Revenue]]/Europe_Sales_Records34[[#This Row],[Units Sold]]</f>
        <v>47.449999999999996</v>
      </c>
      <c r="X332">
        <v>414855.35</v>
      </c>
      <c r="Y332">
        <v>277939.96999999997</v>
      </c>
      <c r="Z332" s="4">
        <f>Europe_Sales_Records34[[#This Row],[Total Profit]]/Europe_Sales_Records34[[#This Row],[Total Revenue]]</f>
        <v>0.33003161222339306</v>
      </c>
      <c r="AA332">
        <v>136915.38</v>
      </c>
    </row>
    <row r="333" spans="1:27" x14ac:dyDescent="0.3">
      <c r="A333" t="s">
        <v>14</v>
      </c>
      <c r="B333" t="s">
        <v>31</v>
      </c>
      <c r="C333" t="s">
        <v>22</v>
      </c>
      <c r="D333" t="s">
        <v>17</v>
      </c>
      <c r="E333" t="s">
        <v>18</v>
      </c>
      <c r="F333" t="s">
        <v>256</v>
      </c>
      <c r="G333" s="2">
        <f t="shared" si="10"/>
        <v>40239</v>
      </c>
      <c r="H333">
        <f>DAY(Europe_Sales_Records34[[#This Row],[Order Date Fixed]])</f>
        <v>2</v>
      </c>
      <c r="I333" t="str">
        <f>TEXT(Europe_Sales_Records34[[#This Row],[Order Date Fixed]],"MMM")</f>
        <v>Mar</v>
      </c>
      <c r="J333">
        <f>YEAR(Europe_Sales_Records34[[#This Row],[Order Date Fixed]])</f>
        <v>2010</v>
      </c>
      <c r="K333" t="str">
        <f>TEXT(Europe_Sales_Records34[[#This Row],[Order Date Fixed]],"MMM-YYYY")</f>
        <v>Mar-2010</v>
      </c>
      <c r="L333">
        <v>520777547</v>
      </c>
      <c r="M333" s="2">
        <f t="shared" si="11"/>
        <v>40283</v>
      </c>
      <c r="N333">
        <f>DAY(Europe_Sales_Records34[[#This Row],[Ship Date Fixed]])</f>
        <v>15</v>
      </c>
      <c r="O333" t="str">
        <f>TEXT(Europe_Sales_Records34[[#This Row],[Ship Date Fixed]],"MMM")</f>
        <v>Apr</v>
      </c>
      <c r="P333">
        <f>YEAR(Europe_Sales_Records34[[#This Row],[Ship Date Fixed]])</f>
        <v>2010</v>
      </c>
      <c r="Q333" t="str">
        <f>TEXT(Europe_Sales_Records34[[#This Row],[Ship Date Fixed]],"MMM-YYYY")</f>
        <v>Apr-2010</v>
      </c>
      <c r="R333" t="s">
        <v>676</v>
      </c>
      <c r="S333" s="3">
        <f>Europe_Sales_Records34[[#This Row],[Ship Date Fixed]]-Europe_Sales_Records34[[#This Row],[Order Date Fixed]]</f>
        <v>44</v>
      </c>
      <c r="T333">
        <v>8504</v>
      </c>
      <c r="U333">
        <v>109.28</v>
      </c>
      <c r="V333">
        <v>35.840000000000003</v>
      </c>
      <c r="W333">
        <f>Europe_Sales_Records34[[#This Row],[Total Revenue]]/Europe_Sales_Records34[[#This Row],[Units Sold]]</f>
        <v>109.28</v>
      </c>
      <c r="X333">
        <v>929317.12</v>
      </c>
      <c r="Y333">
        <v>304783.35999999999</v>
      </c>
      <c r="Z333" s="4">
        <f>Europe_Sales_Records34[[#This Row],[Total Profit]]/Europe_Sales_Records34[[#This Row],[Total Revenue]]</f>
        <v>0.67203513909224011</v>
      </c>
      <c r="AA333">
        <v>624533.76000000001</v>
      </c>
    </row>
    <row r="334" spans="1:27" x14ac:dyDescent="0.3">
      <c r="A334" t="s">
        <v>14</v>
      </c>
      <c r="B334" t="s">
        <v>257</v>
      </c>
      <c r="C334" t="s">
        <v>71</v>
      </c>
      <c r="D334" t="s">
        <v>23</v>
      </c>
      <c r="E334" t="s">
        <v>18</v>
      </c>
      <c r="F334" t="s">
        <v>422</v>
      </c>
      <c r="G334" s="2">
        <f t="shared" si="10"/>
        <v>41817</v>
      </c>
      <c r="H334">
        <f>DAY(Europe_Sales_Records34[[#This Row],[Order Date Fixed]])</f>
        <v>27</v>
      </c>
      <c r="I334" t="str">
        <f>TEXT(Europe_Sales_Records34[[#This Row],[Order Date Fixed]],"MMM")</f>
        <v>Jun</v>
      </c>
      <c r="J334">
        <f>YEAR(Europe_Sales_Records34[[#This Row],[Order Date Fixed]])</f>
        <v>2014</v>
      </c>
      <c r="K334" t="str">
        <f>TEXT(Europe_Sales_Records34[[#This Row],[Order Date Fixed]],"MMM-YYYY")</f>
        <v>Jun-2014</v>
      </c>
      <c r="L334">
        <v>672856652</v>
      </c>
      <c r="M334" s="2">
        <f t="shared" si="11"/>
        <v>41854</v>
      </c>
      <c r="N334">
        <f>DAY(Europe_Sales_Records34[[#This Row],[Ship Date Fixed]])</f>
        <v>3</v>
      </c>
      <c r="O334" t="str">
        <f>TEXT(Europe_Sales_Records34[[#This Row],[Ship Date Fixed]],"MMM")</f>
        <v>Aug</v>
      </c>
      <c r="P334">
        <f>YEAR(Europe_Sales_Records34[[#This Row],[Ship Date Fixed]])</f>
        <v>2014</v>
      </c>
      <c r="Q334" t="str">
        <f>TEXT(Europe_Sales_Records34[[#This Row],[Ship Date Fixed]],"MMM-YYYY")</f>
        <v>Aug-2014</v>
      </c>
      <c r="R334" t="s">
        <v>677</v>
      </c>
      <c r="S334" s="3">
        <f>Europe_Sales_Records34[[#This Row],[Ship Date Fixed]]-Europe_Sales_Records34[[#This Row],[Order Date Fixed]]</f>
        <v>37</v>
      </c>
      <c r="T334">
        <v>2091</v>
      </c>
      <c r="U334">
        <v>668.27</v>
      </c>
      <c r="V334">
        <v>502.54</v>
      </c>
      <c r="W334">
        <f>Europe_Sales_Records34[[#This Row],[Total Revenue]]/Europe_Sales_Records34[[#This Row],[Units Sold]]</f>
        <v>668.27</v>
      </c>
      <c r="X334">
        <v>1397352.57</v>
      </c>
      <c r="Y334">
        <v>1050811.1399999999</v>
      </c>
      <c r="Z334" s="4">
        <f>Europe_Sales_Records34[[#This Row],[Total Profit]]/Europe_Sales_Records34[[#This Row],[Total Revenue]]</f>
        <v>0.24799856345489096</v>
      </c>
      <c r="AA334">
        <v>346541.43</v>
      </c>
    </row>
    <row r="335" spans="1:27" x14ac:dyDescent="0.3">
      <c r="A335" t="s">
        <v>14</v>
      </c>
      <c r="B335" t="s">
        <v>132</v>
      </c>
      <c r="C335" t="s">
        <v>32</v>
      </c>
      <c r="D335" t="s">
        <v>23</v>
      </c>
      <c r="E335" t="s">
        <v>33</v>
      </c>
      <c r="F335" t="s">
        <v>678</v>
      </c>
      <c r="G335" s="2">
        <f t="shared" si="10"/>
        <v>41774</v>
      </c>
      <c r="H335">
        <f>DAY(Europe_Sales_Records34[[#This Row],[Order Date Fixed]])</f>
        <v>15</v>
      </c>
      <c r="I335" t="str">
        <f>TEXT(Europe_Sales_Records34[[#This Row],[Order Date Fixed]],"MMM")</f>
        <v>May</v>
      </c>
      <c r="J335">
        <f>YEAR(Europe_Sales_Records34[[#This Row],[Order Date Fixed]])</f>
        <v>2014</v>
      </c>
      <c r="K335" t="str">
        <f>TEXT(Europe_Sales_Records34[[#This Row],[Order Date Fixed]],"MMM-YYYY")</f>
        <v>May-2014</v>
      </c>
      <c r="L335">
        <v>353383243</v>
      </c>
      <c r="M335" s="2">
        <f t="shared" si="11"/>
        <v>41799</v>
      </c>
      <c r="N335">
        <f>DAY(Europe_Sales_Records34[[#This Row],[Ship Date Fixed]])</f>
        <v>9</v>
      </c>
      <c r="O335" t="str">
        <f>TEXT(Europe_Sales_Records34[[#This Row],[Ship Date Fixed]],"MMM")</f>
        <v>Jun</v>
      </c>
      <c r="P335">
        <f>YEAR(Europe_Sales_Records34[[#This Row],[Ship Date Fixed]])</f>
        <v>2014</v>
      </c>
      <c r="Q335" t="str">
        <f>TEXT(Europe_Sales_Records34[[#This Row],[Ship Date Fixed]],"MMM-YYYY")</f>
        <v>Jun-2014</v>
      </c>
      <c r="R335" t="s">
        <v>372</v>
      </c>
      <c r="S335" s="3">
        <f>Europe_Sales_Records34[[#This Row],[Ship Date Fixed]]-Europe_Sales_Records34[[#This Row],[Order Date Fixed]]</f>
        <v>25</v>
      </c>
      <c r="T335">
        <v>2809</v>
      </c>
      <c r="U335">
        <v>651.21</v>
      </c>
      <c r="V335">
        <v>524.96</v>
      </c>
      <c r="W335">
        <f>Europe_Sales_Records34[[#This Row],[Total Revenue]]/Europe_Sales_Records34[[#This Row],[Units Sold]]</f>
        <v>651.20999999999992</v>
      </c>
      <c r="X335">
        <v>1829248.89</v>
      </c>
      <c r="Y335">
        <v>1474612.64</v>
      </c>
      <c r="Z335" s="4">
        <f>Europe_Sales_Records34[[#This Row],[Total Profit]]/Europe_Sales_Records34[[#This Row],[Total Revenue]]</f>
        <v>0.19386987300563568</v>
      </c>
      <c r="AA335">
        <v>354636.25</v>
      </c>
    </row>
    <row r="336" spans="1:27" x14ac:dyDescent="0.3">
      <c r="A336" t="s">
        <v>14</v>
      </c>
      <c r="B336" t="s">
        <v>232</v>
      </c>
      <c r="C336" t="s">
        <v>32</v>
      </c>
      <c r="D336" t="s">
        <v>17</v>
      </c>
      <c r="E336" t="s">
        <v>33</v>
      </c>
      <c r="F336" t="s">
        <v>563</v>
      </c>
      <c r="G336" s="2">
        <f t="shared" si="10"/>
        <v>41234</v>
      </c>
      <c r="H336">
        <f>DAY(Europe_Sales_Records34[[#This Row],[Order Date Fixed]])</f>
        <v>21</v>
      </c>
      <c r="I336" t="str">
        <f>TEXT(Europe_Sales_Records34[[#This Row],[Order Date Fixed]],"MMM")</f>
        <v>Nov</v>
      </c>
      <c r="J336">
        <f>YEAR(Europe_Sales_Records34[[#This Row],[Order Date Fixed]])</f>
        <v>2012</v>
      </c>
      <c r="K336" t="str">
        <f>TEXT(Europe_Sales_Records34[[#This Row],[Order Date Fixed]],"MMM-YYYY")</f>
        <v>Nov-2012</v>
      </c>
      <c r="L336">
        <v>354667699</v>
      </c>
      <c r="M336" s="2">
        <f t="shared" si="11"/>
        <v>41272</v>
      </c>
      <c r="N336">
        <f>DAY(Europe_Sales_Records34[[#This Row],[Ship Date Fixed]])</f>
        <v>29</v>
      </c>
      <c r="O336" t="str">
        <f>TEXT(Europe_Sales_Records34[[#This Row],[Ship Date Fixed]],"MMM")</f>
        <v>Dec</v>
      </c>
      <c r="P336">
        <f>YEAR(Europe_Sales_Records34[[#This Row],[Ship Date Fixed]])</f>
        <v>2012</v>
      </c>
      <c r="Q336" t="str">
        <f>TEXT(Europe_Sales_Records34[[#This Row],[Ship Date Fixed]],"MMM-YYYY")</f>
        <v>Dec-2012</v>
      </c>
      <c r="R336" t="s">
        <v>679</v>
      </c>
      <c r="S336" s="3">
        <f>Europe_Sales_Records34[[#This Row],[Ship Date Fixed]]-Europe_Sales_Records34[[#This Row],[Order Date Fixed]]</f>
        <v>38</v>
      </c>
      <c r="T336">
        <v>2908</v>
      </c>
      <c r="U336">
        <v>651.21</v>
      </c>
      <c r="V336">
        <v>524.96</v>
      </c>
      <c r="W336">
        <f>Europe_Sales_Records34[[#This Row],[Total Revenue]]/Europe_Sales_Records34[[#This Row],[Units Sold]]</f>
        <v>651.20999999999992</v>
      </c>
      <c r="X336">
        <v>1893718.68</v>
      </c>
      <c r="Y336">
        <v>1526583.68</v>
      </c>
      <c r="Z336" s="4">
        <f>Europe_Sales_Records34[[#This Row],[Total Profit]]/Europe_Sales_Records34[[#This Row],[Total Revenue]]</f>
        <v>0.19386987300563566</v>
      </c>
      <c r="AA336">
        <v>367135</v>
      </c>
    </row>
    <row r="337" spans="1:27" x14ac:dyDescent="0.3">
      <c r="A337" t="s">
        <v>14</v>
      </c>
      <c r="B337" t="s">
        <v>49</v>
      </c>
      <c r="C337" t="s">
        <v>58</v>
      </c>
      <c r="D337" t="s">
        <v>23</v>
      </c>
      <c r="E337" t="s">
        <v>33</v>
      </c>
      <c r="F337" t="s">
        <v>680</v>
      </c>
      <c r="G337" s="2">
        <f t="shared" si="10"/>
        <v>40988</v>
      </c>
      <c r="H337">
        <f>DAY(Europe_Sales_Records34[[#This Row],[Order Date Fixed]])</f>
        <v>20</v>
      </c>
      <c r="I337" t="str">
        <f>TEXT(Europe_Sales_Records34[[#This Row],[Order Date Fixed]],"MMM")</f>
        <v>Mar</v>
      </c>
      <c r="J337">
        <f>YEAR(Europe_Sales_Records34[[#This Row],[Order Date Fixed]])</f>
        <v>2012</v>
      </c>
      <c r="K337" t="str">
        <f>TEXT(Europe_Sales_Records34[[#This Row],[Order Date Fixed]],"MMM-YYYY")</f>
        <v>Mar-2012</v>
      </c>
      <c r="L337">
        <v>214292466</v>
      </c>
      <c r="M337" s="2">
        <f t="shared" si="11"/>
        <v>41012</v>
      </c>
      <c r="N337">
        <f>DAY(Europe_Sales_Records34[[#This Row],[Ship Date Fixed]])</f>
        <v>13</v>
      </c>
      <c r="O337" t="str">
        <f>TEXT(Europe_Sales_Records34[[#This Row],[Ship Date Fixed]],"MMM")</f>
        <v>Apr</v>
      </c>
      <c r="P337">
        <f>YEAR(Europe_Sales_Records34[[#This Row],[Ship Date Fixed]])</f>
        <v>2012</v>
      </c>
      <c r="Q337" t="str">
        <f>TEXT(Europe_Sales_Records34[[#This Row],[Ship Date Fixed]],"MMM-YYYY")</f>
        <v>Apr-2012</v>
      </c>
      <c r="R337" t="s">
        <v>681</v>
      </c>
      <c r="S337" s="3">
        <f>Europe_Sales_Records34[[#This Row],[Ship Date Fixed]]-Europe_Sales_Records34[[#This Row],[Order Date Fixed]]</f>
        <v>24</v>
      </c>
      <c r="T337">
        <v>2758</v>
      </c>
      <c r="U337">
        <v>152.58000000000001</v>
      </c>
      <c r="V337">
        <v>97.44</v>
      </c>
      <c r="W337">
        <f>Europe_Sales_Records34[[#This Row],[Total Revenue]]/Europe_Sales_Records34[[#This Row],[Units Sold]]</f>
        <v>152.58000000000001</v>
      </c>
      <c r="X337">
        <v>420815.64</v>
      </c>
      <c r="Y337">
        <v>268739.52</v>
      </c>
      <c r="Z337" s="4">
        <f>Europe_Sales_Records34[[#This Row],[Total Profit]]/Europe_Sales_Records34[[#This Row],[Total Revenue]]</f>
        <v>0.36138419189933146</v>
      </c>
      <c r="AA337">
        <v>152076.12</v>
      </c>
    </row>
    <row r="338" spans="1:27" x14ac:dyDescent="0.3">
      <c r="A338" t="s">
        <v>14</v>
      </c>
      <c r="B338" t="s">
        <v>86</v>
      </c>
      <c r="C338" t="s">
        <v>71</v>
      </c>
      <c r="D338" t="s">
        <v>17</v>
      </c>
      <c r="E338" t="s">
        <v>54</v>
      </c>
      <c r="F338" t="s">
        <v>682</v>
      </c>
      <c r="G338" s="2">
        <f t="shared" si="10"/>
        <v>42053</v>
      </c>
      <c r="H338">
        <f>DAY(Europe_Sales_Records34[[#This Row],[Order Date Fixed]])</f>
        <v>18</v>
      </c>
      <c r="I338" t="str">
        <f>TEXT(Europe_Sales_Records34[[#This Row],[Order Date Fixed]],"MMM")</f>
        <v>Feb</v>
      </c>
      <c r="J338">
        <f>YEAR(Europe_Sales_Records34[[#This Row],[Order Date Fixed]])</f>
        <v>2015</v>
      </c>
      <c r="K338" t="str">
        <f>TEXT(Europe_Sales_Records34[[#This Row],[Order Date Fixed]],"MMM-YYYY")</f>
        <v>Feb-2015</v>
      </c>
      <c r="L338">
        <v>655287110</v>
      </c>
      <c r="M338" s="2">
        <f t="shared" si="11"/>
        <v>42057</v>
      </c>
      <c r="N338">
        <f>DAY(Europe_Sales_Records34[[#This Row],[Ship Date Fixed]])</f>
        <v>22</v>
      </c>
      <c r="O338" t="str">
        <f>TEXT(Europe_Sales_Records34[[#This Row],[Ship Date Fixed]],"MMM")</f>
        <v>Feb</v>
      </c>
      <c r="P338">
        <f>YEAR(Europe_Sales_Records34[[#This Row],[Ship Date Fixed]])</f>
        <v>2015</v>
      </c>
      <c r="Q338" t="str">
        <f>TEXT(Europe_Sales_Records34[[#This Row],[Ship Date Fixed]],"MMM-YYYY")</f>
        <v>Feb-2015</v>
      </c>
      <c r="R338" t="s">
        <v>555</v>
      </c>
      <c r="S338" s="3">
        <f>Europe_Sales_Records34[[#This Row],[Ship Date Fixed]]-Europe_Sales_Records34[[#This Row],[Order Date Fixed]]</f>
        <v>4</v>
      </c>
      <c r="T338">
        <v>2873</v>
      </c>
      <c r="U338">
        <v>668.27</v>
      </c>
      <c r="V338">
        <v>502.54</v>
      </c>
      <c r="W338">
        <f>Europe_Sales_Records34[[#This Row],[Total Revenue]]/Europe_Sales_Records34[[#This Row],[Units Sold]]</f>
        <v>668.27</v>
      </c>
      <c r="X338">
        <v>1919939.71</v>
      </c>
      <c r="Y338">
        <v>1443797.42</v>
      </c>
      <c r="Z338" s="4">
        <f>Europe_Sales_Records34[[#This Row],[Total Profit]]/Europe_Sales_Records34[[#This Row],[Total Revenue]]</f>
        <v>0.24799856345489099</v>
      </c>
      <c r="AA338">
        <v>476142.29</v>
      </c>
    </row>
    <row r="339" spans="1:27" x14ac:dyDescent="0.3">
      <c r="A339" t="s">
        <v>14</v>
      </c>
      <c r="B339" t="s">
        <v>92</v>
      </c>
      <c r="C339" t="s">
        <v>64</v>
      </c>
      <c r="D339" t="s">
        <v>23</v>
      </c>
      <c r="E339" t="s">
        <v>54</v>
      </c>
      <c r="F339" t="s">
        <v>683</v>
      </c>
      <c r="G339" s="2">
        <f t="shared" si="10"/>
        <v>42022</v>
      </c>
      <c r="H339">
        <f>DAY(Europe_Sales_Records34[[#This Row],[Order Date Fixed]])</f>
        <v>18</v>
      </c>
      <c r="I339" t="str">
        <f>TEXT(Europe_Sales_Records34[[#This Row],[Order Date Fixed]],"MMM")</f>
        <v>Jan</v>
      </c>
      <c r="J339">
        <f>YEAR(Europe_Sales_Records34[[#This Row],[Order Date Fixed]])</f>
        <v>2015</v>
      </c>
      <c r="K339" t="str">
        <f>TEXT(Europe_Sales_Records34[[#This Row],[Order Date Fixed]],"MMM-YYYY")</f>
        <v>Jan-2015</v>
      </c>
      <c r="L339">
        <v>295787847</v>
      </c>
      <c r="M339" s="2">
        <f t="shared" si="11"/>
        <v>42051</v>
      </c>
      <c r="N339">
        <f>DAY(Europe_Sales_Records34[[#This Row],[Ship Date Fixed]])</f>
        <v>16</v>
      </c>
      <c r="O339" t="str">
        <f>TEXT(Europe_Sales_Records34[[#This Row],[Ship Date Fixed]],"MMM")</f>
        <v>Feb</v>
      </c>
      <c r="P339">
        <f>YEAR(Europe_Sales_Records34[[#This Row],[Ship Date Fixed]])</f>
        <v>2015</v>
      </c>
      <c r="Q339" t="str">
        <f>TEXT(Europe_Sales_Records34[[#This Row],[Ship Date Fixed]],"MMM-YYYY")</f>
        <v>Feb-2015</v>
      </c>
      <c r="R339" t="s">
        <v>684</v>
      </c>
      <c r="S339" s="3">
        <f>Europe_Sales_Records34[[#This Row],[Ship Date Fixed]]-Europe_Sales_Records34[[#This Row],[Order Date Fixed]]</f>
        <v>29</v>
      </c>
      <c r="T339">
        <v>9052</v>
      </c>
      <c r="U339">
        <v>255.28</v>
      </c>
      <c r="V339">
        <v>159.41999999999999</v>
      </c>
      <c r="W339">
        <f>Europe_Sales_Records34[[#This Row],[Total Revenue]]/Europe_Sales_Records34[[#This Row],[Units Sold]]</f>
        <v>255.28</v>
      </c>
      <c r="X339">
        <v>2310794.56</v>
      </c>
      <c r="Y339">
        <v>1443069.84</v>
      </c>
      <c r="Z339" s="4">
        <f>Europe_Sales_Records34[[#This Row],[Total Profit]]/Europe_Sales_Records34[[#This Row],[Total Revenue]]</f>
        <v>0.37550924475086178</v>
      </c>
      <c r="AA339">
        <v>867724.72</v>
      </c>
    </row>
    <row r="340" spans="1:27" x14ac:dyDescent="0.3">
      <c r="A340" t="s">
        <v>14</v>
      </c>
      <c r="B340" t="s">
        <v>132</v>
      </c>
      <c r="C340" t="s">
        <v>64</v>
      </c>
      <c r="D340" t="s">
        <v>17</v>
      </c>
      <c r="E340" t="s">
        <v>33</v>
      </c>
      <c r="F340" t="s">
        <v>685</v>
      </c>
      <c r="G340" s="2">
        <f t="shared" si="10"/>
        <v>41070</v>
      </c>
      <c r="H340">
        <f>DAY(Europe_Sales_Records34[[#This Row],[Order Date Fixed]])</f>
        <v>10</v>
      </c>
      <c r="I340" t="str">
        <f>TEXT(Europe_Sales_Records34[[#This Row],[Order Date Fixed]],"MMM")</f>
        <v>Jun</v>
      </c>
      <c r="J340">
        <f>YEAR(Europe_Sales_Records34[[#This Row],[Order Date Fixed]])</f>
        <v>2012</v>
      </c>
      <c r="K340" t="str">
        <f>TEXT(Europe_Sales_Records34[[#This Row],[Order Date Fixed]],"MMM-YYYY")</f>
        <v>Jun-2012</v>
      </c>
      <c r="L340">
        <v>263852393</v>
      </c>
      <c r="M340" s="2">
        <f t="shared" si="11"/>
        <v>41089</v>
      </c>
      <c r="N340">
        <f>DAY(Europe_Sales_Records34[[#This Row],[Ship Date Fixed]])</f>
        <v>29</v>
      </c>
      <c r="O340" t="str">
        <f>TEXT(Europe_Sales_Records34[[#This Row],[Ship Date Fixed]],"MMM")</f>
        <v>Jun</v>
      </c>
      <c r="P340">
        <f>YEAR(Europe_Sales_Records34[[#This Row],[Ship Date Fixed]])</f>
        <v>2012</v>
      </c>
      <c r="Q340" t="str">
        <f>TEXT(Europe_Sales_Records34[[#This Row],[Ship Date Fixed]],"MMM-YYYY")</f>
        <v>Jun-2012</v>
      </c>
      <c r="R340" t="s">
        <v>686</v>
      </c>
      <c r="S340" s="3">
        <f>Europe_Sales_Records34[[#This Row],[Ship Date Fixed]]-Europe_Sales_Records34[[#This Row],[Order Date Fixed]]</f>
        <v>19</v>
      </c>
      <c r="T340">
        <v>8641</v>
      </c>
      <c r="U340">
        <v>255.28</v>
      </c>
      <c r="V340">
        <v>159.41999999999999</v>
      </c>
      <c r="W340">
        <f>Europe_Sales_Records34[[#This Row],[Total Revenue]]/Europe_Sales_Records34[[#This Row],[Units Sold]]</f>
        <v>255.28</v>
      </c>
      <c r="X340">
        <v>2205874.48</v>
      </c>
      <c r="Y340">
        <v>1377548.22</v>
      </c>
      <c r="Z340" s="4">
        <f>Europe_Sales_Records34[[#This Row],[Total Profit]]/Europe_Sales_Records34[[#This Row],[Total Revenue]]</f>
        <v>0.37550924475086178</v>
      </c>
      <c r="AA340">
        <v>828326.26</v>
      </c>
    </row>
    <row r="341" spans="1:27" x14ac:dyDescent="0.3">
      <c r="A341" t="s">
        <v>14</v>
      </c>
      <c r="B341" t="s">
        <v>70</v>
      </c>
      <c r="C341" t="s">
        <v>37</v>
      </c>
      <c r="D341" t="s">
        <v>17</v>
      </c>
      <c r="E341" t="s">
        <v>54</v>
      </c>
      <c r="F341" t="s">
        <v>687</v>
      </c>
      <c r="G341" s="2">
        <f t="shared" si="10"/>
        <v>41357</v>
      </c>
      <c r="H341">
        <f>DAY(Europe_Sales_Records34[[#This Row],[Order Date Fixed]])</f>
        <v>24</v>
      </c>
      <c r="I341" t="str">
        <f>TEXT(Europe_Sales_Records34[[#This Row],[Order Date Fixed]],"MMM")</f>
        <v>Mar</v>
      </c>
      <c r="J341">
        <f>YEAR(Europe_Sales_Records34[[#This Row],[Order Date Fixed]])</f>
        <v>2013</v>
      </c>
      <c r="K341" t="str">
        <f>TEXT(Europe_Sales_Records34[[#This Row],[Order Date Fixed]],"MMM-YYYY")</f>
        <v>Mar-2013</v>
      </c>
      <c r="L341">
        <v>578666484</v>
      </c>
      <c r="M341" s="2">
        <f t="shared" si="11"/>
        <v>41375</v>
      </c>
      <c r="N341">
        <f>DAY(Europe_Sales_Records34[[#This Row],[Ship Date Fixed]])</f>
        <v>11</v>
      </c>
      <c r="O341" t="str">
        <f>TEXT(Europe_Sales_Records34[[#This Row],[Ship Date Fixed]],"MMM")</f>
        <v>Apr</v>
      </c>
      <c r="P341">
        <f>YEAR(Europe_Sales_Records34[[#This Row],[Ship Date Fixed]])</f>
        <v>2013</v>
      </c>
      <c r="Q341" t="str">
        <f>TEXT(Europe_Sales_Records34[[#This Row],[Ship Date Fixed]],"MMM-YYYY")</f>
        <v>Apr-2013</v>
      </c>
      <c r="R341" t="s">
        <v>688</v>
      </c>
      <c r="S341" s="3">
        <f>Europe_Sales_Records34[[#This Row],[Ship Date Fixed]]-Europe_Sales_Records34[[#This Row],[Order Date Fixed]]</f>
        <v>18</v>
      </c>
      <c r="T341">
        <v>9127</v>
      </c>
      <c r="U341">
        <v>9.33</v>
      </c>
      <c r="V341">
        <v>6.92</v>
      </c>
      <c r="W341">
        <f>Europe_Sales_Records34[[#This Row],[Total Revenue]]/Europe_Sales_Records34[[#This Row],[Units Sold]]</f>
        <v>9.33</v>
      </c>
      <c r="X341">
        <v>85154.91</v>
      </c>
      <c r="Y341">
        <v>63158.84</v>
      </c>
      <c r="Z341" s="4">
        <f>Europe_Sales_Records34[[#This Row],[Total Profit]]/Europe_Sales_Records34[[#This Row],[Total Revenue]]</f>
        <v>0.25830653804930331</v>
      </c>
      <c r="AA341">
        <v>21996.07</v>
      </c>
    </row>
    <row r="342" spans="1:27" x14ac:dyDescent="0.3">
      <c r="A342" t="s">
        <v>14</v>
      </c>
      <c r="B342" t="s">
        <v>127</v>
      </c>
      <c r="C342" t="s">
        <v>102</v>
      </c>
      <c r="D342" t="s">
        <v>17</v>
      </c>
      <c r="E342" t="s">
        <v>18</v>
      </c>
      <c r="F342" t="s">
        <v>689</v>
      </c>
      <c r="G342" s="2">
        <f t="shared" si="10"/>
        <v>41808</v>
      </c>
      <c r="H342">
        <f>DAY(Europe_Sales_Records34[[#This Row],[Order Date Fixed]])</f>
        <v>18</v>
      </c>
      <c r="I342" t="str">
        <f>TEXT(Europe_Sales_Records34[[#This Row],[Order Date Fixed]],"MMM")</f>
        <v>Jun</v>
      </c>
      <c r="J342">
        <f>YEAR(Europe_Sales_Records34[[#This Row],[Order Date Fixed]])</f>
        <v>2014</v>
      </c>
      <c r="K342" t="str">
        <f>TEXT(Europe_Sales_Records34[[#This Row],[Order Date Fixed]],"MMM-YYYY")</f>
        <v>Jun-2014</v>
      </c>
      <c r="L342">
        <v>597839343</v>
      </c>
      <c r="M342" s="2">
        <f t="shared" si="11"/>
        <v>41846</v>
      </c>
      <c r="N342">
        <f>DAY(Europe_Sales_Records34[[#This Row],[Ship Date Fixed]])</f>
        <v>26</v>
      </c>
      <c r="O342" t="str">
        <f>TEXT(Europe_Sales_Records34[[#This Row],[Ship Date Fixed]],"MMM")</f>
        <v>Jul</v>
      </c>
      <c r="P342">
        <f>YEAR(Europe_Sales_Records34[[#This Row],[Ship Date Fixed]])</f>
        <v>2014</v>
      </c>
      <c r="Q342" t="str">
        <f>TEXT(Europe_Sales_Records34[[#This Row],[Ship Date Fixed]],"MMM-YYYY")</f>
        <v>Jul-2014</v>
      </c>
      <c r="R342" t="s">
        <v>690</v>
      </c>
      <c r="S342" s="3">
        <f>Europe_Sales_Records34[[#This Row],[Ship Date Fixed]]-Europe_Sales_Records34[[#This Row],[Order Date Fixed]]</f>
        <v>38</v>
      </c>
      <c r="T342">
        <v>2802</v>
      </c>
      <c r="U342">
        <v>81.73</v>
      </c>
      <c r="V342">
        <v>56.67</v>
      </c>
      <c r="W342">
        <f>Europe_Sales_Records34[[#This Row],[Total Revenue]]/Europe_Sales_Records34[[#This Row],[Units Sold]]</f>
        <v>81.73</v>
      </c>
      <c r="X342">
        <v>229007.46</v>
      </c>
      <c r="Y342">
        <v>158789.34</v>
      </c>
      <c r="Z342" s="4">
        <f>Europe_Sales_Records34[[#This Row],[Total Profit]]/Europe_Sales_Records34[[#This Row],[Total Revenue]]</f>
        <v>0.30661935641747218</v>
      </c>
      <c r="AA342">
        <v>70218.12</v>
      </c>
    </row>
    <row r="343" spans="1:27" x14ac:dyDescent="0.3">
      <c r="A343" t="s">
        <v>14</v>
      </c>
      <c r="B343" t="s">
        <v>342</v>
      </c>
      <c r="C343" t="s">
        <v>75</v>
      </c>
      <c r="D343" t="s">
        <v>17</v>
      </c>
      <c r="E343" t="s">
        <v>24</v>
      </c>
      <c r="F343" t="s">
        <v>691</v>
      </c>
      <c r="G343" s="2">
        <f t="shared" si="10"/>
        <v>40889</v>
      </c>
      <c r="H343">
        <f>DAY(Europe_Sales_Records34[[#This Row],[Order Date Fixed]])</f>
        <v>12</v>
      </c>
      <c r="I343" t="str">
        <f>TEXT(Europe_Sales_Records34[[#This Row],[Order Date Fixed]],"MMM")</f>
        <v>Dec</v>
      </c>
      <c r="J343">
        <f>YEAR(Europe_Sales_Records34[[#This Row],[Order Date Fixed]])</f>
        <v>2011</v>
      </c>
      <c r="K343" t="str">
        <f>TEXT(Europe_Sales_Records34[[#This Row],[Order Date Fixed]],"MMM-YYYY")</f>
        <v>Dec-2011</v>
      </c>
      <c r="L343">
        <v>299335229</v>
      </c>
      <c r="M343" s="2">
        <f t="shared" si="11"/>
        <v>40901</v>
      </c>
      <c r="N343">
        <f>DAY(Europe_Sales_Records34[[#This Row],[Ship Date Fixed]])</f>
        <v>24</v>
      </c>
      <c r="O343" t="str">
        <f>TEXT(Europe_Sales_Records34[[#This Row],[Ship Date Fixed]],"MMM")</f>
        <v>Dec</v>
      </c>
      <c r="P343">
        <f>YEAR(Europe_Sales_Records34[[#This Row],[Ship Date Fixed]])</f>
        <v>2011</v>
      </c>
      <c r="Q343" t="str">
        <f>TEXT(Europe_Sales_Records34[[#This Row],[Ship Date Fixed]],"MMM-YYYY")</f>
        <v>Dec-2011</v>
      </c>
      <c r="R343" t="s">
        <v>692</v>
      </c>
      <c r="S343" s="3">
        <f>Europe_Sales_Records34[[#This Row],[Ship Date Fixed]]-Europe_Sales_Records34[[#This Row],[Order Date Fixed]]</f>
        <v>12</v>
      </c>
      <c r="T343">
        <v>8801</v>
      </c>
      <c r="U343">
        <v>437.2</v>
      </c>
      <c r="V343">
        <v>263.33</v>
      </c>
      <c r="W343">
        <f>Europe_Sales_Records34[[#This Row],[Total Revenue]]/Europe_Sales_Records34[[#This Row],[Units Sold]]</f>
        <v>437.20000000000005</v>
      </c>
      <c r="X343">
        <v>3847797.2</v>
      </c>
      <c r="Y343">
        <v>2317567.33</v>
      </c>
      <c r="Z343" s="4">
        <f>Europe_Sales_Records34[[#This Row],[Total Profit]]/Europe_Sales_Records34[[#This Row],[Total Revenue]]</f>
        <v>0.39768984446477584</v>
      </c>
      <c r="AA343">
        <v>1530229.87</v>
      </c>
    </row>
    <row r="344" spans="1:27" x14ac:dyDescent="0.3">
      <c r="A344" t="s">
        <v>14</v>
      </c>
      <c r="B344" t="s">
        <v>257</v>
      </c>
      <c r="C344" t="s">
        <v>46</v>
      </c>
      <c r="D344" t="s">
        <v>17</v>
      </c>
      <c r="E344" t="s">
        <v>33</v>
      </c>
      <c r="F344" t="s">
        <v>693</v>
      </c>
      <c r="G344" s="2">
        <f t="shared" si="10"/>
        <v>42379</v>
      </c>
      <c r="H344">
        <f>DAY(Europe_Sales_Records34[[#This Row],[Order Date Fixed]])</f>
        <v>10</v>
      </c>
      <c r="I344" t="str">
        <f>TEXT(Europe_Sales_Records34[[#This Row],[Order Date Fixed]],"MMM")</f>
        <v>Jan</v>
      </c>
      <c r="J344">
        <f>YEAR(Europe_Sales_Records34[[#This Row],[Order Date Fixed]])</f>
        <v>2016</v>
      </c>
      <c r="K344" t="str">
        <f>TEXT(Europe_Sales_Records34[[#This Row],[Order Date Fixed]],"MMM-YYYY")</f>
        <v>Jan-2016</v>
      </c>
      <c r="L344">
        <v>700069701</v>
      </c>
      <c r="M344" s="2">
        <f t="shared" si="11"/>
        <v>42390</v>
      </c>
      <c r="N344">
        <f>DAY(Europe_Sales_Records34[[#This Row],[Ship Date Fixed]])</f>
        <v>21</v>
      </c>
      <c r="O344" t="str">
        <f>TEXT(Europe_Sales_Records34[[#This Row],[Ship Date Fixed]],"MMM")</f>
        <v>Jan</v>
      </c>
      <c r="P344">
        <f>YEAR(Europe_Sales_Records34[[#This Row],[Ship Date Fixed]])</f>
        <v>2016</v>
      </c>
      <c r="Q344" t="str">
        <f>TEXT(Europe_Sales_Records34[[#This Row],[Ship Date Fixed]],"MMM-YYYY")</f>
        <v>Jan-2016</v>
      </c>
      <c r="R344" t="s">
        <v>694</v>
      </c>
      <c r="S344" s="3">
        <f>Europe_Sales_Records34[[#This Row],[Ship Date Fixed]]-Europe_Sales_Records34[[#This Row],[Order Date Fixed]]</f>
        <v>11</v>
      </c>
      <c r="T344">
        <v>5037</v>
      </c>
      <c r="U344">
        <v>154.06</v>
      </c>
      <c r="V344">
        <v>90.93</v>
      </c>
      <c r="W344">
        <f>Europe_Sales_Records34[[#This Row],[Total Revenue]]/Europe_Sales_Records34[[#This Row],[Units Sold]]</f>
        <v>154.06</v>
      </c>
      <c r="X344">
        <v>776000.22</v>
      </c>
      <c r="Y344">
        <v>458014.41</v>
      </c>
      <c r="Z344" s="4">
        <f>Europe_Sales_Records34[[#This Row],[Total Profit]]/Europe_Sales_Records34[[#This Row],[Total Revenue]]</f>
        <v>0.40977541217707386</v>
      </c>
      <c r="AA344">
        <v>317985.81</v>
      </c>
    </row>
    <row r="345" spans="1:27" x14ac:dyDescent="0.3">
      <c r="A345" t="s">
        <v>14</v>
      </c>
      <c r="B345" t="s">
        <v>74</v>
      </c>
      <c r="C345" t="s">
        <v>71</v>
      </c>
      <c r="D345" t="s">
        <v>23</v>
      </c>
      <c r="E345" t="s">
        <v>54</v>
      </c>
      <c r="F345" t="s">
        <v>695</v>
      </c>
      <c r="G345" s="2">
        <f t="shared" si="10"/>
        <v>40387</v>
      </c>
      <c r="H345">
        <f>DAY(Europe_Sales_Records34[[#This Row],[Order Date Fixed]])</f>
        <v>28</v>
      </c>
      <c r="I345" t="str">
        <f>TEXT(Europe_Sales_Records34[[#This Row],[Order Date Fixed]],"MMM")</f>
        <v>Jul</v>
      </c>
      <c r="J345">
        <f>YEAR(Europe_Sales_Records34[[#This Row],[Order Date Fixed]])</f>
        <v>2010</v>
      </c>
      <c r="K345" t="str">
        <f>TEXT(Europe_Sales_Records34[[#This Row],[Order Date Fixed]],"MMM-YYYY")</f>
        <v>Jul-2010</v>
      </c>
      <c r="L345">
        <v>741866242</v>
      </c>
      <c r="M345" s="2">
        <f t="shared" si="11"/>
        <v>40434</v>
      </c>
      <c r="N345">
        <f>DAY(Europe_Sales_Records34[[#This Row],[Ship Date Fixed]])</f>
        <v>13</v>
      </c>
      <c r="O345" t="str">
        <f>TEXT(Europe_Sales_Records34[[#This Row],[Ship Date Fixed]],"MMM")</f>
        <v>Sep</v>
      </c>
      <c r="P345">
        <f>YEAR(Europe_Sales_Records34[[#This Row],[Ship Date Fixed]])</f>
        <v>2010</v>
      </c>
      <c r="Q345" t="str">
        <f>TEXT(Europe_Sales_Records34[[#This Row],[Ship Date Fixed]],"MMM-YYYY")</f>
        <v>Sep-2010</v>
      </c>
      <c r="R345" t="s">
        <v>607</v>
      </c>
      <c r="S345" s="3">
        <f>Europe_Sales_Records34[[#This Row],[Ship Date Fixed]]-Europe_Sales_Records34[[#This Row],[Order Date Fixed]]</f>
        <v>47</v>
      </c>
      <c r="T345">
        <v>3562</v>
      </c>
      <c r="U345">
        <v>668.27</v>
      </c>
      <c r="V345">
        <v>502.54</v>
      </c>
      <c r="W345">
        <f>Europe_Sales_Records34[[#This Row],[Total Revenue]]/Europe_Sales_Records34[[#This Row],[Units Sold]]</f>
        <v>668.2700000000001</v>
      </c>
      <c r="X345">
        <v>2380377.7400000002</v>
      </c>
      <c r="Y345">
        <v>1790047.48</v>
      </c>
      <c r="Z345" s="4">
        <f>Europe_Sales_Records34[[#This Row],[Total Profit]]/Europe_Sales_Records34[[#This Row],[Total Revenue]]</f>
        <v>0.24799856345489096</v>
      </c>
      <c r="AA345">
        <v>590330.26</v>
      </c>
    </row>
    <row r="346" spans="1:27" x14ac:dyDescent="0.3">
      <c r="A346" t="s">
        <v>14</v>
      </c>
      <c r="B346" t="s">
        <v>31</v>
      </c>
      <c r="C346" t="s">
        <v>58</v>
      </c>
      <c r="D346" t="s">
        <v>17</v>
      </c>
      <c r="E346" t="s">
        <v>33</v>
      </c>
      <c r="F346" t="s">
        <v>696</v>
      </c>
      <c r="G346" s="2">
        <f t="shared" si="10"/>
        <v>40238</v>
      </c>
      <c r="H346">
        <f>DAY(Europe_Sales_Records34[[#This Row],[Order Date Fixed]])</f>
        <v>1</v>
      </c>
      <c r="I346" t="str">
        <f>TEXT(Europe_Sales_Records34[[#This Row],[Order Date Fixed]],"MMM")</f>
        <v>Mar</v>
      </c>
      <c r="J346">
        <f>YEAR(Europe_Sales_Records34[[#This Row],[Order Date Fixed]])</f>
        <v>2010</v>
      </c>
      <c r="K346" t="str">
        <f>TEXT(Europe_Sales_Records34[[#This Row],[Order Date Fixed]],"MMM-YYYY")</f>
        <v>Mar-2010</v>
      </c>
      <c r="L346">
        <v>211344611</v>
      </c>
      <c r="M346" s="2">
        <f t="shared" si="11"/>
        <v>40260</v>
      </c>
      <c r="N346">
        <f>DAY(Europe_Sales_Records34[[#This Row],[Ship Date Fixed]])</f>
        <v>23</v>
      </c>
      <c r="O346" t="str">
        <f>TEXT(Europe_Sales_Records34[[#This Row],[Ship Date Fixed]],"MMM")</f>
        <v>Mar</v>
      </c>
      <c r="P346">
        <f>YEAR(Europe_Sales_Records34[[#This Row],[Ship Date Fixed]])</f>
        <v>2010</v>
      </c>
      <c r="Q346" t="str">
        <f>TEXT(Europe_Sales_Records34[[#This Row],[Ship Date Fixed]],"MMM-YYYY")</f>
        <v>Mar-2010</v>
      </c>
      <c r="R346" t="s">
        <v>697</v>
      </c>
      <c r="S346" s="3">
        <f>Europe_Sales_Records34[[#This Row],[Ship Date Fixed]]-Europe_Sales_Records34[[#This Row],[Order Date Fixed]]</f>
        <v>22</v>
      </c>
      <c r="T346">
        <v>422</v>
      </c>
      <c r="U346">
        <v>152.58000000000001</v>
      </c>
      <c r="V346">
        <v>97.44</v>
      </c>
      <c r="W346">
        <f>Europe_Sales_Records34[[#This Row],[Total Revenue]]/Europe_Sales_Records34[[#This Row],[Units Sold]]</f>
        <v>152.58000000000001</v>
      </c>
      <c r="X346">
        <v>64388.76</v>
      </c>
      <c r="Y346">
        <v>41119.68</v>
      </c>
      <c r="Z346" s="4">
        <f>Europe_Sales_Records34[[#This Row],[Total Profit]]/Europe_Sales_Records34[[#This Row],[Total Revenue]]</f>
        <v>0.36138419189933152</v>
      </c>
      <c r="AA346">
        <v>23269.08</v>
      </c>
    </row>
    <row r="347" spans="1:27" x14ac:dyDescent="0.3">
      <c r="A347" t="s">
        <v>14</v>
      </c>
      <c r="B347" t="s">
        <v>61</v>
      </c>
      <c r="C347" t="s">
        <v>102</v>
      </c>
      <c r="D347" t="s">
        <v>17</v>
      </c>
      <c r="E347" t="s">
        <v>54</v>
      </c>
      <c r="F347" t="s">
        <v>698</v>
      </c>
      <c r="G347" s="2">
        <f t="shared" si="10"/>
        <v>42276</v>
      </c>
      <c r="H347">
        <f>DAY(Europe_Sales_Records34[[#This Row],[Order Date Fixed]])</f>
        <v>29</v>
      </c>
      <c r="I347" t="str">
        <f>TEXT(Europe_Sales_Records34[[#This Row],[Order Date Fixed]],"MMM")</f>
        <v>Sep</v>
      </c>
      <c r="J347">
        <f>YEAR(Europe_Sales_Records34[[#This Row],[Order Date Fixed]])</f>
        <v>2015</v>
      </c>
      <c r="K347" t="str">
        <f>TEXT(Europe_Sales_Records34[[#This Row],[Order Date Fixed]],"MMM-YYYY")</f>
        <v>Sep-2015</v>
      </c>
      <c r="L347">
        <v>625751483</v>
      </c>
      <c r="M347" s="2">
        <f t="shared" si="11"/>
        <v>42278</v>
      </c>
      <c r="N347">
        <f>DAY(Europe_Sales_Records34[[#This Row],[Ship Date Fixed]])</f>
        <v>1</v>
      </c>
      <c r="O347" t="str">
        <f>TEXT(Europe_Sales_Records34[[#This Row],[Ship Date Fixed]],"MMM")</f>
        <v>Oct</v>
      </c>
      <c r="P347">
        <f>YEAR(Europe_Sales_Records34[[#This Row],[Ship Date Fixed]])</f>
        <v>2015</v>
      </c>
      <c r="Q347" t="str">
        <f>TEXT(Europe_Sales_Records34[[#This Row],[Ship Date Fixed]],"MMM-YYYY")</f>
        <v>Oct-2015</v>
      </c>
      <c r="R347" t="s">
        <v>699</v>
      </c>
      <c r="S347" s="3">
        <f>Europe_Sales_Records34[[#This Row],[Ship Date Fixed]]-Europe_Sales_Records34[[#This Row],[Order Date Fixed]]</f>
        <v>2</v>
      </c>
      <c r="T347">
        <v>2624</v>
      </c>
      <c r="U347">
        <v>81.73</v>
      </c>
      <c r="V347">
        <v>56.67</v>
      </c>
      <c r="W347">
        <f>Europe_Sales_Records34[[#This Row],[Total Revenue]]/Europe_Sales_Records34[[#This Row],[Units Sold]]</f>
        <v>81.72999999999999</v>
      </c>
      <c r="X347">
        <v>214459.51999999999</v>
      </c>
      <c r="Y347">
        <v>148702.07999999999</v>
      </c>
      <c r="Z347" s="4">
        <f>Europe_Sales_Records34[[#This Row],[Total Profit]]/Europe_Sales_Records34[[#This Row],[Total Revenue]]</f>
        <v>0.30661935641747218</v>
      </c>
      <c r="AA347">
        <v>65757.440000000002</v>
      </c>
    </row>
    <row r="348" spans="1:27" x14ac:dyDescent="0.3">
      <c r="A348" t="s">
        <v>14</v>
      </c>
      <c r="B348" t="s">
        <v>83</v>
      </c>
      <c r="C348" t="s">
        <v>37</v>
      </c>
      <c r="D348" t="s">
        <v>23</v>
      </c>
      <c r="E348" t="s">
        <v>18</v>
      </c>
      <c r="F348" t="s">
        <v>700</v>
      </c>
      <c r="G348" s="2">
        <f t="shared" si="10"/>
        <v>42273</v>
      </c>
      <c r="H348">
        <f>DAY(Europe_Sales_Records34[[#This Row],[Order Date Fixed]])</f>
        <v>26</v>
      </c>
      <c r="I348" t="str">
        <f>TEXT(Europe_Sales_Records34[[#This Row],[Order Date Fixed]],"MMM")</f>
        <v>Sep</v>
      </c>
      <c r="J348">
        <f>YEAR(Europe_Sales_Records34[[#This Row],[Order Date Fixed]])</f>
        <v>2015</v>
      </c>
      <c r="K348" t="str">
        <f>TEXT(Europe_Sales_Records34[[#This Row],[Order Date Fixed]],"MMM-YYYY")</f>
        <v>Sep-2015</v>
      </c>
      <c r="L348">
        <v>665817677</v>
      </c>
      <c r="M348" s="2">
        <f t="shared" si="11"/>
        <v>42287</v>
      </c>
      <c r="N348">
        <f>DAY(Europe_Sales_Records34[[#This Row],[Ship Date Fixed]])</f>
        <v>10</v>
      </c>
      <c r="O348" t="str">
        <f>TEXT(Europe_Sales_Records34[[#This Row],[Ship Date Fixed]],"MMM")</f>
        <v>Oct</v>
      </c>
      <c r="P348">
        <f>YEAR(Europe_Sales_Records34[[#This Row],[Ship Date Fixed]])</f>
        <v>2015</v>
      </c>
      <c r="Q348" t="str">
        <f>TEXT(Europe_Sales_Records34[[#This Row],[Ship Date Fixed]],"MMM-YYYY")</f>
        <v>Oct-2015</v>
      </c>
      <c r="R348" t="s">
        <v>701</v>
      </c>
      <c r="S348" s="3">
        <f>Europe_Sales_Records34[[#This Row],[Ship Date Fixed]]-Europe_Sales_Records34[[#This Row],[Order Date Fixed]]</f>
        <v>14</v>
      </c>
      <c r="T348">
        <v>9102</v>
      </c>
      <c r="U348">
        <v>9.33</v>
      </c>
      <c r="V348">
        <v>6.92</v>
      </c>
      <c r="W348">
        <f>Europe_Sales_Records34[[#This Row],[Total Revenue]]/Europe_Sales_Records34[[#This Row],[Units Sold]]</f>
        <v>9.33</v>
      </c>
      <c r="X348">
        <v>84921.66</v>
      </c>
      <c r="Y348">
        <v>62985.84</v>
      </c>
      <c r="Z348" s="4">
        <f>Europe_Sales_Records34[[#This Row],[Total Profit]]/Europe_Sales_Records34[[#This Row],[Total Revenue]]</f>
        <v>0.25830653804930331</v>
      </c>
      <c r="AA348">
        <v>21935.82</v>
      </c>
    </row>
    <row r="349" spans="1:27" x14ac:dyDescent="0.3">
      <c r="A349" t="s">
        <v>14</v>
      </c>
      <c r="B349" t="s">
        <v>70</v>
      </c>
      <c r="C349" t="s">
        <v>64</v>
      </c>
      <c r="D349" t="s">
        <v>17</v>
      </c>
      <c r="E349" t="s">
        <v>33</v>
      </c>
      <c r="F349" t="s">
        <v>170</v>
      </c>
      <c r="G349" s="2">
        <f t="shared" si="10"/>
        <v>40441</v>
      </c>
      <c r="H349">
        <f>DAY(Europe_Sales_Records34[[#This Row],[Order Date Fixed]])</f>
        <v>20</v>
      </c>
      <c r="I349" t="str">
        <f>TEXT(Europe_Sales_Records34[[#This Row],[Order Date Fixed]],"MMM")</f>
        <v>Sep</v>
      </c>
      <c r="J349">
        <f>YEAR(Europe_Sales_Records34[[#This Row],[Order Date Fixed]])</f>
        <v>2010</v>
      </c>
      <c r="K349" t="str">
        <f>TEXT(Europe_Sales_Records34[[#This Row],[Order Date Fixed]],"MMM-YYYY")</f>
        <v>Sep-2010</v>
      </c>
      <c r="L349">
        <v>996754205</v>
      </c>
      <c r="M349" s="2">
        <f t="shared" si="11"/>
        <v>40443</v>
      </c>
      <c r="N349">
        <f>DAY(Europe_Sales_Records34[[#This Row],[Ship Date Fixed]])</f>
        <v>22</v>
      </c>
      <c r="O349" t="str">
        <f>TEXT(Europe_Sales_Records34[[#This Row],[Ship Date Fixed]],"MMM")</f>
        <v>Sep</v>
      </c>
      <c r="P349">
        <f>YEAR(Europe_Sales_Records34[[#This Row],[Ship Date Fixed]])</f>
        <v>2010</v>
      </c>
      <c r="Q349" t="str">
        <f>TEXT(Europe_Sales_Records34[[#This Row],[Ship Date Fixed]],"MMM-YYYY")</f>
        <v>Sep-2010</v>
      </c>
      <c r="R349" t="s">
        <v>702</v>
      </c>
      <c r="S349" s="3">
        <f>Europe_Sales_Records34[[#This Row],[Ship Date Fixed]]-Europe_Sales_Records34[[#This Row],[Order Date Fixed]]</f>
        <v>2</v>
      </c>
      <c r="T349">
        <v>574</v>
      </c>
      <c r="U349">
        <v>255.28</v>
      </c>
      <c r="V349">
        <v>159.41999999999999</v>
      </c>
      <c r="W349">
        <f>Europe_Sales_Records34[[#This Row],[Total Revenue]]/Europe_Sales_Records34[[#This Row],[Units Sold]]</f>
        <v>255.28</v>
      </c>
      <c r="X349">
        <v>146530.72</v>
      </c>
      <c r="Y349">
        <v>91507.08</v>
      </c>
      <c r="Z349" s="4">
        <f>Europe_Sales_Records34[[#This Row],[Total Profit]]/Europe_Sales_Records34[[#This Row],[Total Revenue]]</f>
        <v>0.37550924475086178</v>
      </c>
      <c r="AA349">
        <v>55023.64</v>
      </c>
    </row>
    <row r="350" spans="1:27" x14ac:dyDescent="0.3">
      <c r="A350" t="s">
        <v>14</v>
      </c>
      <c r="B350" t="s">
        <v>196</v>
      </c>
      <c r="C350" t="s">
        <v>28</v>
      </c>
      <c r="D350" t="s">
        <v>23</v>
      </c>
      <c r="E350" t="s">
        <v>54</v>
      </c>
      <c r="F350" t="s">
        <v>703</v>
      </c>
      <c r="G350" s="2">
        <f t="shared" si="10"/>
        <v>41953</v>
      </c>
      <c r="H350">
        <f>DAY(Europe_Sales_Records34[[#This Row],[Order Date Fixed]])</f>
        <v>10</v>
      </c>
      <c r="I350" t="str">
        <f>TEXT(Europe_Sales_Records34[[#This Row],[Order Date Fixed]],"MMM")</f>
        <v>Nov</v>
      </c>
      <c r="J350">
        <f>YEAR(Europe_Sales_Records34[[#This Row],[Order Date Fixed]])</f>
        <v>2014</v>
      </c>
      <c r="K350" t="str">
        <f>TEXT(Europe_Sales_Records34[[#This Row],[Order Date Fixed]],"MMM-YYYY")</f>
        <v>Nov-2014</v>
      </c>
      <c r="L350">
        <v>734189975</v>
      </c>
      <c r="M350" s="2">
        <f t="shared" si="11"/>
        <v>41972</v>
      </c>
      <c r="N350">
        <f>DAY(Europe_Sales_Records34[[#This Row],[Ship Date Fixed]])</f>
        <v>29</v>
      </c>
      <c r="O350" t="str">
        <f>TEXT(Europe_Sales_Records34[[#This Row],[Ship Date Fixed]],"MMM")</f>
        <v>Nov</v>
      </c>
      <c r="P350">
        <f>YEAR(Europe_Sales_Records34[[#This Row],[Ship Date Fixed]])</f>
        <v>2014</v>
      </c>
      <c r="Q350" t="str">
        <f>TEXT(Europe_Sales_Records34[[#This Row],[Ship Date Fixed]],"MMM-YYYY")</f>
        <v>Nov-2014</v>
      </c>
      <c r="R350" t="s">
        <v>704</v>
      </c>
      <c r="S350" s="3">
        <f>Europe_Sales_Records34[[#This Row],[Ship Date Fixed]]-Europe_Sales_Records34[[#This Row],[Order Date Fixed]]</f>
        <v>19</v>
      </c>
      <c r="T350">
        <v>1984</v>
      </c>
      <c r="U350">
        <v>205.7</v>
      </c>
      <c r="V350">
        <v>117.11</v>
      </c>
      <c r="W350">
        <f>Europe_Sales_Records34[[#This Row],[Total Revenue]]/Europe_Sales_Records34[[#This Row],[Units Sold]]</f>
        <v>205.7</v>
      </c>
      <c r="X350">
        <v>408108.79999999999</v>
      </c>
      <c r="Y350">
        <v>232346.23999999999</v>
      </c>
      <c r="Z350" s="4">
        <f>Europe_Sales_Records34[[#This Row],[Total Profit]]/Europe_Sales_Records34[[#This Row],[Total Revenue]]</f>
        <v>0.43067574137092857</v>
      </c>
      <c r="AA350">
        <v>175762.56</v>
      </c>
    </row>
    <row r="351" spans="1:27" x14ac:dyDescent="0.3">
      <c r="A351" t="s">
        <v>14</v>
      </c>
      <c r="B351" t="s">
        <v>264</v>
      </c>
      <c r="C351" t="s">
        <v>16</v>
      </c>
      <c r="D351" t="s">
        <v>23</v>
      </c>
      <c r="E351" t="s">
        <v>33</v>
      </c>
      <c r="F351" t="s">
        <v>665</v>
      </c>
      <c r="G351" s="2">
        <f t="shared" si="10"/>
        <v>40454</v>
      </c>
      <c r="H351">
        <f>DAY(Europe_Sales_Records34[[#This Row],[Order Date Fixed]])</f>
        <v>3</v>
      </c>
      <c r="I351" t="str">
        <f>TEXT(Europe_Sales_Records34[[#This Row],[Order Date Fixed]],"MMM")</f>
        <v>Oct</v>
      </c>
      <c r="J351">
        <f>YEAR(Europe_Sales_Records34[[#This Row],[Order Date Fixed]])</f>
        <v>2010</v>
      </c>
      <c r="K351" t="str">
        <f>TEXT(Europe_Sales_Records34[[#This Row],[Order Date Fixed]],"MMM-YYYY")</f>
        <v>Oct-2010</v>
      </c>
      <c r="L351">
        <v>935789954</v>
      </c>
      <c r="M351" s="2">
        <f t="shared" si="11"/>
        <v>40500</v>
      </c>
      <c r="N351">
        <f>DAY(Europe_Sales_Records34[[#This Row],[Ship Date Fixed]])</f>
        <v>18</v>
      </c>
      <c r="O351" t="str">
        <f>TEXT(Europe_Sales_Records34[[#This Row],[Ship Date Fixed]],"MMM")</f>
        <v>Nov</v>
      </c>
      <c r="P351">
        <f>YEAR(Europe_Sales_Records34[[#This Row],[Ship Date Fixed]])</f>
        <v>2010</v>
      </c>
      <c r="Q351" t="str">
        <f>TEXT(Europe_Sales_Records34[[#This Row],[Ship Date Fixed]],"MMM-YYYY")</f>
        <v>Nov-2010</v>
      </c>
      <c r="R351" t="s">
        <v>705</v>
      </c>
      <c r="S351" s="3">
        <f>Europe_Sales_Records34[[#This Row],[Ship Date Fixed]]-Europe_Sales_Records34[[#This Row],[Order Date Fixed]]</f>
        <v>46</v>
      </c>
      <c r="T351">
        <v>9898</v>
      </c>
      <c r="U351">
        <v>47.45</v>
      </c>
      <c r="V351">
        <v>31.79</v>
      </c>
      <c r="W351">
        <f>Europe_Sales_Records34[[#This Row],[Total Revenue]]/Europe_Sales_Records34[[#This Row],[Units Sold]]</f>
        <v>47.449999999999996</v>
      </c>
      <c r="X351">
        <v>469660.1</v>
      </c>
      <c r="Y351">
        <v>314657.42</v>
      </c>
      <c r="Z351" s="4">
        <f>Europe_Sales_Records34[[#This Row],[Total Profit]]/Europe_Sales_Records34[[#This Row],[Total Revenue]]</f>
        <v>0.33003161222339306</v>
      </c>
      <c r="AA351">
        <v>155002.68</v>
      </c>
    </row>
    <row r="352" spans="1:27" x14ac:dyDescent="0.3">
      <c r="A352" t="s">
        <v>14</v>
      </c>
      <c r="B352" t="s">
        <v>196</v>
      </c>
      <c r="C352" t="s">
        <v>28</v>
      </c>
      <c r="D352" t="s">
        <v>23</v>
      </c>
      <c r="E352" t="s">
        <v>24</v>
      </c>
      <c r="F352" t="s">
        <v>706</v>
      </c>
      <c r="G352" s="2">
        <f t="shared" si="10"/>
        <v>40566</v>
      </c>
      <c r="H352">
        <f>DAY(Europe_Sales_Records34[[#This Row],[Order Date Fixed]])</f>
        <v>23</v>
      </c>
      <c r="I352" t="str">
        <f>TEXT(Europe_Sales_Records34[[#This Row],[Order Date Fixed]],"MMM")</f>
        <v>Jan</v>
      </c>
      <c r="J352">
        <f>YEAR(Europe_Sales_Records34[[#This Row],[Order Date Fixed]])</f>
        <v>2011</v>
      </c>
      <c r="K352" t="str">
        <f>TEXT(Europe_Sales_Records34[[#This Row],[Order Date Fixed]],"MMM-YYYY")</f>
        <v>Jan-2011</v>
      </c>
      <c r="L352">
        <v>104008615</v>
      </c>
      <c r="M352" s="2">
        <f t="shared" si="11"/>
        <v>40596</v>
      </c>
      <c r="N352">
        <f>DAY(Europe_Sales_Records34[[#This Row],[Ship Date Fixed]])</f>
        <v>22</v>
      </c>
      <c r="O352" t="str">
        <f>TEXT(Europe_Sales_Records34[[#This Row],[Ship Date Fixed]],"MMM")</f>
        <v>Feb</v>
      </c>
      <c r="P352">
        <f>YEAR(Europe_Sales_Records34[[#This Row],[Ship Date Fixed]])</f>
        <v>2011</v>
      </c>
      <c r="Q352" t="str">
        <f>TEXT(Europe_Sales_Records34[[#This Row],[Ship Date Fixed]],"MMM-YYYY")</f>
        <v>Feb-2011</v>
      </c>
      <c r="R352" t="s">
        <v>707</v>
      </c>
      <c r="S352" s="3">
        <f>Europe_Sales_Records34[[#This Row],[Ship Date Fixed]]-Europe_Sales_Records34[[#This Row],[Order Date Fixed]]</f>
        <v>30</v>
      </c>
      <c r="T352">
        <v>7315</v>
      </c>
      <c r="U352">
        <v>205.7</v>
      </c>
      <c r="V352">
        <v>117.11</v>
      </c>
      <c r="W352">
        <f>Europe_Sales_Records34[[#This Row],[Total Revenue]]/Europe_Sales_Records34[[#This Row],[Units Sold]]</f>
        <v>205.7</v>
      </c>
      <c r="X352">
        <v>1504695.5</v>
      </c>
      <c r="Y352">
        <v>856659.65</v>
      </c>
      <c r="Z352" s="4">
        <f>Europe_Sales_Records34[[#This Row],[Total Profit]]/Europe_Sales_Records34[[#This Row],[Total Revenue]]</f>
        <v>0.43067574137092851</v>
      </c>
      <c r="AA352">
        <v>648035.85</v>
      </c>
    </row>
    <row r="353" spans="1:27" x14ac:dyDescent="0.3">
      <c r="A353" t="s">
        <v>14</v>
      </c>
      <c r="B353" t="s">
        <v>264</v>
      </c>
      <c r="C353" t="s">
        <v>16</v>
      </c>
      <c r="D353" t="s">
        <v>23</v>
      </c>
      <c r="E353" t="s">
        <v>54</v>
      </c>
      <c r="F353" t="s">
        <v>708</v>
      </c>
      <c r="G353" s="2">
        <f t="shared" si="10"/>
        <v>42818</v>
      </c>
      <c r="H353">
        <f>DAY(Europe_Sales_Records34[[#This Row],[Order Date Fixed]])</f>
        <v>24</v>
      </c>
      <c r="I353" t="str">
        <f>TEXT(Europe_Sales_Records34[[#This Row],[Order Date Fixed]],"MMM")</f>
        <v>Mar</v>
      </c>
      <c r="J353">
        <f>YEAR(Europe_Sales_Records34[[#This Row],[Order Date Fixed]])</f>
        <v>2017</v>
      </c>
      <c r="K353" t="str">
        <f>TEXT(Europe_Sales_Records34[[#This Row],[Order Date Fixed]],"MMM-YYYY")</f>
        <v>Mar-2017</v>
      </c>
      <c r="L353">
        <v>122967326</v>
      </c>
      <c r="M353" s="2">
        <f t="shared" si="11"/>
        <v>42850</v>
      </c>
      <c r="N353">
        <f>DAY(Europe_Sales_Records34[[#This Row],[Ship Date Fixed]])</f>
        <v>25</v>
      </c>
      <c r="O353" t="str">
        <f>TEXT(Europe_Sales_Records34[[#This Row],[Ship Date Fixed]],"MMM")</f>
        <v>Apr</v>
      </c>
      <c r="P353">
        <f>YEAR(Europe_Sales_Records34[[#This Row],[Ship Date Fixed]])</f>
        <v>2017</v>
      </c>
      <c r="Q353" t="str">
        <f>TEXT(Europe_Sales_Records34[[#This Row],[Ship Date Fixed]],"MMM-YYYY")</f>
        <v>Apr-2017</v>
      </c>
      <c r="R353" t="s">
        <v>709</v>
      </c>
      <c r="S353" s="3">
        <f>Europe_Sales_Records34[[#This Row],[Ship Date Fixed]]-Europe_Sales_Records34[[#This Row],[Order Date Fixed]]</f>
        <v>32</v>
      </c>
      <c r="T353">
        <v>7619</v>
      </c>
      <c r="U353">
        <v>47.45</v>
      </c>
      <c r="V353">
        <v>31.79</v>
      </c>
      <c r="W353">
        <f>Europe_Sales_Records34[[#This Row],[Total Revenue]]/Europe_Sales_Records34[[#This Row],[Units Sold]]</f>
        <v>47.449999999999996</v>
      </c>
      <c r="X353">
        <v>361521.55</v>
      </c>
      <c r="Y353">
        <v>242208.01</v>
      </c>
      <c r="Z353" s="4">
        <f>Europe_Sales_Records34[[#This Row],[Total Profit]]/Europe_Sales_Records34[[#This Row],[Total Revenue]]</f>
        <v>0.33003161222339306</v>
      </c>
      <c r="AA353">
        <v>119313.54</v>
      </c>
    </row>
    <row r="354" spans="1:27" x14ac:dyDescent="0.3">
      <c r="A354" t="s">
        <v>14</v>
      </c>
      <c r="B354" t="s">
        <v>40</v>
      </c>
      <c r="C354" t="s">
        <v>28</v>
      </c>
      <c r="D354" t="s">
        <v>17</v>
      </c>
      <c r="E354" t="s">
        <v>24</v>
      </c>
      <c r="F354" t="s">
        <v>134</v>
      </c>
      <c r="G354" s="2">
        <f t="shared" si="10"/>
        <v>40335</v>
      </c>
      <c r="H354">
        <f>DAY(Europe_Sales_Records34[[#This Row],[Order Date Fixed]])</f>
        <v>6</v>
      </c>
      <c r="I354" t="str">
        <f>TEXT(Europe_Sales_Records34[[#This Row],[Order Date Fixed]],"MMM")</f>
        <v>Jun</v>
      </c>
      <c r="J354">
        <f>YEAR(Europe_Sales_Records34[[#This Row],[Order Date Fixed]])</f>
        <v>2010</v>
      </c>
      <c r="K354" t="str">
        <f>TEXT(Europe_Sales_Records34[[#This Row],[Order Date Fixed]],"MMM-YYYY")</f>
        <v>Jun-2010</v>
      </c>
      <c r="L354">
        <v>305616748</v>
      </c>
      <c r="M354" s="2">
        <f t="shared" si="11"/>
        <v>40360</v>
      </c>
      <c r="N354">
        <f>DAY(Europe_Sales_Records34[[#This Row],[Ship Date Fixed]])</f>
        <v>1</v>
      </c>
      <c r="O354" t="str">
        <f>TEXT(Europe_Sales_Records34[[#This Row],[Ship Date Fixed]],"MMM")</f>
        <v>Jul</v>
      </c>
      <c r="P354">
        <f>YEAR(Europe_Sales_Records34[[#This Row],[Ship Date Fixed]])</f>
        <v>2010</v>
      </c>
      <c r="Q354" t="str">
        <f>TEXT(Europe_Sales_Records34[[#This Row],[Ship Date Fixed]],"MMM-YYYY")</f>
        <v>Jul-2010</v>
      </c>
      <c r="R354" t="s">
        <v>710</v>
      </c>
      <c r="S354" s="3">
        <f>Europe_Sales_Records34[[#This Row],[Ship Date Fixed]]-Europe_Sales_Records34[[#This Row],[Order Date Fixed]]</f>
        <v>25</v>
      </c>
      <c r="T354">
        <v>7642</v>
      </c>
      <c r="U354">
        <v>205.7</v>
      </c>
      <c r="V354">
        <v>117.11</v>
      </c>
      <c r="W354">
        <f>Europe_Sales_Records34[[#This Row],[Total Revenue]]/Europe_Sales_Records34[[#This Row],[Units Sold]]</f>
        <v>205.7</v>
      </c>
      <c r="X354">
        <v>1571959.4</v>
      </c>
      <c r="Y354">
        <v>894954.62</v>
      </c>
      <c r="Z354" s="4">
        <f>Europe_Sales_Records34[[#This Row],[Total Profit]]/Europe_Sales_Records34[[#This Row],[Total Revenue]]</f>
        <v>0.43067574137092857</v>
      </c>
      <c r="AA354">
        <v>677004.78</v>
      </c>
    </row>
    <row r="355" spans="1:27" x14ac:dyDescent="0.3">
      <c r="A355" t="s">
        <v>14</v>
      </c>
      <c r="B355" t="s">
        <v>100</v>
      </c>
      <c r="C355" t="s">
        <v>32</v>
      </c>
      <c r="D355" t="s">
        <v>17</v>
      </c>
      <c r="E355" t="s">
        <v>24</v>
      </c>
      <c r="F355" t="s">
        <v>711</v>
      </c>
      <c r="G355" s="2">
        <f t="shared" si="10"/>
        <v>40668</v>
      </c>
      <c r="H355">
        <f>DAY(Europe_Sales_Records34[[#This Row],[Order Date Fixed]])</f>
        <v>5</v>
      </c>
      <c r="I355" t="str">
        <f>TEXT(Europe_Sales_Records34[[#This Row],[Order Date Fixed]],"MMM")</f>
        <v>May</v>
      </c>
      <c r="J355">
        <f>YEAR(Europe_Sales_Records34[[#This Row],[Order Date Fixed]])</f>
        <v>2011</v>
      </c>
      <c r="K355" t="str">
        <f>TEXT(Europe_Sales_Records34[[#This Row],[Order Date Fixed]],"MMM-YYYY")</f>
        <v>May-2011</v>
      </c>
      <c r="L355">
        <v>243070638</v>
      </c>
      <c r="M355" s="2">
        <f t="shared" si="11"/>
        <v>40685</v>
      </c>
      <c r="N355">
        <f>DAY(Europe_Sales_Records34[[#This Row],[Ship Date Fixed]])</f>
        <v>22</v>
      </c>
      <c r="O355" t="str">
        <f>TEXT(Europe_Sales_Records34[[#This Row],[Ship Date Fixed]],"MMM")</f>
        <v>May</v>
      </c>
      <c r="P355">
        <f>YEAR(Europe_Sales_Records34[[#This Row],[Ship Date Fixed]])</f>
        <v>2011</v>
      </c>
      <c r="Q355" t="str">
        <f>TEXT(Europe_Sales_Records34[[#This Row],[Ship Date Fixed]],"MMM-YYYY")</f>
        <v>May-2011</v>
      </c>
      <c r="R355" t="s">
        <v>712</v>
      </c>
      <c r="S355" s="3">
        <f>Europe_Sales_Records34[[#This Row],[Ship Date Fixed]]-Europe_Sales_Records34[[#This Row],[Order Date Fixed]]</f>
        <v>17</v>
      </c>
      <c r="T355">
        <v>8858</v>
      </c>
      <c r="U355">
        <v>651.21</v>
      </c>
      <c r="V355">
        <v>524.96</v>
      </c>
      <c r="W355">
        <f>Europe_Sales_Records34[[#This Row],[Total Revenue]]/Europe_Sales_Records34[[#This Row],[Units Sold]]</f>
        <v>651.20999999999992</v>
      </c>
      <c r="X355">
        <v>5768418.1799999997</v>
      </c>
      <c r="Y355">
        <v>4650095.68</v>
      </c>
      <c r="Z355" s="4">
        <f>Europe_Sales_Records34[[#This Row],[Total Profit]]/Europe_Sales_Records34[[#This Row],[Total Revenue]]</f>
        <v>0.19386987300563568</v>
      </c>
      <c r="AA355">
        <v>1118322.5</v>
      </c>
    </row>
    <row r="356" spans="1:27" x14ac:dyDescent="0.3">
      <c r="A356" t="s">
        <v>14</v>
      </c>
      <c r="B356" t="s">
        <v>31</v>
      </c>
      <c r="C356" t="s">
        <v>22</v>
      </c>
      <c r="D356" t="s">
        <v>17</v>
      </c>
      <c r="E356" t="s">
        <v>33</v>
      </c>
      <c r="F356" t="s">
        <v>575</v>
      </c>
      <c r="G356" s="2">
        <f t="shared" si="10"/>
        <v>40302</v>
      </c>
      <c r="H356">
        <f>DAY(Europe_Sales_Records34[[#This Row],[Order Date Fixed]])</f>
        <v>4</v>
      </c>
      <c r="I356" t="str">
        <f>TEXT(Europe_Sales_Records34[[#This Row],[Order Date Fixed]],"MMM")</f>
        <v>May</v>
      </c>
      <c r="J356">
        <f>YEAR(Europe_Sales_Records34[[#This Row],[Order Date Fixed]])</f>
        <v>2010</v>
      </c>
      <c r="K356" t="str">
        <f>TEXT(Europe_Sales_Records34[[#This Row],[Order Date Fixed]],"MMM-YYYY")</f>
        <v>May-2010</v>
      </c>
      <c r="L356">
        <v>505867040</v>
      </c>
      <c r="M356" s="2">
        <f t="shared" si="11"/>
        <v>40341</v>
      </c>
      <c r="N356">
        <f>DAY(Europe_Sales_Records34[[#This Row],[Ship Date Fixed]])</f>
        <v>12</v>
      </c>
      <c r="O356" t="str">
        <f>TEXT(Europe_Sales_Records34[[#This Row],[Ship Date Fixed]],"MMM")</f>
        <v>Jun</v>
      </c>
      <c r="P356">
        <f>YEAR(Europe_Sales_Records34[[#This Row],[Ship Date Fixed]])</f>
        <v>2010</v>
      </c>
      <c r="Q356" t="str">
        <f>TEXT(Europe_Sales_Records34[[#This Row],[Ship Date Fixed]],"MMM-YYYY")</f>
        <v>Jun-2010</v>
      </c>
      <c r="R356" t="s">
        <v>713</v>
      </c>
      <c r="S356" s="3">
        <f>Europe_Sales_Records34[[#This Row],[Ship Date Fixed]]-Europe_Sales_Records34[[#This Row],[Order Date Fixed]]</f>
        <v>39</v>
      </c>
      <c r="T356">
        <v>6153</v>
      </c>
      <c r="U356">
        <v>109.28</v>
      </c>
      <c r="V356">
        <v>35.840000000000003</v>
      </c>
      <c r="W356">
        <f>Europe_Sales_Records34[[#This Row],[Total Revenue]]/Europe_Sales_Records34[[#This Row],[Units Sold]]</f>
        <v>109.28</v>
      </c>
      <c r="X356">
        <v>672399.84</v>
      </c>
      <c r="Y356">
        <v>220523.51999999999</v>
      </c>
      <c r="Z356" s="4">
        <f>Europe_Sales_Records34[[#This Row],[Total Profit]]/Europe_Sales_Records34[[#This Row],[Total Revenue]]</f>
        <v>0.67203513909224011</v>
      </c>
      <c r="AA356">
        <v>451876.32</v>
      </c>
    </row>
    <row r="357" spans="1:27" x14ac:dyDescent="0.3">
      <c r="A357" t="s">
        <v>14</v>
      </c>
      <c r="B357" t="s">
        <v>163</v>
      </c>
      <c r="C357" t="s">
        <v>75</v>
      </c>
      <c r="D357" t="s">
        <v>23</v>
      </c>
      <c r="E357" t="s">
        <v>18</v>
      </c>
      <c r="F357" t="s">
        <v>282</v>
      </c>
      <c r="G357" s="2">
        <f t="shared" si="10"/>
        <v>41718</v>
      </c>
      <c r="H357">
        <f>DAY(Europe_Sales_Records34[[#This Row],[Order Date Fixed]])</f>
        <v>20</v>
      </c>
      <c r="I357" t="str">
        <f>TEXT(Europe_Sales_Records34[[#This Row],[Order Date Fixed]],"MMM")</f>
        <v>Mar</v>
      </c>
      <c r="J357">
        <f>YEAR(Europe_Sales_Records34[[#This Row],[Order Date Fixed]])</f>
        <v>2014</v>
      </c>
      <c r="K357" t="str">
        <f>TEXT(Europe_Sales_Records34[[#This Row],[Order Date Fixed]],"MMM-YYYY")</f>
        <v>Mar-2014</v>
      </c>
      <c r="L357">
        <v>637188422</v>
      </c>
      <c r="M357" s="2">
        <f t="shared" si="11"/>
        <v>41758</v>
      </c>
      <c r="N357">
        <f>DAY(Europe_Sales_Records34[[#This Row],[Ship Date Fixed]])</f>
        <v>29</v>
      </c>
      <c r="O357" t="str">
        <f>TEXT(Europe_Sales_Records34[[#This Row],[Ship Date Fixed]],"MMM")</f>
        <v>Apr</v>
      </c>
      <c r="P357">
        <f>YEAR(Europe_Sales_Records34[[#This Row],[Ship Date Fixed]])</f>
        <v>2014</v>
      </c>
      <c r="Q357" t="str">
        <f>TEXT(Europe_Sales_Records34[[#This Row],[Ship Date Fixed]],"MMM-YYYY")</f>
        <v>Apr-2014</v>
      </c>
      <c r="R357" t="s">
        <v>714</v>
      </c>
      <c r="S357" s="3">
        <f>Europe_Sales_Records34[[#This Row],[Ship Date Fixed]]-Europe_Sales_Records34[[#This Row],[Order Date Fixed]]</f>
        <v>40</v>
      </c>
      <c r="T357">
        <v>7069</v>
      </c>
      <c r="U357">
        <v>437.2</v>
      </c>
      <c r="V357">
        <v>263.33</v>
      </c>
      <c r="W357">
        <f>Europe_Sales_Records34[[#This Row],[Total Revenue]]/Europe_Sales_Records34[[#This Row],[Units Sold]]</f>
        <v>437.2</v>
      </c>
      <c r="X357">
        <v>3090566.8</v>
      </c>
      <c r="Y357">
        <v>1861479.77</v>
      </c>
      <c r="Z357" s="4">
        <f>Europe_Sales_Records34[[#This Row],[Total Profit]]/Europe_Sales_Records34[[#This Row],[Total Revenue]]</f>
        <v>0.3976898444647759</v>
      </c>
      <c r="AA357">
        <v>1229087.03</v>
      </c>
    </row>
    <row r="358" spans="1:27" x14ac:dyDescent="0.3">
      <c r="A358" t="s">
        <v>14</v>
      </c>
      <c r="B358" t="s">
        <v>61</v>
      </c>
      <c r="C358" t="s">
        <v>28</v>
      </c>
      <c r="D358" t="s">
        <v>23</v>
      </c>
      <c r="E358" t="s">
        <v>54</v>
      </c>
      <c r="F358" t="s">
        <v>715</v>
      </c>
      <c r="G358" s="2">
        <f t="shared" si="10"/>
        <v>42665</v>
      </c>
      <c r="H358">
        <f>DAY(Europe_Sales_Records34[[#This Row],[Order Date Fixed]])</f>
        <v>22</v>
      </c>
      <c r="I358" t="str">
        <f>TEXT(Europe_Sales_Records34[[#This Row],[Order Date Fixed]],"MMM")</f>
        <v>Oct</v>
      </c>
      <c r="J358">
        <f>YEAR(Europe_Sales_Records34[[#This Row],[Order Date Fixed]])</f>
        <v>2016</v>
      </c>
      <c r="K358" t="str">
        <f>TEXT(Europe_Sales_Records34[[#This Row],[Order Date Fixed]],"MMM-YYYY")</f>
        <v>Oct-2016</v>
      </c>
      <c r="L358">
        <v>518421494</v>
      </c>
      <c r="M358" s="2">
        <f t="shared" si="11"/>
        <v>42665</v>
      </c>
      <c r="N358">
        <f>DAY(Europe_Sales_Records34[[#This Row],[Ship Date Fixed]])</f>
        <v>22</v>
      </c>
      <c r="O358" t="str">
        <f>TEXT(Europe_Sales_Records34[[#This Row],[Ship Date Fixed]],"MMM")</f>
        <v>Oct</v>
      </c>
      <c r="P358">
        <f>YEAR(Europe_Sales_Records34[[#This Row],[Ship Date Fixed]])</f>
        <v>2016</v>
      </c>
      <c r="Q358" t="str">
        <f>TEXT(Europe_Sales_Records34[[#This Row],[Ship Date Fixed]],"MMM-YYYY")</f>
        <v>Oct-2016</v>
      </c>
      <c r="R358" t="s">
        <v>715</v>
      </c>
      <c r="S358" s="3">
        <f>Europe_Sales_Records34[[#This Row],[Ship Date Fixed]]-Europe_Sales_Records34[[#This Row],[Order Date Fixed]]</f>
        <v>0</v>
      </c>
      <c r="T358">
        <v>1296</v>
      </c>
      <c r="U358">
        <v>205.7</v>
      </c>
      <c r="V358">
        <v>117.11</v>
      </c>
      <c r="W358">
        <f>Europe_Sales_Records34[[#This Row],[Total Revenue]]/Europe_Sales_Records34[[#This Row],[Units Sold]]</f>
        <v>205.70000000000002</v>
      </c>
      <c r="X358">
        <v>266587.2</v>
      </c>
      <c r="Y358">
        <v>151774.56</v>
      </c>
      <c r="Z358" s="4">
        <f>Europe_Sales_Records34[[#This Row],[Total Profit]]/Europe_Sales_Records34[[#This Row],[Total Revenue]]</f>
        <v>0.43067574137092851</v>
      </c>
      <c r="AA358">
        <v>114812.64</v>
      </c>
    </row>
    <row r="359" spans="1:27" x14ac:dyDescent="0.3">
      <c r="A359" t="s">
        <v>14</v>
      </c>
      <c r="B359" t="s">
        <v>94</v>
      </c>
      <c r="C359" t="s">
        <v>37</v>
      </c>
      <c r="D359" t="s">
        <v>17</v>
      </c>
      <c r="E359" t="s">
        <v>24</v>
      </c>
      <c r="F359" t="s">
        <v>716</v>
      </c>
      <c r="G359" s="2">
        <f t="shared" si="10"/>
        <v>41360</v>
      </c>
      <c r="H359">
        <f>DAY(Europe_Sales_Records34[[#This Row],[Order Date Fixed]])</f>
        <v>27</v>
      </c>
      <c r="I359" t="str">
        <f>TEXT(Europe_Sales_Records34[[#This Row],[Order Date Fixed]],"MMM")</f>
        <v>Mar</v>
      </c>
      <c r="J359">
        <f>YEAR(Europe_Sales_Records34[[#This Row],[Order Date Fixed]])</f>
        <v>2013</v>
      </c>
      <c r="K359" t="str">
        <f>TEXT(Europe_Sales_Records34[[#This Row],[Order Date Fixed]],"MMM-YYYY")</f>
        <v>Mar-2013</v>
      </c>
      <c r="L359">
        <v>104245078</v>
      </c>
      <c r="M359" s="2">
        <f t="shared" si="11"/>
        <v>41385</v>
      </c>
      <c r="N359">
        <f>DAY(Europe_Sales_Records34[[#This Row],[Ship Date Fixed]])</f>
        <v>21</v>
      </c>
      <c r="O359" t="str">
        <f>TEXT(Europe_Sales_Records34[[#This Row],[Ship Date Fixed]],"MMM")</f>
        <v>Apr</v>
      </c>
      <c r="P359">
        <f>YEAR(Europe_Sales_Records34[[#This Row],[Ship Date Fixed]])</f>
        <v>2013</v>
      </c>
      <c r="Q359" t="str">
        <f>TEXT(Europe_Sales_Records34[[#This Row],[Ship Date Fixed]],"MMM-YYYY")</f>
        <v>Apr-2013</v>
      </c>
      <c r="R359" t="s">
        <v>717</v>
      </c>
      <c r="S359" s="3">
        <f>Europe_Sales_Records34[[#This Row],[Ship Date Fixed]]-Europe_Sales_Records34[[#This Row],[Order Date Fixed]]</f>
        <v>25</v>
      </c>
      <c r="T359">
        <v>7290</v>
      </c>
      <c r="U359">
        <v>9.33</v>
      </c>
      <c r="V359">
        <v>6.92</v>
      </c>
      <c r="W359">
        <f>Europe_Sales_Records34[[#This Row],[Total Revenue]]/Europe_Sales_Records34[[#This Row],[Units Sold]]</f>
        <v>9.33</v>
      </c>
      <c r="X359">
        <v>68015.7</v>
      </c>
      <c r="Y359">
        <v>50446.8</v>
      </c>
      <c r="Z359" s="4">
        <f>Europe_Sales_Records34[[#This Row],[Total Profit]]/Europe_Sales_Records34[[#This Row],[Total Revenue]]</f>
        <v>0.25830653804930337</v>
      </c>
      <c r="AA359">
        <v>17568.900000000001</v>
      </c>
    </row>
    <row r="360" spans="1:27" x14ac:dyDescent="0.3">
      <c r="A360" t="s">
        <v>14</v>
      </c>
      <c r="B360" t="s">
        <v>166</v>
      </c>
      <c r="C360" t="s">
        <v>46</v>
      </c>
      <c r="D360" t="s">
        <v>23</v>
      </c>
      <c r="E360" t="s">
        <v>18</v>
      </c>
      <c r="F360" t="s">
        <v>718</v>
      </c>
      <c r="G360" s="2">
        <f t="shared" si="10"/>
        <v>40528</v>
      </c>
      <c r="H360">
        <f>DAY(Europe_Sales_Records34[[#This Row],[Order Date Fixed]])</f>
        <v>16</v>
      </c>
      <c r="I360" t="str">
        <f>TEXT(Europe_Sales_Records34[[#This Row],[Order Date Fixed]],"MMM")</f>
        <v>Dec</v>
      </c>
      <c r="J360">
        <f>YEAR(Europe_Sales_Records34[[#This Row],[Order Date Fixed]])</f>
        <v>2010</v>
      </c>
      <c r="K360" t="str">
        <f>TEXT(Europe_Sales_Records34[[#This Row],[Order Date Fixed]],"MMM-YYYY")</f>
        <v>Dec-2010</v>
      </c>
      <c r="L360">
        <v>386319911</v>
      </c>
      <c r="M360" s="2">
        <f t="shared" si="11"/>
        <v>40545</v>
      </c>
      <c r="N360">
        <f>DAY(Europe_Sales_Records34[[#This Row],[Ship Date Fixed]])</f>
        <v>2</v>
      </c>
      <c r="O360" t="str">
        <f>TEXT(Europe_Sales_Records34[[#This Row],[Ship Date Fixed]],"MMM")</f>
        <v>Jan</v>
      </c>
      <c r="P360">
        <f>YEAR(Europe_Sales_Records34[[#This Row],[Ship Date Fixed]])</f>
        <v>2011</v>
      </c>
      <c r="Q360" t="str">
        <f>TEXT(Europe_Sales_Records34[[#This Row],[Ship Date Fixed]],"MMM-YYYY")</f>
        <v>Jan-2011</v>
      </c>
      <c r="R360" t="s">
        <v>625</v>
      </c>
      <c r="S360" s="3">
        <f>Europe_Sales_Records34[[#This Row],[Ship Date Fixed]]-Europe_Sales_Records34[[#This Row],[Order Date Fixed]]</f>
        <v>17</v>
      </c>
      <c r="T360">
        <v>9501</v>
      </c>
      <c r="U360">
        <v>154.06</v>
      </c>
      <c r="V360">
        <v>90.93</v>
      </c>
      <c r="W360">
        <f>Europe_Sales_Records34[[#This Row],[Total Revenue]]/Europe_Sales_Records34[[#This Row],[Units Sold]]</f>
        <v>154.06</v>
      </c>
      <c r="X360">
        <v>1463724.06</v>
      </c>
      <c r="Y360">
        <v>863925.93</v>
      </c>
      <c r="Z360" s="4">
        <f>Europe_Sales_Records34[[#This Row],[Total Profit]]/Europe_Sales_Records34[[#This Row],[Total Revenue]]</f>
        <v>0.40977541217707386</v>
      </c>
      <c r="AA360">
        <v>599798.13</v>
      </c>
    </row>
    <row r="361" spans="1:27" x14ac:dyDescent="0.3">
      <c r="A361" t="s">
        <v>14</v>
      </c>
      <c r="B361" t="s">
        <v>105</v>
      </c>
      <c r="C361" t="s">
        <v>64</v>
      </c>
      <c r="D361" t="s">
        <v>23</v>
      </c>
      <c r="E361" t="s">
        <v>24</v>
      </c>
      <c r="F361" t="s">
        <v>719</v>
      </c>
      <c r="G361" s="2">
        <f t="shared" si="10"/>
        <v>42446</v>
      </c>
      <c r="H361">
        <f>DAY(Europe_Sales_Records34[[#This Row],[Order Date Fixed]])</f>
        <v>17</v>
      </c>
      <c r="I361" t="str">
        <f>TEXT(Europe_Sales_Records34[[#This Row],[Order Date Fixed]],"MMM")</f>
        <v>Mar</v>
      </c>
      <c r="J361">
        <f>YEAR(Europe_Sales_Records34[[#This Row],[Order Date Fixed]])</f>
        <v>2016</v>
      </c>
      <c r="K361" t="str">
        <f>TEXT(Europe_Sales_Records34[[#This Row],[Order Date Fixed]],"MMM-YYYY")</f>
        <v>Mar-2016</v>
      </c>
      <c r="L361">
        <v>740300261</v>
      </c>
      <c r="M361" s="2">
        <f t="shared" si="11"/>
        <v>42483</v>
      </c>
      <c r="N361">
        <f>DAY(Europe_Sales_Records34[[#This Row],[Ship Date Fixed]])</f>
        <v>23</v>
      </c>
      <c r="O361" t="str">
        <f>TEXT(Europe_Sales_Records34[[#This Row],[Ship Date Fixed]],"MMM")</f>
        <v>Apr</v>
      </c>
      <c r="P361">
        <f>YEAR(Europe_Sales_Records34[[#This Row],[Ship Date Fixed]])</f>
        <v>2016</v>
      </c>
      <c r="Q361" t="str">
        <f>TEXT(Europe_Sales_Records34[[#This Row],[Ship Date Fixed]],"MMM-YYYY")</f>
        <v>Apr-2016</v>
      </c>
      <c r="R361" t="s">
        <v>720</v>
      </c>
      <c r="S361" s="3">
        <f>Europe_Sales_Records34[[#This Row],[Ship Date Fixed]]-Europe_Sales_Records34[[#This Row],[Order Date Fixed]]</f>
        <v>37</v>
      </c>
      <c r="T361">
        <v>153</v>
      </c>
      <c r="U361">
        <v>255.28</v>
      </c>
      <c r="V361">
        <v>159.41999999999999</v>
      </c>
      <c r="W361">
        <f>Europe_Sales_Records34[[#This Row],[Total Revenue]]/Europe_Sales_Records34[[#This Row],[Units Sold]]</f>
        <v>255.27999999999997</v>
      </c>
      <c r="X361">
        <v>39057.839999999997</v>
      </c>
      <c r="Y361">
        <v>24391.26</v>
      </c>
      <c r="Z361" s="4">
        <f>Europe_Sales_Records34[[#This Row],[Total Profit]]/Europe_Sales_Records34[[#This Row],[Total Revenue]]</f>
        <v>0.37550924475086184</v>
      </c>
      <c r="AA361">
        <v>14666.58</v>
      </c>
    </row>
    <row r="362" spans="1:27" x14ac:dyDescent="0.3">
      <c r="A362" t="s">
        <v>14</v>
      </c>
      <c r="B362" t="s">
        <v>181</v>
      </c>
      <c r="C362" t="s">
        <v>32</v>
      </c>
      <c r="D362" t="s">
        <v>17</v>
      </c>
      <c r="E362" t="s">
        <v>18</v>
      </c>
      <c r="F362" t="s">
        <v>721</v>
      </c>
      <c r="G362" s="2">
        <f t="shared" si="10"/>
        <v>42933</v>
      </c>
      <c r="H362">
        <f>DAY(Europe_Sales_Records34[[#This Row],[Order Date Fixed]])</f>
        <v>17</v>
      </c>
      <c r="I362" t="str">
        <f>TEXT(Europe_Sales_Records34[[#This Row],[Order Date Fixed]],"MMM")</f>
        <v>Jul</v>
      </c>
      <c r="J362">
        <f>YEAR(Europe_Sales_Records34[[#This Row],[Order Date Fixed]])</f>
        <v>2017</v>
      </c>
      <c r="K362" t="str">
        <f>TEXT(Europe_Sales_Records34[[#This Row],[Order Date Fixed]],"MMM-YYYY")</f>
        <v>Jul-2017</v>
      </c>
      <c r="L362">
        <v>747826755</v>
      </c>
      <c r="M362" s="2">
        <f t="shared" si="11"/>
        <v>42938</v>
      </c>
      <c r="N362">
        <f>DAY(Europe_Sales_Records34[[#This Row],[Ship Date Fixed]])</f>
        <v>22</v>
      </c>
      <c r="O362" t="str">
        <f>TEXT(Europe_Sales_Records34[[#This Row],[Ship Date Fixed]],"MMM")</f>
        <v>Jul</v>
      </c>
      <c r="P362">
        <f>YEAR(Europe_Sales_Records34[[#This Row],[Ship Date Fixed]])</f>
        <v>2017</v>
      </c>
      <c r="Q362" t="str">
        <f>TEXT(Europe_Sales_Records34[[#This Row],[Ship Date Fixed]],"MMM-YYYY")</f>
        <v>Jul-2017</v>
      </c>
      <c r="R362" t="s">
        <v>722</v>
      </c>
      <c r="S362" s="3">
        <f>Europe_Sales_Records34[[#This Row],[Ship Date Fixed]]-Europe_Sales_Records34[[#This Row],[Order Date Fixed]]</f>
        <v>5</v>
      </c>
      <c r="T362">
        <v>7410</v>
      </c>
      <c r="U362">
        <v>651.21</v>
      </c>
      <c r="V362">
        <v>524.96</v>
      </c>
      <c r="W362">
        <f>Europe_Sales_Records34[[#This Row],[Total Revenue]]/Europe_Sales_Records34[[#This Row],[Units Sold]]</f>
        <v>651.20999999999992</v>
      </c>
      <c r="X362">
        <v>4825466.0999999996</v>
      </c>
      <c r="Y362">
        <v>3889953.6</v>
      </c>
      <c r="Z362" s="4">
        <f>Europe_Sales_Records34[[#This Row],[Total Profit]]/Europe_Sales_Records34[[#This Row],[Total Revenue]]</f>
        <v>0.19386987300563568</v>
      </c>
      <c r="AA362">
        <v>935512.5</v>
      </c>
    </row>
    <row r="363" spans="1:27" x14ac:dyDescent="0.3">
      <c r="A363" t="s">
        <v>14</v>
      </c>
      <c r="B363" t="s">
        <v>342</v>
      </c>
      <c r="C363" t="s">
        <v>102</v>
      </c>
      <c r="D363" t="s">
        <v>17</v>
      </c>
      <c r="E363" t="s">
        <v>24</v>
      </c>
      <c r="F363" t="s">
        <v>158</v>
      </c>
      <c r="G363" s="2">
        <f t="shared" si="10"/>
        <v>41264</v>
      </c>
      <c r="H363">
        <f>DAY(Europe_Sales_Records34[[#This Row],[Order Date Fixed]])</f>
        <v>21</v>
      </c>
      <c r="I363" t="str">
        <f>TEXT(Europe_Sales_Records34[[#This Row],[Order Date Fixed]],"MMM")</f>
        <v>Dec</v>
      </c>
      <c r="J363">
        <f>YEAR(Europe_Sales_Records34[[#This Row],[Order Date Fixed]])</f>
        <v>2012</v>
      </c>
      <c r="K363" t="str">
        <f>TEXT(Europe_Sales_Records34[[#This Row],[Order Date Fixed]],"MMM-YYYY")</f>
        <v>Dec-2012</v>
      </c>
      <c r="L363">
        <v>215540015</v>
      </c>
      <c r="M363" s="2">
        <f t="shared" si="11"/>
        <v>41267</v>
      </c>
      <c r="N363">
        <f>DAY(Europe_Sales_Records34[[#This Row],[Ship Date Fixed]])</f>
        <v>24</v>
      </c>
      <c r="O363" t="str">
        <f>TEXT(Europe_Sales_Records34[[#This Row],[Ship Date Fixed]],"MMM")</f>
        <v>Dec</v>
      </c>
      <c r="P363">
        <f>YEAR(Europe_Sales_Records34[[#This Row],[Ship Date Fixed]])</f>
        <v>2012</v>
      </c>
      <c r="Q363" t="str">
        <f>TEXT(Europe_Sales_Records34[[#This Row],[Ship Date Fixed]],"MMM-YYYY")</f>
        <v>Dec-2012</v>
      </c>
      <c r="R363" t="s">
        <v>723</v>
      </c>
      <c r="S363" s="3">
        <f>Europe_Sales_Records34[[#This Row],[Ship Date Fixed]]-Europe_Sales_Records34[[#This Row],[Order Date Fixed]]</f>
        <v>3</v>
      </c>
      <c r="T363">
        <v>1935</v>
      </c>
      <c r="U363">
        <v>81.73</v>
      </c>
      <c r="V363">
        <v>56.67</v>
      </c>
      <c r="W363">
        <f>Europe_Sales_Records34[[#This Row],[Total Revenue]]/Europe_Sales_Records34[[#This Row],[Units Sold]]</f>
        <v>81.72999999999999</v>
      </c>
      <c r="X363">
        <v>158147.54999999999</v>
      </c>
      <c r="Y363">
        <v>109656.45</v>
      </c>
      <c r="Z363" s="4">
        <f>Europe_Sales_Records34[[#This Row],[Total Profit]]/Europe_Sales_Records34[[#This Row],[Total Revenue]]</f>
        <v>0.30661935641747218</v>
      </c>
      <c r="AA363">
        <v>48491.1</v>
      </c>
    </row>
    <row r="364" spans="1:27" x14ac:dyDescent="0.3">
      <c r="A364" t="s">
        <v>14</v>
      </c>
      <c r="B364" t="s">
        <v>132</v>
      </c>
      <c r="C364" t="s">
        <v>46</v>
      </c>
      <c r="D364" t="s">
        <v>17</v>
      </c>
      <c r="E364" t="s">
        <v>18</v>
      </c>
      <c r="F364" t="s">
        <v>724</v>
      </c>
      <c r="G364" s="2">
        <f t="shared" si="10"/>
        <v>42939</v>
      </c>
      <c r="H364">
        <f>DAY(Europe_Sales_Records34[[#This Row],[Order Date Fixed]])</f>
        <v>23</v>
      </c>
      <c r="I364" t="str">
        <f>TEXT(Europe_Sales_Records34[[#This Row],[Order Date Fixed]],"MMM")</f>
        <v>Jul</v>
      </c>
      <c r="J364">
        <f>YEAR(Europe_Sales_Records34[[#This Row],[Order Date Fixed]])</f>
        <v>2017</v>
      </c>
      <c r="K364" t="str">
        <f>TEXT(Europe_Sales_Records34[[#This Row],[Order Date Fixed]],"MMM-YYYY")</f>
        <v>Jul-2017</v>
      </c>
      <c r="L364">
        <v>975080668</v>
      </c>
      <c r="M364" s="2">
        <f t="shared" si="11"/>
        <v>42967</v>
      </c>
      <c r="N364">
        <f>DAY(Europe_Sales_Records34[[#This Row],[Ship Date Fixed]])</f>
        <v>20</v>
      </c>
      <c r="O364" t="str">
        <f>TEXT(Europe_Sales_Records34[[#This Row],[Ship Date Fixed]],"MMM")</f>
        <v>Aug</v>
      </c>
      <c r="P364">
        <f>YEAR(Europe_Sales_Records34[[#This Row],[Ship Date Fixed]])</f>
        <v>2017</v>
      </c>
      <c r="Q364" t="str">
        <f>TEXT(Europe_Sales_Records34[[#This Row],[Ship Date Fixed]],"MMM-YYYY")</f>
        <v>Aug-2017</v>
      </c>
      <c r="R364" t="s">
        <v>73</v>
      </c>
      <c r="S364" s="3">
        <f>Europe_Sales_Records34[[#This Row],[Ship Date Fixed]]-Europe_Sales_Records34[[#This Row],[Order Date Fixed]]</f>
        <v>28</v>
      </c>
      <c r="T364">
        <v>6893</v>
      </c>
      <c r="U364">
        <v>154.06</v>
      </c>
      <c r="V364">
        <v>90.93</v>
      </c>
      <c r="W364">
        <f>Europe_Sales_Records34[[#This Row],[Total Revenue]]/Europe_Sales_Records34[[#This Row],[Units Sold]]</f>
        <v>154.06</v>
      </c>
      <c r="X364">
        <v>1061935.58</v>
      </c>
      <c r="Y364">
        <v>626780.49</v>
      </c>
      <c r="Z364" s="4">
        <f>Europe_Sales_Records34[[#This Row],[Total Profit]]/Europe_Sales_Records34[[#This Row],[Total Revenue]]</f>
        <v>0.40977541217707386</v>
      </c>
      <c r="AA364">
        <v>435155.09</v>
      </c>
    </row>
    <row r="365" spans="1:27" x14ac:dyDescent="0.3">
      <c r="A365" t="s">
        <v>14</v>
      </c>
      <c r="B365" t="s">
        <v>21</v>
      </c>
      <c r="C365" t="s">
        <v>64</v>
      </c>
      <c r="D365" t="s">
        <v>23</v>
      </c>
      <c r="E365" t="s">
        <v>33</v>
      </c>
      <c r="F365" t="s">
        <v>670</v>
      </c>
      <c r="G365" s="2">
        <f t="shared" si="10"/>
        <v>41191</v>
      </c>
      <c r="H365">
        <f>DAY(Europe_Sales_Records34[[#This Row],[Order Date Fixed]])</f>
        <v>9</v>
      </c>
      <c r="I365" t="str">
        <f>TEXT(Europe_Sales_Records34[[#This Row],[Order Date Fixed]],"MMM")</f>
        <v>Oct</v>
      </c>
      <c r="J365">
        <f>YEAR(Europe_Sales_Records34[[#This Row],[Order Date Fixed]])</f>
        <v>2012</v>
      </c>
      <c r="K365" t="str">
        <f>TEXT(Europe_Sales_Records34[[#This Row],[Order Date Fixed]],"MMM-YYYY")</f>
        <v>Oct-2012</v>
      </c>
      <c r="L365">
        <v>638041150</v>
      </c>
      <c r="M365" s="2">
        <f t="shared" si="11"/>
        <v>41241</v>
      </c>
      <c r="N365">
        <f>DAY(Europe_Sales_Records34[[#This Row],[Ship Date Fixed]])</f>
        <v>28</v>
      </c>
      <c r="O365" t="str">
        <f>TEXT(Europe_Sales_Records34[[#This Row],[Ship Date Fixed]],"MMM")</f>
        <v>Nov</v>
      </c>
      <c r="P365">
        <f>YEAR(Europe_Sales_Records34[[#This Row],[Ship Date Fixed]])</f>
        <v>2012</v>
      </c>
      <c r="Q365" t="str">
        <f>TEXT(Europe_Sales_Records34[[#This Row],[Ship Date Fixed]],"MMM-YYYY")</f>
        <v>Nov-2012</v>
      </c>
      <c r="R365" t="s">
        <v>725</v>
      </c>
      <c r="S365" s="3">
        <f>Europe_Sales_Records34[[#This Row],[Ship Date Fixed]]-Europe_Sales_Records34[[#This Row],[Order Date Fixed]]</f>
        <v>50</v>
      </c>
      <c r="T365">
        <v>9410</v>
      </c>
      <c r="U365">
        <v>255.28</v>
      </c>
      <c r="V365">
        <v>159.41999999999999</v>
      </c>
      <c r="W365">
        <f>Europe_Sales_Records34[[#This Row],[Total Revenue]]/Europe_Sales_Records34[[#This Row],[Units Sold]]</f>
        <v>255.27999999999997</v>
      </c>
      <c r="X365">
        <v>2402184.7999999998</v>
      </c>
      <c r="Y365">
        <v>1500142.2</v>
      </c>
      <c r="Z365" s="4">
        <f>Europe_Sales_Records34[[#This Row],[Total Profit]]/Europe_Sales_Records34[[#This Row],[Total Revenue]]</f>
        <v>0.37550924475086184</v>
      </c>
      <c r="AA365">
        <v>902042.6</v>
      </c>
    </row>
    <row r="366" spans="1:27" x14ac:dyDescent="0.3">
      <c r="A366" t="s">
        <v>14</v>
      </c>
      <c r="B366" t="s">
        <v>183</v>
      </c>
      <c r="C366" t="s">
        <v>75</v>
      </c>
      <c r="D366" t="s">
        <v>23</v>
      </c>
      <c r="E366" t="s">
        <v>18</v>
      </c>
      <c r="F366" t="s">
        <v>726</v>
      </c>
      <c r="G366" s="2">
        <f t="shared" si="10"/>
        <v>40320</v>
      </c>
      <c r="H366">
        <f>DAY(Europe_Sales_Records34[[#This Row],[Order Date Fixed]])</f>
        <v>22</v>
      </c>
      <c r="I366" t="str">
        <f>TEXT(Europe_Sales_Records34[[#This Row],[Order Date Fixed]],"MMM")</f>
        <v>May</v>
      </c>
      <c r="J366">
        <f>YEAR(Europe_Sales_Records34[[#This Row],[Order Date Fixed]])</f>
        <v>2010</v>
      </c>
      <c r="K366" t="str">
        <f>TEXT(Europe_Sales_Records34[[#This Row],[Order Date Fixed]],"MMM-YYYY")</f>
        <v>May-2010</v>
      </c>
      <c r="L366">
        <v>583089339</v>
      </c>
      <c r="M366" s="2">
        <f t="shared" si="11"/>
        <v>40355</v>
      </c>
      <c r="N366">
        <f>DAY(Europe_Sales_Records34[[#This Row],[Ship Date Fixed]])</f>
        <v>26</v>
      </c>
      <c r="O366" t="str">
        <f>TEXT(Europe_Sales_Records34[[#This Row],[Ship Date Fixed]],"MMM")</f>
        <v>Jun</v>
      </c>
      <c r="P366">
        <f>YEAR(Europe_Sales_Records34[[#This Row],[Ship Date Fixed]])</f>
        <v>2010</v>
      </c>
      <c r="Q366" t="str">
        <f>TEXT(Europe_Sales_Records34[[#This Row],[Ship Date Fixed]],"MMM-YYYY")</f>
        <v>Jun-2010</v>
      </c>
      <c r="R366" t="s">
        <v>236</v>
      </c>
      <c r="S366" s="3">
        <f>Europe_Sales_Records34[[#This Row],[Ship Date Fixed]]-Europe_Sales_Records34[[#This Row],[Order Date Fixed]]</f>
        <v>35</v>
      </c>
      <c r="T366">
        <v>7948</v>
      </c>
      <c r="U366">
        <v>437.2</v>
      </c>
      <c r="V366">
        <v>263.33</v>
      </c>
      <c r="W366">
        <f>Europe_Sales_Records34[[#This Row],[Total Revenue]]/Europe_Sales_Records34[[#This Row],[Units Sold]]</f>
        <v>437.2</v>
      </c>
      <c r="X366">
        <v>3474865.6</v>
      </c>
      <c r="Y366">
        <v>2092946.84</v>
      </c>
      <c r="Z366" s="4">
        <f>Europe_Sales_Records34[[#This Row],[Total Profit]]/Europe_Sales_Records34[[#This Row],[Total Revenue]]</f>
        <v>0.39768984446477584</v>
      </c>
      <c r="AA366">
        <v>1381918.76</v>
      </c>
    </row>
    <row r="367" spans="1:27" x14ac:dyDescent="0.3">
      <c r="A367" t="s">
        <v>14</v>
      </c>
      <c r="B367" t="s">
        <v>115</v>
      </c>
      <c r="C367" t="s">
        <v>58</v>
      </c>
      <c r="D367" t="s">
        <v>23</v>
      </c>
      <c r="E367" t="s">
        <v>24</v>
      </c>
      <c r="F367" t="s">
        <v>727</v>
      </c>
      <c r="G367" s="2">
        <f t="shared" si="10"/>
        <v>42419</v>
      </c>
      <c r="H367">
        <f>DAY(Europe_Sales_Records34[[#This Row],[Order Date Fixed]])</f>
        <v>19</v>
      </c>
      <c r="I367" t="str">
        <f>TEXT(Europe_Sales_Records34[[#This Row],[Order Date Fixed]],"MMM")</f>
        <v>Feb</v>
      </c>
      <c r="J367">
        <f>YEAR(Europe_Sales_Records34[[#This Row],[Order Date Fixed]])</f>
        <v>2016</v>
      </c>
      <c r="K367" t="str">
        <f>TEXT(Europe_Sales_Records34[[#This Row],[Order Date Fixed]],"MMM-YYYY")</f>
        <v>Feb-2016</v>
      </c>
      <c r="L367">
        <v>118086564</v>
      </c>
      <c r="M367" s="2">
        <f t="shared" si="11"/>
        <v>42442</v>
      </c>
      <c r="N367">
        <f>DAY(Europe_Sales_Records34[[#This Row],[Ship Date Fixed]])</f>
        <v>13</v>
      </c>
      <c r="O367" t="str">
        <f>TEXT(Europe_Sales_Records34[[#This Row],[Ship Date Fixed]],"MMM")</f>
        <v>Mar</v>
      </c>
      <c r="P367">
        <f>YEAR(Europe_Sales_Records34[[#This Row],[Ship Date Fixed]])</f>
        <v>2016</v>
      </c>
      <c r="Q367" t="str">
        <f>TEXT(Europe_Sales_Records34[[#This Row],[Ship Date Fixed]],"MMM-YYYY")</f>
        <v>Mar-2016</v>
      </c>
      <c r="R367" t="s">
        <v>728</v>
      </c>
      <c r="S367" s="3">
        <f>Europe_Sales_Records34[[#This Row],[Ship Date Fixed]]-Europe_Sales_Records34[[#This Row],[Order Date Fixed]]</f>
        <v>23</v>
      </c>
      <c r="T367">
        <v>3293</v>
      </c>
      <c r="U367">
        <v>152.58000000000001</v>
      </c>
      <c r="V367">
        <v>97.44</v>
      </c>
      <c r="W367">
        <f>Europe_Sales_Records34[[#This Row],[Total Revenue]]/Europe_Sales_Records34[[#This Row],[Units Sold]]</f>
        <v>152.58000000000001</v>
      </c>
      <c r="X367">
        <v>502445.94</v>
      </c>
      <c r="Y367">
        <v>320869.92</v>
      </c>
      <c r="Z367" s="4">
        <f>Europe_Sales_Records34[[#This Row],[Total Profit]]/Europe_Sales_Records34[[#This Row],[Total Revenue]]</f>
        <v>0.36138419189933146</v>
      </c>
      <c r="AA367">
        <v>181576.02</v>
      </c>
    </row>
    <row r="368" spans="1:27" x14ac:dyDescent="0.3">
      <c r="A368" t="s">
        <v>14</v>
      </c>
      <c r="B368" t="s">
        <v>100</v>
      </c>
      <c r="C368" t="s">
        <v>64</v>
      </c>
      <c r="D368" t="s">
        <v>17</v>
      </c>
      <c r="E368" t="s">
        <v>18</v>
      </c>
      <c r="F368" t="s">
        <v>729</v>
      </c>
      <c r="G368" s="2">
        <f t="shared" si="10"/>
        <v>42121</v>
      </c>
      <c r="H368">
        <f>DAY(Europe_Sales_Records34[[#This Row],[Order Date Fixed]])</f>
        <v>27</v>
      </c>
      <c r="I368" t="str">
        <f>TEXT(Europe_Sales_Records34[[#This Row],[Order Date Fixed]],"MMM")</f>
        <v>Apr</v>
      </c>
      <c r="J368">
        <f>YEAR(Europe_Sales_Records34[[#This Row],[Order Date Fixed]])</f>
        <v>2015</v>
      </c>
      <c r="K368" t="str">
        <f>TEXT(Europe_Sales_Records34[[#This Row],[Order Date Fixed]],"MMM-YYYY")</f>
        <v>Apr-2015</v>
      </c>
      <c r="L368">
        <v>296073234</v>
      </c>
      <c r="M368" s="2">
        <f t="shared" si="11"/>
        <v>42159</v>
      </c>
      <c r="N368">
        <f>DAY(Europe_Sales_Records34[[#This Row],[Ship Date Fixed]])</f>
        <v>4</v>
      </c>
      <c r="O368" t="str">
        <f>TEXT(Europe_Sales_Records34[[#This Row],[Ship Date Fixed]],"MMM")</f>
        <v>Jun</v>
      </c>
      <c r="P368">
        <f>YEAR(Europe_Sales_Records34[[#This Row],[Ship Date Fixed]])</f>
        <v>2015</v>
      </c>
      <c r="Q368" t="str">
        <f>TEXT(Europe_Sales_Records34[[#This Row],[Ship Date Fixed]],"MMM-YYYY")</f>
        <v>Jun-2015</v>
      </c>
      <c r="R368" t="s">
        <v>730</v>
      </c>
      <c r="S368" s="3">
        <f>Europe_Sales_Records34[[#This Row],[Ship Date Fixed]]-Europe_Sales_Records34[[#This Row],[Order Date Fixed]]</f>
        <v>38</v>
      </c>
      <c r="T368">
        <v>3504</v>
      </c>
      <c r="U368">
        <v>255.28</v>
      </c>
      <c r="V368">
        <v>159.41999999999999</v>
      </c>
      <c r="W368">
        <f>Europe_Sales_Records34[[#This Row],[Total Revenue]]/Europe_Sales_Records34[[#This Row],[Units Sold]]</f>
        <v>255.28</v>
      </c>
      <c r="X368">
        <v>894501.12</v>
      </c>
      <c r="Y368">
        <v>558607.68000000005</v>
      </c>
      <c r="Z368" s="4">
        <f>Europe_Sales_Records34[[#This Row],[Total Profit]]/Europe_Sales_Records34[[#This Row],[Total Revenue]]</f>
        <v>0.37550924475086178</v>
      </c>
      <c r="AA368">
        <v>335893.44</v>
      </c>
    </row>
    <row r="369" spans="1:27" x14ac:dyDescent="0.3">
      <c r="A369" t="s">
        <v>14</v>
      </c>
      <c r="B369" t="s">
        <v>89</v>
      </c>
      <c r="C369" t="s">
        <v>58</v>
      </c>
      <c r="D369" t="s">
        <v>23</v>
      </c>
      <c r="E369" t="s">
        <v>24</v>
      </c>
      <c r="F369" t="s">
        <v>407</v>
      </c>
      <c r="G369" s="2">
        <f t="shared" si="10"/>
        <v>41283</v>
      </c>
      <c r="H369">
        <f>DAY(Europe_Sales_Records34[[#This Row],[Order Date Fixed]])</f>
        <v>9</v>
      </c>
      <c r="I369" t="str">
        <f>TEXT(Europe_Sales_Records34[[#This Row],[Order Date Fixed]],"MMM")</f>
        <v>Jan</v>
      </c>
      <c r="J369">
        <f>YEAR(Europe_Sales_Records34[[#This Row],[Order Date Fixed]])</f>
        <v>2013</v>
      </c>
      <c r="K369" t="str">
        <f>TEXT(Europe_Sales_Records34[[#This Row],[Order Date Fixed]],"MMM-YYYY")</f>
        <v>Jan-2013</v>
      </c>
      <c r="L369">
        <v>968185460</v>
      </c>
      <c r="M369" s="2">
        <f t="shared" si="11"/>
        <v>41308</v>
      </c>
      <c r="N369">
        <f>DAY(Europe_Sales_Records34[[#This Row],[Ship Date Fixed]])</f>
        <v>3</v>
      </c>
      <c r="O369" t="str">
        <f>TEXT(Europe_Sales_Records34[[#This Row],[Ship Date Fixed]],"MMM")</f>
        <v>Feb</v>
      </c>
      <c r="P369">
        <f>YEAR(Europe_Sales_Records34[[#This Row],[Ship Date Fixed]])</f>
        <v>2013</v>
      </c>
      <c r="Q369" t="str">
        <f>TEXT(Europe_Sales_Records34[[#This Row],[Ship Date Fixed]],"MMM-YYYY")</f>
        <v>Feb-2013</v>
      </c>
      <c r="R369" t="s">
        <v>731</v>
      </c>
      <c r="S369" s="3">
        <f>Europe_Sales_Records34[[#This Row],[Ship Date Fixed]]-Europe_Sales_Records34[[#This Row],[Order Date Fixed]]</f>
        <v>25</v>
      </c>
      <c r="T369">
        <v>6448</v>
      </c>
      <c r="U369">
        <v>152.58000000000001</v>
      </c>
      <c r="V369">
        <v>97.44</v>
      </c>
      <c r="W369">
        <f>Europe_Sales_Records34[[#This Row],[Total Revenue]]/Europe_Sales_Records34[[#This Row],[Units Sold]]</f>
        <v>152.57999999999998</v>
      </c>
      <c r="X369">
        <v>983835.84</v>
      </c>
      <c r="Y369">
        <v>628293.12</v>
      </c>
      <c r="Z369" s="4">
        <f>Europe_Sales_Records34[[#This Row],[Total Profit]]/Europe_Sales_Records34[[#This Row],[Total Revenue]]</f>
        <v>0.36138419189933146</v>
      </c>
      <c r="AA369">
        <v>355542.72</v>
      </c>
    </row>
    <row r="370" spans="1:27" x14ac:dyDescent="0.3">
      <c r="A370" t="s">
        <v>14</v>
      </c>
      <c r="B370" t="s">
        <v>132</v>
      </c>
      <c r="C370" t="s">
        <v>64</v>
      </c>
      <c r="D370" t="s">
        <v>17</v>
      </c>
      <c r="E370" t="s">
        <v>24</v>
      </c>
      <c r="F370" t="s">
        <v>732</v>
      </c>
      <c r="G370" s="2">
        <f t="shared" si="10"/>
        <v>41165</v>
      </c>
      <c r="H370">
        <f>DAY(Europe_Sales_Records34[[#This Row],[Order Date Fixed]])</f>
        <v>13</v>
      </c>
      <c r="I370" t="str">
        <f>TEXT(Europe_Sales_Records34[[#This Row],[Order Date Fixed]],"MMM")</f>
        <v>Sep</v>
      </c>
      <c r="J370">
        <f>YEAR(Europe_Sales_Records34[[#This Row],[Order Date Fixed]])</f>
        <v>2012</v>
      </c>
      <c r="K370" t="str">
        <f>TEXT(Europe_Sales_Records34[[#This Row],[Order Date Fixed]],"MMM-YYYY")</f>
        <v>Sep-2012</v>
      </c>
      <c r="L370">
        <v>364854514</v>
      </c>
      <c r="M370" s="2">
        <f t="shared" si="11"/>
        <v>41185</v>
      </c>
      <c r="N370">
        <f>DAY(Europe_Sales_Records34[[#This Row],[Ship Date Fixed]])</f>
        <v>3</v>
      </c>
      <c r="O370" t="str">
        <f>TEXT(Europe_Sales_Records34[[#This Row],[Ship Date Fixed]],"MMM")</f>
        <v>Oct</v>
      </c>
      <c r="P370">
        <f>YEAR(Europe_Sales_Records34[[#This Row],[Ship Date Fixed]])</f>
        <v>2012</v>
      </c>
      <c r="Q370" t="str">
        <f>TEXT(Europe_Sales_Records34[[#This Row],[Ship Date Fixed]],"MMM-YYYY")</f>
        <v>Oct-2012</v>
      </c>
      <c r="R370" t="s">
        <v>733</v>
      </c>
      <c r="S370" s="3">
        <f>Europe_Sales_Records34[[#This Row],[Ship Date Fixed]]-Europe_Sales_Records34[[#This Row],[Order Date Fixed]]</f>
        <v>20</v>
      </c>
      <c r="T370">
        <v>7413</v>
      </c>
      <c r="U370">
        <v>255.28</v>
      </c>
      <c r="V370">
        <v>159.41999999999999</v>
      </c>
      <c r="W370">
        <f>Europe_Sales_Records34[[#This Row],[Total Revenue]]/Europe_Sales_Records34[[#This Row],[Units Sold]]</f>
        <v>255.27999999999997</v>
      </c>
      <c r="X370">
        <v>1892390.64</v>
      </c>
      <c r="Y370">
        <v>1181780.46</v>
      </c>
      <c r="Z370" s="4">
        <f>Europe_Sales_Records34[[#This Row],[Total Profit]]/Europe_Sales_Records34[[#This Row],[Total Revenue]]</f>
        <v>0.37550924475086184</v>
      </c>
      <c r="AA370">
        <v>710610.18</v>
      </c>
    </row>
    <row r="371" spans="1:27" x14ac:dyDescent="0.3">
      <c r="A371" t="s">
        <v>14</v>
      </c>
      <c r="B371" t="s">
        <v>45</v>
      </c>
      <c r="C371" t="s">
        <v>75</v>
      </c>
      <c r="D371" t="s">
        <v>23</v>
      </c>
      <c r="E371" t="s">
        <v>18</v>
      </c>
      <c r="F371" t="s">
        <v>734</v>
      </c>
      <c r="G371" s="2">
        <f t="shared" si="10"/>
        <v>41523</v>
      </c>
      <c r="H371">
        <f>DAY(Europe_Sales_Records34[[#This Row],[Order Date Fixed]])</f>
        <v>6</v>
      </c>
      <c r="I371" t="str">
        <f>TEXT(Europe_Sales_Records34[[#This Row],[Order Date Fixed]],"MMM")</f>
        <v>Sep</v>
      </c>
      <c r="J371">
        <f>YEAR(Europe_Sales_Records34[[#This Row],[Order Date Fixed]])</f>
        <v>2013</v>
      </c>
      <c r="K371" t="str">
        <f>TEXT(Europe_Sales_Records34[[#This Row],[Order Date Fixed]],"MMM-YYYY")</f>
        <v>Sep-2013</v>
      </c>
      <c r="L371">
        <v>980961358</v>
      </c>
      <c r="M371" s="2">
        <f t="shared" si="11"/>
        <v>41555</v>
      </c>
      <c r="N371">
        <f>DAY(Europe_Sales_Records34[[#This Row],[Ship Date Fixed]])</f>
        <v>8</v>
      </c>
      <c r="O371" t="str">
        <f>TEXT(Europe_Sales_Records34[[#This Row],[Ship Date Fixed]],"MMM")</f>
        <v>Oct</v>
      </c>
      <c r="P371">
        <f>YEAR(Europe_Sales_Records34[[#This Row],[Ship Date Fixed]])</f>
        <v>2013</v>
      </c>
      <c r="Q371" t="str">
        <f>TEXT(Europe_Sales_Records34[[#This Row],[Ship Date Fixed]],"MMM-YYYY")</f>
        <v>Oct-2013</v>
      </c>
      <c r="R371" t="s">
        <v>735</v>
      </c>
      <c r="S371" s="3">
        <f>Europe_Sales_Records34[[#This Row],[Ship Date Fixed]]-Europe_Sales_Records34[[#This Row],[Order Date Fixed]]</f>
        <v>32</v>
      </c>
      <c r="T371">
        <v>7120</v>
      </c>
      <c r="U371">
        <v>437.2</v>
      </c>
      <c r="V371">
        <v>263.33</v>
      </c>
      <c r="W371">
        <f>Europe_Sales_Records34[[#This Row],[Total Revenue]]/Europe_Sales_Records34[[#This Row],[Units Sold]]</f>
        <v>437.2</v>
      </c>
      <c r="X371">
        <v>3112864</v>
      </c>
      <c r="Y371">
        <v>1874909.6</v>
      </c>
      <c r="Z371" s="4">
        <f>Europe_Sales_Records34[[#This Row],[Total Profit]]/Europe_Sales_Records34[[#This Row],[Total Revenue]]</f>
        <v>0.39768984446477584</v>
      </c>
      <c r="AA371">
        <v>1237954.3999999999</v>
      </c>
    </row>
    <row r="372" spans="1:27" x14ac:dyDescent="0.3">
      <c r="A372" t="s">
        <v>14</v>
      </c>
      <c r="B372" t="s">
        <v>163</v>
      </c>
      <c r="C372" t="s">
        <v>37</v>
      </c>
      <c r="D372" t="s">
        <v>17</v>
      </c>
      <c r="E372" t="s">
        <v>18</v>
      </c>
      <c r="F372" t="s">
        <v>736</v>
      </c>
      <c r="G372" s="2">
        <f t="shared" si="10"/>
        <v>41738</v>
      </c>
      <c r="H372">
        <f>DAY(Europe_Sales_Records34[[#This Row],[Order Date Fixed]])</f>
        <v>9</v>
      </c>
      <c r="I372" t="str">
        <f>TEXT(Europe_Sales_Records34[[#This Row],[Order Date Fixed]],"MMM")</f>
        <v>Apr</v>
      </c>
      <c r="J372">
        <f>YEAR(Europe_Sales_Records34[[#This Row],[Order Date Fixed]])</f>
        <v>2014</v>
      </c>
      <c r="K372" t="str">
        <f>TEXT(Europe_Sales_Records34[[#This Row],[Order Date Fixed]],"MMM-YYYY")</f>
        <v>Apr-2014</v>
      </c>
      <c r="L372">
        <v>601886260</v>
      </c>
      <c r="M372" s="2">
        <f t="shared" si="11"/>
        <v>41786</v>
      </c>
      <c r="N372">
        <f>DAY(Europe_Sales_Records34[[#This Row],[Ship Date Fixed]])</f>
        <v>27</v>
      </c>
      <c r="O372" t="str">
        <f>TEXT(Europe_Sales_Records34[[#This Row],[Ship Date Fixed]],"MMM")</f>
        <v>May</v>
      </c>
      <c r="P372">
        <f>YEAR(Europe_Sales_Records34[[#This Row],[Ship Date Fixed]])</f>
        <v>2014</v>
      </c>
      <c r="Q372" t="str">
        <f>TEXT(Europe_Sales_Records34[[#This Row],[Ship Date Fixed]],"MMM-YYYY")</f>
        <v>May-2014</v>
      </c>
      <c r="R372" t="s">
        <v>491</v>
      </c>
      <c r="S372" s="3">
        <f>Europe_Sales_Records34[[#This Row],[Ship Date Fixed]]-Europe_Sales_Records34[[#This Row],[Order Date Fixed]]</f>
        <v>48</v>
      </c>
      <c r="T372">
        <v>374</v>
      </c>
      <c r="U372">
        <v>9.33</v>
      </c>
      <c r="V372">
        <v>6.92</v>
      </c>
      <c r="W372">
        <f>Europe_Sales_Records34[[#This Row],[Total Revenue]]/Europe_Sales_Records34[[#This Row],[Units Sold]]</f>
        <v>9.33</v>
      </c>
      <c r="X372">
        <v>3489.42</v>
      </c>
      <c r="Y372">
        <v>2588.08</v>
      </c>
      <c r="Z372" s="4">
        <f>Europe_Sales_Records34[[#This Row],[Total Profit]]/Europe_Sales_Records34[[#This Row],[Total Revenue]]</f>
        <v>0.25830653804930331</v>
      </c>
      <c r="AA372">
        <v>901.34</v>
      </c>
    </row>
    <row r="373" spans="1:27" x14ac:dyDescent="0.3">
      <c r="A373" t="s">
        <v>14</v>
      </c>
      <c r="B373" t="s">
        <v>89</v>
      </c>
      <c r="C373" t="s">
        <v>71</v>
      </c>
      <c r="D373" t="s">
        <v>23</v>
      </c>
      <c r="E373" t="s">
        <v>33</v>
      </c>
      <c r="F373" t="s">
        <v>737</v>
      </c>
      <c r="G373" s="2">
        <f t="shared" si="10"/>
        <v>40660</v>
      </c>
      <c r="H373">
        <f>DAY(Europe_Sales_Records34[[#This Row],[Order Date Fixed]])</f>
        <v>27</v>
      </c>
      <c r="I373" t="str">
        <f>TEXT(Europe_Sales_Records34[[#This Row],[Order Date Fixed]],"MMM")</f>
        <v>Apr</v>
      </c>
      <c r="J373">
        <f>YEAR(Europe_Sales_Records34[[#This Row],[Order Date Fixed]])</f>
        <v>2011</v>
      </c>
      <c r="K373" t="str">
        <f>TEXT(Europe_Sales_Records34[[#This Row],[Order Date Fixed]],"MMM-YYYY")</f>
        <v>Apr-2011</v>
      </c>
      <c r="L373">
        <v>321628463</v>
      </c>
      <c r="M373" s="2">
        <f t="shared" si="11"/>
        <v>40677</v>
      </c>
      <c r="N373">
        <f>DAY(Europe_Sales_Records34[[#This Row],[Ship Date Fixed]])</f>
        <v>14</v>
      </c>
      <c r="O373" t="str">
        <f>TEXT(Europe_Sales_Records34[[#This Row],[Ship Date Fixed]],"MMM")</f>
        <v>May</v>
      </c>
      <c r="P373">
        <f>YEAR(Europe_Sales_Records34[[#This Row],[Ship Date Fixed]])</f>
        <v>2011</v>
      </c>
      <c r="Q373" t="str">
        <f>TEXT(Europe_Sales_Records34[[#This Row],[Ship Date Fixed]],"MMM-YYYY")</f>
        <v>May-2011</v>
      </c>
      <c r="R373" t="s">
        <v>614</v>
      </c>
      <c r="S373" s="3">
        <f>Europe_Sales_Records34[[#This Row],[Ship Date Fixed]]-Europe_Sales_Records34[[#This Row],[Order Date Fixed]]</f>
        <v>17</v>
      </c>
      <c r="T373">
        <v>5864</v>
      </c>
      <c r="U373">
        <v>668.27</v>
      </c>
      <c r="V373">
        <v>502.54</v>
      </c>
      <c r="W373">
        <f>Europe_Sales_Records34[[#This Row],[Total Revenue]]/Europe_Sales_Records34[[#This Row],[Units Sold]]</f>
        <v>668.27</v>
      </c>
      <c r="X373">
        <v>3918735.28</v>
      </c>
      <c r="Y373">
        <v>2946894.56</v>
      </c>
      <c r="Z373" s="4">
        <f>Europe_Sales_Records34[[#This Row],[Total Profit]]/Europe_Sales_Records34[[#This Row],[Total Revenue]]</f>
        <v>0.24799856345489099</v>
      </c>
      <c r="AA373">
        <v>971840.72</v>
      </c>
    </row>
    <row r="374" spans="1:27" x14ac:dyDescent="0.3">
      <c r="A374" t="s">
        <v>14</v>
      </c>
      <c r="B374" t="s">
        <v>86</v>
      </c>
      <c r="C374" t="s">
        <v>50</v>
      </c>
      <c r="D374" t="s">
        <v>23</v>
      </c>
      <c r="E374" t="s">
        <v>33</v>
      </c>
      <c r="F374" t="s">
        <v>738</v>
      </c>
      <c r="G374" s="2">
        <f t="shared" si="10"/>
        <v>41669</v>
      </c>
      <c r="H374">
        <f>DAY(Europe_Sales_Records34[[#This Row],[Order Date Fixed]])</f>
        <v>30</v>
      </c>
      <c r="I374" t="str">
        <f>TEXT(Europe_Sales_Records34[[#This Row],[Order Date Fixed]],"MMM")</f>
        <v>Jan</v>
      </c>
      <c r="J374">
        <f>YEAR(Europe_Sales_Records34[[#This Row],[Order Date Fixed]])</f>
        <v>2014</v>
      </c>
      <c r="K374" t="str">
        <f>TEXT(Europe_Sales_Records34[[#This Row],[Order Date Fixed]],"MMM-YYYY")</f>
        <v>Jan-2014</v>
      </c>
      <c r="L374">
        <v>944609057</v>
      </c>
      <c r="M374" s="2">
        <f t="shared" si="11"/>
        <v>41714</v>
      </c>
      <c r="N374">
        <f>DAY(Europe_Sales_Records34[[#This Row],[Ship Date Fixed]])</f>
        <v>16</v>
      </c>
      <c r="O374" t="str">
        <f>TEXT(Europe_Sales_Records34[[#This Row],[Ship Date Fixed]],"MMM")</f>
        <v>Mar</v>
      </c>
      <c r="P374">
        <f>YEAR(Europe_Sales_Records34[[#This Row],[Ship Date Fixed]])</f>
        <v>2014</v>
      </c>
      <c r="Q374" t="str">
        <f>TEXT(Europe_Sales_Records34[[#This Row],[Ship Date Fixed]],"MMM-YYYY")</f>
        <v>Mar-2014</v>
      </c>
      <c r="R374" t="s">
        <v>739</v>
      </c>
      <c r="S374" s="3">
        <f>Europe_Sales_Records34[[#This Row],[Ship Date Fixed]]-Europe_Sales_Records34[[#This Row],[Order Date Fixed]]</f>
        <v>45</v>
      </c>
      <c r="T374">
        <v>9666</v>
      </c>
      <c r="U374">
        <v>421.89</v>
      </c>
      <c r="V374">
        <v>364.69</v>
      </c>
      <c r="W374">
        <f>Europe_Sales_Records34[[#This Row],[Total Revenue]]/Europe_Sales_Records34[[#This Row],[Units Sold]]</f>
        <v>421.89000000000004</v>
      </c>
      <c r="X374">
        <v>4077988.74</v>
      </c>
      <c r="Y374">
        <v>3525093.54</v>
      </c>
      <c r="Z374" s="4">
        <f>Europe_Sales_Records34[[#This Row],[Total Profit]]/Europe_Sales_Records34[[#This Row],[Total Revenue]]</f>
        <v>0.13558036455000116</v>
      </c>
      <c r="AA374">
        <v>552895.19999999995</v>
      </c>
    </row>
    <row r="375" spans="1:27" x14ac:dyDescent="0.3">
      <c r="A375" t="s">
        <v>14</v>
      </c>
      <c r="B375" t="s">
        <v>100</v>
      </c>
      <c r="C375" t="s">
        <v>75</v>
      </c>
      <c r="D375" t="s">
        <v>17</v>
      </c>
      <c r="E375" t="s">
        <v>54</v>
      </c>
      <c r="F375" t="s">
        <v>740</v>
      </c>
      <c r="G375" s="2">
        <f t="shared" si="10"/>
        <v>41257</v>
      </c>
      <c r="H375">
        <f>DAY(Europe_Sales_Records34[[#This Row],[Order Date Fixed]])</f>
        <v>14</v>
      </c>
      <c r="I375" t="str">
        <f>TEXT(Europe_Sales_Records34[[#This Row],[Order Date Fixed]],"MMM")</f>
        <v>Dec</v>
      </c>
      <c r="J375">
        <f>YEAR(Europe_Sales_Records34[[#This Row],[Order Date Fixed]])</f>
        <v>2012</v>
      </c>
      <c r="K375" t="str">
        <f>TEXT(Europe_Sales_Records34[[#This Row],[Order Date Fixed]],"MMM-YYYY")</f>
        <v>Dec-2012</v>
      </c>
      <c r="L375">
        <v>310588920</v>
      </c>
      <c r="M375" s="2">
        <f t="shared" si="11"/>
        <v>41280</v>
      </c>
      <c r="N375">
        <f>DAY(Europe_Sales_Records34[[#This Row],[Ship Date Fixed]])</f>
        <v>6</v>
      </c>
      <c r="O375" t="str">
        <f>TEXT(Europe_Sales_Records34[[#This Row],[Ship Date Fixed]],"MMM")</f>
        <v>Jan</v>
      </c>
      <c r="P375">
        <f>YEAR(Europe_Sales_Records34[[#This Row],[Ship Date Fixed]])</f>
        <v>2013</v>
      </c>
      <c r="Q375" t="str">
        <f>TEXT(Europe_Sales_Records34[[#This Row],[Ship Date Fixed]],"MMM-YYYY")</f>
        <v>Jan-2013</v>
      </c>
      <c r="R375" t="s">
        <v>204</v>
      </c>
      <c r="S375" s="3">
        <f>Europe_Sales_Records34[[#This Row],[Ship Date Fixed]]-Europe_Sales_Records34[[#This Row],[Order Date Fixed]]</f>
        <v>23</v>
      </c>
      <c r="T375">
        <v>9018</v>
      </c>
      <c r="U375">
        <v>437.2</v>
      </c>
      <c r="V375">
        <v>263.33</v>
      </c>
      <c r="W375">
        <f>Europe_Sales_Records34[[#This Row],[Total Revenue]]/Europe_Sales_Records34[[#This Row],[Units Sold]]</f>
        <v>437.2</v>
      </c>
      <c r="X375">
        <v>3942669.6</v>
      </c>
      <c r="Y375">
        <v>2374709.94</v>
      </c>
      <c r="Z375" s="4">
        <f>Europe_Sales_Records34[[#This Row],[Total Profit]]/Europe_Sales_Records34[[#This Row],[Total Revenue]]</f>
        <v>0.39768984446477579</v>
      </c>
      <c r="AA375">
        <v>1567959.66</v>
      </c>
    </row>
    <row r="376" spans="1:27" x14ac:dyDescent="0.3">
      <c r="A376" t="s">
        <v>14</v>
      </c>
      <c r="B376" t="s">
        <v>122</v>
      </c>
      <c r="C376" t="s">
        <v>50</v>
      </c>
      <c r="D376" t="s">
        <v>17</v>
      </c>
      <c r="E376" t="s">
        <v>24</v>
      </c>
      <c r="F376" t="s">
        <v>741</v>
      </c>
      <c r="G376" s="2">
        <f t="shared" si="10"/>
        <v>42157</v>
      </c>
      <c r="H376">
        <f>DAY(Europe_Sales_Records34[[#This Row],[Order Date Fixed]])</f>
        <v>2</v>
      </c>
      <c r="I376" t="str">
        <f>TEXT(Europe_Sales_Records34[[#This Row],[Order Date Fixed]],"MMM")</f>
        <v>Jun</v>
      </c>
      <c r="J376">
        <f>YEAR(Europe_Sales_Records34[[#This Row],[Order Date Fixed]])</f>
        <v>2015</v>
      </c>
      <c r="K376" t="str">
        <f>TEXT(Europe_Sales_Records34[[#This Row],[Order Date Fixed]],"MMM-YYYY")</f>
        <v>Jun-2015</v>
      </c>
      <c r="L376">
        <v>251208674</v>
      </c>
      <c r="M376" s="2">
        <f t="shared" si="11"/>
        <v>42204</v>
      </c>
      <c r="N376">
        <f>DAY(Europe_Sales_Records34[[#This Row],[Ship Date Fixed]])</f>
        <v>19</v>
      </c>
      <c r="O376" t="str">
        <f>TEXT(Europe_Sales_Records34[[#This Row],[Ship Date Fixed]],"MMM")</f>
        <v>Jul</v>
      </c>
      <c r="P376">
        <f>YEAR(Europe_Sales_Records34[[#This Row],[Ship Date Fixed]])</f>
        <v>2015</v>
      </c>
      <c r="Q376" t="str">
        <f>TEXT(Europe_Sales_Records34[[#This Row],[Ship Date Fixed]],"MMM-YYYY")</f>
        <v>Jul-2015</v>
      </c>
      <c r="R376" t="s">
        <v>668</v>
      </c>
      <c r="S376" s="3">
        <f>Europe_Sales_Records34[[#This Row],[Ship Date Fixed]]-Europe_Sales_Records34[[#This Row],[Order Date Fixed]]</f>
        <v>47</v>
      </c>
      <c r="T376">
        <v>7084</v>
      </c>
      <c r="U376">
        <v>421.89</v>
      </c>
      <c r="V376">
        <v>364.69</v>
      </c>
      <c r="W376">
        <f>Europe_Sales_Records34[[#This Row],[Total Revenue]]/Europe_Sales_Records34[[#This Row],[Units Sold]]</f>
        <v>421.89</v>
      </c>
      <c r="X376">
        <v>2988668.76</v>
      </c>
      <c r="Y376">
        <v>2583463.96</v>
      </c>
      <c r="Z376" s="4">
        <f>Europe_Sales_Records34[[#This Row],[Total Profit]]/Europe_Sales_Records34[[#This Row],[Total Revenue]]</f>
        <v>0.13558036455000119</v>
      </c>
      <c r="AA376">
        <v>405204.8</v>
      </c>
    </row>
    <row r="377" spans="1:27" x14ac:dyDescent="0.3">
      <c r="A377" t="s">
        <v>14</v>
      </c>
      <c r="B377" t="s">
        <v>183</v>
      </c>
      <c r="C377" t="s">
        <v>37</v>
      </c>
      <c r="D377" t="s">
        <v>23</v>
      </c>
      <c r="E377" t="s">
        <v>33</v>
      </c>
      <c r="F377" t="s">
        <v>742</v>
      </c>
      <c r="G377" s="2">
        <f t="shared" si="10"/>
        <v>42308</v>
      </c>
      <c r="H377">
        <f>DAY(Europe_Sales_Records34[[#This Row],[Order Date Fixed]])</f>
        <v>31</v>
      </c>
      <c r="I377" t="str">
        <f>TEXT(Europe_Sales_Records34[[#This Row],[Order Date Fixed]],"MMM")</f>
        <v>Oct</v>
      </c>
      <c r="J377">
        <f>YEAR(Europe_Sales_Records34[[#This Row],[Order Date Fixed]])</f>
        <v>2015</v>
      </c>
      <c r="K377" t="str">
        <f>TEXT(Europe_Sales_Records34[[#This Row],[Order Date Fixed]],"MMM-YYYY")</f>
        <v>Oct-2015</v>
      </c>
      <c r="L377">
        <v>488316380</v>
      </c>
      <c r="M377" s="2">
        <f t="shared" si="11"/>
        <v>42326</v>
      </c>
      <c r="N377">
        <f>DAY(Europe_Sales_Records34[[#This Row],[Ship Date Fixed]])</f>
        <v>18</v>
      </c>
      <c r="O377" t="str">
        <f>TEXT(Europe_Sales_Records34[[#This Row],[Ship Date Fixed]],"MMM")</f>
        <v>Nov</v>
      </c>
      <c r="P377">
        <f>YEAR(Europe_Sales_Records34[[#This Row],[Ship Date Fixed]])</f>
        <v>2015</v>
      </c>
      <c r="Q377" t="str">
        <f>TEXT(Europe_Sales_Records34[[#This Row],[Ship Date Fixed]],"MMM-YYYY")</f>
        <v>Nov-2015</v>
      </c>
      <c r="R377" t="s">
        <v>743</v>
      </c>
      <c r="S377" s="3">
        <f>Europe_Sales_Records34[[#This Row],[Ship Date Fixed]]-Europe_Sales_Records34[[#This Row],[Order Date Fixed]]</f>
        <v>18</v>
      </c>
      <c r="T377">
        <v>2523</v>
      </c>
      <c r="U377">
        <v>9.33</v>
      </c>
      <c r="V377">
        <v>6.92</v>
      </c>
      <c r="W377">
        <f>Europe_Sales_Records34[[#This Row],[Total Revenue]]/Europe_Sales_Records34[[#This Row],[Units Sold]]</f>
        <v>9.33</v>
      </c>
      <c r="X377">
        <v>23539.59</v>
      </c>
      <c r="Y377">
        <v>17459.16</v>
      </c>
      <c r="Z377" s="4">
        <f>Europe_Sales_Records34[[#This Row],[Total Profit]]/Europe_Sales_Records34[[#This Row],[Total Revenue]]</f>
        <v>0.25830653804930331</v>
      </c>
      <c r="AA377">
        <v>6080.43</v>
      </c>
    </row>
    <row r="378" spans="1:27" x14ac:dyDescent="0.3">
      <c r="A378" t="s">
        <v>14</v>
      </c>
      <c r="B378" t="s">
        <v>257</v>
      </c>
      <c r="C378" t="s">
        <v>22</v>
      </c>
      <c r="D378" t="s">
        <v>23</v>
      </c>
      <c r="E378" t="s">
        <v>24</v>
      </c>
      <c r="F378" t="s">
        <v>56</v>
      </c>
      <c r="G378" s="2">
        <f t="shared" si="10"/>
        <v>40991</v>
      </c>
      <c r="H378">
        <f>DAY(Europe_Sales_Records34[[#This Row],[Order Date Fixed]])</f>
        <v>23</v>
      </c>
      <c r="I378" t="str">
        <f>TEXT(Europe_Sales_Records34[[#This Row],[Order Date Fixed]],"MMM")</f>
        <v>Mar</v>
      </c>
      <c r="J378">
        <f>YEAR(Europe_Sales_Records34[[#This Row],[Order Date Fixed]])</f>
        <v>2012</v>
      </c>
      <c r="K378" t="str">
        <f>TEXT(Europe_Sales_Records34[[#This Row],[Order Date Fixed]],"MMM-YYYY")</f>
        <v>Mar-2012</v>
      </c>
      <c r="L378">
        <v>263647687</v>
      </c>
      <c r="M378" s="2">
        <f t="shared" si="11"/>
        <v>40998</v>
      </c>
      <c r="N378">
        <f>DAY(Europe_Sales_Records34[[#This Row],[Ship Date Fixed]])</f>
        <v>30</v>
      </c>
      <c r="O378" t="str">
        <f>TEXT(Europe_Sales_Records34[[#This Row],[Ship Date Fixed]],"MMM")</f>
        <v>Mar</v>
      </c>
      <c r="P378">
        <f>YEAR(Europe_Sales_Records34[[#This Row],[Ship Date Fixed]])</f>
        <v>2012</v>
      </c>
      <c r="Q378" t="str">
        <f>TEXT(Europe_Sales_Records34[[#This Row],[Ship Date Fixed]],"MMM-YYYY")</f>
        <v>Mar-2012</v>
      </c>
      <c r="R378" t="s">
        <v>744</v>
      </c>
      <c r="S378" s="3">
        <f>Europe_Sales_Records34[[#This Row],[Ship Date Fixed]]-Europe_Sales_Records34[[#This Row],[Order Date Fixed]]</f>
        <v>7</v>
      </c>
      <c r="T378">
        <v>8064</v>
      </c>
      <c r="U378">
        <v>109.28</v>
      </c>
      <c r="V378">
        <v>35.840000000000003</v>
      </c>
      <c r="W378">
        <f>Europe_Sales_Records34[[#This Row],[Total Revenue]]/Europe_Sales_Records34[[#This Row],[Units Sold]]</f>
        <v>109.28</v>
      </c>
      <c r="X378">
        <v>881233.92000000004</v>
      </c>
      <c r="Y378">
        <v>289013.76000000001</v>
      </c>
      <c r="Z378" s="4">
        <f>Europe_Sales_Records34[[#This Row],[Total Profit]]/Europe_Sales_Records34[[#This Row],[Total Revenue]]</f>
        <v>0.67203513909224011</v>
      </c>
      <c r="AA378">
        <v>592220.16000000003</v>
      </c>
    </row>
    <row r="379" spans="1:27" x14ac:dyDescent="0.3">
      <c r="A379" t="s">
        <v>14</v>
      </c>
      <c r="B379" t="s">
        <v>49</v>
      </c>
      <c r="C379" t="s">
        <v>102</v>
      </c>
      <c r="D379" t="s">
        <v>17</v>
      </c>
      <c r="E379" t="s">
        <v>54</v>
      </c>
      <c r="F379" t="s">
        <v>745</v>
      </c>
      <c r="G379" s="2">
        <f t="shared" si="10"/>
        <v>41748</v>
      </c>
      <c r="H379">
        <f>DAY(Europe_Sales_Records34[[#This Row],[Order Date Fixed]])</f>
        <v>19</v>
      </c>
      <c r="I379" t="str">
        <f>TEXT(Europe_Sales_Records34[[#This Row],[Order Date Fixed]],"MMM")</f>
        <v>Apr</v>
      </c>
      <c r="J379">
        <f>YEAR(Europe_Sales_Records34[[#This Row],[Order Date Fixed]])</f>
        <v>2014</v>
      </c>
      <c r="K379" t="str">
        <f>TEXT(Europe_Sales_Records34[[#This Row],[Order Date Fixed]],"MMM-YYYY")</f>
        <v>Apr-2014</v>
      </c>
      <c r="L379">
        <v>653800523</v>
      </c>
      <c r="M379" s="2">
        <f t="shared" si="11"/>
        <v>41752</v>
      </c>
      <c r="N379">
        <f>DAY(Europe_Sales_Records34[[#This Row],[Ship Date Fixed]])</f>
        <v>23</v>
      </c>
      <c r="O379" t="str">
        <f>TEXT(Europe_Sales_Records34[[#This Row],[Ship Date Fixed]],"MMM")</f>
        <v>Apr</v>
      </c>
      <c r="P379">
        <f>YEAR(Europe_Sales_Records34[[#This Row],[Ship Date Fixed]])</f>
        <v>2014</v>
      </c>
      <c r="Q379" t="str">
        <f>TEXT(Europe_Sales_Records34[[#This Row],[Ship Date Fixed]],"MMM-YYYY")</f>
        <v>Apr-2014</v>
      </c>
      <c r="R379" t="s">
        <v>746</v>
      </c>
      <c r="S379" s="3">
        <f>Europe_Sales_Records34[[#This Row],[Ship Date Fixed]]-Europe_Sales_Records34[[#This Row],[Order Date Fixed]]</f>
        <v>4</v>
      </c>
      <c r="T379">
        <v>2958</v>
      </c>
      <c r="U379">
        <v>81.73</v>
      </c>
      <c r="V379">
        <v>56.67</v>
      </c>
      <c r="W379">
        <f>Europe_Sales_Records34[[#This Row],[Total Revenue]]/Europe_Sales_Records34[[#This Row],[Units Sold]]</f>
        <v>81.73</v>
      </c>
      <c r="X379">
        <v>241757.34</v>
      </c>
      <c r="Y379">
        <v>167629.85999999999</v>
      </c>
      <c r="Z379" s="4">
        <f>Europe_Sales_Records34[[#This Row],[Total Profit]]/Europe_Sales_Records34[[#This Row],[Total Revenue]]</f>
        <v>0.30661935641747218</v>
      </c>
      <c r="AA379">
        <v>74127.48</v>
      </c>
    </row>
    <row r="380" spans="1:27" x14ac:dyDescent="0.3">
      <c r="A380" t="s">
        <v>14</v>
      </c>
      <c r="B380" t="s">
        <v>169</v>
      </c>
      <c r="C380" t="s">
        <v>75</v>
      </c>
      <c r="D380" t="s">
        <v>23</v>
      </c>
      <c r="E380" t="s">
        <v>33</v>
      </c>
      <c r="F380" t="s">
        <v>747</v>
      </c>
      <c r="G380" s="2">
        <f t="shared" si="10"/>
        <v>41510</v>
      </c>
      <c r="H380">
        <f>DAY(Europe_Sales_Records34[[#This Row],[Order Date Fixed]])</f>
        <v>24</v>
      </c>
      <c r="I380" t="str">
        <f>TEXT(Europe_Sales_Records34[[#This Row],[Order Date Fixed]],"MMM")</f>
        <v>Aug</v>
      </c>
      <c r="J380">
        <f>YEAR(Europe_Sales_Records34[[#This Row],[Order Date Fixed]])</f>
        <v>2013</v>
      </c>
      <c r="K380" t="str">
        <f>TEXT(Europe_Sales_Records34[[#This Row],[Order Date Fixed]],"MMM-YYYY")</f>
        <v>Aug-2013</v>
      </c>
      <c r="L380">
        <v>684239947</v>
      </c>
      <c r="M380" s="2">
        <f t="shared" si="11"/>
        <v>41517</v>
      </c>
      <c r="N380">
        <f>DAY(Europe_Sales_Records34[[#This Row],[Ship Date Fixed]])</f>
        <v>31</v>
      </c>
      <c r="O380" t="str">
        <f>TEXT(Europe_Sales_Records34[[#This Row],[Ship Date Fixed]],"MMM")</f>
        <v>Aug</v>
      </c>
      <c r="P380">
        <f>YEAR(Europe_Sales_Records34[[#This Row],[Ship Date Fixed]])</f>
        <v>2013</v>
      </c>
      <c r="Q380" t="str">
        <f>TEXT(Europe_Sales_Records34[[#This Row],[Ship Date Fixed]],"MMM-YYYY")</f>
        <v>Aug-2013</v>
      </c>
      <c r="R380" t="s">
        <v>748</v>
      </c>
      <c r="S380" s="3">
        <f>Europe_Sales_Records34[[#This Row],[Ship Date Fixed]]-Europe_Sales_Records34[[#This Row],[Order Date Fixed]]</f>
        <v>7</v>
      </c>
      <c r="T380">
        <v>661</v>
      </c>
      <c r="U380">
        <v>437.2</v>
      </c>
      <c r="V380">
        <v>263.33</v>
      </c>
      <c r="W380">
        <f>Europe_Sales_Records34[[#This Row],[Total Revenue]]/Europe_Sales_Records34[[#This Row],[Units Sold]]</f>
        <v>437.20000000000005</v>
      </c>
      <c r="X380">
        <v>288989.2</v>
      </c>
      <c r="Y380">
        <v>174061.13</v>
      </c>
      <c r="Z380" s="4">
        <f>Europe_Sales_Records34[[#This Row],[Total Profit]]/Europe_Sales_Records34[[#This Row],[Total Revenue]]</f>
        <v>0.39768984446477584</v>
      </c>
      <c r="AA380">
        <v>114928.07</v>
      </c>
    </row>
    <row r="381" spans="1:27" x14ac:dyDescent="0.3">
      <c r="A381" t="s">
        <v>14</v>
      </c>
      <c r="B381" t="s">
        <v>257</v>
      </c>
      <c r="C381" t="s">
        <v>102</v>
      </c>
      <c r="D381" t="s">
        <v>23</v>
      </c>
      <c r="E381" t="s">
        <v>54</v>
      </c>
      <c r="F381" t="s">
        <v>592</v>
      </c>
      <c r="G381" s="2">
        <f t="shared" si="10"/>
        <v>42396</v>
      </c>
      <c r="H381">
        <f>DAY(Europe_Sales_Records34[[#This Row],[Order Date Fixed]])</f>
        <v>27</v>
      </c>
      <c r="I381" t="str">
        <f>TEXT(Europe_Sales_Records34[[#This Row],[Order Date Fixed]],"MMM")</f>
        <v>Jan</v>
      </c>
      <c r="J381">
        <f>YEAR(Europe_Sales_Records34[[#This Row],[Order Date Fixed]])</f>
        <v>2016</v>
      </c>
      <c r="K381" t="str">
        <f>TEXT(Europe_Sales_Records34[[#This Row],[Order Date Fixed]],"MMM-YYYY")</f>
        <v>Jan-2016</v>
      </c>
      <c r="L381">
        <v>133276450</v>
      </c>
      <c r="M381" s="2">
        <f t="shared" si="11"/>
        <v>42444</v>
      </c>
      <c r="N381">
        <f>DAY(Europe_Sales_Records34[[#This Row],[Ship Date Fixed]])</f>
        <v>15</v>
      </c>
      <c r="O381" t="str">
        <f>TEXT(Europe_Sales_Records34[[#This Row],[Ship Date Fixed]],"MMM")</f>
        <v>Mar</v>
      </c>
      <c r="P381">
        <f>YEAR(Europe_Sales_Records34[[#This Row],[Ship Date Fixed]])</f>
        <v>2016</v>
      </c>
      <c r="Q381" t="str">
        <f>TEXT(Europe_Sales_Records34[[#This Row],[Ship Date Fixed]],"MMM-YYYY")</f>
        <v>Mar-2016</v>
      </c>
      <c r="R381" t="s">
        <v>749</v>
      </c>
      <c r="S381" s="3">
        <f>Europe_Sales_Records34[[#This Row],[Ship Date Fixed]]-Europe_Sales_Records34[[#This Row],[Order Date Fixed]]</f>
        <v>48</v>
      </c>
      <c r="T381">
        <v>8318</v>
      </c>
      <c r="U381">
        <v>81.73</v>
      </c>
      <c r="V381">
        <v>56.67</v>
      </c>
      <c r="W381">
        <f>Europe_Sales_Records34[[#This Row],[Total Revenue]]/Europe_Sales_Records34[[#This Row],[Units Sold]]</f>
        <v>81.73</v>
      </c>
      <c r="X381">
        <v>679830.14</v>
      </c>
      <c r="Y381">
        <v>471381.06</v>
      </c>
      <c r="Z381" s="4">
        <f>Europe_Sales_Records34[[#This Row],[Total Profit]]/Europe_Sales_Records34[[#This Row],[Total Revenue]]</f>
        <v>0.30661935641747212</v>
      </c>
      <c r="AA381">
        <v>208449.08</v>
      </c>
    </row>
    <row r="382" spans="1:27" x14ac:dyDescent="0.3">
      <c r="A382" t="s">
        <v>14</v>
      </c>
      <c r="B382" t="s">
        <v>146</v>
      </c>
      <c r="C382" t="s">
        <v>102</v>
      </c>
      <c r="D382" t="s">
        <v>17</v>
      </c>
      <c r="E382" t="s">
        <v>33</v>
      </c>
      <c r="F382" t="s">
        <v>750</v>
      </c>
      <c r="G382" s="2">
        <f t="shared" si="10"/>
        <v>41687</v>
      </c>
      <c r="H382">
        <f>DAY(Europe_Sales_Records34[[#This Row],[Order Date Fixed]])</f>
        <v>17</v>
      </c>
      <c r="I382" t="str">
        <f>TEXT(Europe_Sales_Records34[[#This Row],[Order Date Fixed]],"MMM")</f>
        <v>Feb</v>
      </c>
      <c r="J382">
        <f>YEAR(Europe_Sales_Records34[[#This Row],[Order Date Fixed]])</f>
        <v>2014</v>
      </c>
      <c r="K382" t="str">
        <f>TEXT(Europe_Sales_Records34[[#This Row],[Order Date Fixed]],"MMM-YYYY")</f>
        <v>Feb-2014</v>
      </c>
      <c r="L382">
        <v>838895261</v>
      </c>
      <c r="M382" s="2">
        <f t="shared" si="11"/>
        <v>41689</v>
      </c>
      <c r="N382">
        <f>DAY(Europe_Sales_Records34[[#This Row],[Ship Date Fixed]])</f>
        <v>19</v>
      </c>
      <c r="O382" t="str">
        <f>TEXT(Europe_Sales_Records34[[#This Row],[Ship Date Fixed]],"MMM")</f>
        <v>Feb</v>
      </c>
      <c r="P382">
        <f>YEAR(Europe_Sales_Records34[[#This Row],[Ship Date Fixed]])</f>
        <v>2014</v>
      </c>
      <c r="Q382" t="str">
        <f>TEXT(Europe_Sales_Records34[[#This Row],[Ship Date Fixed]],"MMM-YYYY")</f>
        <v>Feb-2014</v>
      </c>
      <c r="R382" t="s">
        <v>287</v>
      </c>
      <c r="S382" s="3">
        <f>Europe_Sales_Records34[[#This Row],[Ship Date Fixed]]-Europe_Sales_Records34[[#This Row],[Order Date Fixed]]</f>
        <v>2</v>
      </c>
      <c r="T382">
        <v>6605</v>
      </c>
      <c r="U382">
        <v>81.73</v>
      </c>
      <c r="V382">
        <v>56.67</v>
      </c>
      <c r="W382">
        <f>Europe_Sales_Records34[[#This Row],[Total Revenue]]/Europe_Sales_Records34[[#This Row],[Units Sold]]</f>
        <v>81.73</v>
      </c>
      <c r="X382">
        <v>539826.65</v>
      </c>
      <c r="Y382">
        <v>374305.35</v>
      </c>
      <c r="Z382" s="4">
        <f>Europe_Sales_Records34[[#This Row],[Total Profit]]/Europe_Sales_Records34[[#This Row],[Total Revenue]]</f>
        <v>0.30661935641747212</v>
      </c>
      <c r="AA382">
        <v>165521.29999999999</v>
      </c>
    </row>
    <row r="383" spans="1:27" x14ac:dyDescent="0.3">
      <c r="A383" t="s">
        <v>14</v>
      </c>
      <c r="B383" t="s">
        <v>127</v>
      </c>
      <c r="C383" t="s">
        <v>50</v>
      </c>
      <c r="D383" t="s">
        <v>23</v>
      </c>
      <c r="E383" t="s">
        <v>18</v>
      </c>
      <c r="F383" t="s">
        <v>270</v>
      </c>
      <c r="G383" s="2">
        <f t="shared" si="10"/>
        <v>40873</v>
      </c>
      <c r="H383">
        <f>DAY(Europe_Sales_Records34[[#This Row],[Order Date Fixed]])</f>
        <v>26</v>
      </c>
      <c r="I383" t="str">
        <f>TEXT(Europe_Sales_Records34[[#This Row],[Order Date Fixed]],"MMM")</f>
        <v>Nov</v>
      </c>
      <c r="J383">
        <f>YEAR(Europe_Sales_Records34[[#This Row],[Order Date Fixed]])</f>
        <v>2011</v>
      </c>
      <c r="K383" t="str">
        <f>TEXT(Europe_Sales_Records34[[#This Row],[Order Date Fixed]],"MMM-YYYY")</f>
        <v>Nov-2011</v>
      </c>
      <c r="L383">
        <v>198537814</v>
      </c>
      <c r="M383" s="2">
        <f t="shared" si="11"/>
        <v>40896</v>
      </c>
      <c r="N383">
        <f>DAY(Europe_Sales_Records34[[#This Row],[Ship Date Fixed]])</f>
        <v>19</v>
      </c>
      <c r="O383" t="str">
        <f>TEXT(Europe_Sales_Records34[[#This Row],[Ship Date Fixed]],"MMM")</f>
        <v>Dec</v>
      </c>
      <c r="P383">
        <f>YEAR(Europe_Sales_Records34[[#This Row],[Ship Date Fixed]])</f>
        <v>2011</v>
      </c>
      <c r="Q383" t="str">
        <f>TEXT(Europe_Sales_Records34[[#This Row],[Ship Date Fixed]],"MMM-YYYY")</f>
        <v>Dec-2011</v>
      </c>
      <c r="R383" t="s">
        <v>751</v>
      </c>
      <c r="S383" s="3">
        <f>Europe_Sales_Records34[[#This Row],[Ship Date Fixed]]-Europe_Sales_Records34[[#This Row],[Order Date Fixed]]</f>
        <v>23</v>
      </c>
      <c r="T383">
        <v>606</v>
      </c>
      <c r="U383">
        <v>421.89</v>
      </c>
      <c r="V383">
        <v>364.69</v>
      </c>
      <c r="W383">
        <f>Europe_Sales_Records34[[#This Row],[Total Revenue]]/Europe_Sales_Records34[[#This Row],[Units Sold]]</f>
        <v>421.89</v>
      </c>
      <c r="X383">
        <v>255665.34</v>
      </c>
      <c r="Y383">
        <v>221002.14</v>
      </c>
      <c r="Z383" s="4">
        <f>Europe_Sales_Records34[[#This Row],[Total Profit]]/Europe_Sales_Records34[[#This Row],[Total Revenue]]</f>
        <v>0.13558036455000116</v>
      </c>
      <c r="AA383">
        <v>34663.199999999997</v>
      </c>
    </row>
    <row r="384" spans="1:27" x14ac:dyDescent="0.3">
      <c r="A384" t="s">
        <v>14</v>
      </c>
      <c r="B384" t="s">
        <v>97</v>
      </c>
      <c r="C384" t="s">
        <v>50</v>
      </c>
      <c r="D384" t="s">
        <v>23</v>
      </c>
      <c r="E384" t="s">
        <v>24</v>
      </c>
      <c r="F384" t="s">
        <v>701</v>
      </c>
      <c r="G384" s="2">
        <f t="shared" si="10"/>
        <v>42287</v>
      </c>
      <c r="H384">
        <f>DAY(Europe_Sales_Records34[[#This Row],[Order Date Fixed]])</f>
        <v>10</v>
      </c>
      <c r="I384" t="str">
        <f>TEXT(Europe_Sales_Records34[[#This Row],[Order Date Fixed]],"MMM")</f>
        <v>Oct</v>
      </c>
      <c r="J384">
        <f>YEAR(Europe_Sales_Records34[[#This Row],[Order Date Fixed]])</f>
        <v>2015</v>
      </c>
      <c r="K384" t="str">
        <f>TEXT(Europe_Sales_Records34[[#This Row],[Order Date Fixed]],"MMM-YYYY")</f>
        <v>Oct-2015</v>
      </c>
      <c r="L384">
        <v>885397469</v>
      </c>
      <c r="M384" s="2">
        <f t="shared" si="11"/>
        <v>42326</v>
      </c>
      <c r="N384">
        <f>DAY(Europe_Sales_Records34[[#This Row],[Ship Date Fixed]])</f>
        <v>18</v>
      </c>
      <c r="O384" t="str">
        <f>TEXT(Europe_Sales_Records34[[#This Row],[Ship Date Fixed]],"MMM")</f>
        <v>Nov</v>
      </c>
      <c r="P384">
        <f>YEAR(Europe_Sales_Records34[[#This Row],[Ship Date Fixed]])</f>
        <v>2015</v>
      </c>
      <c r="Q384" t="str">
        <f>TEXT(Europe_Sales_Records34[[#This Row],[Ship Date Fixed]],"MMM-YYYY")</f>
        <v>Nov-2015</v>
      </c>
      <c r="R384" t="s">
        <v>743</v>
      </c>
      <c r="S384" s="3">
        <f>Europe_Sales_Records34[[#This Row],[Ship Date Fixed]]-Europe_Sales_Records34[[#This Row],[Order Date Fixed]]</f>
        <v>39</v>
      </c>
      <c r="T384">
        <v>7642</v>
      </c>
      <c r="U384">
        <v>421.89</v>
      </c>
      <c r="V384">
        <v>364.69</v>
      </c>
      <c r="W384">
        <f>Europe_Sales_Records34[[#This Row],[Total Revenue]]/Europe_Sales_Records34[[#This Row],[Units Sold]]</f>
        <v>421.89</v>
      </c>
      <c r="X384">
        <v>3224083.38</v>
      </c>
      <c r="Y384">
        <v>2786960.98</v>
      </c>
      <c r="Z384" s="4">
        <f>Europe_Sales_Records34[[#This Row],[Total Profit]]/Europe_Sales_Records34[[#This Row],[Total Revenue]]</f>
        <v>0.13558036455000119</v>
      </c>
      <c r="AA384">
        <v>437122.4</v>
      </c>
    </row>
    <row r="385" spans="1:27" x14ac:dyDescent="0.3">
      <c r="A385" t="s">
        <v>14</v>
      </c>
      <c r="B385" t="s">
        <v>135</v>
      </c>
      <c r="C385" t="s">
        <v>102</v>
      </c>
      <c r="D385" t="s">
        <v>17</v>
      </c>
      <c r="E385" t="s">
        <v>54</v>
      </c>
      <c r="F385" t="s">
        <v>752</v>
      </c>
      <c r="G385" s="2">
        <f t="shared" si="10"/>
        <v>41928</v>
      </c>
      <c r="H385">
        <f>DAY(Europe_Sales_Records34[[#This Row],[Order Date Fixed]])</f>
        <v>16</v>
      </c>
      <c r="I385" t="str">
        <f>TEXT(Europe_Sales_Records34[[#This Row],[Order Date Fixed]],"MMM")</f>
        <v>Oct</v>
      </c>
      <c r="J385">
        <f>YEAR(Europe_Sales_Records34[[#This Row],[Order Date Fixed]])</f>
        <v>2014</v>
      </c>
      <c r="K385" t="str">
        <f>TEXT(Europe_Sales_Records34[[#This Row],[Order Date Fixed]],"MMM-YYYY")</f>
        <v>Oct-2014</v>
      </c>
      <c r="L385">
        <v>302744853</v>
      </c>
      <c r="M385" s="2">
        <f t="shared" si="11"/>
        <v>41945</v>
      </c>
      <c r="N385">
        <f>DAY(Europe_Sales_Records34[[#This Row],[Ship Date Fixed]])</f>
        <v>2</v>
      </c>
      <c r="O385" t="str">
        <f>TEXT(Europe_Sales_Records34[[#This Row],[Ship Date Fixed]],"MMM")</f>
        <v>Nov</v>
      </c>
      <c r="P385">
        <f>YEAR(Europe_Sales_Records34[[#This Row],[Ship Date Fixed]])</f>
        <v>2014</v>
      </c>
      <c r="Q385" t="str">
        <f>TEXT(Europe_Sales_Records34[[#This Row],[Ship Date Fixed]],"MMM-YYYY")</f>
        <v>Nov-2014</v>
      </c>
      <c r="R385" t="s">
        <v>753</v>
      </c>
      <c r="S385" s="3">
        <f>Europe_Sales_Records34[[#This Row],[Ship Date Fixed]]-Europe_Sales_Records34[[#This Row],[Order Date Fixed]]</f>
        <v>17</v>
      </c>
      <c r="T385">
        <v>7785</v>
      </c>
      <c r="U385">
        <v>81.73</v>
      </c>
      <c r="V385">
        <v>56.67</v>
      </c>
      <c r="W385">
        <f>Europe_Sales_Records34[[#This Row],[Total Revenue]]/Europe_Sales_Records34[[#This Row],[Units Sold]]</f>
        <v>81.73</v>
      </c>
      <c r="X385">
        <v>636268.05000000005</v>
      </c>
      <c r="Y385">
        <v>441175.95</v>
      </c>
      <c r="Z385" s="4">
        <f>Europe_Sales_Records34[[#This Row],[Total Profit]]/Europe_Sales_Records34[[#This Row],[Total Revenue]]</f>
        <v>0.30661935641747218</v>
      </c>
      <c r="AA385">
        <v>195092.1</v>
      </c>
    </row>
    <row r="386" spans="1:27" x14ac:dyDescent="0.3">
      <c r="A386" t="s">
        <v>14</v>
      </c>
      <c r="B386" t="s">
        <v>183</v>
      </c>
      <c r="C386" t="s">
        <v>32</v>
      </c>
      <c r="D386" t="s">
        <v>23</v>
      </c>
      <c r="E386" t="s">
        <v>33</v>
      </c>
      <c r="F386" t="s">
        <v>101</v>
      </c>
      <c r="G386" s="2">
        <f t="shared" ref="G386:G449" si="12">DATE(
  RIGHT(F386,4),
  LEFT(F386,FIND("/",F386)-1),
  MID(F386,FIND("/",F386)+1, FIND("/",F386,FIND("/",F386)+1)-FIND("/",F386)-1)
)</f>
        <v>41709</v>
      </c>
      <c r="H386">
        <f>DAY(Europe_Sales_Records34[[#This Row],[Order Date Fixed]])</f>
        <v>11</v>
      </c>
      <c r="I386" t="str">
        <f>TEXT(Europe_Sales_Records34[[#This Row],[Order Date Fixed]],"MMM")</f>
        <v>Mar</v>
      </c>
      <c r="J386">
        <f>YEAR(Europe_Sales_Records34[[#This Row],[Order Date Fixed]])</f>
        <v>2014</v>
      </c>
      <c r="K386" t="str">
        <f>TEXT(Europe_Sales_Records34[[#This Row],[Order Date Fixed]],"MMM-YYYY")</f>
        <v>Mar-2014</v>
      </c>
      <c r="L386">
        <v>975823962</v>
      </c>
      <c r="M386" s="2">
        <f t="shared" ref="M386:M449" si="13">DATE(
  RIGHT(R386,4),
  LEFT(R386,FIND("/",R386)-1),
  MID(
      R386,
      FIND("/",R386)+1,
      FIND("/",R386,FIND("/",R386)+1)-FIND("/",R386)-1
     )
)</f>
        <v>41737</v>
      </c>
      <c r="N386">
        <f>DAY(Europe_Sales_Records34[[#This Row],[Ship Date Fixed]])</f>
        <v>8</v>
      </c>
      <c r="O386" t="str">
        <f>TEXT(Europe_Sales_Records34[[#This Row],[Ship Date Fixed]],"MMM")</f>
        <v>Apr</v>
      </c>
      <c r="P386">
        <f>YEAR(Europe_Sales_Records34[[#This Row],[Ship Date Fixed]])</f>
        <v>2014</v>
      </c>
      <c r="Q386" t="str">
        <f>TEXT(Europe_Sales_Records34[[#This Row],[Ship Date Fixed]],"MMM-YYYY")</f>
        <v>Apr-2014</v>
      </c>
      <c r="R386" t="s">
        <v>754</v>
      </c>
      <c r="S386" s="3">
        <f>Europe_Sales_Records34[[#This Row],[Ship Date Fixed]]-Europe_Sales_Records34[[#This Row],[Order Date Fixed]]</f>
        <v>28</v>
      </c>
      <c r="T386">
        <v>6850</v>
      </c>
      <c r="U386">
        <v>651.21</v>
      </c>
      <c r="V386">
        <v>524.96</v>
      </c>
      <c r="W386">
        <f>Europe_Sales_Records34[[#This Row],[Total Revenue]]/Europe_Sales_Records34[[#This Row],[Units Sold]]</f>
        <v>651.21</v>
      </c>
      <c r="X386">
        <v>4460788.5</v>
      </c>
      <c r="Y386">
        <v>3595976</v>
      </c>
      <c r="Z386" s="4">
        <f>Europe_Sales_Records34[[#This Row],[Total Profit]]/Europe_Sales_Records34[[#This Row],[Total Revenue]]</f>
        <v>0.19386987300563566</v>
      </c>
      <c r="AA386">
        <v>864812.5</v>
      </c>
    </row>
    <row r="387" spans="1:27" x14ac:dyDescent="0.3">
      <c r="A387" t="s">
        <v>14</v>
      </c>
      <c r="B387" t="s">
        <v>127</v>
      </c>
      <c r="C387" t="s">
        <v>75</v>
      </c>
      <c r="D387" t="s">
        <v>17</v>
      </c>
      <c r="E387" t="s">
        <v>24</v>
      </c>
      <c r="F387" t="s">
        <v>755</v>
      </c>
      <c r="G387" s="2">
        <f t="shared" si="12"/>
        <v>41635</v>
      </c>
      <c r="H387">
        <f>DAY(Europe_Sales_Records34[[#This Row],[Order Date Fixed]])</f>
        <v>27</v>
      </c>
      <c r="I387" t="str">
        <f>TEXT(Europe_Sales_Records34[[#This Row],[Order Date Fixed]],"MMM")</f>
        <v>Dec</v>
      </c>
      <c r="J387">
        <f>YEAR(Europe_Sales_Records34[[#This Row],[Order Date Fixed]])</f>
        <v>2013</v>
      </c>
      <c r="K387" t="str">
        <f>TEXT(Europe_Sales_Records34[[#This Row],[Order Date Fixed]],"MMM-YYYY")</f>
        <v>Dec-2013</v>
      </c>
      <c r="L387">
        <v>860104024</v>
      </c>
      <c r="M387" s="2">
        <f t="shared" si="13"/>
        <v>41638</v>
      </c>
      <c r="N387">
        <f>DAY(Europe_Sales_Records34[[#This Row],[Ship Date Fixed]])</f>
        <v>30</v>
      </c>
      <c r="O387" t="str">
        <f>TEXT(Europe_Sales_Records34[[#This Row],[Ship Date Fixed]],"MMM")</f>
        <v>Dec</v>
      </c>
      <c r="P387">
        <f>YEAR(Europe_Sales_Records34[[#This Row],[Ship Date Fixed]])</f>
        <v>2013</v>
      </c>
      <c r="Q387" t="str">
        <f>TEXT(Europe_Sales_Records34[[#This Row],[Ship Date Fixed]],"MMM-YYYY")</f>
        <v>Dec-2013</v>
      </c>
      <c r="R387" t="s">
        <v>756</v>
      </c>
      <c r="S387" s="3">
        <f>Europe_Sales_Records34[[#This Row],[Ship Date Fixed]]-Europe_Sales_Records34[[#This Row],[Order Date Fixed]]</f>
        <v>3</v>
      </c>
      <c r="T387">
        <v>2749</v>
      </c>
      <c r="U387">
        <v>437.2</v>
      </c>
      <c r="V387">
        <v>263.33</v>
      </c>
      <c r="W387">
        <f>Europe_Sales_Records34[[#This Row],[Total Revenue]]/Europe_Sales_Records34[[#This Row],[Units Sold]]</f>
        <v>437.2</v>
      </c>
      <c r="X387">
        <v>1201862.8</v>
      </c>
      <c r="Y387">
        <v>723894.17</v>
      </c>
      <c r="Z387" s="4">
        <f>Europe_Sales_Records34[[#This Row],[Total Profit]]/Europe_Sales_Records34[[#This Row],[Total Revenue]]</f>
        <v>0.39768984446477584</v>
      </c>
      <c r="AA387">
        <v>477968.63</v>
      </c>
    </row>
    <row r="388" spans="1:27" x14ac:dyDescent="0.3">
      <c r="A388" t="s">
        <v>14</v>
      </c>
      <c r="B388" t="s">
        <v>40</v>
      </c>
      <c r="C388" t="s">
        <v>75</v>
      </c>
      <c r="D388" t="s">
        <v>17</v>
      </c>
      <c r="E388" t="s">
        <v>24</v>
      </c>
      <c r="F388" t="s">
        <v>757</v>
      </c>
      <c r="G388" s="2">
        <f t="shared" si="12"/>
        <v>41229</v>
      </c>
      <c r="H388">
        <f>DAY(Europe_Sales_Records34[[#This Row],[Order Date Fixed]])</f>
        <v>16</v>
      </c>
      <c r="I388" t="str">
        <f>TEXT(Europe_Sales_Records34[[#This Row],[Order Date Fixed]],"MMM")</f>
        <v>Nov</v>
      </c>
      <c r="J388">
        <f>YEAR(Europe_Sales_Records34[[#This Row],[Order Date Fixed]])</f>
        <v>2012</v>
      </c>
      <c r="K388" t="str">
        <f>TEXT(Europe_Sales_Records34[[#This Row],[Order Date Fixed]],"MMM-YYYY")</f>
        <v>Nov-2012</v>
      </c>
      <c r="L388">
        <v>378714883</v>
      </c>
      <c r="M388" s="2">
        <f t="shared" si="13"/>
        <v>41259</v>
      </c>
      <c r="N388">
        <f>DAY(Europe_Sales_Records34[[#This Row],[Ship Date Fixed]])</f>
        <v>16</v>
      </c>
      <c r="O388" t="str">
        <f>TEXT(Europe_Sales_Records34[[#This Row],[Ship Date Fixed]],"MMM")</f>
        <v>Dec</v>
      </c>
      <c r="P388">
        <f>YEAR(Europe_Sales_Records34[[#This Row],[Ship Date Fixed]])</f>
        <v>2012</v>
      </c>
      <c r="Q388" t="str">
        <f>TEXT(Europe_Sales_Records34[[#This Row],[Ship Date Fixed]],"MMM-YYYY")</f>
        <v>Dec-2012</v>
      </c>
      <c r="R388" t="s">
        <v>758</v>
      </c>
      <c r="S388" s="3">
        <f>Europe_Sales_Records34[[#This Row],[Ship Date Fixed]]-Europe_Sales_Records34[[#This Row],[Order Date Fixed]]</f>
        <v>30</v>
      </c>
      <c r="T388">
        <v>9005</v>
      </c>
      <c r="U388">
        <v>437.2</v>
      </c>
      <c r="V388">
        <v>263.33</v>
      </c>
      <c r="W388">
        <f>Europe_Sales_Records34[[#This Row],[Total Revenue]]/Europe_Sales_Records34[[#This Row],[Units Sold]]</f>
        <v>437.2</v>
      </c>
      <c r="X388">
        <v>3936986</v>
      </c>
      <c r="Y388">
        <v>2371286.65</v>
      </c>
      <c r="Z388" s="4">
        <f>Europe_Sales_Records34[[#This Row],[Total Profit]]/Europe_Sales_Records34[[#This Row],[Total Revenue]]</f>
        <v>0.39768984446477584</v>
      </c>
      <c r="AA388">
        <v>1565699.35</v>
      </c>
    </row>
    <row r="389" spans="1:27" x14ac:dyDescent="0.3">
      <c r="A389" t="s">
        <v>14</v>
      </c>
      <c r="B389" t="s">
        <v>163</v>
      </c>
      <c r="C389" t="s">
        <v>102</v>
      </c>
      <c r="D389" t="s">
        <v>17</v>
      </c>
      <c r="E389" t="s">
        <v>18</v>
      </c>
      <c r="F389" t="s">
        <v>759</v>
      </c>
      <c r="G389" s="2">
        <f t="shared" si="12"/>
        <v>42807</v>
      </c>
      <c r="H389">
        <f>DAY(Europe_Sales_Records34[[#This Row],[Order Date Fixed]])</f>
        <v>13</v>
      </c>
      <c r="I389" t="str">
        <f>TEXT(Europe_Sales_Records34[[#This Row],[Order Date Fixed]],"MMM")</f>
        <v>Mar</v>
      </c>
      <c r="J389">
        <f>YEAR(Europe_Sales_Records34[[#This Row],[Order Date Fixed]])</f>
        <v>2017</v>
      </c>
      <c r="K389" t="str">
        <f>TEXT(Europe_Sales_Records34[[#This Row],[Order Date Fixed]],"MMM-YYYY")</f>
        <v>Mar-2017</v>
      </c>
      <c r="L389">
        <v>131585586</v>
      </c>
      <c r="M389" s="2">
        <f t="shared" si="13"/>
        <v>42838</v>
      </c>
      <c r="N389">
        <f>DAY(Europe_Sales_Records34[[#This Row],[Ship Date Fixed]])</f>
        <v>13</v>
      </c>
      <c r="O389" t="str">
        <f>TEXT(Europe_Sales_Records34[[#This Row],[Ship Date Fixed]],"MMM")</f>
        <v>Apr</v>
      </c>
      <c r="P389">
        <f>YEAR(Europe_Sales_Records34[[#This Row],[Ship Date Fixed]])</f>
        <v>2017</v>
      </c>
      <c r="Q389" t="str">
        <f>TEXT(Europe_Sales_Records34[[#This Row],[Ship Date Fixed]],"MMM-YYYY")</f>
        <v>Apr-2017</v>
      </c>
      <c r="R389" t="s">
        <v>760</v>
      </c>
      <c r="S389" s="3">
        <f>Europe_Sales_Records34[[#This Row],[Ship Date Fixed]]-Europe_Sales_Records34[[#This Row],[Order Date Fixed]]</f>
        <v>31</v>
      </c>
      <c r="T389">
        <v>7954</v>
      </c>
      <c r="U389">
        <v>81.73</v>
      </c>
      <c r="V389">
        <v>56.67</v>
      </c>
      <c r="W389">
        <f>Europe_Sales_Records34[[#This Row],[Total Revenue]]/Europe_Sales_Records34[[#This Row],[Units Sold]]</f>
        <v>81.73</v>
      </c>
      <c r="X389">
        <v>650080.42000000004</v>
      </c>
      <c r="Y389">
        <v>450753.18</v>
      </c>
      <c r="Z389" s="4">
        <f>Europe_Sales_Records34[[#This Row],[Total Profit]]/Europe_Sales_Records34[[#This Row],[Total Revenue]]</f>
        <v>0.30661935641747212</v>
      </c>
      <c r="AA389">
        <v>199327.24</v>
      </c>
    </row>
    <row r="390" spans="1:27" x14ac:dyDescent="0.3">
      <c r="A390" t="s">
        <v>14</v>
      </c>
      <c r="B390" t="s">
        <v>183</v>
      </c>
      <c r="C390" t="s">
        <v>102</v>
      </c>
      <c r="D390" t="s">
        <v>23</v>
      </c>
      <c r="E390" t="s">
        <v>33</v>
      </c>
      <c r="F390" t="s">
        <v>761</v>
      </c>
      <c r="G390" s="2">
        <f t="shared" si="12"/>
        <v>40797</v>
      </c>
      <c r="H390">
        <f>DAY(Europe_Sales_Records34[[#This Row],[Order Date Fixed]])</f>
        <v>11</v>
      </c>
      <c r="I390" t="str">
        <f>TEXT(Europe_Sales_Records34[[#This Row],[Order Date Fixed]],"MMM")</f>
        <v>Sep</v>
      </c>
      <c r="J390">
        <f>YEAR(Europe_Sales_Records34[[#This Row],[Order Date Fixed]])</f>
        <v>2011</v>
      </c>
      <c r="K390" t="str">
        <f>TEXT(Europe_Sales_Records34[[#This Row],[Order Date Fixed]],"MMM-YYYY")</f>
        <v>Sep-2011</v>
      </c>
      <c r="L390">
        <v>588528859</v>
      </c>
      <c r="M390" s="2">
        <f t="shared" si="13"/>
        <v>40828</v>
      </c>
      <c r="N390">
        <f>DAY(Europe_Sales_Records34[[#This Row],[Ship Date Fixed]])</f>
        <v>12</v>
      </c>
      <c r="O390" t="str">
        <f>TEXT(Europe_Sales_Records34[[#This Row],[Ship Date Fixed]],"MMM")</f>
        <v>Oct</v>
      </c>
      <c r="P390">
        <f>YEAR(Europe_Sales_Records34[[#This Row],[Ship Date Fixed]])</f>
        <v>2011</v>
      </c>
      <c r="Q390" t="str">
        <f>TEXT(Europe_Sales_Records34[[#This Row],[Ship Date Fixed]],"MMM-YYYY")</f>
        <v>Oct-2011</v>
      </c>
      <c r="R390" t="s">
        <v>762</v>
      </c>
      <c r="S390" s="3">
        <f>Europe_Sales_Records34[[#This Row],[Ship Date Fixed]]-Europe_Sales_Records34[[#This Row],[Order Date Fixed]]</f>
        <v>31</v>
      </c>
      <c r="T390">
        <v>7623</v>
      </c>
      <c r="U390">
        <v>81.73</v>
      </c>
      <c r="V390">
        <v>56.67</v>
      </c>
      <c r="W390">
        <f>Europe_Sales_Records34[[#This Row],[Total Revenue]]/Europe_Sales_Records34[[#This Row],[Units Sold]]</f>
        <v>81.73</v>
      </c>
      <c r="X390">
        <v>623027.79</v>
      </c>
      <c r="Y390">
        <v>431995.41</v>
      </c>
      <c r="Z390" s="4">
        <f>Europe_Sales_Records34[[#This Row],[Total Profit]]/Europe_Sales_Records34[[#This Row],[Total Revenue]]</f>
        <v>0.30661935641747218</v>
      </c>
      <c r="AA390">
        <v>191032.38</v>
      </c>
    </row>
    <row r="391" spans="1:27" x14ac:dyDescent="0.3">
      <c r="A391" t="s">
        <v>14</v>
      </c>
      <c r="B391" t="s">
        <v>181</v>
      </c>
      <c r="C391" t="s">
        <v>50</v>
      </c>
      <c r="D391" t="s">
        <v>23</v>
      </c>
      <c r="E391" t="s">
        <v>33</v>
      </c>
      <c r="F391" t="s">
        <v>763</v>
      </c>
      <c r="G391" s="2">
        <f t="shared" si="12"/>
        <v>42778</v>
      </c>
      <c r="H391">
        <f>DAY(Europe_Sales_Records34[[#This Row],[Order Date Fixed]])</f>
        <v>12</v>
      </c>
      <c r="I391" t="str">
        <f>TEXT(Europe_Sales_Records34[[#This Row],[Order Date Fixed]],"MMM")</f>
        <v>Feb</v>
      </c>
      <c r="J391">
        <f>YEAR(Europe_Sales_Records34[[#This Row],[Order Date Fixed]])</f>
        <v>2017</v>
      </c>
      <c r="K391" t="str">
        <f>TEXT(Europe_Sales_Records34[[#This Row],[Order Date Fixed]],"MMM-YYYY")</f>
        <v>Feb-2017</v>
      </c>
      <c r="L391">
        <v>796418511</v>
      </c>
      <c r="M391" s="2">
        <f t="shared" si="13"/>
        <v>42817</v>
      </c>
      <c r="N391">
        <f>DAY(Europe_Sales_Records34[[#This Row],[Ship Date Fixed]])</f>
        <v>23</v>
      </c>
      <c r="O391" t="str">
        <f>TEXT(Europe_Sales_Records34[[#This Row],[Ship Date Fixed]],"MMM")</f>
        <v>Mar</v>
      </c>
      <c r="P391">
        <f>YEAR(Europe_Sales_Records34[[#This Row],[Ship Date Fixed]])</f>
        <v>2017</v>
      </c>
      <c r="Q391" t="str">
        <f>TEXT(Europe_Sales_Records34[[#This Row],[Ship Date Fixed]],"MMM-YYYY")</f>
        <v>Mar-2017</v>
      </c>
      <c r="R391" t="s">
        <v>764</v>
      </c>
      <c r="S391" s="3">
        <f>Europe_Sales_Records34[[#This Row],[Ship Date Fixed]]-Europe_Sales_Records34[[#This Row],[Order Date Fixed]]</f>
        <v>39</v>
      </c>
      <c r="T391">
        <v>6791</v>
      </c>
      <c r="U391">
        <v>421.89</v>
      </c>
      <c r="V391">
        <v>364.69</v>
      </c>
      <c r="W391">
        <f>Europe_Sales_Records34[[#This Row],[Total Revenue]]/Europe_Sales_Records34[[#This Row],[Units Sold]]</f>
        <v>421.89000000000004</v>
      </c>
      <c r="X391">
        <v>2865054.99</v>
      </c>
      <c r="Y391">
        <v>2476609.79</v>
      </c>
      <c r="Z391" s="4">
        <f>Europe_Sales_Records34[[#This Row],[Total Profit]]/Europe_Sales_Records34[[#This Row],[Total Revenue]]</f>
        <v>0.13558036455000119</v>
      </c>
      <c r="AA391">
        <v>388445.2</v>
      </c>
    </row>
    <row r="392" spans="1:27" x14ac:dyDescent="0.3">
      <c r="A392" t="s">
        <v>14</v>
      </c>
      <c r="B392" t="s">
        <v>132</v>
      </c>
      <c r="C392" t="s">
        <v>75</v>
      </c>
      <c r="D392" t="s">
        <v>23</v>
      </c>
      <c r="E392" t="s">
        <v>24</v>
      </c>
      <c r="F392" t="s">
        <v>765</v>
      </c>
      <c r="G392" s="2">
        <f t="shared" si="12"/>
        <v>40697</v>
      </c>
      <c r="H392">
        <f>DAY(Europe_Sales_Records34[[#This Row],[Order Date Fixed]])</f>
        <v>3</v>
      </c>
      <c r="I392" t="str">
        <f>TEXT(Europe_Sales_Records34[[#This Row],[Order Date Fixed]],"MMM")</f>
        <v>Jun</v>
      </c>
      <c r="J392">
        <f>YEAR(Europe_Sales_Records34[[#This Row],[Order Date Fixed]])</f>
        <v>2011</v>
      </c>
      <c r="K392" t="str">
        <f>TEXT(Europe_Sales_Records34[[#This Row],[Order Date Fixed]],"MMM-YYYY")</f>
        <v>Jun-2011</v>
      </c>
      <c r="L392">
        <v>526018369</v>
      </c>
      <c r="M392" s="2">
        <f t="shared" si="13"/>
        <v>40715</v>
      </c>
      <c r="N392">
        <f>DAY(Europe_Sales_Records34[[#This Row],[Ship Date Fixed]])</f>
        <v>21</v>
      </c>
      <c r="O392" t="str">
        <f>TEXT(Europe_Sales_Records34[[#This Row],[Ship Date Fixed]],"MMM")</f>
        <v>Jun</v>
      </c>
      <c r="P392">
        <f>YEAR(Europe_Sales_Records34[[#This Row],[Ship Date Fixed]])</f>
        <v>2011</v>
      </c>
      <c r="Q392" t="str">
        <f>TEXT(Europe_Sales_Records34[[#This Row],[Ship Date Fixed]],"MMM-YYYY")</f>
        <v>Jun-2011</v>
      </c>
      <c r="R392" t="s">
        <v>766</v>
      </c>
      <c r="S392" s="3">
        <f>Europe_Sales_Records34[[#This Row],[Ship Date Fixed]]-Europe_Sales_Records34[[#This Row],[Order Date Fixed]]</f>
        <v>18</v>
      </c>
      <c r="T392">
        <v>9379</v>
      </c>
      <c r="U392">
        <v>437.2</v>
      </c>
      <c r="V392">
        <v>263.33</v>
      </c>
      <c r="W392">
        <f>Europe_Sales_Records34[[#This Row],[Total Revenue]]/Europe_Sales_Records34[[#This Row],[Units Sold]]</f>
        <v>437.2</v>
      </c>
      <c r="X392">
        <v>4100498.8</v>
      </c>
      <c r="Y392">
        <v>2469772.0699999998</v>
      </c>
      <c r="Z392" s="4">
        <f>Europe_Sales_Records34[[#This Row],[Total Profit]]/Europe_Sales_Records34[[#This Row],[Total Revenue]]</f>
        <v>0.39768984446477584</v>
      </c>
      <c r="AA392">
        <v>1630726.73</v>
      </c>
    </row>
    <row r="393" spans="1:27" x14ac:dyDescent="0.3">
      <c r="A393" t="s">
        <v>14</v>
      </c>
      <c r="B393" t="s">
        <v>40</v>
      </c>
      <c r="C393" t="s">
        <v>16</v>
      </c>
      <c r="D393" t="s">
        <v>17</v>
      </c>
      <c r="E393" t="s">
        <v>18</v>
      </c>
      <c r="F393" t="s">
        <v>767</v>
      </c>
      <c r="G393" s="2">
        <f t="shared" si="12"/>
        <v>42852</v>
      </c>
      <c r="H393">
        <f>DAY(Europe_Sales_Records34[[#This Row],[Order Date Fixed]])</f>
        <v>27</v>
      </c>
      <c r="I393" t="str">
        <f>TEXT(Europe_Sales_Records34[[#This Row],[Order Date Fixed]],"MMM")</f>
        <v>Apr</v>
      </c>
      <c r="J393">
        <f>YEAR(Europe_Sales_Records34[[#This Row],[Order Date Fixed]])</f>
        <v>2017</v>
      </c>
      <c r="K393" t="str">
        <f>TEXT(Europe_Sales_Records34[[#This Row],[Order Date Fixed]],"MMM-YYYY")</f>
        <v>Apr-2017</v>
      </c>
      <c r="L393">
        <v>122144210</v>
      </c>
      <c r="M393" s="2">
        <f t="shared" si="13"/>
        <v>42879</v>
      </c>
      <c r="N393">
        <f>DAY(Europe_Sales_Records34[[#This Row],[Ship Date Fixed]])</f>
        <v>24</v>
      </c>
      <c r="O393" t="str">
        <f>TEXT(Europe_Sales_Records34[[#This Row],[Ship Date Fixed]],"MMM")</f>
        <v>May</v>
      </c>
      <c r="P393">
        <f>YEAR(Europe_Sales_Records34[[#This Row],[Ship Date Fixed]])</f>
        <v>2017</v>
      </c>
      <c r="Q393" t="str">
        <f>TEXT(Europe_Sales_Records34[[#This Row],[Ship Date Fixed]],"MMM-YYYY")</f>
        <v>May-2017</v>
      </c>
      <c r="R393" t="s">
        <v>768</v>
      </c>
      <c r="S393" s="3">
        <f>Europe_Sales_Records34[[#This Row],[Ship Date Fixed]]-Europe_Sales_Records34[[#This Row],[Order Date Fixed]]</f>
        <v>27</v>
      </c>
      <c r="T393">
        <v>4041</v>
      </c>
      <c r="U393">
        <v>47.45</v>
      </c>
      <c r="V393">
        <v>31.79</v>
      </c>
      <c r="W393">
        <f>Europe_Sales_Records34[[#This Row],[Total Revenue]]/Europe_Sales_Records34[[#This Row],[Units Sold]]</f>
        <v>47.45</v>
      </c>
      <c r="X393">
        <v>191745.45</v>
      </c>
      <c r="Y393">
        <v>128463.39</v>
      </c>
      <c r="Z393" s="4">
        <f>Europe_Sales_Records34[[#This Row],[Total Profit]]/Europe_Sales_Records34[[#This Row],[Total Revenue]]</f>
        <v>0.330031612223393</v>
      </c>
      <c r="AA393">
        <v>63282.06</v>
      </c>
    </row>
    <row r="394" spans="1:27" x14ac:dyDescent="0.3">
      <c r="A394" t="s">
        <v>14</v>
      </c>
      <c r="B394" t="s">
        <v>264</v>
      </c>
      <c r="C394" t="s">
        <v>32</v>
      </c>
      <c r="D394" t="s">
        <v>17</v>
      </c>
      <c r="E394" t="s">
        <v>54</v>
      </c>
      <c r="F394" t="s">
        <v>769</v>
      </c>
      <c r="G394" s="2">
        <f t="shared" si="12"/>
        <v>42557</v>
      </c>
      <c r="H394">
        <f>DAY(Europe_Sales_Records34[[#This Row],[Order Date Fixed]])</f>
        <v>6</v>
      </c>
      <c r="I394" t="str">
        <f>TEXT(Europe_Sales_Records34[[#This Row],[Order Date Fixed]],"MMM")</f>
        <v>Jul</v>
      </c>
      <c r="J394">
        <f>YEAR(Europe_Sales_Records34[[#This Row],[Order Date Fixed]])</f>
        <v>2016</v>
      </c>
      <c r="K394" t="str">
        <f>TEXT(Europe_Sales_Records34[[#This Row],[Order Date Fixed]],"MMM-YYYY")</f>
        <v>Jul-2016</v>
      </c>
      <c r="L394">
        <v>644592607</v>
      </c>
      <c r="M394" s="2">
        <f t="shared" si="13"/>
        <v>42582</v>
      </c>
      <c r="N394">
        <f>DAY(Europe_Sales_Records34[[#This Row],[Ship Date Fixed]])</f>
        <v>31</v>
      </c>
      <c r="O394" t="str">
        <f>TEXT(Europe_Sales_Records34[[#This Row],[Ship Date Fixed]],"MMM")</f>
        <v>Jul</v>
      </c>
      <c r="P394">
        <f>YEAR(Europe_Sales_Records34[[#This Row],[Ship Date Fixed]])</f>
        <v>2016</v>
      </c>
      <c r="Q394" t="str">
        <f>TEXT(Europe_Sales_Records34[[#This Row],[Ship Date Fixed]],"MMM-YYYY")</f>
        <v>Jul-2016</v>
      </c>
      <c r="R394" t="s">
        <v>770</v>
      </c>
      <c r="S394" s="3">
        <f>Europe_Sales_Records34[[#This Row],[Ship Date Fixed]]-Europe_Sales_Records34[[#This Row],[Order Date Fixed]]</f>
        <v>25</v>
      </c>
      <c r="T394">
        <v>8131</v>
      </c>
      <c r="U394">
        <v>651.21</v>
      </c>
      <c r="V394">
        <v>524.96</v>
      </c>
      <c r="W394">
        <f>Europe_Sales_Records34[[#This Row],[Total Revenue]]/Europe_Sales_Records34[[#This Row],[Units Sold]]</f>
        <v>651.20999999999992</v>
      </c>
      <c r="X394">
        <v>5294988.51</v>
      </c>
      <c r="Y394">
        <v>4268449.76</v>
      </c>
      <c r="Z394" s="4">
        <f>Europe_Sales_Records34[[#This Row],[Total Profit]]/Europe_Sales_Records34[[#This Row],[Total Revenue]]</f>
        <v>0.19386987300563568</v>
      </c>
      <c r="AA394">
        <v>1026538.75</v>
      </c>
    </row>
    <row r="395" spans="1:27" x14ac:dyDescent="0.3">
      <c r="A395" t="s">
        <v>14</v>
      </c>
      <c r="B395" t="s">
        <v>146</v>
      </c>
      <c r="C395" t="s">
        <v>37</v>
      </c>
      <c r="D395" t="s">
        <v>23</v>
      </c>
      <c r="E395" t="s">
        <v>54</v>
      </c>
      <c r="F395" t="s">
        <v>771</v>
      </c>
      <c r="G395" s="2">
        <f t="shared" si="12"/>
        <v>41946</v>
      </c>
      <c r="H395">
        <f>DAY(Europe_Sales_Records34[[#This Row],[Order Date Fixed]])</f>
        <v>3</v>
      </c>
      <c r="I395" t="str">
        <f>TEXT(Europe_Sales_Records34[[#This Row],[Order Date Fixed]],"MMM")</f>
        <v>Nov</v>
      </c>
      <c r="J395">
        <f>YEAR(Europe_Sales_Records34[[#This Row],[Order Date Fixed]])</f>
        <v>2014</v>
      </c>
      <c r="K395" t="str">
        <f>TEXT(Europe_Sales_Records34[[#This Row],[Order Date Fixed]],"MMM-YYYY")</f>
        <v>Nov-2014</v>
      </c>
      <c r="L395">
        <v>598404109</v>
      </c>
      <c r="M395" s="2">
        <f t="shared" si="13"/>
        <v>41961</v>
      </c>
      <c r="N395">
        <f>DAY(Europe_Sales_Records34[[#This Row],[Ship Date Fixed]])</f>
        <v>18</v>
      </c>
      <c r="O395" t="str">
        <f>TEXT(Europe_Sales_Records34[[#This Row],[Ship Date Fixed]],"MMM")</f>
        <v>Nov</v>
      </c>
      <c r="P395">
        <f>YEAR(Europe_Sales_Records34[[#This Row],[Ship Date Fixed]])</f>
        <v>2014</v>
      </c>
      <c r="Q395" t="str">
        <f>TEXT(Europe_Sales_Records34[[#This Row],[Ship Date Fixed]],"MMM-YYYY")</f>
        <v>Nov-2014</v>
      </c>
      <c r="R395" t="s">
        <v>772</v>
      </c>
      <c r="S395" s="3">
        <f>Europe_Sales_Records34[[#This Row],[Ship Date Fixed]]-Europe_Sales_Records34[[#This Row],[Order Date Fixed]]</f>
        <v>15</v>
      </c>
      <c r="T395">
        <v>9929</v>
      </c>
      <c r="U395">
        <v>9.33</v>
      </c>
      <c r="V395">
        <v>6.92</v>
      </c>
      <c r="W395">
        <f>Europe_Sales_Records34[[#This Row],[Total Revenue]]/Europe_Sales_Records34[[#This Row],[Units Sold]]</f>
        <v>9.33</v>
      </c>
      <c r="X395">
        <v>92637.57</v>
      </c>
      <c r="Y395">
        <v>68708.679999999993</v>
      </c>
      <c r="Z395" s="4">
        <f>Europe_Sales_Records34[[#This Row],[Total Profit]]/Europe_Sales_Records34[[#This Row],[Total Revenue]]</f>
        <v>0.25830653804930331</v>
      </c>
      <c r="AA395">
        <v>23928.89</v>
      </c>
    </row>
    <row r="396" spans="1:27" x14ac:dyDescent="0.3">
      <c r="A396" t="s">
        <v>14</v>
      </c>
      <c r="B396" t="s">
        <v>15</v>
      </c>
      <c r="C396" t="s">
        <v>102</v>
      </c>
      <c r="D396" t="s">
        <v>23</v>
      </c>
      <c r="E396" t="s">
        <v>18</v>
      </c>
      <c r="F396" t="s">
        <v>773</v>
      </c>
      <c r="G396" s="2">
        <f t="shared" si="12"/>
        <v>41021</v>
      </c>
      <c r="H396">
        <f>DAY(Europe_Sales_Records34[[#This Row],[Order Date Fixed]])</f>
        <v>22</v>
      </c>
      <c r="I396" t="str">
        <f>TEXT(Europe_Sales_Records34[[#This Row],[Order Date Fixed]],"MMM")</f>
        <v>Apr</v>
      </c>
      <c r="J396">
        <f>YEAR(Europe_Sales_Records34[[#This Row],[Order Date Fixed]])</f>
        <v>2012</v>
      </c>
      <c r="K396" t="str">
        <f>TEXT(Europe_Sales_Records34[[#This Row],[Order Date Fixed]],"MMM-YYYY")</f>
        <v>Apr-2012</v>
      </c>
      <c r="L396">
        <v>577530944</v>
      </c>
      <c r="M396" s="2">
        <f t="shared" si="13"/>
        <v>41044</v>
      </c>
      <c r="N396">
        <f>DAY(Europe_Sales_Records34[[#This Row],[Ship Date Fixed]])</f>
        <v>15</v>
      </c>
      <c r="O396" t="str">
        <f>TEXT(Europe_Sales_Records34[[#This Row],[Ship Date Fixed]],"MMM")</f>
        <v>May</v>
      </c>
      <c r="P396">
        <f>YEAR(Europe_Sales_Records34[[#This Row],[Ship Date Fixed]])</f>
        <v>2012</v>
      </c>
      <c r="Q396" t="str">
        <f>TEXT(Europe_Sales_Records34[[#This Row],[Ship Date Fixed]],"MMM-YYYY")</f>
        <v>May-2012</v>
      </c>
      <c r="R396" t="s">
        <v>774</v>
      </c>
      <c r="S396" s="3">
        <f>Europe_Sales_Records34[[#This Row],[Ship Date Fixed]]-Europe_Sales_Records34[[#This Row],[Order Date Fixed]]</f>
        <v>23</v>
      </c>
      <c r="T396">
        <v>3095</v>
      </c>
      <c r="U396">
        <v>81.73</v>
      </c>
      <c r="V396">
        <v>56.67</v>
      </c>
      <c r="W396">
        <f>Europe_Sales_Records34[[#This Row],[Total Revenue]]/Europe_Sales_Records34[[#This Row],[Units Sold]]</f>
        <v>81.73</v>
      </c>
      <c r="X396">
        <v>252954.35</v>
      </c>
      <c r="Y396">
        <v>175393.65</v>
      </c>
      <c r="Z396" s="4">
        <f>Europe_Sales_Records34[[#This Row],[Total Profit]]/Europe_Sales_Records34[[#This Row],[Total Revenue]]</f>
        <v>0.30661935641747212</v>
      </c>
      <c r="AA396">
        <v>77560.7</v>
      </c>
    </row>
    <row r="397" spans="1:27" x14ac:dyDescent="0.3">
      <c r="A397" t="s">
        <v>14</v>
      </c>
      <c r="B397" t="s">
        <v>53</v>
      </c>
      <c r="C397" t="s">
        <v>37</v>
      </c>
      <c r="D397" t="s">
        <v>17</v>
      </c>
      <c r="E397" t="s">
        <v>54</v>
      </c>
      <c r="F397" t="s">
        <v>775</v>
      </c>
      <c r="G397" s="2">
        <f t="shared" si="12"/>
        <v>42381</v>
      </c>
      <c r="H397">
        <f>DAY(Europe_Sales_Records34[[#This Row],[Order Date Fixed]])</f>
        <v>12</v>
      </c>
      <c r="I397" t="str">
        <f>TEXT(Europe_Sales_Records34[[#This Row],[Order Date Fixed]],"MMM")</f>
        <v>Jan</v>
      </c>
      <c r="J397">
        <f>YEAR(Europe_Sales_Records34[[#This Row],[Order Date Fixed]])</f>
        <v>2016</v>
      </c>
      <c r="K397" t="str">
        <f>TEXT(Europe_Sales_Records34[[#This Row],[Order Date Fixed]],"MMM-YYYY")</f>
        <v>Jan-2016</v>
      </c>
      <c r="L397">
        <v>182078921</v>
      </c>
      <c r="M397" s="2">
        <f t="shared" si="13"/>
        <v>42414</v>
      </c>
      <c r="N397">
        <f>DAY(Europe_Sales_Records34[[#This Row],[Ship Date Fixed]])</f>
        <v>14</v>
      </c>
      <c r="O397" t="str">
        <f>TEXT(Europe_Sales_Records34[[#This Row],[Ship Date Fixed]],"MMM")</f>
        <v>Feb</v>
      </c>
      <c r="P397">
        <f>YEAR(Europe_Sales_Records34[[#This Row],[Ship Date Fixed]])</f>
        <v>2016</v>
      </c>
      <c r="Q397" t="str">
        <f>TEXT(Europe_Sales_Records34[[#This Row],[Ship Date Fixed]],"MMM-YYYY")</f>
        <v>Feb-2016</v>
      </c>
      <c r="R397" t="s">
        <v>776</v>
      </c>
      <c r="S397" s="3">
        <f>Europe_Sales_Records34[[#This Row],[Ship Date Fixed]]-Europe_Sales_Records34[[#This Row],[Order Date Fixed]]</f>
        <v>33</v>
      </c>
      <c r="T397">
        <v>54</v>
      </c>
      <c r="U397">
        <v>9.33</v>
      </c>
      <c r="V397">
        <v>6.92</v>
      </c>
      <c r="W397">
        <f>Europe_Sales_Records34[[#This Row],[Total Revenue]]/Europe_Sales_Records34[[#This Row],[Units Sold]]</f>
        <v>9.33</v>
      </c>
      <c r="X397">
        <v>503.82</v>
      </c>
      <c r="Y397">
        <v>373.68</v>
      </c>
      <c r="Z397" s="4">
        <f>Europe_Sales_Records34[[#This Row],[Total Profit]]/Europe_Sales_Records34[[#This Row],[Total Revenue]]</f>
        <v>0.25830653804930331</v>
      </c>
      <c r="AA397">
        <v>130.13999999999999</v>
      </c>
    </row>
    <row r="398" spans="1:27" x14ac:dyDescent="0.3">
      <c r="A398" t="s">
        <v>14</v>
      </c>
      <c r="B398" t="s">
        <v>83</v>
      </c>
      <c r="C398" t="s">
        <v>64</v>
      </c>
      <c r="D398" t="s">
        <v>23</v>
      </c>
      <c r="E398" t="s">
        <v>54</v>
      </c>
      <c r="F398" t="s">
        <v>330</v>
      </c>
      <c r="G398" s="2">
        <f t="shared" si="12"/>
        <v>41720</v>
      </c>
      <c r="H398">
        <f>DAY(Europe_Sales_Records34[[#This Row],[Order Date Fixed]])</f>
        <v>22</v>
      </c>
      <c r="I398" t="str">
        <f>TEXT(Europe_Sales_Records34[[#This Row],[Order Date Fixed]],"MMM")</f>
        <v>Mar</v>
      </c>
      <c r="J398">
        <f>YEAR(Europe_Sales_Records34[[#This Row],[Order Date Fixed]])</f>
        <v>2014</v>
      </c>
      <c r="K398" t="str">
        <f>TEXT(Europe_Sales_Records34[[#This Row],[Order Date Fixed]],"MMM-YYYY")</f>
        <v>Mar-2014</v>
      </c>
      <c r="L398">
        <v>302015721</v>
      </c>
      <c r="M398" s="2">
        <f t="shared" si="13"/>
        <v>41746</v>
      </c>
      <c r="N398">
        <f>DAY(Europe_Sales_Records34[[#This Row],[Ship Date Fixed]])</f>
        <v>17</v>
      </c>
      <c r="O398" t="str">
        <f>TEXT(Europe_Sales_Records34[[#This Row],[Ship Date Fixed]],"MMM")</f>
        <v>Apr</v>
      </c>
      <c r="P398">
        <f>YEAR(Europe_Sales_Records34[[#This Row],[Ship Date Fixed]])</f>
        <v>2014</v>
      </c>
      <c r="Q398" t="str">
        <f>TEXT(Europe_Sales_Records34[[#This Row],[Ship Date Fixed]],"MMM-YYYY")</f>
        <v>Apr-2014</v>
      </c>
      <c r="R398" t="s">
        <v>777</v>
      </c>
      <c r="S398" s="3">
        <f>Europe_Sales_Records34[[#This Row],[Ship Date Fixed]]-Europe_Sales_Records34[[#This Row],[Order Date Fixed]]</f>
        <v>26</v>
      </c>
      <c r="T398">
        <v>2018</v>
      </c>
      <c r="U398">
        <v>255.28</v>
      </c>
      <c r="V398">
        <v>159.41999999999999</v>
      </c>
      <c r="W398">
        <f>Europe_Sales_Records34[[#This Row],[Total Revenue]]/Europe_Sales_Records34[[#This Row],[Units Sold]]</f>
        <v>255.28</v>
      </c>
      <c r="X398">
        <v>515155.04</v>
      </c>
      <c r="Y398">
        <v>321709.56</v>
      </c>
      <c r="Z398" s="4">
        <f>Europe_Sales_Records34[[#This Row],[Total Profit]]/Europe_Sales_Records34[[#This Row],[Total Revenue]]</f>
        <v>0.37550924475086184</v>
      </c>
      <c r="AA398">
        <v>193445.48</v>
      </c>
    </row>
    <row r="399" spans="1:27" x14ac:dyDescent="0.3">
      <c r="A399" t="s">
        <v>14</v>
      </c>
      <c r="B399" t="s">
        <v>80</v>
      </c>
      <c r="C399" t="s">
        <v>22</v>
      </c>
      <c r="D399" t="s">
        <v>17</v>
      </c>
      <c r="E399" t="s">
        <v>24</v>
      </c>
      <c r="F399" t="s">
        <v>778</v>
      </c>
      <c r="G399" s="2">
        <f t="shared" si="12"/>
        <v>41910</v>
      </c>
      <c r="H399">
        <f>DAY(Europe_Sales_Records34[[#This Row],[Order Date Fixed]])</f>
        <v>28</v>
      </c>
      <c r="I399" t="str">
        <f>TEXT(Europe_Sales_Records34[[#This Row],[Order Date Fixed]],"MMM")</f>
        <v>Sep</v>
      </c>
      <c r="J399">
        <f>YEAR(Europe_Sales_Records34[[#This Row],[Order Date Fixed]])</f>
        <v>2014</v>
      </c>
      <c r="K399" t="str">
        <f>TEXT(Europe_Sales_Records34[[#This Row],[Order Date Fixed]],"MMM-YYYY")</f>
        <v>Sep-2014</v>
      </c>
      <c r="L399">
        <v>233709084</v>
      </c>
      <c r="M399" s="2">
        <f t="shared" si="13"/>
        <v>41928</v>
      </c>
      <c r="N399">
        <f>DAY(Europe_Sales_Records34[[#This Row],[Ship Date Fixed]])</f>
        <v>16</v>
      </c>
      <c r="O399" t="str">
        <f>TEXT(Europe_Sales_Records34[[#This Row],[Ship Date Fixed]],"MMM")</f>
        <v>Oct</v>
      </c>
      <c r="P399">
        <f>YEAR(Europe_Sales_Records34[[#This Row],[Ship Date Fixed]])</f>
        <v>2014</v>
      </c>
      <c r="Q399" t="str">
        <f>TEXT(Europe_Sales_Records34[[#This Row],[Ship Date Fixed]],"MMM-YYYY")</f>
        <v>Oct-2014</v>
      </c>
      <c r="R399" t="s">
        <v>752</v>
      </c>
      <c r="S399" s="3">
        <f>Europe_Sales_Records34[[#This Row],[Ship Date Fixed]]-Europe_Sales_Records34[[#This Row],[Order Date Fixed]]</f>
        <v>18</v>
      </c>
      <c r="T399">
        <v>8566</v>
      </c>
      <c r="U399">
        <v>109.28</v>
      </c>
      <c r="V399">
        <v>35.840000000000003</v>
      </c>
      <c r="W399">
        <f>Europe_Sales_Records34[[#This Row],[Total Revenue]]/Europe_Sales_Records34[[#This Row],[Units Sold]]</f>
        <v>109.28</v>
      </c>
      <c r="X399">
        <v>936092.48</v>
      </c>
      <c r="Y399">
        <v>307005.44</v>
      </c>
      <c r="Z399" s="4">
        <f>Europe_Sales_Records34[[#This Row],[Total Profit]]/Europe_Sales_Records34[[#This Row],[Total Revenue]]</f>
        <v>0.67203513909224022</v>
      </c>
      <c r="AA399">
        <v>629087.04</v>
      </c>
    </row>
    <row r="400" spans="1:27" x14ac:dyDescent="0.3">
      <c r="A400" t="s">
        <v>14</v>
      </c>
      <c r="B400" t="s">
        <v>36</v>
      </c>
      <c r="C400" t="s">
        <v>50</v>
      </c>
      <c r="D400" t="s">
        <v>17</v>
      </c>
      <c r="E400" t="s">
        <v>24</v>
      </c>
      <c r="F400" t="s">
        <v>779</v>
      </c>
      <c r="G400" s="2">
        <f t="shared" si="12"/>
        <v>40415</v>
      </c>
      <c r="H400">
        <f>DAY(Europe_Sales_Records34[[#This Row],[Order Date Fixed]])</f>
        <v>25</v>
      </c>
      <c r="I400" t="str">
        <f>TEXT(Europe_Sales_Records34[[#This Row],[Order Date Fixed]],"MMM")</f>
        <v>Aug</v>
      </c>
      <c r="J400">
        <f>YEAR(Europe_Sales_Records34[[#This Row],[Order Date Fixed]])</f>
        <v>2010</v>
      </c>
      <c r="K400" t="str">
        <f>TEXT(Europe_Sales_Records34[[#This Row],[Order Date Fixed]],"MMM-YYYY")</f>
        <v>Aug-2010</v>
      </c>
      <c r="L400">
        <v>966800153</v>
      </c>
      <c r="M400" s="2">
        <f t="shared" si="13"/>
        <v>40431</v>
      </c>
      <c r="N400">
        <f>DAY(Europe_Sales_Records34[[#This Row],[Ship Date Fixed]])</f>
        <v>10</v>
      </c>
      <c r="O400" t="str">
        <f>TEXT(Europe_Sales_Records34[[#This Row],[Ship Date Fixed]],"MMM")</f>
        <v>Sep</v>
      </c>
      <c r="P400">
        <f>YEAR(Europe_Sales_Records34[[#This Row],[Ship Date Fixed]])</f>
        <v>2010</v>
      </c>
      <c r="Q400" t="str">
        <f>TEXT(Europe_Sales_Records34[[#This Row],[Ship Date Fixed]],"MMM-YYYY")</f>
        <v>Sep-2010</v>
      </c>
      <c r="R400" t="s">
        <v>780</v>
      </c>
      <c r="S400" s="3">
        <f>Europe_Sales_Records34[[#This Row],[Ship Date Fixed]]-Europe_Sales_Records34[[#This Row],[Order Date Fixed]]</f>
        <v>16</v>
      </c>
      <c r="T400">
        <v>6505</v>
      </c>
      <c r="U400">
        <v>421.89</v>
      </c>
      <c r="V400">
        <v>364.69</v>
      </c>
      <c r="W400">
        <f>Europe_Sales_Records34[[#This Row],[Total Revenue]]/Europe_Sales_Records34[[#This Row],[Units Sold]]</f>
        <v>421.89000000000004</v>
      </c>
      <c r="X400">
        <v>2744394.45</v>
      </c>
      <c r="Y400">
        <v>2372308.4500000002</v>
      </c>
      <c r="Z400" s="4">
        <f>Europe_Sales_Records34[[#This Row],[Total Profit]]/Europe_Sales_Records34[[#This Row],[Total Revenue]]</f>
        <v>0.13558036455000116</v>
      </c>
      <c r="AA400">
        <v>372086</v>
      </c>
    </row>
    <row r="401" spans="1:27" x14ac:dyDescent="0.3">
      <c r="A401" t="s">
        <v>14</v>
      </c>
      <c r="B401" t="s">
        <v>31</v>
      </c>
      <c r="C401" t="s">
        <v>22</v>
      </c>
      <c r="D401" t="s">
        <v>23</v>
      </c>
      <c r="E401" t="s">
        <v>54</v>
      </c>
      <c r="F401" t="s">
        <v>558</v>
      </c>
      <c r="G401" s="2">
        <f t="shared" si="12"/>
        <v>41753</v>
      </c>
      <c r="H401">
        <f>DAY(Europe_Sales_Records34[[#This Row],[Order Date Fixed]])</f>
        <v>24</v>
      </c>
      <c r="I401" t="str">
        <f>TEXT(Europe_Sales_Records34[[#This Row],[Order Date Fixed]],"MMM")</f>
        <v>Apr</v>
      </c>
      <c r="J401">
        <f>YEAR(Europe_Sales_Records34[[#This Row],[Order Date Fixed]])</f>
        <v>2014</v>
      </c>
      <c r="K401" t="str">
        <f>TEXT(Europe_Sales_Records34[[#This Row],[Order Date Fixed]],"MMM-YYYY")</f>
        <v>Apr-2014</v>
      </c>
      <c r="L401">
        <v>380498874</v>
      </c>
      <c r="M401" s="2">
        <f t="shared" si="13"/>
        <v>41772</v>
      </c>
      <c r="N401">
        <f>DAY(Europe_Sales_Records34[[#This Row],[Ship Date Fixed]])</f>
        <v>13</v>
      </c>
      <c r="O401" t="str">
        <f>TEXT(Europe_Sales_Records34[[#This Row],[Ship Date Fixed]],"MMM")</f>
        <v>May</v>
      </c>
      <c r="P401">
        <f>YEAR(Europe_Sales_Records34[[#This Row],[Ship Date Fixed]])</f>
        <v>2014</v>
      </c>
      <c r="Q401" t="str">
        <f>TEXT(Europe_Sales_Records34[[#This Row],[Ship Date Fixed]],"MMM-YYYY")</f>
        <v>May-2014</v>
      </c>
      <c r="R401" t="s">
        <v>781</v>
      </c>
      <c r="S401" s="3">
        <f>Europe_Sales_Records34[[#This Row],[Ship Date Fixed]]-Europe_Sales_Records34[[#This Row],[Order Date Fixed]]</f>
        <v>19</v>
      </c>
      <c r="T401">
        <v>6927</v>
      </c>
      <c r="U401">
        <v>109.28</v>
      </c>
      <c r="V401">
        <v>35.840000000000003</v>
      </c>
      <c r="W401">
        <f>Europe_Sales_Records34[[#This Row],[Total Revenue]]/Europe_Sales_Records34[[#This Row],[Units Sold]]</f>
        <v>109.28</v>
      </c>
      <c r="X401">
        <v>756982.56</v>
      </c>
      <c r="Y401">
        <v>248263.67999999999</v>
      </c>
      <c r="Z401" s="4">
        <f>Europe_Sales_Records34[[#This Row],[Total Profit]]/Europe_Sales_Records34[[#This Row],[Total Revenue]]</f>
        <v>0.67203513909224011</v>
      </c>
      <c r="AA401">
        <v>508718.88</v>
      </c>
    </row>
    <row r="402" spans="1:27" x14ac:dyDescent="0.3">
      <c r="A402" t="s">
        <v>14</v>
      </c>
      <c r="B402" t="s">
        <v>45</v>
      </c>
      <c r="C402" t="s">
        <v>102</v>
      </c>
      <c r="D402" t="s">
        <v>17</v>
      </c>
      <c r="E402" t="s">
        <v>24</v>
      </c>
      <c r="F402" t="s">
        <v>782</v>
      </c>
      <c r="G402" s="2">
        <f t="shared" si="12"/>
        <v>40884</v>
      </c>
      <c r="H402">
        <f>DAY(Europe_Sales_Records34[[#This Row],[Order Date Fixed]])</f>
        <v>7</v>
      </c>
      <c r="I402" t="str">
        <f>TEXT(Europe_Sales_Records34[[#This Row],[Order Date Fixed]],"MMM")</f>
        <v>Dec</v>
      </c>
      <c r="J402">
        <f>YEAR(Europe_Sales_Records34[[#This Row],[Order Date Fixed]])</f>
        <v>2011</v>
      </c>
      <c r="K402" t="str">
        <f>TEXT(Europe_Sales_Records34[[#This Row],[Order Date Fixed]],"MMM-YYYY")</f>
        <v>Dec-2011</v>
      </c>
      <c r="L402">
        <v>595385873</v>
      </c>
      <c r="M402" s="2">
        <f t="shared" si="13"/>
        <v>40898</v>
      </c>
      <c r="N402">
        <f>DAY(Europe_Sales_Records34[[#This Row],[Ship Date Fixed]])</f>
        <v>21</v>
      </c>
      <c r="O402" t="str">
        <f>TEXT(Europe_Sales_Records34[[#This Row],[Ship Date Fixed]],"MMM")</f>
        <v>Dec</v>
      </c>
      <c r="P402">
        <f>YEAR(Europe_Sales_Records34[[#This Row],[Ship Date Fixed]])</f>
        <v>2011</v>
      </c>
      <c r="Q402" t="str">
        <f>TEXT(Europe_Sales_Records34[[#This Row],[Ship Date Fixed]],"MMM-YYYY")</f>
        <v>Dec-2011</v>
      </c>
      <c r="R402" t="s">
        <v>354</v>
      </c>
      <c r="S402" s="3">
        <f>Europe_Sales_Records34[[#This Row],[Ship Date Fixed]]-Europe_Sales_Records34[[#This Row],[Order Date Fixed]]</f>
        <v>14</v>
      </c>
      <c r="T402">
        <v>6765</v>
      </c>
      <c r="U402">
        <v>81.73</v>
      </c>
      <c r="V402">
        <v>56.67</v>
      </c>
      <c r="W402">
        <f>Europe_Sales_Records34[[#This Row],[Total Revenue]]/Europe_Sales_Records34[[#This Row],[Units Sold]]</f>
        <v>81.72999999999999</v>
      </c>
      <c r="X402">
        <v>552903.44999999995</v>
      </c>
      <c r="Y402">
        <v>383372.55</v>
      </c>
      <c r="Z402" s="4">
        <f>Europe_Sales_Records34[[#This Row],[Total Profit]]/Europe_Sales_Records34[[#This Row],[Total Revenue]]</f>
        <v>0.30661935641747218</v>
      </c>
      <c r="AA402">
        <v>169530.9</v>
      </c>
    </row>
    <row r="403" spans="1:27" x14ac:dyDescent="0.3">
      <c r="A403" t="s">
        <v>14</v>
      </c>
      <c r="B403" t="s">
        <v>45</v>
      </c>
      <c r="C403" t="s">
        <v>28</v>
      </c>
      <c r="D403" t="s">
        <v>23</v>
      </c>
      <c r="E403" t="s">
        <v>33</v>
      </c>
      <c r="F403" t="s">
        <v>328</v>
      </c>
      <c r="G403" s="2">
        <f t="shared" si="12"/>
        <v>41090</v>
      </c>
      <c r="H403">
        <f>DAY(Europe_Sales_Records34[[#This Row],[Order Date Fixed]])</f>
        <v>30</v>
      </c>
      <c r="I403" t="str">
        <f>TEXT(Europe_Sales_Records34[[#This Row],[Order Date Fixed]],"MMM")</f>
        <v>Jun</v>
      </c>
      <c r="J403">
        <f>YEAR(Europe_Sales_Records34[[#This Row],[Order Date Fixed]])</f>
        <v>2012</v>
      </c>
      <c r="K403" t="str">
        <f>TEXT(Europe_Sales_Records34[[#This Row],[Order Date Fixed]],"MMM-YYYY")</f>
        <v>Jun-2012</v>
      </c>
      <c r="L403">
        <v>361659038</v>
      </c>
      <c r="M403" s="2">
        <f t="shared" si="13"/>
        <v>41124</v>
      </c>
      <c r="N403">
        <f>DAY(Europe_Sales_Records34[[#This Row],[Ship Date Fixed]])</f>
        <v>3</v>
      </c>
      <c r="O403" t="str">
        <f>TEXT(Europe_Sales_Records34[[#This Row],[Ship Date Fixed]],"MMM")</f>
        <v>Aug</v>
      </c>
      <c r="P403">
        <f>YEAR(Europe_Sales_Records34[[#This Row],[Ship Date Fixed]])</f>
        <v>2012</v>
      </c>
      <c r="Q403" t="str">
        <f>TEXT(Europe_Sales_Records34[[#This Row],[Ship Date Fixed]],"MMM-YYYY")</f>
        <v>Aug-2012</v>
      </c>
      <c r="R403" t="s">
        <v>783</v>
      </c>
      <c r="S403" s="3">
        <f>Europe_Sales_Records34[[#This Row],[Ship Date Fixed]]-Europe_Sales_Records34[[#This Row],[Order Date Fixed]]</f>
        <v>34</v>
      </c>
      <c r="T403">
        <v>1801</v>
      </c>
      <c r="U403">
        <v>205.7</v>
      </c>
      <c r="V403">
        <v>117.11</v>
      </c>
      <c r="W403">
        <f>Europe_Sales_Records34[[#This Row],[Total Revenue]]/Europe_Sales_Records34[[#This Row],[Units Sold]]</f>
        <v>205.70000000000002</v>
      </c>
      <c r="X403">
        <v>370465.7</v>
      </c>
      <c r="Y403">
        <v>210915.11</v>
      </c>
      <c r="Z403" s="4">
        <f>Europe_Sales_Records34[[#This Row],[Total Profit]]/Europe_Sales_Records34[[#This Row],[Total Revenue]]</f>
        <v>0.43067574137092851</v>
      </c>
      <c r="AA403">
        <v>159550.59</v>
      </c>
    </row>
    <row r="404" spans="1:27" x14ac:dyDescent="0.3">
      <c r="A404" t="s">
        <v>14</v>
      </c>
      <c r="B404" t="s">
        <v>132</v>
      </c>
      <c r="C404" t="s">
        <v>64</v>
      </c>
      <c r="D404" t="s">
        <v>23</v>
      </c>
      <c r="E404" t="s">
        <v>33</v>
      </c>
      <c r="F404" t="s">
        <v>784</v>
      </c>
      <c r="G404" s="2">
        <f t="shared" si="12"/>
        <v>42718</v>
      </c>
      <c r="H404">
        <f>DAY(Europe_Sales_Records34[[#This Row],[Order Date Fixed]])</f>
        <v>14</v>
      </c>
      <c r="I404" t="str">
        <f>TEXT(Europe_Sales_Records34[[#This Row],[Order Date Fixed]],"MMM")</f>
        <v>Dec</v>
      </c>
      <c r="J404">
        <f>YEAR(Europe_Sales_Records34[[#This Row],[Order Date Fixed]])</f>
        <v>2016</v>
      </c>
      <c r="K404" t="str">
        <f>TEXT(Europe_Sales_Records34[[#This Row],[Order Date Fixed]],"MMM-YYYY")</f>
        <v>Dec-2016</v>
      </c>
      <c r="L404">
        <v>328721082</v>
      </c>
      <c r="M404" s="2">
        <f t="shared" si="13"/>
        <v>42722</v>
      </c>
      <c r="N404">
        <f>DAY(Europe_Sales_Records34[[#This Row],[Ship Date Fixed]])</f>
        <v>18</v>
      </c>
      <c r="O404" t="str">
        <f>TEXT(Europe_Sales_Records34[[#This Row],[Ship Date Fixed]],"MMM")</f>
        <v>Dec</v>
      </c>
      <c r="P404">
        <f>YEAR(Europe_Sales_Records34[[#This Row],[Ship Date Fixed]])</f>
        <v>2016</v>
      </c>
      <c r="Q404" t="str">
        <f>TEXT(Europe_Sales_Records34[[#This Row],[Ship Date Fixed]],"MMM-YYYY")</f>
        <v>Dec-2016</v>
      </c>
      <c r="R404" t="s">
        <v>785</v>
      </c>
      <c r="S404" s="3">
        <f>Europe_Sales_Records34[[#This Row],[Ship Date Fixed]]-Europe_Sales_Records34[[#This Row],[Order Date Fixed]]</f>
        <v>4</v>
      </c>
      <c r="T404">
        <v>4728</v>
      </c>
      <c r="U404">
        <v>255.28</v>
      </c>
      <c r="V404">
        <v>159.41999999999999</v>
      </c>
      <c r="W404">
        <f>Europe_Sales_Records34[[#This Row],[Total Revenue]]/Europe_Sales_Records34[[#This Row],[Units Sold]]</f>
        <v>255.28000000000003</v>
      </c>
      <c r="X404">
        <v>1206963.8400000001</v>
      </c>
      <c r="Y404">
        <v>753737.76</v>
      </c>
      <c r="Z404" s="4">
        <f>Europe_Sales_Records34[[#This Row],[Total Profit]]/Europe_Sales_Records34[[#This Row],[Total Revenue]]</f>
        <v>0.37550924475086178</v>
      </c>
      <c r="AA404">
        <v>453226.08</v>
      </c>
    </row>
    <row r="405" spans="1:27" x14ac:dyDescent="0.3">
      <c r="A405" t="s">
        <v>14</v>
      </c>
      <c r="B405" t="s">
        <v>127</v>
      </c>
      <c r="C405" t="s">
        <v>22</v>
      </c>
      <c r="D405" t="s">
        <v>17</v>
      </c>
      <c r="E405" t="s">
        <v>54</v>
      </c>
      <c r="F405" t="s">
        <v>786</v>
      </c>
      <c r="G405" s="2">
        <f t="shared" si="12"/>
        <v>41939</v>
      </c>
      <c r="H405">
        <f>DAY(Europe_Sales_Records34[[#This Row],[Order Date Fixed]])</f>
        <v>27</v>
      </c>
      <c r="I405" t="str">
        <f>TEXT(Europe_Sales_Records34[[#This Row],[Order Date Fixed]],"MMM")</f>
        <v>Oct</v>
      </c>
      <c r="J405">
        <f>YEAR(Europe_Sales_Records34[[#This Row],[Order Date Fixed]])</f>
        <v>2014</v>
      </c>
      <c r="K405" t="str">
        <f>TEXT(Europe_Sales_Records34[[#This Row],[Order Date Fixed]],"MMM-YYYY")</f>
        <v>Oct-2014</v>
      </c>
      <c r="L405">
        <v>184120833</v>
      </c>
      <c r="M405" s="2">
        <f t="shared" si="13"/>
        <v>41943</v>
      </c>
      <c r="N405">
        <f>DAY(Europe_Sales_Records34[[#This Row],[Ship Date Fixed]])</f>
        <v>31</v>
      </c>
      <c r="O405" t="str">
        <f>TEXT(Europe_Sales_Records34[[#This Row],[Ship Date Fixed]],"MMM")</f>
        <v>Oct</v>
      </c>
      <c r="P405">
        <f>YEAR(Europe_Sales_Records34[[#This Row],[Ship Date Fixed]])</f>
        <v>2014</v>
      </c>
      <c r="Q405" t="str">
        <f>TEXT(Europe_Sales_Records34[[#This Row],[Ship Date Fixed]],"MMM-YYYY")</f>
        <v>Oct-2014</v>
      </c>
      <c r="R405" t="s">
        <v>787</v>
      </c>
      <c r="S405" s="3">
        <f>Europe_Sales_Records34[[#This Row],[Ship Date Fixed]]-Europe_Sales_Records34[[#This Row],[Order Date Fixed]]</f>
        <v>4</v>
      </c>
      <c r="T405">
        <v>4301</v>
      </c>
      <c r="U405">
        <v>109.28</v>
      </c>
      <c r="V405">
        <v>35.840000000000003</v>
      </c>
      <c r="W405">
        <f>Europe_Sales_Records34[[#This Row],[Total Revenue]]/Europe_Sales_Records34[[#This Row],[Units Sold]]</f>
        <v>109.28</v>
      </c>
      <c r="X405">
        <v>470013.28</v>
      </c>
      <c r="Y405">
        <v>154147.84</v>
      </c>
      <c r="Z405" s="4">
        <f>Europe_Sales_Records34[[#This Row],[Total Profit]]/Europe_Sales_Records34[[#This Row],[Total Revenue]]</f>
        <v>0.67203513909224011</v>
      </c>
      <c r="AA405">
        <v>315865.44</v>
      </c>
    </row>
    <row r="406" spans="1:27" x14ac:dyDescent="0.3">
      <c r="A406" t="s">
        <v>14</v>
      </c>
      <c r="B406" t="s">
        <v>92</v>
      </c>
      <c r="C406" t="s">
        <v>46</v>
      </c>
      <c r="D406" t="s">
        <v>17</v>
      </c>
      <c r="E406" t="s">
        <v>54</v>
      </c>
      <c r="F406" t="s">
        <v>507</v>
      </c>
      <c r="G406" s="2">
        <f t="shared" si="12"/>
        <v>42596</v>
      </c>
      <c r="H406">
        <f>DAY(Europe_Sales_Records34[[#This Row],[Order Date Fixed]])</f>
        <v>14</v>
      </c>
      <c r="I406" t="str">
        <f>TEXT(Europe_Sales_Records34[[#This Row],[Order Date Fixed]],"MMM")</f>
        <v>Aug</v>
      </c>
      <c r="J406">
        <f>YEAR(Europe_Sales_Records34[[#This Row],[Order Date Fixed]])</f>
        <v>2016</v>
      </c>
      <c r="K406" t="str">
        <f>TEXT(Europe_Sales_Records34[[#This Row],[Order Date Fixed]],"MMM-YYYY")</f>
        <v>Aug-2016</v>
      </c>
      <c r="L406">
        <v>933720576</v>
      </c>
      <c r="M406" s="2">
        <f t="shared" si="13"/>
        <v>42644</v>
      </c>
      <c r="N406">
        <f>DAY(Europe_Sales_Records34[[#This Row],[Ship Date Fixed]])</f>
        <v>1</v>
      </c>
      <c r="O406" t="str">
        <f>TEXT(Europe_Sales_Records34[[#This Row],[Ship Date Fixed]],"MMM")</f>
        <v>Oct</v>
      </c>
      <c r="P406">
        <f>YEAR(Europe_Sales_Records34[[#This Row],[Ship Date Fixed]])</f>
        <v>2016</v>
      </c>
      <c r="Q406" t="str">
        <f>TEXT(Europe_Sales_Records34[[#This Row],[Ship Date Fixed]],"MMM-YYYY")</f>
        <v>Oct-2016</v>
      </c>
      <c r="R406" t="s">
        <v>788</v>
      </c>
      <c r="S406" s="3">
        <f>Europe_Sales_Records34[[#This Row],[Ship Date Fixed]]-Europe_Sales_Records34[[#This Row],[Order Date Fixed]]</f>
        <v>48</v>
      </c>
      <c r="T406">
        <v>7523</v>
      </c>
      <c r="U406">
        <v>154.06</v>
      </c>
      <c r="V406">
        <v>90.93</v>
      </c>
      <c r="W406">
        <f>Europe_Sales_Records34[[#This Row],[Total Revenue]]/Europe_Sales_Records34[[#This Row],[Units Sold]]</f>
        <v>154.05999999999997</v>
      </c>
      <c r="X406">
        <v>1158993.3799999999</v>
      </c>
      <c r="Y406">
        <v>684066.39</v>
      </c>
      <c r="Z406" s="4">
        <f>Europe_Sales_Records34[[#This Row],[Total Profit]]/Europe_Sales_Records34[[#This Row],[Total Revenue]]</f>
        <v>0.40977541217707392</v>
      </c>
      <c r="AA406">
        <v>474926.99</v>
      </c>
    </row>
    <row r="407" spans="1:27" x14ac:dyDescent="0.3">
      <c r="A407" t="s">
        <v>14</v>
      </c>
      <c r="B407" t="s">
        <v>80</v>
      </c>
      <c r="C407" t="s">
        <v>75</v>
      </c>
      <c r="D407" t="s">
        <v>23</v>
      </c>
      <c r="E407" t="s">
        <v>54</v>
      </c>
      <c r="F407" t="s">
        <v>556</v>
      </c>
      <c r="G407" s="2">
        <f t="shared" si="12"/>
        <v>41712</v>
      </c>
      <c r="H407">
        <f>DAY(Europe_Sales_Records34[[#This Row],[Order Date Fixed]])</f>
        <v>14</v>
      </c>
      <c r="I407" t="str">
        <f>TEXT(Europe_Sales_Records34[[#This Row],[Order Date Fixed]],"MMM")</f>
        <v>Mar</v>
      </c>
      <c r="J407">
        <f>YEAR(Europe_Sales_Records34[[#This Row],[Order Date Fixed]])</f>
        <v>2014</v>
      </c>
      <c r="K407" t="str">
        <f>TEXT(Europe_Sales_Records34[[#This Row],[Order Date Fixed]],"MMM-YYYY")</f>
        <v>Mar-2014</v>
      </c>
      <c r="L407">
        <v>765101468</v>
      </c>
      <c r="M407" s="2">
        <f t="shared" si="13"/>
        <v>41735</v>
      </c>
      <c r="N407">
        <f>DAY(Europe_Sales_Records34[[#This Row],[Ship Date Fixed]])</f>
        <v>6</v>
      </c>
      <c r="O407" t="str">
        <f>TEXT(Europe_Sales_Records34[[#This Row],[Ship Date Fixed]],"MMM")</f>
        <v>Apr</v>
      </c>
      <c r="P407">
        <f>YEAR(Europe_Sales_Records34[[#This Row],[Ship Date Fixed]])</f>
        <v>2014</v>
      </c>
      <c r="Q407" t="str">
        <f>TEXT(Europe_Sales_Records34[[#This Row],[Ship Date Fixed]],"MMM-YYYY")</f>
        <v>Apr-2014</v>
      </c>
      <c r="R407" t="s">
        <v>789</v>
      </c>
      <c r="S407" s="3">
        <f>Europe_Sales_Records34[[#This Row],[Ship Date Fixed]]-Europe_Sales_Records34[[#This Row],[Order Date Fixed]]</f>
        <v>23</v>
      </c>
      <c r="T407">
        <v>9382</v>
      </c>
      <c r="U407">
        <v>437.2</v>
      </c>
      <c r="V407">
        <v>263.33</v>
      </c>
      <c r="W407">
        <f>Europe_Sales_Records34[[#This Row],[Total Revenue]]/Europe_Sales_Records34[[#This Row],[Units Sold]]</f>
        <v>437.2</v>
      </c>
      <c r="X407">
        <v>4101810.4</v>
      </c>
      <c r="Y407">
        <v>2470562.06</v>
      </c>
      <c r="Z407" s="4">
        <f>Europe_Sales_Records34[[#This Row],[Total Profit]]/Europe_Sales_Records34[[#This Row],[Total Revenue]]</f>
        <v>0.3976898444647759</v>
      </c>
      <c r="AA407">
        <v>1631248.34</v>
      </c>
    </row>
    <row r="408" spans="1:27" x14ac:dyDescent="0.3">
      <c r="A408" t="s">
        <v>14</v>
      </c>
      <c r="B408" t="s">
        <v>122</v>
      </c>
      <c r="C408" t="s">
        <v>71</v>
      </c>
      <c r="D408" t="s">
        <v>17</v>
      </c>
      <c r="E408" t="s">
        <v>24</v>
      </c>
      <c r="F408" t="s">
        <v>84</v>
      </c>
      <c r="G408" s="2">
        <f t="shared" si="12"/>
        <v>41155</v>
      </c>
      <c r="H408">
        <f>DAY(Europe_Sales_Records34[[#This Row],[Order Date Fixed]])</f>
        <v>3</v>
      </c>
      <c r="I408" t="str">
        <f>TEXT(Europe_Sales_Records34[[#This Row],[Order Date Fixed]],"MMM")</f>
        <v>Sep</v>
      </c>
      <c r="J408">
        <f>YEAR(Europe_Sales_Records34[[#This Row],[Order Date Fixed]])</f>
        <v>2012</v>
      </c>
      <c r="K408" t="str">
        <f>TEXT(Europe_Sales_Records34[[#This Row],[Order Date Fixed]],"MMM-YYYY")</f>
        <v>Sep-2012</v>
      </c>
      <c r="L408">
        <v>516460692</v>
      </c>
      <c r="M408" s="2">
        <f t="shared" si="13"/>
        <v>41176</v>
      </c>
      <c r="N408">
        <f>DAY(Europe_Sales_Records34[[#This Row],[Ship Date Fixed]])</f>
        <v>24</v>
      </c>
      <c r="O408" t="str">
        <f>TEXT(Europe_Sales_Records34[[#This Row],[Ship Date Fixed]],"MMM")</f>
        <v>Sep</v>
      </c>
      <c r="P408">
        <f>YEAR(Europe_Sales_Records34[[#This Row],[Ship Date Fixed]])</f>
        <v>2012</v>
      </c>
      <c r="Q408" t="str">
        <f>TEXT(Europe_Sales_Records34[[#This Row],[Ship Date Fixed]],"MMM-YYYY")</f>
        <v>Sep-2012</v>
      </c>
      <c r="R408" t="s">
        <v>790</v>
      </c>
      <c r="S408" s="3">
        <f>Europe_Sales_Records34[[#This Row],[Ship Date Fixed]]-Europe_Sales_Records34[[#This Row],[Order Date Fixed]]</f>
        <v>21</v>
      </c>
      <c r="T408">
        <v>1051</v>
      </c>
      <c r="U408">
        <v>668.27</v>
      </c>
      <c r="V408">
        <v>502.54</v>
      </c>
      <c r="W408">
        <f>Europe_Sales_Records34[[#This Row],[Total Revenue]]/Europe_Sales_Records34[[#This Row],[Units Sold]]</f>
        <v>668.27</v>
      </c>
      <c r="X408">
        <v>702351.77</v>
      </c>
      <c r="Y408">
        <v>528169.54</v>
      </c>
      <c r="Z408" s="4">
        <f>Europe_Sales_Records34[[#This Row],[Total Profit]]/Europe_Sales_Records34[[#This Row],[Total Revenue]]</f>
        <v>0.24799856345489099</v>
      </c>
      <c r="AA408">
        <v>174182.23</v>
      </c>
    </row>
    <row r="409" spans="1:27" x14ac:dyDescent="0.3">
      <c r="A409" t="s">
        <v>14</v>
      </c>
      <c r="B409" t="s">
        <v>74</v>
      </c>
      <c r="C409" t="s">
        <v>50</v>
      </c>
      <c r="D409" t="s">
        <v>17</v>
      </c>
      <c r="E409" t="s">
        <v>54</v>
      </c>
      <c r="F409" t="s">
        <v>709</v>
      </c>
      <c r="G409" s="2">
        <f t="shared" si="12"/>
        <v>42850</v>
      </c>
      <c r="H409">
        <f>DAY(Europe_Sales_Records34[[#This Row],[Order Date Fixed]])</f>
        <v>25</v>
      </c>
      <c r="I409" t="str">
        <f>TEXT(Europe_Sales_Records34[[#This Row],[Order Date Fixed]],"MMM")</f>
        <v>Apr</v>
      </c>
      <c r="J409">
        <f>YEAR(Europe_Sales_Records34[[#This Row],[Order Date Fixed]])</f>
        <v>2017</v>
      </c>
      <c r="K409" t="str">
        <f>TEXT(Europe_Sales_Records34[[#This Row],[Order Date Fixed]],"MMM-YYYY")</f>
        <v>Apr-2017</v>
      </c>
      <c r="L409">
        <v>783594977</v>
      </c>
      <c r="M409" s="2">
        <f t="shared" si="13"/>
        <v>42856</v>
      </c>
      <c r="N409">
        <f>DAY(Europe_Sales_Records34[[#This Row],[Ship Date Fixed]])</f>
        <v>1</v>
      </c>
      <c r="O409" t="str">
        <f>TEXT(Europe_Sales_Records34[[#This Row],[Ship Date Fixed]],"MMM")</f>
        <v>May</v>
      </c>
      <c r="P409">
        <f>YEAR(Europe_Sales_Records34[[#This Row],[Ship Date Fixed]])</f>
        <v>2017</v>
      </c>
      <c r="Q409" t="str">
        <f>TEXT(Europe_Sales_Records34[[#This Row],[Ship Date Fixed]],"MMM-YYYY")</f>
        <v>May-2017</v>
      </c>
      <c r="R409" t="s">
        <v>654</v>
      </c>
      <c r="S409" s="3">
        <f>Europe_Sales_Records34[[#This Row],[Ship Date Fixed]]-Europe_Sales_Records34[[#This Row],[Order Date Fixed]]</f>
        <v>6</v>
      </c>
      <c r="T409">
        <v>2022</v>
      </c>
      <c r="U409">
        <v>421.89</v>
      </c>
      <c r="V409">
        <v>364.69</v>
      </c>
      <c r="W409">
        <f>Europe_Sales_Records34[[#This Row],[Total Revenue]]/Europe_Sales_Records34[[#This Row],[Units Sold]]</f>
        <v>421.89</v>
      </c>
      <c r="X409">
        <v>853061.58</v>
      </c>
      <c r="Y409">
        <v>737403.18</v>
      </c>
      <c r="Z409" s="4">
        <f>Europe_Sales_Records34[[#This Row],[Total Profit]]/Europe_Sales_Records34[[#This Row],[Total Revenue]]</f>
        <v>0.13558036455000119</v>
      </c>
      <c r="AA409">
        <v>115658.4</v>
      </c>
    </row>
    <row r="410" spans="1:27" x14ac:dyDescent="0.3">
      <c r="A410" t="s">
        <v>14</v>
      </c>
      <c r="B410" t="s">
        <v>342</v>
      </c>
      <c r="C410" t="s">
        <v>58</v>
      </c>
      <c r="D410" t="s">
        <v>23</v>
      </c>
      <c r="E410" t="s">
        <v>33</v>
      </c>
      <c r="F410" t="s">
        <v>791</v>
      </c>
      <c r="G410" s="2">
        <f t="shared" si="12"/>
        <v>42463</v>
      </c>
      <c r="H410">
        <f>DAY(Europe_Sales_Records34[[#This Row],[Order Date Fixed]])</f>
        <v>3</v>
      </c>
      <c r="I410" t="str">
        <f>TEXT(Europe_Sales_Records34[[#This Row],[Order Date Fixed]],"MMM")</f>
        <v>Apr</v>
      </c>
      <c r="J410">
        <f>YEAR(Europe_Sales_Records34[[#This Row],[Order Date Fixed]])</f>
        <v>2016</v>
      </c>
      <c r="K410" t="str">
        <f>TEXT(Europe_Sales_Records34[[#This Row],[Order Date Fixed]],"MMM-YYYY")</f>
        <v>Apr-2016</v>
      </c>
      <c r="L410">
        <v>406270396</v>
      </c>
      <c r="M410" s="2">
        <f t="shared" si="13"/>
        <v>42509</v>
      </c>
      <c r="N410">
        <f>DAY(Europe_Sales_Records34[[#This Row],[Ship Date Fixed]])</f>
        <v>19</v>
      </c>
      <c r="O410" t="str">
        <f>TEXT(Europe_Sales_Records34[[#This Row],[Ship Date Fixed]],"MMM")</f>
        <v>May</v>
      </c>
      <c r="P410">
        <f>YEAR(Europe_Sales_Records34[[#This Row],[Ship Date Fixed]])</f>
        <v>2016</v>
      </c>
      <c r="Q410" t="str">
        <f>TEXT(Europe_Sales_Records34[[#This Row],[Ship Date Fixed]],"MMM-YYYY")</f>
        <v>May-2016</v>
      </c>
      <c r="R410" t="s">
        <v>792</v>
      </c>
      <c r="S410" s="3">
        <f>Europe_Sales_Records34[[#This Row],[Ship Date Fixed]]-Europe_Sales_Records34[[#This Row],[Order Date Fixed]]</f>
        <v>46</v>
      </c>
      <c r="T410">
        <v>3293</v>
      </c>
      <c r="U410">
        <v>152.58000000000001</v>
      </c>
      <c r="V410">
        <v>97.44</v>
      </c>
      <c r="W410">
        <f>Europe_Sales_Records34[[#This Row],[Total Revenue]]/Europe_Sales_Records34[[#This Row],[Units Sold]]</f>
        <v>152.58000000000001</v>
      </c>
      <c r="X410">
        <v>502445.94</v>
      </c>
      <c r="Y410">
        <v>320869.92</v>
      </c>
      <c r="Z410" s="4">
        <f>Europe_Sales_Records34[[#This Row],[Total Profit]]/Europe_Sales_Records34[[#This Row],[Total Revenue]]</f>
        <v>0.36138419189933146</v>
      </c>
      <c r="AA410">
        <v>181576.02</v>
      </c>
    </row>
    <row r="411" spans="1:27" x14ac:dyDescent="0.3">
      <c r="A411" t="s">
        <v>14</v>
      </c>
      <c r="B411" t="s">
        <v>132</v>
      </c>
      <c r="C411" t="s">
        <v>46</v>
      </c>
      <c r="D411" t="s">
        <v>23</v>
      </c>
      <c r="E411" t="s">
        <v>33</v>
      </c>
      <c r="F411" t="s">
        <v>593</v>
      </c>
      <c r="G411" s="2">
        <f t="shared" si="12"/>
        <v>40191</v>
      </c>
      <c r="H411">
        <f>DAY(Europe_Sales_Records34[[#This Row],[Order Date Fixed]])</f>
        <v>13</v>
      </c>
      <c r="I411" t="str">
        <f>TEXT(Europe_Sales_Records34[[#This Row],[Order Date Fixed]],"MMM")</f>
        <v>Jan</v>
      </c>
      <c r="J411">
        <f>YEAR(Europe_Sales_Records34[[#This Row],[Order Date Fixed]])</f>
        <v>2010</v>
      </c>
      <c r="K411" t="str">
        <f>TEXT(Europe_Sales_Records34[[#This Row],[Order Date Fixed]],"MMM-YYYY")</f>
        <v>Jan-2010</v>
      </c>
      <c r="L411">
        <v>805095136</v>
      </c>
      <c r="M411" s="2">
        <f t="shared" si="13"/>
        <v>40198</v>
      </c>
      <c r="N411">
        <f>DAY(Europe_Sales_Records34[[#This Row],[Ship Date Fixed]])</f>
        <v>20</v>
      </c>
      <c r="O411" t="str">
        <f>TEXT(Europe_Sales_Records34[[#This Row],[Ship Date Fixed]],"MMM")</f>
        <v>Jan</v>
      </c>
      <c r="P411">
        <f>YEAR(Europe_Sales_Records34[[#This Row],[Ship Date Fixed]])</f>
        <v>2010</v>
      </c>
      <c r="Q411" t="str">
        <f>TEXT(Europe_Sales_Records34[[#This Row],[Ship Date Fixed]],"MMM-YYYY")</f>
        <v>Jan-2010</v>
      </c>
      <c r="R411" t="s">
        <v>793</v>
      </c>
      <c r="S411" s="3">
        <f>Europe_Sales_Records34[[#This Row],[Ship Date Fixed]]-Europe_Sales_Records34[[#This Row],[Order Date Fixed]]</f>
        <v>7</v>
      </c>
      <c r="T411">
        <v>4396</v>
      </c>
      <c r="U411">
        <v>154.06</v>
      </c>
      <c r="V411">
        <v>90.93</v>
      </c>
      <c r="W411">
        <f>Europe_Sales_Records34[[#This Row],[Total Revenue]]/Europe_Sales_Records34[[#This Row],[Units Sold]]</f>
        <v>154.06</v>
      </c>
      <c r="X411">
        <v>677247.76</v>
      </c>
      <c r="Y411">
        <v>399728.28</v>
      </c>
      <c r="Z411" s="4">
        <f>Europe_Sales_Records34[[#This Row],[Total Profit]]/Europe_Sales_Records34[[#This Row],[Total Revenue]]</f>
        <v>0.40977541217707386</v>
      </c>
      <c r="AA411">
        <v>277519.48</v>
      </c>
    </row>
    <row r="412" spans="1:27" x14ac:dyDescent="0.3">
      <c r="A412" t="s">
        <v>14</v>
      </c>
      <c r="B412" t="s">
        <v>94</v>
      </c>
      <c r="C412" t="s">
        <v>28</v>
      </c>
      <c r="D412" t="s">
        <v>23</v>
      </c>
      <c r="E412" t="s">
        <v>24</v>
      </c>
      <c r="F412" t="s">
        <v>794</v>
      </c>
      <c r="G412" s="2">
        <f t="shared" si="12"/>
        <v>40817</v>
      </c>
      <c r="H412">
        <f>DAY(Europe_Sales_Records34[[#This Row],[Order Date Fixed]])</f>
        <v>1</v>
      </c>
      <c r="I412" t="str">
        <f>TEXT(Europe_Sales_Records34[[#This Row],[Order Date Fixed]],"MMM")</f>
        <v>Oct</v>
      </c>
      <c r="J412">
        <f>YEAR(Europe_Sales_Records34[[#This Row],[Order Date Fixed]])</f>
        <v>2011</v>
      </c>
      <c r="K412" t="str">
        <f>TEXT(Europe_Sales_Records34[[#This Row],[Order Date Fixed]],"MMM-YYYY")</f>
        <v>Oct-2011</v>
      </c>
      <c r="L412">
        <v>985417258</v>
      </c>
      <c r="M412" s="2">
        <f t="shared" si="13"/>
        <v>40837</v>
      </c>
      <c r="N412">
        <f>DAY(Europe_Sales_Records34[[#This Row],[Ship Date Fixed]])</f>
        <v>21</v>
      </c>
      <c r="O412" t="str">
        <f>TEXT(Europe_Sales_Records34[[#This Row],[Ship Date Fixed]],"MMM")</f>
        <v>Oct</v>
      </c>
      <c r="P412">
        <f>YEAR(Europe_Sales_Records34[[#This Row],[Ship Date Fixed]])</f>
        <v>2011</v>
      </c>
      <c r="Q412" t="str">
        <f>TEXT(Europe_Sales_Records34[[#This Row],[Ship Date Fixed]],"MMM-YYYY")</f>
        <v>Oct-2011</v>
      </c>
      <c r="R412" t="s">
        <v>499</v>
      </c>
      <c r="S412" s="3">
        <f>Europe_Sales_Records34[[#This Row],[Ship Date Fixed]]-Europe_Sales_Records34[[#This Row],[Order Date Fixed]]</f>
        <v>20</v>
      </c>
      <c r="T412">
        <v>5720</v>
      </c>
      <c r="U412">
        <v>205.7</v>
      </c>
      <c r="V412">
        <v>117.11</v>
      </c>
      <c r="W412">
        <f>Europe_Sales_Records34[[#This Row],[Total Revenue]]/Europe_Sales_Records34[[#This Row],[Units Sold]]</f>
        <v>205.7</v>
      </c>
      <c r="X412">
        <v>1176604</v>
      </c>
      <c r="Y412">
        <v>669869.19999999995</v>
      </c>
      <c r="Z412" s="4">
        <f>Europe_Sales_Records34[[#This Row],[Total Profit]]/Europe_Sales_Records34[[#This Row],[Total Revenue]]</f>
        <v>0.43067574137092851</v>
      </c>
      <c r="AA412">
        <v>506734.8</v>
      </c>
    </row>
    <row r="413" spans="1:27" x14ac:dyDescent="0.3">
      <c r="A413" t="s">
        <v>14</v>
      </c>
      <c r="B413" t="s">
        <v>83</v>
      </c>
      <c r="C413" t="s">
        <v>28</v>
      </c>
      <c r="D413" t="s">
        <v>17</v>
      </c>
      <c r="E413" t="s">
        <v>24</v>
      </c>
      <c r="F413" t="s">
        <v>795</v>
      </c>
      <c r="G413" s="2">
        <f t="shared" si="12"/>
        <v>41440</v>
      </c>
      <c r="H413">
        <f>DAY(Europe_Sales_Records34[[#This Row],[Order Date Fixed]])</f>
        <v>15</v>
      </c>
      <c r="I413" t="str">
        <f>TEXT(Europe_Sales_Records34[[#This Row],[Order Date Fixed]],"MMM")</f>
        <v>Jun</v>
      </c>
      <c r="J413">
        <f>YEAR(Europe_Sales_Records34[[#This Row],[Order Date Fixed]])</f>
        <v>2013</v>
      </c>
      <c r="K413" t="str">
        <f>TEXT(Europe_Sales_Records34[[#This Row],[Order Date Fixed]],"MMM-YYYY")</f>
        <v>Jun-2013</v>
      </c>
      <c r="L413">
        <v>443125665</v>
      </c>
      <c r="M413" s="2">
        <f t="shared" si="13"/>
        <v>41464</v>
      </c>
      <c r="N413">
        <f>DAY(Europe_Sales_Records34[[#This Row],[Ship Date Fixed]])</f>
        <v>9</v>
      </c>
      <c r="O413" t="str">
        <f>TEXT(Europe_Sales_Records34[[#This Row],[Ship Date Fixed]],"MMM")</f>
        <v>Jul</v>
      </c>
      <c r="P413">
        <f>YEAR(Europe_Sales_Records34[[#This Row],[Ship Date Fixed]])</f>
        <v>2013</v>
      </c>
      <c r="Q413" t="str">
        <f>TEXT(Europe_Sales_Records34[[#This Row],[Ship Date Fixed]],"MMM-YYYY")</f>
        <v>Jul-2013</v>
      </c>
      <c r="R413" t="s">
        <v>796</v>
      </c>
      <c r="S413" s="3">
        <f>Europe_Sales_Records34[[#This Row],[Ship Date Fixed]]-Europe_Sales_Records34[[#This Row],[Order Date Fixed]]</f>
        <v>24</v>
      </c>
      <c r="T413">
        <v>9586</v>
      </c>
      <c r="U413">
        <v>205.7</v>
      </c>
      <c r="V413">
        <v>117.11</v>
      </c>
      <c r="W413">
        <f>Europe_Sales_Records34[[#This Row],[Total Revenue]]/Europe_Sales_Records34[[#This Row],[Units Sold]]</f>
        <v>205.7</v>
      </c>
      <c r="X413">
        <v>1971840.2</v>
      </c>
      <c r="Y413">
        <v>1122616.46</v>
      </c>
      <c r="Z413" s="4">
        <f>Europe_Sales_Records34[[#This Row],[Total Profit]]/Europe_Sales_Records34[[#This Row],[Total Revenue]]</f>
        <v>0.43067574137092857</v>
      </c>
      <c r="AA413">
        <v>849223.74</v>
      </c>
    </row>
    <row r="414" spans="1:27" x14ac:dyDescent="0.3">
      <c r="A414" t="s">
        <v>14</v>
      </c>
      <c r="B414" t="s">
        <v>57</v>
      </c>
      <c r="C414" t="s">
        <v>16</v>
      </c>
      <c r="D414" t="s">
        <v>23</v>
      </c>
      <c r="E414" t="s">
        <v>33</v>
      </c>
      <c r="F414" t="s">
        <v>797</v>
      </c>
      <c r="G414" s="2">
        <f t="shared" si="12"/>
        <v>41813</v>
      </c>
      <c r="H414">
        <f>DAY(Europe_Sales_Records34[[#This Row],[Order Date Fixed]])</f>
        <v>23</v>
      </c>
      <c r="I414" t="str">
        <f>TEXT(Europe_Sales_Records34[[#This Row],[Order Date Fixed]],"MMM")</f>
        <v>Jun</v>
      </c>
      <c r="J414">
        <f>YEAR(Europe_Sales_Records34[[#This Row],[Order Date Fixed]])</f>
        <v>2014</v>
      </c>
      <c r="K414" t="str">
        <f>TEXT(Europe_Sales_Records34[[#This Row],[Order Date Fixed]],"MMM-YYYY")</f>
        <v>Jun-2014</v>
      </c>
      <c r="L414">
        <v>931477820</v>
      </c>
      <c r="M414" s="2">
        <f t="shared" si="13"/>
        <v>41839</v>
      </c>
      <c r="N414">
        <f>DAY(Europe_Sales_Records34[[#This Row],[Ship Date Fixed]])</f>
        <v>19</v>
      </c>
      <c r="O414" t="str">
        <f>TEXT(Europe_Sales_Records34[[#This Row],[Ship Date Fixed]],"MMM")</f>
        <v>Jul</v>
      </c>
      <c r="P414">
        <f>YEAR(Europe_Sales_Records34[[#This Row],[Ship Date Fixed]])</f>
        <v>2014</v>
      </c>
      <c r="Q414" t="str">
        <f>TEXT(Europe_Sales_Records34[[#This Row],[Ship Date Fixed]],"MMM-YYYY")</f>
        <v>Jul-2014</v>
      </c>
      <c r="R414" t="s">
        <v>145</v>
      </c>
      <c r="S414" s="3">
        <f>Europe_Sales_Records34[[#This Row],[Ship Date Fixed]]-Europe_Sales_Records34[[#This Row],[Order Date Fixed]]</f>
        <v>26</v>
      </c>
      <c r="T414">
        <v>3841</v>
      </c>
      <c r="U414">
        <v>47.45</v>
      </c>
      <c r="V414">
        <v>31.79</v>
      </c>
      <c r="W414">
        <f>Europe_Sales_Records34[[#This Row],[Total Revenue]]/Europe_Sales_Records34[[#This Row],[Units Sold]]</f>
        <v>47.45</v>
      </c>
      <c r="X414">
        <v>182255.45</v>
      </c>
      <c r="Y414">
        <v>122105.39</v>
      </c>
      <c r="Z414" s="4">
        <f>Europe_Sales_Records34[[#This Row],[Total Profit]]/Europe_Sales_Records34[[#This Row],[Total Revenue]]</f>
        <v>0.330031612223393</v>
      </c>
      <c r="AA414">
        <v>60150.06</v>
      </c>
    </row>
    <row r="415" spans="1:27" x14ac:dyDescent="0.3">
      <c r="A415" t="s">
        <v>14</v>
      </c>
      <c r="B415" t="s">
        <v>94</v>
      </c>
      <c r="C415" t="s">
        <v>102</v>
      </c>
      <c r="D415" t="s">
        <v>17</v>
      </c>
      <c r="E415" t="s">
        <v>54</v>
      </c>
      <c r="F415" t="s">
        <v>798</v>
      </c>
      <c r="G415" s="2">
        <f t="shared" si="12"/>
        <v>41631</v>
      </c>
      <c r="H415">
        <f>DAY(Europe_Sales_Records34[[#This Row],[Order Date Fixed]])</f>
        <v>23</v>
      </c>
      <c r="I415" t="str">
        <f>TEXT(Europe_Sales_Records34[[#This Row],[Order Date Fixed]],"MMM")</f>
        <v>Dec</v>
      </c>
      <c r="J415">
        <f>YEAR(Europe_Sales_Records34[[#This Row],[Order Date Fixed]])</f>
        <v>2013</v>
      </c>
      <c r="K415" t="str">
        <f>TEXT(Europe_Sales_Records34[[#This Row],[Order Date Fixed]],"MMM-YYYY")</f>
        <v>Dec-2013</v>
      </c>
      <c r="L415">
        <v>387098824</v>
      </c>
      <c r="M415" s="2">
        <f t="shared" si="13"/>
        <v>41643</v>
      </c>
      <c r="N415">
        <f>DAY(Europe_Sales_Records34[[#This Row],[Ship Date Fixed]])</f>
        <v>4</v>
      </c>
      <c r="O415" t="str">
        <f>TEXT(Europe_Sales_Records34[[#This Row],[Ship Date Fixed]],"MMM")</f>
        <v>Jan</v>
      </c>
      <c r="P415">
        <f>YEAR(Europe_Sales_Records34[[#This Row],[Ship Date Fixed]])</f>
        <v>2014</v>
      </c>
      <c r="Q415" t="str">
        <f>TEXT(Europe_Sales_Records34[[#This Row],[Ship Date Fixed]],"MMM-YYYY")</f>
        <v>Jan-2014</v>
      </c>
      <c r="R415" t="s">
        <v>601</v>
      </c>
      <c r="S415" s="3">
        <f>Europe_Sales_Records34[[#This Row],[Ship Date Fixed]]-Europe_Sales_Records34[[#This Row],[Order Date Fixed]]</f>
        <v>12</v>
      </c>
      <c r="T415">
        <v>9999</v>
      </c>
      <c r="U415">
        <v>81.73</v>
      </c>
      <c r="V415">
        <v>56.67</v>
      </c>
      <c r="W415">
        <f>Europe_Sales_Records34[[#This Row],[Total Revenue]]/Europe_Sales_Records34[[#This Row],[Units Sold]]</f>
        <v>81.73</v>
      </c>
      <c r="X415">
        <v>817218.27</v>
      </c>
      <c r="Y415">
        <v>566643.32999999996</v>
      </c>
      <c r="Z415" s="4">
        <f>Europe_Sales_Records34[[#This Row],[Total Profit]]/Europe_Sales_Records34[[#This Row],[Total Revenue]]</f>
        <v>0.30661935641747218</v>
      </c>
      <c r="AA415">
        <v>250574.94</v>
      </c>
    </row>
    <row r="416" spans="1:27" x14ac:dyDescent="0.3">
      <c r="A416" t="s">
        <v>14</v>
      </c>
      <c r="B416" t="s">
        <v>127</v>
      </c>
      <c r="C416" t="s">
        <v>50</v>
      </c>
      <c r="D416" t="s">
        <v>17</v>
      </c>
      <c r="E416" t="s">
        <v>24</v>
      </c>
      <c r="F416" t="s">
        <v>799</v>
      </c>
      <c r="G416" s="2">
        <f t="shared" si="12"/>
        <v>41133</v>
      </c>
      <c r="H416">
        <f>DAY(Europe_Sales_Records34[[#This Row],[Order Date Fixed]])</f>
        <v>12</v>
      </c>
      <c r="I416" t="str">
        <f>TEXT(Europe_Sales_Records34[[#This Row],[Order Date Fixed]],"MMM")</f>
        <v>Aug</v>
      </c>
      <c r="J416">
        <f>YEAR(Europe_Sales_Records34[[#This Row],[Order Date Fixed]])</f>
        <v>2012</v>
      </c>
      <c r="K416" t="str">
        <f>TEXT(Europe_Sales_Records34[[#This Row],[Order Date Fixed]],"MMM-YYYY")</f>
        <v>Aug-2012</v>
      </c>
      <c r="L416">
        <v>595922315</v>
      </c>
      <c r="M416" s="2">
        <f t="shared" si="13"/>
        <v>41156</v>
      </c>
      <c r="N416">
        <f>DAY(Europe_Sales_Records34[[#This Row],[Ship Date Fixed]])</f>
        <v>4</v>
      </c>
      <c r="O416" t="str">
        <f>TEXT(Europe_Sales_Records34[[#This Row],[Ship Date Fixed]],"MMM")</f>
        <v>Sep</v>
      </c>
      <c r="P416">
        <f>YEAR(Europe_Sales_Records34[[#This Row],[Ship Date Fixed]])</f>
        <v>2012</v>
      </c>
      <c r="Q416" t="str">
        <f>TEXT(Europe_Sales_Records34[[#This Row],[Ship Date Fixed]],"MMM-YYYY")</f>
        <v>Sep-2012</v>
      </c>
      <c r="R416" t="s">
        <v>800</v>
      </c>
      <c r="S416" s="3">
        <f>Europe_Sales_Records34[[#This Row],[Ship Date Fixed]]-Europe_Sales_Records34[[#This Row],[Order Date Fixed]]</f>
        <v>23</v>
      </c>
      <c r="T416">
        <v>5510</v>
      </c>
      <c r="U416">
        <v>421.89</v>
      </c>
      <c r="V416">
        <v>364.69</v>
      </c>
      <c r="W416">
        <f>Europe_Sales_Records34[[#This Row],[Total Revenue]]/Europe_Sales_Records34[[#This Row],[Units Sold]]</f>
        <v>421.89</v>
      </c>
      <c r="X416">
        <v>2324613.9</v>
      </c>
      <c r="Y416">
        <v>2009441.9</v>
      </c>
      <c r="Z416" s="4">
        <f>Europe_Sales_Records34[[#This Row],[Total Profit]]/Europe_Sales_Records34[[#This Row],[Total Revenue]]</f>
        <v>0.13558036455000119</v>
      </c>
      <c r="AA416">
        <v>315172</v>
      </c>
    </row>
    <row r="417" spans="1:27" x14ac:dyDescent="0.3">
      <c r="A417" t="s">
        <v>14</v>
      </c>
      <c r="B417" t="s">
        <v>243</v>
      </c>
      <c r="C417" t="s">
        <v>32</v>
      </c>
      <c r="D417" t="s">
        <v>23</v>
      </c>
      <c r="E417" t="s">
        <v>24</v>
      </c>
      <c r="F417" t="s">
        <v>801</v>
      </c>
      <c r="G417" s="2">
        <f t="shared" si="12"/>
        <v>42452</v>
      </c>
      <c r="H417">
        <f>DAY(Europe_Sales_Records34[[#This Row],[Order Date Fixed]])</f>
        <v>23</v>
      </c>
      <c r="I417" t="str">
        <f>TEXT(Europe_Sales_Records34[[#This Row],[Order Date Fixed]],"MMM")</f>
        <v>Mar</v>
      </c>
      <c r="J417">
        <f>YEAR(Europe_Sales_Records34[[#This Row],[Order Date Fixed]])</f>
        <v>2016</v>
      </c>
      <c r="K417" t="str">
        <f>TEXT(Europe_Sales_Records34[[#This Row],[Order Date Fixed]],"MMM-YYYY")</f>
        <v>Mar-2016</v>
      </c>
      <c r="L417">
        <v>653909957</v>
      </c>
      <c r="M417" s="2">
        <f t="shared" si="13"/>
        <v>42466</v>
      </c>
      <c r="N417">
        <f>DAY(Europe_Sales_Records34[[#This Row],[Ship Date Fixed]])</f>
        <v>6</v>
      </c>
      <c r="O417" t="str">
        <f>TEXT(Europe_Sales_Records34[[#This Row],[Ship Date Fixed]],"MMM")</f>
        <v>Apr</v>
      </c>
      <c r="P417">
        <f>YEAR(Europe_Sales_Records34[[#This Row],[Ship Date Fixed]])</f>
        <v>2016</v>
      </c>
      <c r="Q417" t="str">
        <f>TEXT(Europe_Sales_Records34[[#This Row],[Ship Date Fixed]],"MMM-YYYY")</f>
        <v>Apr-2016</v>
      </c>
      <c r="R417" t="s">
        <v>802</v>
      </c>
      <c r="S417" s="3">
        <f>Europe_Sales_Records34[[#This Row],[Ship Date Fixed]]-Europe_Sales_Records34[[#This Row],[Order Date Fixed]]</f>
        <v>14</v>
      </c>
      <c r="T417">
        <v>5342</v>
      </c>
      <c r="U417">
        <v>651.21</v>
      </c>
      <c r="V417">
        <v>524.96</v>
      </c>
      <c r="W417">
        <f>Europe_Sales_Records34[[#This Row],[Total Revenue]]/Europe_Sales_Records34[[#This Row],[Units Sold]]</f>
        <v>651.20999999999992</v>
      </c>
      <c r="X417">
        <v>3478763.82</v>
      </c>
      <c r="Y417">
        <v>2804336.32</v>
      </c>
      <c r="Z417" s="4">
        <f>Europe_Sales_Records34[[#This Row],[Total Profit]]/Europe_Sales_Records34[[#This Row],[Total Revenue]]</f>
        <v>0.19386987300563568</v>
      </c>
      <c r="AA417">
        <v>674427.5</v>
      </c>
    </row>
    <row r="418" spans="1:27" x14ac:dyDescent="0.3">
      <c r="A418" t="s">
        <v>14</v>
      </c>
      <c r="B418" t="s">
        <v>83</v>
      </c>
      <c r="C418" t="s">
        <v>16</v>
      </c>
      <c r="D418" t="s">
        <v>17</v>
      </c>
      <c r="E418" t="s">
        <v>54</v>
      </c>
      <c r="F418" t="s">
        <v>803</v>
      </c>
      <c r="G418" s="2">
        <f t="shared" si="12"/>
        <v>41132</v>
      </c>
      <c r="H418">
        <f>DAY(Europe_Sales_Records34[[#This Row],[Order Date Fixed]])</f>
        <v>11</v>
      </c>
      <c r="I418" t="str">
        <f>TEXT(Europe_Sales_Records34[[#This Row],[Order Date Fixed]],"MMM")</f>
        <v>Aug</v>
      </c>
      <c r="J418">
        <f>YEAR(Europe_Sales_Records34[[#This Row],[Order Date Fixed]])</f>
        <v>2012</v>
      </c>
      <c r="K418" t="str">
        <f>TEXT(Europe_Sales_Records34[[#This Row],[Order Date Fixed]],"MMM-YYYY")</f>
        <v>Aug-2012</v>
      </c>
      <c r="L418">
        <v>103435266</v>
      </c>
      <c r="M418" s="2">
        <f t="shared" si="13"/>
        <v>41170</v>
      </c>
      <c r="N418">
        <f>DAY(Europe_Sales_Records34[[#This Row],[Ship Date Fixed]])</f>
        <v>18</v>
      </c>
      <c r="O418" t="str">
        <f>TEXT(Europe_Sales_Records34[[#This Row],[Ship Date Fixed]],"MMM")</f>
        <v>Sep</v>
      </c>
      <c r="P418">
        <f>YEAR(Europe_Sales_Records34[[#This Row],[Ship Date Fixed]])</f>
        <v>2012</v>
      </c>
      <c r="Q418" t="str">
        <f>TEXT(Europe_Sales_Records34[[#This Row],[Ship Date Fixed]],"MMM-YYYY")</f>
        <v>Sep-2012</v>
      </c>
      <c r="R418" t="s">
        <v>804</v>
      </c>
      <c r="S418" s="3">
        <f>Europe_Sales_Records34[[#This Row],[Ship Date Fixed]]-Europe_Sales_Records34[[#This Row],[Order Date Fixed]]</f>
        <v>38</v>
      </c>
      <c r="T418">
        <v>7648</v>
      </c>
      <c r="U418">
        <v>47.45</v>
      </c>
      <c r="V418">
        <v>31.79</v>
      </c>
      <c r="W418">
        <f>Europe_Sales_Records34[[#This Row],[Total Revenue]]/Europe_Sales_Records34[[#This Row],[Units Sold]]</f>
        <v>47.449999999999996</v>
      </c>
      <c r="X418">
        <v>362897.6</v>
      </c>
      <c r="Y418">
        <v>243129.92</v>
      </c>
      <c r="Z418" s="4">
        <f>Europe_Sales_Records34[[#This Row],[Total Profit]]/Europe_Sales_Records34[[#This Row],[Total Revenue]]</f>
        <v>0.33003161222339306</v>
      </c>
      <c r="AA418">
        <v>119767.67999999999</v>
      </c>
    </row>
    <row r="419" spans="1:27" x14ac:dyDescent="0.3">
      <c r="A419" t="s">
        <v>14</v>
      </c>
      <c r="B419" t="s">
        <v>169</v>
      </c>
      <c r="C419" t="s">
        <v>50</v>
      </c>
      <c r="D419" t="s">
        <v>17</v>
      </c>
      <c r="E419" t="s">
        <v>33</v>
      </c>
      <c r="F419" t="s">
        <v>805</v>
      </c>
      <c r="G419" s="2">
        <f t="shared" si="12"/>
        <v>42716</v>
      </c>
      <c r="H419">
        <f>DAY(Europe_Sales_Records34[[#This Row],[Order Date Fixed]])</f>
        <v>12</v>
      </c>
      <c r="I419" t="str">
        <f>TEXT(Europe_Sales_Records34[[#This Row],[Order Date Fixed]],"MMM")</f>
        <v>Dec</v>
      </c>
      <c r="J419">
        <f>YEAR(Europe_Sales_Records34[[#This Row],[Order Date Fixed]])</f>
        <v>2016</v>
      </c>
      <c r="K419" t="str">
        <f>TEXT(Europe_Sales_Records34[[#This Row],[Order Date Fixed]],"MMM-YYYY")</f>
        <v>Dec-2016</v>
      </c>
      <c r="L419">
        <v>863202941</v>
      </c>
      <c r="M419" s="2">
        <f t="shared" si="13"/>
        <v>42717</v>
      </c>
      <c r="N419">
        <f>DAY(Europe_Sales_Records34[[#This Row],[Ship Date Fixed]])</f>
        <v>13</v>
      </c>
      <c r="O419" t="str">
        <f>TEXT(Europe_Sales_Records34[[#This Row],[Ship Date Fixed]],"MMM")</f>
        <v>Dec</v>
      </c>
      <c r="P419">
        <f>YEAR(Europe_Sales_Records34[[#This Row],[Ship Date Fixed]])</f>
        <v>2016</v>
      </c>
      <c r="Q419" t="str">
        <f>TEXT(Europe_Sales_Records34[[#This Row],[Ship Date Fixed]],"MMM-YYYY")</f>
        <v>Dec-2016</v>
      </c>
      <c r="R419" t="s">
        <v>806</v>
      </c>
      <c r="S419" s="3">
        <f>Europe_Sales_Records34[[#This Row],[Ship Date Fixed]]-Europe_Sales_Records34[[#This Row],[Order Date Fixed]]</f>
        <v>1</v>
      </c>
      <c r="T419">
        <v>9787</v>
      </c>
      <c r="U419">
        <v>421.89</v>
      </c>
      <c r="V419">
        <v>364.69</v>
      </c>
      <c r="W419">
        <f>Europe_Sales_Records34[[#This Row],[Total Revenue]]/Europe_Sales_Records34[[#This Row],[Units Sold]]</f>
        <v>421.89000000000004</v>
      </c>
      <c r="X419">
        <v>4129037.43</v>
      </c>
      <c r="Y419">
        <v>3569221.03</v>
      </c>
      <c r="Z419" s="4">
        <f>Europe_Sales_Records34[[#This Row],[Total Profit]]/Europe_Sales_Records34[[#This Row],[Total Revenue]]</f>
        <v>0.13558036455000119</v>
      </c>
      <c r="AA419">
        <v>559816.4</v>
      </c>
    </row>
    <row r="420" spans="1:27" x14ac:dyDescent="0.3">
      <c r="A420" t="s">
        <v>14</v>
      </c>
      <c r="B420" t="s">
        <v>105</v>
      </c>
      <c r="C420" t="s">
        <v>22</v>
      </c>
      <c r="D420" t="s">
        <v>17</v>
      </c>
      <c r="E420" t="s">
        <v>24</v>
      </c>
      <c r="F420" t="s">
        <v>366</v>
      </c>
      <c r="G420" s="2">
        <f t="shared" si="12"/>
        <v>41706</v>
      </c>
      <c r="H420">
        <f>DAY(Europe_Sales_Records34[[#This Row],[Order Date Fixed]])</f>
        <v>8</v>
      </c>
      <c r="I420" t="str">
        <f>TEXT(Europe_Sales_Records34[[#This Row],[Order Date Fixed]],"MMM")</f>
        <v>Mar</v>
      </c>
      <c r="J420">
        <f>YEAR(Europe_Sales_Records34[[#This Row],[Order Date Fixed]])</f>
        <v>2014</v>
      </c>
      <c r="K420" t="str">
        <f>TEXT(Europe_Sales_Records34[[#This Row],[Order Date Fixed]],"MMM-YYYY")</f>
        <v>Mar-2014</v>
      </c>
      <c r="L420">
        <v>396552217</v>
      </c>
      <c r="M420" s="2">
        <f t="shared" si="13"/>
        <v>41753</v>
      </c>
      <c r="N420">
        <f>DAY(Europe_Sales_Records34[[#This Row],[Ship Date Fixed]])</f>
        <v>24</v>
      </c>
      <c r="O420" t="str">
        <f>TEXT(Europe_Sales_Records34[[#This Row],[Ship Date Fixed]],"MMM")</f>
        <v>Apr</v>
      </c>
      <c r="P420">
        <f>YEAR(Europe_Sales_Records34[[#This Row],[Ship Date Fixed]])</f>
        <v>2014</v>
      </c>
      <c r="Q420" t="str">
        <f>TEXT(Europe_Sales_Records34[[#This Row],[Ship Date Fixed]],"MMM-YYYY")</f>
        <v>Apr-2014</v>
      </c>
      <c r="R420" t="s">
        <v>558</v>
      </c>
      <c r="S420" s="3">
        <f>Europe_Sales_Records34[[#This Row],[Ship Date Fixed]]-Europe_Sales_Records34[[#This Row],[Order Date Fixed]]</f>
        <v>47</v>
      </c>
      <c r="T420">
        <v>7468</v>
      </c>
      <c r="U420">
        <v>109.28</v>
      </c>
      <c r="V420">
        <v>35.840000000000003</v>
      </c>
      <c r="W420">
        <f>Europe_Sales_Records34[[#This Row],[Total Revenue]]/Europe_Sales_Records34[[#This Row],[Units Sold]]</f>
        <v>109.28</v>
      </c>
      <c r="X420">
        <v>816103.04</v>
      </c>
      <c r="Y420">
        <v>267653.12</v>
      </c>
      <c r="Z420" s="4">
        <f>Europe_Sales_Records34[[#This Row],[Total Profit]]/Europe_Sales_Records34[[#This Row],[Total Revenue]]</f>
        <v>0.67203513909224011</v>
      </c>
      <c r="AA420">
        <v>548449.92000000004</v>
      </c>
    </row>
    <row r="421" spans="1:27" x14ac:dyDescent="0.3">
      <c r="A421" t="s">
        <v>14</v>
      </c>
      <c r="B421" t="s">
        <v>94</v>
      </c>
      <c r="C421" t="s">
        <v>75</v>
      </c>
      <c r="D421" t="s">
        <v>17</v>
      </c>
      <c r="E421" t="s">
        <v>24</v>
      </c>
      <c r="F421" t="s">
        <v>807</v>
      </c>
      <c r="G421" s="2">
        <f t="shared" si="12"/>
        <v>42130</v>
      </c>
      <c r="H421">
        <f>DAY(Europe_Sales_Records34[[#This Row],[Order Date Fixed]])</f>
        <v>6</v>
      </c>
      <c r="I421" t="str">
        <f>TEXT(Europe_Sales_Records34[[#This Row],[Order Date Fixed]],"MMM")</f>
        <v>May</v>
      </c>
      <c r="J421">
        <f>YEAR(Europe_Sales_Records34[[#This Row],[Order Date Fixed]])</f>
        <v>2015</v>
      </c>
      <c r="K421" t="str">
        <f>TEXT(Europe_Sales_Records34[[#This Row],[Order Date Fixed]],"MMM-YYYY")</f>
        <v>May-2015</v>
      </c>
      <c r="L421">
        <v>801352488</v>
      </c>
      <c r="M421" s="2">
        <f t="shared" si="13"/>
        <v>42147</v>
      </c>
      <c r="N421">
        <f>DAY(Europe_Sales_Records34[[#This Row],[Ship Date Fixed]])</f>
        <v>23</v>
      </c>
      <c r="O421" t="str">
        <f>TEXT(Europe_Sales_Records34[[#This Row],[Ship Date Fixed]],"MMM")</f>
        <v>May</v>
      </c>
      <c r="P421">
        <f>YEAR(Europe_Sales_Records34[[#This Row],[Ship Date Fixed]])</f>
        <v>2015</v>
      </c>
      <c r="Q421" t="str">
        <f>TEXT(Europe_Sales_Records34[[#This Row],[Ship Date Fixed]],"MMM-YYYY")</f>
        <v>May-2015</v>
      </c>
      <c r="R421" t="s">
        <v>808</v>
      </c>
      <c r="S421" s="3">
        <f>Europe_Sales_Records34[[#This Row],[Ship Date Fixed]]-Europe_Sales_Records34[[#This Row],[Order Date Fixed]]</f>
        <v>17</v>
      </c>
      <c r="T421">
        <v>6864</v>
      </c>
      <c r="U421">
        <v>437.2</v>
      </c>
      <c r="V421">
        <v>263.33</v>
      </c>
      <c r="W421">
        <f>Europe_Sales_Records34[[#This Row],[Total Revenue]]/Europe_Sales_Records34[[#This Row],[Units Sold]]</f>
        <v>437.2</v>
      </c>
      <c r="X421">
        <v>3000940.8</v>
      </c>
      <c r="Y421">
        <v>1807497.12</v>
      </c>
      <c r="Z421" s="4">
        <f>Europe_Sales_Records34[[#This Row],[Total Profit]]/Europe_Sales_Records34[[#This Row],[Total Revenue]]</f>
        <v>0.39768984446477584</v>
      </c>
      <c r="AA421">
        <v>1193443.68</v>
      </c>
    </row>
    <row r="422" spans="1:27" x14ac:dyDescent="0.3">
      <c r="A422" t="s">
        <v>14</v>
      </c>
      <c r="B422" t="s">
        <v>45</v>
      </c>
      <c r="C422" t="s">
        <v>37</v>
      </c>
      <c r="D422" t="s">
        <v>23</v>
      </c>
      <c r="E422" t="s">
        <v>54</v>
      </c>
      <c r="F422" t="s">
        <v>809</v>
      </c>
      <c r="G422" s="2">
        <f t="shared" si="12"/>
        <v>40823</v>
      </c>
      <c r="H422">
        <f>DAY(Europe_Sales_Records34[[#This Row],[Order Date Fixed]])</f>
        <v>7</v>
      </c>
      <c r="I422" t="str">
        <f>TEXT(Europe_Sales_Records34[[#This Row],[Order Date Fixed]],"MMM")</f>
        <v>Oct</v>
      </c>
      <c r="J422">
        <f>YEAR(Europe_Sales_Records34[[#This Row],[Order Date Fixed]])</f>
        <v>2011</v>
      </c>
      <c r="K422" t="str">
        <f>TEXT(Europe_Sales_Records34[[#This Row],[Order Date Fixed]],"MMM-YYYY")</f>
        <v>Oct-2011</v>
      </c>
      <c r="L422">
        <v>479234206</v>
      </c>
      <c r="M422" s="2">
        <f t="shared" si="13"/>
        <v>40861</v>
      </c>
      <c r="N422">
        <f>DAY(Europe_Sales_Records34[[#This Row],[Ship Date Fixed]])</f>
        <v>14</v>
      </c>
      <c r="O422" t="str">
        <f>TEXT(Europe_Sales_Records34[[#This Row],[Ship Date Fixed]],"MMM")</f>
        <v>Nov</v>
      </c>
      <c r="P422">
        <f>YEAR(Europe_Sales_Records34[[#This Row],[Ship Date Fixed]])</f>
        <v>2011</v>
      </c>
      <c r="Q422" t="str">
        <f>TEXT(Europe_Sales_Records34[[#This Row],[Ship Date Fixed]],"MMM-YYYY")</f>
        <v>Nov-2011</v>
      </c>
      <c r="R422" t="s">
        <v>168</v>
      </c>
      <c r="S422" s="3">
        <f>Europe_Sales_Records34[[#This Row],[Ship Date Fixed]]-Europe_Sales_Records34[[#This Row],[Order Date Fixed]]</f>
        <v>38</v>
      </c>
      <c r="T422">
        <v>4906</v>
      </c>
      <c r="U422">
        <v>9.33</v>
      </c>
      <c r="V422">
        <v>6.92</v>
      </c>
      <c r="W422">
        <f>Europe_Sales_Records34[[#This Row],[Total Revenue]]/Europe_Sales_Records34[[#This Row],[Units Sold]]</f>
        <v>9.33</v>
      </c>
      <c r="X422">
        <v>45772.98</v>
      </c>
      <c r="Y422">
        <v>33949.519999999997</v>
      </c>
      <c r="Z422" s="4">
        <f>Europe_Sales_Records34[[#This Row],[Total Profit]]/Europe_Sales_Records34[[#This Row],[Total Revenue]]</f>
        <v>0.25830653804930326</v>
      </c>
      <c r="AA422">
        <v>11823.46</v>
      </c>
    </row>
    <row r="423" spans="1:27" x14ac:dyDescent="0.3">
      <c r="A423" t="s">
        <v>14</v>
      </c>
      <c r="B423" t="s">
        <v>342</v>
      </c>
      <c r="C423" t="s">
        <v>50</v>
      </c>
      <c r="D423" t="s">
        <v>17</v>
      </c>
      <c r="E423" t="s">
        <v>24</v>
      </c>
      <c r="F423" t="s">
        <v>255</v>
      </c>
      <c r="G423" s="2">
        <f t="shared" si="12"/>
        <v>40228</v>
      </c>
      <c r="H423">
        <f>DAY(Europe_Sales_Records34[[#This Row],[Order Date Fixed]])</f>
        <v>19</v>
      </c>
      <c r="I423" t="str">
        <f>TEXT(Europe_Sales_Records34[[#This Row],[Order Date Fixed]],"MMM")</f>
        <v>Feb</v>
      </c>
      <c r="J423">
        <f>YEAR(Europe_Sales_Records34[[#This Row],[Order Date Fixed]])</f>
        <v>2010</v>
      </c>
      <c r="K423" t="str">
        <f>TEXT(Europe_Sales_Records34[[#This Row],[Order Date Fixed]],"MMM-YYYY")</f>
        <v>Feb-2010</v>
      </c>
      <c r="L423">
        <v>627003753</v>
      </c>
      <c r="M423" s="2">
        <f t="shared" si="13"/>
        <v>40263</v>
      </c>
      <c r="N423">
        <f>DAY(Europe_Sales_Records34[[#This Row],[Ship Date Fixed]])</f>
        <v>26</v>
      </c>
      <c r="O423" t="str">
        <f>TEXT(Europe_Sales_Records34[[#This Row],[Ship Date Fixed]],"MMM")</f>
        <v>Mar</v>
      </c>
      <c r="P423">
        <f>YEAR(Europe_Sales_Records34[[#This Row],[Ship Date Fixed]])</f>
        <v>2010</v>
      </c>
      <c r="Q423" t="str">
        <f>TEXT(Europe_Sales_Records34[[#This Row],[Ship Date Fixed]],"MMM-YYYY")</f>
        <v>Mar-2010</v>
      </c>
      <c r="R423" t="s">
        <v>222</v>
      </c>
      <c r="S423" s="3">
        <f>Europe_Sales_Records34[[#This Row],[Ship Date Fixed]]-Europe_Sales_Records34[[#This Row],[Order Date Fixed]]</f>
        <v>35</v>
      </c>
      <c r="T423">
        <v>3199</v>
      </c>
      <c r="U423">
        <v>421.89</v>
      </c>
      <c r="V423">
        <v>364.69</v>
      </c>
      <c r="W423">
        <f>Europe_Sales_Records34[[#This Row],[Total Revenue]]/Europe_Sales_Records34[[#This Row],[Units Sold]]</f>
        <v>421.89000000000004</v>
      </c>
      <c r="X423">
        <v>1349626.11</v>
      </c>
      <c r="Y423">
        <v>1166643.31</v>
      </c>
      <c r="Z423" s="4">
        <f>Europe_Sales_Records34[[#This Row],[Total Profit]]/Europe_Sales_Records34[[#This Row],[Total Revenue]]</f>
        <v>0.13558036455000116</v>
      </c>
      <c r="AA423">
        <v>182982.8</v>
      </c>
    </row>
    <row r="424" spans="1:27" x14ac:dyDescent="0.3">
      <c r="A424" t="s">
        <v>14</v>
      </c>
      <c r="B424" t="s">
        <v>163</v>
      </c>
      <c r="C424" t="s">
        <v>37</v>
      </c>
      <c r="D424" t="s">
        <v>17</v>
      </c>
      <c r="E424" t="s">
        <v>18</v>
      </c>
      <c r="F424" t="s">
        <v>657</v>
      </c>
      <c r="G424" s="2">
        <f t="shared" si="12"/>
        <v>42806</v>
      </c>
      <c r="H424">
        <f>DAY(Europe_Sales_Records34[[#This Row],[Order Date Fixed]])</f>
        <v>12</v>
      </c>
      <c r="I424" t="str">
        <f>TEXT(Europe_Sales_Records34[[#This Row],[Order Date Fixed]],"MMM")</f>
        <v>Mar</v>
      </c>
      <c r="J424">
        <f>YEAR(Europe_Sales_Records34[[#This Row],[Order Date Fixed]])</f>
        <v>2017</v>
      </c>
      <c r="K424" t="str">
        <f>TEXT(Europe_Sales_Records34[[#This Row],[Order Date Fixed]],"MMM-YYYY")</f>
        <v>Mar-2017</v>
      </c>
      <c r="L424">
        <v>393709933</v>
      </c>
      <c r="M424" s="2">
        <f t="shared" si="13"/>
        <v>42850</v>
      </c>
      <c r="N424">
        <f>DAY(Europe_Sales_Records34[[#This Row],[Ship Date Fixed]])</f>
        <v>25</v>
      </c>
      <c r="O424" t="str">
        <f>TEXT(Europe_Sales_Records34[[#This Row],[Ship Date Fixed]],"MMM")</f>
        <v>Apr</v>
      </c>
      <c r="P424">
        <f>YEAR(Europe_Sales_Records34[[#This Row],[Ship Date Fixed]])</f>
        <v>2017</v>
      </c>
      <c r="Q424" t="str">
        <f>TEXT(Europe_Sales_Records34[[#This Row],[Ship Date Fixed]],"MMM-YYYY")</f>
        <v>Apr-2017</v>
      </c>
      <c r="R424" t="s">
        <v>709</v>
      </c>
      <c r="S424" s="3">
        <f>Europe_Sales_Records34[[#This Row],[Ship Date Fixed]]-Europe_Sales_Records34[[#This Row],[Order Date Fixed]]</f>
        <v>44</v>
      </c>
      <c r="T424">
        <v>6373</v>
      </c>
      <c r="U424">
        <v>9.33</v>
      </c>
      <c r="V424">
        <v>6.92</v>
      </c>
      <c r="W424">
        <f>Europe_Sales_Records34[[#This Row],[Total Revenue]]/Europe_Sales_Records34[[#This Row],[Units Sold]]</f>
        <v>9.33</v>
      </c>
      <c r="X424">
        <v>59460.09</v>
      </c>
      <c r="Y424">
        <v>44101.16</v>
      </c>
      <c r="Z424" s="4">
        <f>Europe_Sales_Records34[[#This Row],[Total Profit]]/Europe_Sales_Records34[[#This Row],[Total Revenue]]</f>
        <v>0.25830653804930337</v>
      </c>
      <c r="AA424">
        <v>15358.93</v>
      </c>
    </row>
    <row r="425" spans="1:27" x14ac:dyDescent="0.3">
      <c r="A425" t="s">
        <v>14</v>
      </c>
      <c r="B425" t="s">
        <v>80</v>
      </c>
      <c r="C425" t="s">
        <v>16</v>
      </c>
      <c r="D425" t="s">
        <v>17</v>
      </c>
      <c r="E425" t="s">
        <v>33</v>
      </c>
      <c r="F425" t="s">
        <v>810</v>
      </c>
      <c r="G425" s="2">
        <f t="shared" si="12"/>
        <v>42420</v>
      </c>
      <c r="H425">
        <f>DAY(Europe_Sales_Records34[[#This Row],[Order Date Fixed]])</f>
        <v>20</v>
      </c>
      <c r="I425" t="str">
        <f>TEXT(Europe_Sales_Records34[[#This Row],[Order Date Fixed]],"MMM")</f>
        <v>Feb</v>
      </c>
      <c r="J425">
        <f>YEAR(Europe_Sales_Records34[[#This Row],[Order Date Fixed]])</f>
        <v>2016</v>
      </c>
      <c r="K425" t="str">
        <f>TEXT(Europe_Sales_Records34[[#This Row],[Order Date Fixed]],"MMM-YYYY")</f>
        <v>Feb-2016</v>
      </c>
      <c r="L425">
        <v>136624276</v>
      </c>
      <c r="M425" s="2">
        <f t="shared" si="13"/>
        <v>42437</v>
      </c>
      <c r="N425">
        <f>DAY(Europe_Sales_Records34[[#This Row],[Ship Date Fixed]])</f>
        <v>8</v>
      </c>
      <c r="O425" t="str">
        <f>TEXT(Europe_Sales_Records34[[#This Row],[Ship Date Fixed]],"MMM")</f>
        <v>Mar</v>
      </c>
      <c r="P425">
        <f>YEAR(Europe_Sales_Records34[[#This Row],[Ship Date Fixed]])</f>
        <v>2016</v>
      </c>
      <c r="Q425" t="str">
        <f>TEXT(Europe_Sales_Records34[[#This Row],[Ship Date Fixed]],"MMM-YYYY")</f>
        <v>Mar-2016</v>
      </c>
      <c r="R425" t="s">
        <v>811</v>
      </c>
      <c r="S425" s="3">
        <f>Europe_Sales_Records34[[#This Row],[Ship Date Fixed]]-Europe_Sales_Records34[[#This Row],[Order Date Fixed]]</f>
        <v>17</v>
      </c>
      <c r="T425">
        <v>9014</v>
      </c>
      <c r="U425">
        <v>47.45</v>
      </c>
      <c r="V425">
        <v>31.79</v>
      </c>
      <c r="W425">
        <f>Europe_Sales_Records34[[#This Row],[Total Revenue]]/Europe_Sales_Records34[[#This Row],[Units Sold]]</f>
        <v>47.449999999999996</v>
      </c>
      <c r="X425">
        <v>427714.3</v>
      </c>
      <c r="Y425">
        <v>286555.06</v>
      </c>
      <c r="Z425" s="4">
        <f>Europe_Sales_Records34[[#This Row],[Total Profit]]/Europe_Sales_Records34[[#This Row],[Total Revenue]]</f>
        <v>0.33003161222339306</v>
      </c>
      <c r="AA425">
        <v>141159.24</v>
      </c>
    </row>
    <row r="426" spans="1:27" x14ac:dyDescent="0.3">
      <c r="A426" t="s">
        <v>14</v>
      </c>
      <c r="B426" t="s">
        <v>94</v>
      </c>
      <c r="C426" t="s">
        <v>22</v>
      </c>
      <c r="D426" t="s">
        <v>23</v>
      </c>
      <c r="E426" t="s">
        <v>33</v>
      </c>
      <c r="F426" t="s">
        <v>812</v>
      </c>
      <c r="G426" s="2">
        <f t="shared" si="12"/>
        <v>40424</v>
      </c>
      <c r="H426">
        <f>DAY(Europe_Sales_Records34[[#This Row],[Order Date Fixed]])</f>
        <v>3</v>
      </c>
      <c r="I426" t="str">
        <f>TEXT(Europe_Sales_Records34[[#This Row],[Order Date Fixed]],"MMM")</f>
        <v>Sep</v>
      </c>
      <c r="J426">
        <f>YEAR(Europe_Sales_Records34[[#This Row],[Order Date Fixed]])</f>
        <v>2010</v>
      </c>
      <c r="K426" t="str">
        <f>TEXT(Europe_Sales_Records34[[#This Row],[Order Date Fixed]],"MMM-YYYY")</f>
        <v>Sep-2010</v>
      </c>
      <c r="L426">
        <v>251823222</v>
      </c>
      <c r="M426" s="2">
        <f t="shared" si="13"/>
        <v>40452</v>
      </c>
      <c r="N426">
        <f>DAY(Europe_Sales_Records34[[#This Row],[Ship Date Fixed]])</f>
        <v>1</v>
      </c>
      <c r="O426" t="str">
        <f>TEXT(Europe_Sales_Records34[[#This Row],[Ship Date Fixed]],"MMM")</f>
        <v>Oct</v>
      </c>
      <c r="P426">
        <f>YEAR(Europe_Sales_Records34[[#This Row],[Ship Date Fixed]])</f>
        <v>2010</v>
      </c>
      <c r="Q426" t="str">
        <f>TEXT(Europe_Sales_Records34[[#This Row],[Ship Date Fixed]],"MMM-YYYY")</f>
        <v>Oct-2010</v>
      </c>
      <c r="R426" t="s">
        <v>813</v>
      </c>
      <c r="S426" s="3">
        <f>Europe_Sales_Records34[[#This Row],[Ship Date Fixed]]-Europe_Sales_Records34[[#This Row],[Order Date Fixed]]</f>
        <v>28</v>
      </c>
      <c r="T426">
        <v>8942</v>
      </c>
      <c r="U426">
        <v>109.28</v>
      </c>
      <c r="V426">
        <v>35.840000000000003</v>
      </c>
      <c r="W426">
        <f>Europe_Sales_Records34[[#This Row],[Total Revenue]]/Europe_Sales_Records34[[#This Row],[Units Sold]]</f>
        <v>109.28</v>
      </c>
      <c r="X426">
        <v>977181.76</v>
      </c>
      <c r="Y426">
        <v>320481.28000000003</v>
      </c>
      <c r="Z426" s="4">
        <f>Europe_Sales_Records34[[#This Row],[Total Profit]]/Europe_Sales_Records34[[#This Row],[Total Revenue]]</f>
        <v>0.67203513909224011</v>
      </c>
      <c r="AA426">
        <v>656700.48</v>
      </c>
    </row>
    <row r="427" spans="1:27" x14ac:dyDescent="0.3">
      <c r="A427" t="s">
        <v>14</v>
      </c>
      <c r="B427" t="s">
        <v>181</v>
      </c>
      <c r="C427" t="s">
        <v>64</v>
      </c>
      <c r="D427" t="s">
        <v>17</v>
      </c>
      <c r="E427" t="s">
        <v>54</v>
      </c>
      <c r="F427" t="s">
        <v>814</v>
      </c>
      <c r="G427" s="2">
        <f t="shared" si="12"/>
        <v>41730</v>
      </c>
      <c r="H427">
        <f>DAY(Europe_Sales_Records34[[#This Row],[Order Date Fixed]])</f>
        <v>1</v>
      </c>
      <c r="I427" t="str">
        <f>TEXT(Europe_Sales_Records34[[#This Row],[Order Date Fixed]],"MMM")</f>
        <v>Apr</v>
      </c>
      <c r="J427">
        <f>YEAR(Europe_Sales_Records34[[#This Row],[Order Date Fixed]])</f>
        <v>2014</v>
      </c>
      <c r="K427" t="str">
        <f>TEXT(Europe_Sales_Records34[[#This Row],[Order Date Fixed]],"MMM-YYYY")</f>
        <v>Apr-2014</v>
      </c>
      <c r="L427">
        <v>200354850</v>
      </c>
      <c r="M427" s="2">
        <f t="shared" si="13"/>
        <v>41763</v>
      </c>
      <c r="N427">
        <f>DAY(Europe_Sales_Records34[[#This Row],[Ship Date Fixed]])</f>
        <v>4</v>
      </c>
      <c r="O427" t="str">
        <f>TEXT(Europe_Sales_Records34[[#This Row],[Ship Date Fixed]],"MMM")</f>
        <v>May</v>
      </c>
      <c r="P427">
        <f>YEAR(Europe_Sales_Records34[[#This Row],[Ship Date Fixed]])</f>
        <v>2014</v>
      </c>
      <c r="Q427" t="str">
        <f>TEXT(Europe_Sales_Records34[[#This Row],[Ship Date Fixed]],"MMM-YYYY")</f>
        <v>May-2014</v>
      </c>
      <c r="R427" t="s">
        <v>63</v>
      </c>
      <c r="S427" s="3">
        <f>Europe_Sales_Records34[[#This Row],[Ship Date Fixed]]-Europe_Sales_Records34[[#This Row],[Order Date Fixed]]</f>
        <v>33</v>
      </c>
      <c r="T427">
        <v>8307</v>
      </c>
      <c r="U427">
        <v>255.28</v>
      </c>
      <c r="V427">
        <v>159.41999999999999</v>
      </c>
      <c r="W427">
        <f>Europe_Sales_Records34[[#This Row],[Total Revenue]]/Europe_Sales_Records34[[#This Row],[Units Sold]]</f>
        <v>255.28</v>
      </c>
      <c r="X427">
        <v>2120610.96</v>
      </c>
      <c r="Y427">
        <v>1324301.94</v>
      </c>
      <c r="Z427" s="4">
        <f>Europe_Sales_Records34[[#This Row],[Total Profit]]/Europe_Sales_Records34[[#This Row],[Total Revenue]]</f>
        <v>0.37550924475086184</v>
      </c>
      <c r="AA427">
        <v>796309.02</v>
      </c>
    </row>
    <row r="428" spans="1:27" x14ac:dyDescent="0.3">
      <c r="A428" t="s">
        <v>14</v>
      </c>
      <c r="B428" t="s">
        <v>196</v>
      </c>
      <c r="C428" t="s">
        <v>50</v>
      </c>
      <c r="D428" t="s">
        <v>17</v>
      </c>
      <c r="E428" t="s">
        <v>54</v>
      </c>
      <c r="F428" t="s">
        <v>815</v>
      </c>
      <c r="G428" s="2">
        <f t="shared" si="12"/>
        <v>42857</v>
      </c>
      <c r="H428">
        <f>DAY(Europe_Sales_Records34[[#This Row],[Order Date Fixed]])</f>
        <v>2</v>
      </c>
      <c r="I428" t="str">
        <f>TEXT(Europe_Sales_Records34[[#This Row],[Order Date Fixed]],"MMM")</f>
        <v>May</v>
      </c>
      <c r="J428">
        <f>YEAR(Europe_Sales_Records34[[#This Row],[Order Date Fixed]])</f>
        <v>2017</v>
      </c>
      <c r="K428" t="str">
        <f>TEXT(Europe_Sales_Records34[[#This Row],[Order Date Fixed]],"MMM-YYYY")</f>
        <v>May-2017</v>
      </c>
      <c r="L428">
        <v>692757356</v>
      </c>
      <c r="M428" s="2">
        <f t="shared" si="13"/>
        <v>42867</v>
      </c>
      <c r="N428">
        <f>DAY(Europe_Sales_Records34[[#This Row],[Ship Date Fixed]])</f>
        <v>12</v>
      </c>
      <c r="O428" t="str">
        <f>TEXT(Europe_Sales_Records34[[#This Row],[Ship Date Fixed]],"MMM")</f>
        <v>May</v>
      </c>
      <c r="P428">
        <f>YEAR(Europe_Sales_Records34[[#This Row],[Ship Date Fixed]])</f>
        <v>2017</v>
      </c>
      <c r="Q428" t="str">
        <f>TEXT(Europe_Sales_Records34[[#This Row],[Ship Date Fixed]],"MMM-YYYY")</f>
        <v>May-2017</v>
      </c>
      <c r="R428" t="s">
        <v>816</v>
      </c>
      <c r="S428" s="3">
        <f>Europe_Sales_Records34[[#This Row],[Ship Date Fixed]]-Europe_Sales_Records34[[#This Row],[Order Date Fixed]]</f>
        <v>10</v>
      </c>
      <c r="T428">
        <v>1151</v>
      </c>
      <c r="U428">
        <v>421.89</v>
      </c>
      <c r="V428">
        <v>364.69</v>
      </c>
      <c r="W428">
        <f>Europe_Sales_Records34[[#This Row],[Total Revenue]]/Europe_Sales_Records34[[#This Row],[Units Sold]]</f>
        <v>421.89</v>
      </c>
      <c r="X428">
        <v>485595.39</v>
      </c>
      <c r="Y428">
        <v>419758.19</v>
      </c>
      <c r="Z428" s="4">
        <f>Europe_Sales_Records34[[#This Row],[Total Profit]]/Europe_Sales_Records34[[#This Row],[Total Revenue]]</f>
        <v>0.13558036455000116</v>
      </c>
      <c r="AA428">
        <v>65837.2</v>
      </c>
    </row>
    <row r="429" spans="1:27" x14ac:dyDescent="0.3">
      <c r="A429" t="s">
        <v>14</v>
      </c>
      <c r="B429" t="s">
        <v>92</v>
      </c>
      <c r="C429" t="s">
        <v>64</v>
      </c>
      <c r="D429" t="s">
        <v>17</v>
      </c>
      <c r="E429" t="s">
        <v>33</v>
      </c>
      <c r="F429" t="s">
        <v>817</v>
      </c>
      <c r="G429" s="2">
        <f t="shared" si="12"/>
        <v>41194</v>
      </c>
      <c r="H429">
        <f>DAY(Europe_Sales_Records34[[#This Row],[Order Date Fixed]])</f>
        <v>12</v>
      </c>
      <c r="I429" t="str">
        <f>TEXT(Europe_Sales_Records34[[#This Row],[Order Date Fixed]],"MMM")</f>
        <v>Oct</v>
      </c>
      <c r="J429">
        <f>YEAR(Europe_Sales_Records34[[#This Row],[Order Date Fixed]])</f>
        <v>2012</v>
      </c>
      <c r="K429" t="str">
        <f>TEXT(Europe_Sales_Records34[[#This Row],[Order Date Fixed]],"MMM-YYYY")</f>
        <v>Oct-2012</v>
      </c>
      <c r="L429">
        <v>651895511</v>
      </c>
      <c r="M429" s="2">
        <f t="shared" si="13"/>
        <v>41214</v>
      </c>
      <c r="N429">
        <f>DAY(Europe_Sales_Records34[[#This Row],[Ship Date Fixed]])</f>
        <v>1</v>
      </c>
      <c r="O429" t="str">
        <f>TEXT(Europe_Sales_Records34[[#This Row],[Ship Date Fixed]],"MMM")</f>
        <v>Nov</v>
      </c>
      <c r="P429">
        <f>YEAR(Europe_Sales_Records34[[#This Row],[Ship Date Fixed]])</f>
        <v>2012</v>
      </c>
      <c r="Q429" t="str">
        <f>TEXT(Europe_Sales_Records34[[#This Row],[Ship Date Fixed]],"MMM-YYYY")</f>
        <v>Nov-2012</v>
      </c>
      <c r="R429" t="s">
        <v>149</v>
      </c>
      <c r="S429" s="3">
        <f>Europe_Sales_Records34[[#This Row],[Ship Date Fixed]]-Europe_Sales_Records34[[#This Row],[Order Date Fixed]]</f>
        <v>20</v>
      </c>
      <c r="T429">
        <v>9223</v>
      </c>
      <c r="U429">
        <v>255.28</v>
      </c>
      <c r="V429">
        <v>159.41999999999999</v>
      </c>
      <c r="W429">
        <f>Europe_Sales_Records34[[#This Row],[Total Revenue]]/Europe_Sales_Records34[[#This Row],[Units Sold]]</f>
        <v>255.28</v>
      </c>
      <c r="X429">
        <v>2354447.44</v>
      </c>
      <c r="Y429">
        <v>1470330.66</v>
      </c>
      <c r="Z429" s="4">
        <f>Europe_Sales_Records34[[#This Row],[Total Profit]]/Europe_Sales_Records34[[#This Row],[Total Revenue]]</f>
        <v>0.37550924475086184</v>
      </c>
      <c r="AA429">
        <v>884116.78</v>
      </c>
    </row>
    <row r="430" spans="1:27" x14ac:dyDescent="0.3">
      <c r="A430" t="s">
        <v>14</v>
      </c>
      <c r="B430" t="s">
        <v>138</v>
      </c>
      <c r="C430" t="s">
        <v>22</v>
      </c>
      <c r="D430" t="s">
        <v>17</v>
      </c>
      <c r="E430" t="s">
        <v>18</v>
      </c>
      <c r="F430" t="s">
        <v>129</v>
      </c>
      <c r="G430" s="2">
        <f t="shared" si="12"/>
        <v>42547</v>
      </c>
      <c r="H430">
        <f>DAY(Europe_Sales_Records34[[#This Row],[Order Date Fixed]])</f>
        <v>26</v>
      </c>
      <c r="I430" t="str">
        <f>TEXT(Europe_Sales_Records34[[#This Row],[Order Date Fixed]],"MMM")</f>
        <v>Jun</v>
      </c>
      <c r="J430">
        <f>YEAR(Europe_Sales_Records34[[#This Row],[Order Date Fixed]])</f>
        <v>2016</v>
      </c>
      <c r="K430" t="str">
        <f>TEXT(Europe_Sales_Records34[[#This Row],[Order Date Fixed]],"MMM-YYYY")</f>
        <v>Jun-2016</v>
      </c>
      <c r="L430">
        <v>156158483</v>
      </c>
      <c r="M430" s="2">
        <f t="shared" si="13"/>
        <v>42587</v>
      </c>
      <c r="N430">
        <f>DAY(Europe_Sales_Records34[[#This Row],[Ship Date Fixed]])</f>
        <v>5</v>
      </c>
      <c r="O430" t="str">
        <f>TEXT(Europe_Sales_Records34[[#This Row],[Ship Date Fixed]],"MMM")</f>
        <v>Aug</v>
      </c>
      <c r="P430">
        <f>YEAR(Europe_Sales_Records34[[#This Row],[Ship Date Fixed]])</f>
        <v>2016</v>
      </c>
      <c r="Q430" t="str">
        <f>TEXT(Europe_Sales_Records34[[#This Row],[Ship Date Fixed]],"MMM-YYYY")</f>
        <v>Aug-2016</v>
      </c>
      <c r="R430" t="s">
        <v>818</v>
      </c>
      <c r="S430" s="3">
        <f>Europe_Sales_Records34[[#This Row],[Ship Date Fixed]]-Europe_Sales_Records34[[#This Row],[Order Date Fixed]]</f>
        <v>40</v>
      </c>
      <c r="T430">
        <v>9620</v>
      </c>
      <c r="U430">
        <v>109.28</v>
      </c>
      <c r="V430">
        <v>35.840000000000003</v>
      </c>
      <c r="W430">
        <f>Europe_Sales_Records34[[#This Row],[Total Revenue]]/Europe_Sales_Records34[[#This Row],[Units Sold]]</f>
        <v>109.28000000000002</v>
      </c>
      <c r="X430">
        <v>1051273.6000000001</v>
      </c>
      <c r="Y430">
        <v>344780.79999999999</v>
      </c>
      <c r="Z430" s="4">
        <f>Europe_Sales_Records34[[#This Row],[Total Profit]]/Europe_Sales_Records34[[#This Row],[Total Revenue]]</f>
        <v>0.67203513909224011</v>
      </c>
      <c r="AA430">
        <v>706492.8</v>
      </c>
    </row>
    <row r="431" spans="1:27" x14ac:dyDescent="0.3">
      <c r="A431" t="s">
        <v>14</v>
      </c>
      <c r="B431" t="s">
        <v>83</v>
      </c>
      <c r="C431" t="s">
        <v>58</v>
      </c>
      <c r="D431" t="s">
        <v>17</v>
      </c>
      <c r="E431" t="s">
        <v>18</v>
      </c>
      <c r="F431" t="s">
        <v>819</v>
      </c>
      <c r="G431" s="2">
        <f t="shared" si="12"/>
        <v>41596</v>
      </c>
      <c r="H431">
        <f>DAY(Europe_Sales_Records34[[#This Row],[Order Date Fixed]])</f>
        <v>18</v>
      </c>
      <c r="I431" t="str">
        <f>TEXT(Europe_Sales_Records34[[#This Row],[Order Date Fixed]],"MMM")</f>
        <v>Nov</v>
      </c>
      <c r="J431">
        <f>YEAR(Europe_Sales_Records34[[#This Row],[Order Date Fixed]])</f>
        <v>2013</v>
      </c>
      <c r="K431" t="str">
        <f>TEXT(Europe_Sales_Records34[[#This Row],[Order Date Fixed]],"MMM-YYYY")</f>
        <v>Nov-2013</v>
      </c>
      <c r="L431">
        <v>703966844</v>
      </c>
      <c r="M431" s="2">
        <f t="shared" si="13"/>
        <v>41608</v>
      </c>
      <c r="N431">
        <f>DAY(Europe_Sales_Records34[[#This Row],[Ship Date Fixed]])</f>
        <v>30</v>
      </c>
      <c r="O431" t="str">
        <f>TEXT(Europe_Sales_Records34[[#This Row],[Ship Date Fixed]],"MMM")</f>
        <v>Nov</v>
      </c>
      <c r="P431">
        <f>YEAR(Europe_Sales_Records34[[#This Row],[Ship Date Fixed]])</f>
        <v>2013</v>
      </c>
      <c r="Q431" t="str">
        <f>TEXT(Europe_Sales_Records34[[#This Row],[Ship Date Fixed]],"MMM-YYYY")</f>
        <v>Nov-2013</v>
      </c>
      <c r="R431" t="s">
        <v>820</v>
      </c>
      <c r="S431" s="3">
        <f>Europe_Sales_Records34[[#This Row],[Ship Date Fixed]]-Europe_Sales_Records34[[#This Row],[Order Date Fixed]]</f>
        <v>12</v>
      </c>
      <c r="T431">
        <v>8288</v>
      </c>
      <c r="U431">
        <v>152.58000000000001</v>
      </c>
      <c r="V431">
        <v>97.44</v>
      </c>
      <c r="W431">
        <f>Europe_Sales_Records34[[#This Row],[Total Revenue]]/Europe_Sales_Records34[[#This Row],[Units Sold]]</f>
        <v>152.58000000000001</v>
      </c>
      <c r="X431">
        <v>1264583.04</v>
      </c>
      <c r="Y431">
        <v>807582.71999999997</v>
      </c>
      <c r="Z431" s="4">
        <f>Europe_Sales_Records34[[#This Row],[Total Profit]]/Europe_Sales_Records34[[#This Row],[Total Revenue]]</f>
        <v>0.36138419189933152</v>
      </c>
      <c r="AA431">
        <v>457000.32</v>
      </c>
    </row>
    <row r="432" spans="1:27" x14ac:dyDescent="0.3">
      <c r="A432" t="s">
        <v>14</v>
      </c>
      <c r="B432" t="s">
        <v>97</v>
      </c>
      <c r="C432" t="s">
        <v>71</v>
      </c>
      <c r="D432" t="s">
        <v>17</v>
      </c>
      <c r="E432" t="s">
        <v>33</v>
      </c>
      <c r="F432" t="s">
        <v>821</v>
      </c>
      <c r="G432" s="2">
        <f t="shared" si="12"/>
        <v>42777</v>
      </c>
      <c r="H432">
        <f>DAY(Europe_Sales_Records34[[#This Row],[Order Date Fixed]])</f>
        <v>11</v>
      </c>
      <c r="I432" t="str">
        <f>TEXT(Europe_Sales_Records34[[#This Row],[Order Date Fixed]],"MMM")</f>
        <v>Feb</v>
      </c>
      <c r="J432">
        <f>YEAR(Europe_Sales_Records34[[#This Row],[Order Date Fixed]])</f>
        <v>2017</v>
      </c>
      <c r="K432" t="str">
        <f>TEXT(Europe_Sales_Records34[[#This Row],[Order Date Fixed]],"MMM-YYYY")</f>
        <v>Feb-2017</v>
      </c>
      <c r="L432">
        <v>736240041</v>
      </c>
      <c r="M432" s="2">
        <f t="shared" si="13"/>
        <v>42786</v>
      </c>
      <c r="N432">
        <f>DAY(Europe_Sales_Records34[[#This Row],[Ship Date Fixed]])</f>
        <v>20</v>
      </c>
      <c r="O432" t="str">
        <f>TEXT(Europe_Sales_Records34[[#This Row],[Ship Date Fixed]],"MMM")</f>
        <v>Feb</v>
      </c>
      <c r="P432">
        <f>YEAR(Europe_Sales_Records34[[#This Row],[Ship Date Fixed]])</f>
        <v>2017</v>
      </c>
      <c r="Q432" t="str">
        <f>TEXT(Europe_Sales_Records34[[#This Row],[Ship Date Fixed]],"MMM-YYYY")</f>
        <v>Feb-2017</v>
      </c>
      <c r="R432" t="s">
        <v>822</v>
      </c>
      <c r="S432" s="3">
        <f>Europe_Sales_Records34[[#This Row],[Ship Date Fixed]]-Europe_Sales_Records34[[#This Row],[Order Date Fixed]]</f>
        <v>9</v>
      </c>
      <c r="T432">
        <v>8644</v>
      </c>
      <c r="U432">
        <v>668.27</v>
      </c>
      <c r="V432">
        <v>502.54</v>
      </c>
      <c r="W432">
        <f>Europe_Sales_Records34[[#This Row],[Total Revenue]]/Europe_Sales_Records34[[#This Row],[Units Sold]]</f>
        <v>668.27</v>
      </c>
      <c r="X432">
        <v>5776525.8799999999</v>
      </c>
      <c r="Y432">
        <v>4343955.76</v>
      </c>
      <c r="Z432" s="4">
        <f>Europe_Sales_Records34[[#This Row],[Total Profit]]/Europe_Sales_Records34[[#This Row],[Total Revenue]]</f>
        <v>0.24799856345489102</v>
      </c>
      <c r="AA432">
        <v>1432570.12</v>
      </c>
    </row>
    <row r="433" spans="1:27" x14ac:dyDescent="0.3">
      <c r="A433" t="s">
        <v>14</v>
      </c>
      <c r="B433" t="s">
        <v>40</v>
      </c>
      <c r="C433" t="s">
        <v>75</v>
      </c>
      <c r="D433" t="s">
        <v>23</v>
      </c>
      <c r="E433" t="s">
        <v>18</v>
      </c>
      <c r="F433" t="s">
        <v>823</v>
      </c>
      <c r="G433" s="2">
        <f t="shared" si="12"/>
        <v>42146</v>
      </c>
      <c r="H433">
        <f>DAY(Europe_Sales_Records34[[#This Row],[Order Date Fixed]])</f>
        <v>22</v>
      </c>
      <c r="I433" t="str">
        <f>TEXT(Europe_Sales_Records34[[#This Row],[Order Date Fixed]],"MMM")</f>
        <v>May</v>
      </c>
      <c r="J433">
        <f>YEAR(Europe_Sales_Records34[[#This Row],[Order Date Fixed]])</f>
        <v>2015</v>
      </c>
      <c r="K433" t="str">
        <f>TEXT(Europe_Sales_Records34[[#This Row],[Order Date Fixed]],"MMM-YYYY")</f>
        <v>May-2015</v>
      </c>
      <c r="L433">
        <v>357434880</v>
      </c>
      <c r="M433" s="2">
        <f t="shared" si="13"/>
        <v>42184</v>
      </c>
      <c r="N433">
        <f>DAY(Europe_Sales_Records34[[#This Row],[Ship Date Fixed]])</f>
        <v>29</v>
      </c>
      <c r="O433" t="str">
        <f>TEXT(Europe_Sales_Records34[[#This Row],[Ship Date Fixed]],"MMM")</f>
        <v>Jun</v>
      </c>
      <c r="P433">
        <f>YEAR(Europe_Sales_Records34[[#This Row],[Ship Date Fixed]])</f>
        <v>2015</v>
      </c>
      <c r="Q433" t="str">
        <f>TEXT(Europe_Sales_Records34[[#This Row],[Ship Date Fixed]],"MMM-YYYY")</f>
        <v>Jun-2015</v>
      </c>
      <c r="R433" t="s">
        <v>824</v>
      </c>
      <c r="S433" s="3">
        <f>Europe_Sales_Records34[[#This Row],[Ship Date Fixed]]-Europe_Sales_Records34[[#This Row],[Order Date Fixed]]</f>
        <v>38</v>
      </c>
      <c r="T433">
        <v>1779</v>
      </c>
      <c r="U433">
        <v>437.2</v>
      </c>
      <c r="V433">
        <v>263.33</v>
      </c>
      <c r="W433">
        <f>Europe_Sales_Records34[[#This Row],[Total Revenue]]/Europe_Sales_Records34[[#This Row],[Units Sold]]</f>
        <v>437.20000000000005</v>
      </c>
      <c r="X433">
        <v>777778.8</v>
      </c>
      <c r="Y433">
        <v>468464.07</v>
      </c>
      <c r="Z433" s="4">
        <f>Europe_Sales_Records34[[#This Row],[Total Profit]]/Europe_Sales_Records34[[#This Row],[Total Revenue]]</f>
        <v>0.39768984446477579</v>
      </c>
      <c r="AA433">
        <v>309314.73</v>
      </c>
    </row>
    <row r="434" spans="1:27" x14ac:dyDescent="0.3">
      <c r="A434" t="s">
        <v>14</v>
      </c>
      <c r="B434" t="s">
        <v>70</v>
      </c>
      <c r="C434" t="s">
        <v>22</v>
      </c>
      <c r="D434" t="s">
        <v>17</v>
      </c>
      <c r="E434" t="s">
        <v>54</v>
      </c>
      <c r="F434" t="s">
        <v>825</v>
      </c>
      <c r="G434" s="2">
        <f t="shared" si="12"/>
        <v>42231</v>
      </c>
      <c r="H434">
        <f>DAY(Europe_Sales_Records34[[#This Row],[Order Date Fixed]])</f>
        <v>15</v>
      </c>
      <c r="I434" t="str">
        <f>TEXT(Europe_Sales_Records34[[#This Row],[Order Date Fixed]],"MMM")</f>
        <v>Aug</v>
      </c>
      <c r="J434">
        <f>YEAR(Europe_Sales_Records34[[#This Row],[Order Date Fixed]])</f>
        <v>2015</v>
      </c>
      <c r="K434" t="str">
        <f>TEXT(Europe_Sales_Records34[[#This Row],[Order Date Fixed]],"MMM-YYYY")</f>
        <v>Aug-2015</v>
      </c>
      <c r="L434">
        <v>358624064</v>
      </c>
      <c r="M434" s="2">
        <f t="shared" si="13"/>
        <v>42280</v>
      </c>
      <c r="N434">
        <f>DAY(Europe_Sales_Records34[[#This Row],[Ship Date Fixed]])</f>
        <v>3</v>
      </c>
      <c r="O434" t="str">
        <f>TEXT(Europe_Sales_Records34[[#This Row],[Ship Date Fixed]],"MMM")</f>
        <v>Oct</v>
      </c>
      <c r="P434">
        <f>YEAR(Europe_Sales_Records34[[#This Row],[Ship Date Fixed]])</f>
        <v>2015</v>
      </c>
      <c r="Q434" t="str">
        <f>TEXT(Europe_Sales_Records34[[#This Row],[Ship Date Fixed]],"MMM-YYYY")</f>
        <v>Oct-2015</v>
      </c>
      <c r="R434" t="s">
        <v>826</v>
      </c>
      <c r="S434" s="3">
        <f>Europe_Sales_Records34[[#This Row],[Ship Date Fixed]]-Europe_Sales_Records34[[#This Row],[Order Date Fixed]]</f>
        <v>49</v>
      </c>
      <c r="T434">
        <v>3685</v>
      </c>
      <c r="U434">
        <v>109.28</v>
      </c>
      <c r="V434">
        <v>35.840000000000003</v>
      </c>
      <c r="W434">
        <f>Europe_Sales_Records34[[#This Row],[Total Revenue]]/Europe_Sales_Records34[[#This Row],[Units Sold]]</f>
        <v>109.28</v>
      </c>
      <c r="X434">
        <v>402696.8</v>
      </c>
      <c r="Y434">
        <v>132070.39999999999</v>
      </c>
      <c r="Z434" s="4">
        <f>Europe_Sales_Records34[[#This Row],[Total Profit]]/Europe_Sales_Records34[[#This Row],[Total Revenue]]</f>
        <v>0.67203513909224022</v>
      </c>
      <c r="AA434">
        <v>270626.40000000002</v>
      </c>
    </row>
    <row r="435" spans="1:27" x14ac:dyDescent="0.3">
      <c r="A435" t="s">
        <v>14</v>
      </c>
      <c r="B435" t="s">
        <v>166</v>
      </c>
      <c r="C435" t="s">
        <v>46</v>
      </c>
      <c r="D435" t="s">
        <v>23</v>
      </c>
      <c r="E435" t="s">
        <v>24</v>
      </c>
      <c r="F435" t="s">
        <v>827</v>
      </c>
      <c r="G435" s="2">
        <f t="shared" si="12"/>
        <v>40859</v>
      </c>
      <c r="H435">
        <f>DAY(Europe_Sales_Records34[[#This Row],[Order Date Fixed]])</f>
        <v>12</v>
      </c>
      <c r="I435" t="str">
        <f>TEXT(Europe_Sales_Records34[[#This Row],[Order Date Fixed]],"MMM")</f>
        <v>Nov</v>
      </c>
      <c r="J435">
        <f>YEAR(Europe_Sales_Records34[[#This Row],[Order Date Fixed]])</f>
        <v>2011</v>
      </c>
      <c r="K435" t="str">
        <f>TEXT(Europe_Sales_Records34[[#This Row],[Order Date Fixed]],"MMM-YYYY")</f>
        <v>Nov-2011</v>
      </c>
      <c r="L435">
        <v>103762280</v>
      </c>
      <c r="M435" s="2">
        <f t="shared" si="13"/>
        <v>40891</v>
      </c>
      <c r="N435">
        <f>DAY(Europe_Sales_Records34[[#This Row],[Ship Date Fixed]])</f>
        <v>14</v>
      </c>
      <c r="O435" t="str">
        <f>TEXT(Europe_Sales_Records34[[#This Row],[Ship Date Fixed]],"MMM")</f>
        <v>Dec</v>
      </c>
      <c r="P435">
        <f>YEAR(Europe_Sales_Records34[[#This Row],[Ship Date Fixed]])</f>
        <v>2011</v>
      </c>
      <c r="Q435" t="str">
        <f>TEXT(Europe_Sales_Records34[[#This Row],[Ship Date Fixed]],"MMM-YYYY")</f>
        <v>Dec-2011</v>
      </c>
      <c r="R435" t="s">
        <v>828</v>
      </c>
      <c r="S435" s="3">
        <f>Europe_Sales_Records34[[#This Row],[Ship Date Fixed]]-Europe_Sales_Records34[[#This Row],[Order Date Fixed]]</f>
        <v>32</v>
      </c>
      <c r="T435">
        <v>4419</v>
      </c>
      <c r="U435">
        <v>154.06</v>
      </c>
      <c r="V435">
        <v>90.93</v>
      </c>
      <c r="W435">
        <f>Europe_Sales_Records34[[#This Row],[Total Revenue]]/Europe_Sales_Records34[[#This Row],[Units Sold]]</f>
        <v>154.06</v>
      </c>
      <c r="X435">
        <v>680791.14</v>
      </c>
      <c r="Y435">
        <v>401819.67</v>
      </c>
      <c r="Z435" s="4">
        <f>Europe_Sales_Records34[[#This Row],[Total Profit]]/Europe_Sales_Records34[[#This Row],[Total Revenue]]</f>
        <v>0.40977541217707381</v>
      </c>
      <c r="AA435">
        <v>278971.46999999997</v>
      </c>
    </row>
    <row r="436" spans="1:27" x14ac:dyDescent="0.3">
      <c r="A436" t="s">
        <v>14</v>
      </c>
      <c r="B436" t="s">
        <v>97</v>
      </c>
      <c r="C436" t="s">
        <v>64</v>
      </c>
      <c r="D436" t="s">
        <v>17</v>
      </c>
      <c r="E436" t="s">
        <v>24</v>
      </c>
      <c r="F436" t="s">
        <v>829</v>
      </c>
      <c r="G436" s="2">
        <f t="shared" si="12"/>
        <v>41345</v>
      </c>
      <c r="H436">
        <f>DAY(Europe_Sales_Records34[[#This Row],[Order Date Fixed]])</f>
        <v>12</v>
      </c>
      <c r="I436" t="str">
        <f>TEXT(Europe_Sales_Records34[[#This Row],[Order Date Fixed]],"MMM")</f>
        <v>Mar</v>
      </c>
      <c r="J436">
        <f>YEAR(Europe_Sales_Records34[[#This Row],[Order Date Fixed]])</f>
        <v>2013</v>
      </c>
      <c r="K436" t="str">
        <f>TEXT(Europe_Sales_Records34[[#This Row],[Order Date Fixed]],"MMM-YYYY")</f>
        <v>Mar-2013</v>
      </c>
      <c r="L436">
        <v>144743001</v>
      </c>
      <c r="M436" s="2">
        <f t="shared" si="13"/>
        <v>41385</v>
      </c>
      <c r="N436">
        <f>DAY(Europe_Sales_Records34[[#This Row],[Ship Date Fixed]])</f>
        <v>21</v>
      </c>
      <c r="O436" t="str">
        <f>TEXT(Europe_Sales_Records34[[#This Row],[Ship Date Fixed]],"MMM")</f>
        <v>Apr</v>
      </c>
      <c r="P436">
        <f>YEAR(Europe_Sales_Records34[[#This Row],[Ship Date Fixed]])</f>
        <v>2013</v>
      </c>
      <c r="Q436" t="str">
        <f>TEXT(Europe_Sales_Records34[[#This Row],[Ship Date Fixed]],"MMM-YYYY")</f>
        <v>Apr-2013</v>
      </c>
      <c r="R436" t="s">
        <v>717</v>
      </c>
      <c r="S436" s="3">
        <f>Europe_Sales_Records34[[#This Row],[Ship Date Fixed]]-Europe_Sales_Records34[[#This Row],[Order Date Fixed]]</f>
        <v>40</v>
      </c>
      <c r="T436">
        <v>1525</v>
      </c>
      <c r="U436">
        <v>255.28</v>
      </c>
      <c r="V436">
        <v>159.41999999999999</v>
      </c>
      <c r="W436">
        <f>Europe_Sales_Records34[[#This Row],[Total Revenue]]/Europe_Sales_Records34[[#This Row],[Units Sold]]</f>
        <v>255.28</v>
      </c>
      <c r="X436">
        <v>389302</v>
      </c>
      <c r="Y436">
        <v>243115.5</v>
      </c>
      <c r="Z436" s="4">
        <f>Europe_Sales_Records34[[#This Row],[Total Profit]]/Europe_Sales_Records34[[#This Row],[Total Revenue]]</f>
        <v>0.37550924475086178</v>
      </c>
      <c r="AA436">
        <v>146186.5</v>
      </c>
    </row>
    <row r="437" spans="1:27" x14ac:dyDescent="0.3">
      <c r="A437" t="s">
        <v>14</v>
      </c>
      <c r="B437" t="s">
        <v>223</v>
      </c>
      <c r="C437" t="s">
        <v>16</v>
      </c>
      <c r="D437" t="s">
        <v>23</v>
      </c>
      <c r="E437" t="s">
        <v>33</v>
      </c>
      <c r="F437" t="s">
        <v>821</v>
      </c>
      <c r="G437" s="2">
        <f t="shared" si="12"/>
        <v>42777</v>
      </c>
      <c r="H437">
        <f>DAY(Europe_Sales_Records34[[#This Row],[Order Date Fixed]])</f>
        <v>11</v>
      </c>
      <c r="I437" t="str">
        <f>TEXT(Europe_Sales_Records34[[#This Row],[Order Date Fixed]],"MMM")</f>
        <v>Feb</v>
      </c>
      <c r="J437">
        <f>YEAR(Europe_Sales_Records34[[#This Row],[Order Date Fixed]])</f>
        <v>2017</v>
      </c>
      <c r="K437" t="str">
        <f>TEXT(Europe_Sales_Records34[[#This Row],[Order Date Fixed]],"MMM-YYYY")</f>
        <v>Feb-2017</v>
      </c>
      <c r="L437">
        <v>439204919</v>
      </c>
      <c r="M437" s="2">
        <f t="shared" si="13"/>
        <v>42785</v>
      </c>
      <c r="N437">
        <f>DAY(Europe_Sales_Records34[[#This Row],[Ship Date Fixed]])</f>
        <v>19</v>
      </c>
      <c r="O437" t="str">
        <f>TEXT(Europe_Sales_Records34[[#This Row],[Ship Date Fixed]],"MMM")</f>
        <v>Feb</v>
      </c>
      <c r="P437">
        <f>YEAR(Europe_Sales_Records34[[#This Row],[Ship Date Fixed]])</f>
        <v>2017</v>
      </c>
      <c r="Q437" t="str">
        <f>TEXT(Europe_Sales_Records34[[#This Row],[Ship Date Fixed]],"MMM-YYYY")</f>
        <v>Feb-2017</v>
      </c>
      <c r="R437" t="s">
        <v>830</v>
      </c>
      <c r="S437" s="3">
        <f>Europe_Sales_Records34[[#This Row],[Ship Date Fixed]]-Europe_Sales_Records34[[#This Row],[Order Date Fixed]]</f>
        <v>8</v>
      </c>
      <c r="T437">
        <v>9350</v>
      </c>
      <c r="U437">
        <v>47.45</v>
      </c>
      <c r="V437">
        <v>31.79</v>
      </c>
      <c r="W437">
        <f>Europe_Sales_Records34[[#This Row],[Total Revenue]]/Europe_Sales_Records34[[#This Row],[Units Sold]]</f>
        <v>47.45</v>
      </c>
      <c r="X437">
        <v>443657.5</v>
      </c>
      <c r="Y437">
        <v>297236.5</v>
      </c>
      <c r="Z437" s="4">
        <f>Europe_Sales_Records34[[#This Row],[Total Profit]]/Europe_Sales_Records34[[#This Row],[Total Revenue]]</f>
        <v>0.33003161222339306</v>
      </c>
      <c r="AA437">
        <v>146421</v>
      </c>
    </row>
    <row r="438" spans="1:27" x14ac:dyDescent="0.3">
      <c r="A438" t="s">
        <v>14</v>
      </c>
      <c r="B438" t="s">
        <v>100</v>
      </c>
      <c r="C438" t="s">
        <v>37</v>
      </c>
      <c r="D438" t="s">
        <v>17</v>
      </c>
      <c r="E438" t="s">
        <v>18</v>
      </c>
      <c r="F438" t="s">
        <v>831</v>
      </c>
      <c r="G438" s="2">
        <f t="shared" si="12"/>
        <v>40212</v>
      </c>
      <c r="H438">
        <f>DAY(Europe_Sales_Records34[[#This Row],[Order Date Fixed]])</f>
        <v>3</v>
      </c>
      <c r="I438" t="str">
        <f>TEXT(Europe_Sales_Records34[[#This Row],[Order Date Fixed]],"MMM")</f>
        <v>Feb</v>
      </c>
      <c r="J438">
        <f>YEAR(Europe_Sales_Records34[[#This Row],[Order Date Fixed]])</f>
        <v>2010</v>
      </c>
      <c r="K438" t="str">
        <f>TEXT(Europe_Sales_Records34[[#This Row],[Order Date Fixed]],"MMM-YYYY")</f>
        <v>Feb-2010</v>
      </c>
      <c r="L438">
        <v>114954173</v>
      </c>
      <c r="M438" s="2">
        <f t="shared" si="13"/>
        <v>40220</v>
      </c>
      <c r="N438">
        <f>DAY(Europe_Sales_Records34[[#This Row],[Ship Date Fixed]])</f>
        <v>11</v>
      </c>
      <c r="O438" t="str">
        <f>TEXT(Europe_Sales_Records34[[#This Row],[Ship Date Fixed]],"MMM")</f>
        <v>Feb</v>
      </c>
      <c r="P438">
        <f>YEAR(Europe_Sales_Records34[[#This Row],[Ship Date Fixed]])</f>
        <v>2010</v>
      </c>
      <c r="Q438" t="str">
        <f>TEXT(Europe_Sales_Records34[[#This Row],[Ship Date Fixed]],"MMM-YYYY")</f>
        <v>Feb-2010</v>
      </c>
      <c r="R438" t="s">
        <v>832</v>
      </c>
      <c r="S438" s="3">
        <f>Europe_Sales_Records34[[#This Row],[Ship Date Fixed]]-Europe_Sales_Records34[[#This Row],[Order Date Fixed]]</f>
        <v>8</v>
      </c>
      <c r="T438">
        <v>6349</v>
      </c>
      <c r="U438">
        <v>9.33</v>
      </c>
      <c r="V438">
        <v>6.92</v>
      </c>
      <c r="W438">
        <f>Europe_Sales_Records34[[#This Row],[Total Revenue]]/Europe_Sales_Records34[[#This Row],[Units Sold]]</f>
        <v>9.33</v>
      </c>
      <c r="X438">
        <v>59236.17</v>
      </c>
      <c r="Y438">
        <v>43935.08</v>
      </c>
      <c r="Z438" s="4">
        <f>Europe_Sales_Records34[[#This Row],[Total Profit]]/Europe_Sales_Records34[[#This Row],[Total Revenue]]</f>
        <v>0.25830653804930331</v>
      </c>
      <c r="AA438">
        <v>15301.09</v>
      </c>
    </row>
    <row r="439" spans="1:27" x14ac:dyDescent="0.3">
      <c r="A439" t="s">
        <v>14</v>
      </c>
      <c r="B439" t="s">
        <v>115</v>
      </c>
      <c r="C439" t="s">
        <v>16</v>
      </c>
      <c r="D439" t="s">
        <v>17</v>
      </c>
      <c r="E439" t="s">
        <v>33</v>
      </c>
      <c r="F439" t="s">
        <v>451</v>
      </c>
      <c r="G439" s="2">
        <f t="shared" si="12"/>
        <v>41265</v>
      </c>
      <c r="H439">
        <f>DAY(Europe_Sales_Records34[[#This Row],[Order Date Fixed]])</f>
        <v>22</v>
      </c>
      <c r="I439" t="str">
        <f>TEXT(Europe_Sales_Records34[[#This Row],[Order Date Fixed]],"MMM")</f>
        <v>Dec</v>
      </c>
      <c r="J439">
        <f>YEAR(Europe_Sales_Records34[[#This Row],[Order Date Fixed]])</f>
        <v>2012</v>
      </c>
      <c r="K439" t="str">
        <f>TEXT(Europe_Sales_Records34[[#This Row],[Order Date Fixed]],"MMM-YYYY")</f>
        <v>Dec-2012</v>
      </c>
      <c r="L439">
        <v>238170993</v>
      </c>
      <c r="M439" s="2">
        <f t="shared" si="13"/>
        <v>41312</v>
      </c>
      <c r="N439">
        <f>DAY(Europe_Sales_Records34[[#This Row],[Ship Date Fixed]])</f>
        <v>7</v>
      </c>
      <c r="O439" t="str">
        <f>TEXT(Europe_Sales_Records34[[#This Row],[Ship Date Fixed]],"MMM")</f>
        <v>Feb</v>
      </c>
      <c r="P439">
        <f>YEAR(Europe_Sales_Records34[[#This Row],[Ship Date Fixed]])</f>
        <v>2013</v>
      </c>
      <c r="Q439" t="str">
        <f>TEXT(Europe_Sales_Records34[[#This Row],[Ship Date Fixed]],"MMM-YYYY")</f>
        <v>Feb-2013</v>
      </c>
      <c r="R439" t="s">
        <v>833</v>
      </c>
      <c r="S439" s="3">
        <f>Europe_Sales_Records34[[#This Row],[Ship Date Fixed]]-Europe_Sales_Records34[[#This Row],[Order Date Fixed]]</f>
        <v>47</v>
      </c>
      <c r="T439">
        <v>8944</v>
      </c>
      <c r="U439">
        <v>47.45</v>
      </c>
      <c r="V439">
        <v>31.79</v>
      </c>
      <c r="W439">
        <f>Europe_Sales_Records34[[#This Row],[Total Revenue]]/Europe_Sales_Records34[[#This Row],[Units Sold]]</f>
        <v>47.449999999999996</v>
      </c>
      <c r="X439">
        <v>424392.8</v>
      </c>
      <c r="Y439">
        <v>284329.76</v>
      </c>
      <c r="Z439" s="4">
        <f>Europe_Sales_Records34[[#This Row],[Total Profit]]/Europe_Sales_Records34[[#This Row],[Total Revenue]]</f>
        <v>0.33003161222339306</v>
      </c>
      <c r="AA439">
        <v>140063.04000000001</v>
      </c>
    </row>
    <row r="440" spans="1:27" x14ac:dyDescent="0.3">
      <c r="A440" t="s">
        <v>14</v>
      </c>
      <c r="B440" t="s">
        <v>185</v>
      </c>
      <c r="C440" t="s">
        <v>22</v>
      </c>
      <c r="D440" t="s">
        <v>23</v>
      </c>
      <c r="E440" t="s">
        <v>24</v>
      </c>
      <c r="F440" t="s">
        <v>376</v>
      </c>
      <c r="G440" s="2">
        <f t="shared" si="12"/>
        <v>41001</v>
      </c>
      <c r="H440">
        <f>DAY(Europe_Sales_Records34[[#This Row],[Order Date Fixed]])</f>
        <v>2</v>
      </c>
      <c r="I440" t="str">
        <f>TEXT(Europe_Sales_Records34[[#This Row],[Order Date Fixed]],"MMM")</f>
        <v>Apr</v>
      </c>
      <c r="J440">
        <f>YEAR(Europe_Sales_Records34[[#This Row],[Order Date Fixed]])</f>
        <v>2012</v>
      </c>
      <c r="K440" t="str">
        <f>TEXT(Europe_Sales_Records34[[#This Row],[Order Date Fixed]],"MMM-YYYY")</f>
        <v>Apr-2012</v>
      </c>
      <c r="L440">
        <v>134790503</v>
      </c>
      <c r="M440" s="2">
        <f t="shared" si="13"/>
        <v>41025</v>
      </c>
      <c r="N440">
        <f>DAY(Europe_Sales_Records34[[#This Row],[Ship Date Fixed]])</f>
        <v>26</v>
      </c>
      <c r="O440" t="str">
        <f>TEXT(Europe_Sales_Records34[[#This Row],[Ship Date Fixed]],"MMM")</f>
        <v>Apr</v>
      </c>
      <c r="P440">
        <f>YEAR(Europe_Sales_Records34[[#This Row],[Ship Date Fixed]])</f>
        <v>2012</v>
      </c>
      <c r="Q440" t="str">
        <f>TEXT(Europe_Sales_Records34[[#This Row],[Ship Date Fixed]],"MMM-YYYY")</f>
        <v>Apr-2012</v>
      </c>
      <c r="R440" t="s">
        <v>834</v>
      </c>
      <c r="S440" s="3">
        <f>Europe_Sales_Records34[[#This Row],[Ship Date Fixed]]-Europe_Sales_Records34[[#This Row],[Order Date Fixed]]</f>
        <v>24</v>
      </c>
      <c r="T440">
        <v>6360</v>
      </c>
      <c r="U440">
        <v>109.28</v>
      </c>
      <c r="V440">
        <v>35.840000000000003</v>
      </c>
      <c r="W440">
        <f>Europe_Sales_Records34[[#This Row],[Total Revenue]]/Europe_Sales_Records34[[#This Row],[Units Sold]]</f>
        <v>109.28</v>
      </c>
      <c r="X440">
        <v>695020.8</v>
      </c>
      <c r="Y440">
        <v>227942.39999999999</v>
      </c>
      <c r="Z440" s="4">
        <f>Europe_Sales_Records34[[#This Row],[Total Profit]]/Europe_Sales_Records34[[#This Row],[Total Revenue]]</f>
        <v>0.67203513909224011</v>
      </c>
      <c r="AA440">
        <v>467078.40000000002</v>
      </c>
    </row>
    <row r="441" spans="1:27" x14ac:dyDescent="0.3">
      <c r="A441" t="s">
        <v>14</v>
      </c>
      <c r="B441" t="s">
        <v>40</v>
      </c>
      <c r="C441" t="s">
        <v>46</v>
      </c>
      <c r="D441" t="s">
        <v>23</v>
      </c>
      <c r="E441" t="s">
        <v>54</v>
      </c>
      <c r="F441" t="s">
        <v>835</v>
      </c>
      <c r="G441" s="2">
        <f t="shared" si="12"/>
        <v>41363</v>
      </c>
      <c r="H441">
        <f>DAY(Europe_Sales_Records34[[#This Row],[Order Date Fixed]])</f>
        <v>30</v>
      </c>
      <c r="I441" t="str">
        <f>TEXT(Europe_Sales_Records34[[#This Row],[Order Date Fixed]],"MMM")</f>
        <v>Mar</v>
      </c>
      <c r="J441">
        <f>YEAR(Europe_Sales_Records34[[#This Row],[Order Date Fixed]])</f>
        <v>2013</v>
      </c>
      <c r="K441" t="str">
        <f>TEXT(Europe_Sales_Records34[[#This Row],[Order Date Fixed]],"MMM-YYYY")</f>
        <v>Mar-2013</v>
      </c>
      <c r="L441">
        <v>409112679</v>
      </c>
      <c r="M441" s="2">
        <f t="shared" si="13"/>
        <v>41412</v>
      </c>
      <c r="N441">
        <f>DAY(Europe_Sales_Records34[[#This Row],[Ship Date Fixed]])</f>
        <v>18</v>
      </c>
      <c r="O441" t="str">
        <f>TEXT(Europe_Sales_Records34[[#This Row],[Ship Date Fixed]],"MMM")</f>
        <v>May</v>
      </c>
      <c r="P441">
        <f>YEAR(Europe_Sales_Records34[[#This Row],[Ship Date Fixed]])</f>
        <v>2013</v>
      </c>
      <c r="Q441" t="str">
        <f>TEXT(Europe_Sales_Records34[[#This Row],[Ship Date Fixed]],"MMM-YYYY")</f>
        <v>May-2013</v>
      </c>
      <c r="R441" t="s">
        <v>836</v>
      </c>
      <c r="S441" s="3">
        <f>Europe_Sales_Records34[[#This Row],[Ship Date Fixed]]-Europe_Sales_Records34[[#This Row],[Order Date Fixed]]</f>
        <v>49</v>
      </c>
      <c r="T441">
        <v>4388</v>
      </c>
      <c r="U441">
        <v>154.06</v>
      </c>
      <c r="V441">
        <v>90.93</v>
      </c>
      <c r="W441">
        <f>Europe_Sales_Records34[[#This Row],[Total Revenue]]/Europe_Sales_Records34[[#This Row],[Units Sold]]</f>
        <v>154.06</v>
      </c>
      <c r="X441">
        <v>676015.28</v>
      </c>
      <c r="Y441">
        <v>399000.84</v>
      </c>
      <c r="Z441" s="4">
        <f>Europe_Sales_Records34[[#This Row],[Total Profit]]/Europe_Sales_Records34[[#This Row],[Total Revenue]]</f>
        <v>0.40977541217707386</v>
      </c>
      <c r="AA441">
        <v>277014.44</v>
      </c>
    </row>
    <row r="442" spans="1:27" x14ac:dyDescent="0.3">
      <c r="A442" t="s">
        <v>14</v>
      </c>
      <c r="B442" t="s">
        <v>185</v>
      </c>
      <c r="C442" t="s">
        <v>50</v>
      </c>
      <c r="D442" t="s">
        <v>17</v>
      </c>
      <c r="E442" t="s">
        <v>54</v>
      </c>
      <c r="F442" t="s">
        <v>837</v>
      </c>
      <c r="G442" s="2">
        <f t="shared" si="12"/>
        <v>41474</v>
      </c>
      <c r="H442">
        <f>DAY(Europe_Sales_Records34[[#This Row],[Order Date Fixed]])</f>
        <v>19</v>
      </c>
      <c r="I442" t="str">
        <f>TEXT(Europe_Sales_Records34[[#This Row],[Order Date Fixed]],"MMM")</f>
        <v>Jul</v>
      </c>
      <c r="J442">
        <f>YEAR(Europe_Sales_Records34[[#This Row],[Order Date Fixed]])</f>
        <v>2013</v>
      </c>
      <c r="K442" t="str">
        <f>TEXT(Europe_Sales_Records34[[#This Row],[Order Date Fixed]],"MMM-YYYY")</f>
        <v>Jul-2013</v>
      </c>
      <c r="L442">
        <v>727175891</v>
      </c>
      <c r="M442" s="2">
        <f t="shared" si="13"/>
        <v>41524</v>
      </c>
      <c r="N442">
        <f>DAY(Europe_Sales_Records34[[#This Row],[Ship Date Fixed]])</f>
        <v>7</v>
      </c>
      <c r="O442" t="str">
        <f>TEXT(Europe_Sales_Records34[[#This Row],[Ship Date Fixed]],"MMM")</f>
        <v>Sep</v>
      </c>
      <c r="P442">
        <f>YEAR(Europe_Sales_Records34[[#This Row],[Ship Date Fixed]])</f>
        <v>2013</v>
      </c>
      <c r="Q442" t="str">
        <f>TEXT(Europe_Sales_Records34[[#This Row],[Ship Date Fixed]],"MMM-YYYY")</f>
        <v>Sep-2013</v>
      </c>
      <c r="R442" t="s">
        <v>838</v>
      </c>
      <c r="S442" s="3">
        <f>Europe_Sales_Records34[[#This Row],[Ship Date Fixed]]-Europe_Sales_Records34[[#This Row],[Order Date Fixed]]</f>
        <v>50</v>
      </c>
      <c r="T442">
        <v>6360</v>
      </c>
      <c r="U442">
        <v>421.89</v>
      </c>
      <c r="V442">
        <v>364.69</v>
      </c>
      <c r="W442">
        <f>Europe_Sales_Records34[[#This Row],[Total Revenue]]/Europe_Sales_Records34[[#This Row],[Units Sold]]</f>
        <v>421.89</v>
      </c>
      <c r="X442">
        <v>2683220.4</v>
      </c>
      <c r="Y442">
        <v>2319428.4</v>
      </c>
      <c r="Z442" s="4">
        <f>Europe_Sales_Records34[[#This Row],[Total Profit]]/Europe_Sales_Records34[[#This Row],[Total Revenue]]</f>
        <v>0.13558036455000119</v>
      </c>
      <c r="AA442">
        <v>363792</v>
      </c>
    </row>
    <row r="443" spans="1:27" x14ac:dyDescent="0.3">
      <c r="A443" t="s">
        <v>14</v>
      </c>
      <c r="B443" t="s">
        <v>169</v>
      </c>
      <c r="C443" t="s">
        <v>75</v>
      </c>
      <c r="D443" t="s">
        <v>23</v>
      </c>
      <c r="E443" t="s">
        <v>33</v>
      </c>
      <c r="F443" t="s">
        <v>839</v>
      </c>
      <c r="G443" s="2">
        <f t="shared" si="12"/>
        <v>41208</v>
      </c>
      <c r="H443">
        <f>DAY(Europe_Sales_Records34[[#This Row],[Order Date Fixed]])</f>
        <v>26</v>
      </c>
      <c r="I443" t="str">
        <f>TEXT(Europe_Sales_Records34[[#This Row],[Order Date Fixed]],"MMM")</f>
        <v>Oct</v>
      </c>
      <c r="J443">
        <f>YEAR(Europe_Sales_Records34[[#This Row],[Order Date Fixed]])</f>
        <v>2012</v>
      </c>
      <c r="K443" t="str">
        <f>TEXT(Europe_Sales_Records34[[#This Row],[Order Date Fixed]],"MMM-YYYY")</f>
        <v>Oct-2012</v>
      </c>
      <c r="L443">
        <v>638593900</v>
      </c>
      <c r="M443" s="2">
        <f t="shared" si="13"/>
        <v>41255</v>
      </c>
      <c r="N443">
        <f>DAY(Europe_Sales_Records34[[#This Row],[Ship Date Fixed]])</f>
        <v>12</v>
      </c>
      <c r="O443" t="str">
        <f>TEXT(Europe_Sales_Records34[[#This Row],[Ship Date Fixed]],"MMM")</f>
        <v>Dec</v>
      </c>
      <c r="P443">
        <f>YEAR(Europe_Sales_Records34[[#This Row],[Ship Date Fixed]])</f>
        <v>2012</v>
      </c>
      <c r="Q443" t="str">
        <f>TEXT(Europe_Sales_Records34[[#This Row],[Ship Date Fixed]],"MMM-YYYY")</f>
        <v>Dec-2012</v>
      </c>
      <c r="R443" t="s">
        <v>840</v>
      </c>
      <c r="S443" s="3">
        <f>Europe_Sales_Records34[[#This Row],[Ship Date Fixed]]-Europe_Sales_Records34[[#This Row],[Order Date Fixed]]</f>
        <v>47</v>
      </c>
      <c r="T443">
        <v>2981</v>
      </c>
      <c r="U443">
        <v>437.2</v>
      </c>
      <c r="V443">
        <v>263.33</v>
      </c>
      <c r="W443">
        <f>Europe_Sales_Records34[[#This Row],[Total Revenue]]/Europe_Sales_Records34[[#This Row],[Units Sold]]</f>
        <v>437.2</v>
      </c>
      <c r="X443">
        <v>1303293.2</v>
      </c>
      <c r="Y443">
        <v>784986.73</v>
      </c>
      <c r="Z443" s="4">
        <f>Europe_Sales_Records34[[#This Row],[Total Profit]]/Europe_Sales_Records34[[#This Row],[Total Revenue]]</f>
        <v>0.39768984446477584</v>
      </c>
      <c r="AA443">
        <v>518306.47</v>
      </c>
    </row>
    <row r="444" spans="1:27" x14ac:dyDescent="0.3">
      <c r="A444" t="s">
        <v>14</v>
      </c>
      <c r="B444" t="s">
        <v>141</v>
      </c>
      <c r="C444" t="s">
        <v>16</v>
      </c>
      <c r="D444" t="s">
        <v>17</v>
      </c>
      <c r="E444" t="s">
        <v>54</v>
      </c>
      <c r="F444" t="s">
        <v>841</v>
      </c>
      <c r="G444" s="2">
        <f t="shared" si="12"/>
        <v>41392</v>
      </c>
      <c r="H444">
        <f>DAY(Europe_Sales_Records34[[#This Row],[Order Date Fixed]])</f>
        <v>28</v>
      </c>
      <c r="I444" t="str">
        <f>TEXT(Europe_Sales_Records34[[#This Row],[Order Date Fixed]],"MMM")</f>
        <v>Apr</v>
      </c>
      <c r="J444">
        <f>YEAR(Europe_Sales_Records34[[#This Row],[Order Date Fixed]])</f>
        <v>2013</v>
      </c>
      <c r="K444" t="str">
        <f>TEXT(Europe_Sales_Records34[[#This Row],[Order Date Fixed]],"MMM-YYYY")</f>
        <v>Apr-2013</v>
      </c>
      <c r="L444">
        <v>833473765</v>
      </c>
      <c r="M444" s="2">
        <f t="shared" si="13"/>
        <v>41419</v>
      </c>
      <c r="N444">
        <f>DAY(Europe_Sales_Records34[[#This Row],[Ship Date Fixed]])</f>
        <v>25</v>
      </c>
      <c r="O444" t="str">
        <f>TEXT(Europe_Sales_Records34[[#This Row],[Ship Date Fixed]],"MMM")</f>
        <v>May</v>
      </c>
      <c r="P444">
        <f>YEAR(Europe_Sales_Records34[[#This Row],[Ship Date Fixed]])</f>
        <v>2013</v>
      </c>
      <c r="Q444" t="str">
        <f>TEXT(Europe_Sales_Records34[[#This Row],[Ship Date Fixed]],"MMM-YYYY")</f>
        <v>May-2013</v>
      </c>
      <c r="R444" t="s">
        <v>842</v>
      </c>
      <c r="S444" s="3">
        <f>Europe_Sales_Records34[[#This Row],[Ship Date Fixed]]-Europe_Sales_Records34[[#This Row],[Order Date Fixed]]</f>
        <v>27</v>
      </c>
      <c r="T444">
        <v>2264</v>
      </c>
      <c r="U444">
        <v>47.45</v>
      </c>
      <c r="V444">
        <v>31.79</v>
      </c>
      <c r="W444">
        <f>Europe_Sales_Records34[[#This Row],[Total Revenue]]/Europe_Sales_Records34[[#This Row],[Units Sold]]</f>
        <v>47.45</v>
      </c>
      <c r="X444">
        <v>107426.8</v>
      </c>
      <c r="Y444">
        <v>71972.56</v>
      </c>
      <c r="Z444" s="4">
        <f>Europe_Sales_Records34[[#This Row],[Total Profit]]/Europe_Sales_Records34[[#This Row],[Total Revenue]]</f>
        <v>0.330031612223393</v>
      </c>
      <c r="AA444">
        <v>35454.239999999998</v>
      </c>
    </row>
    <row r="445" spans="1:27" x14ac:dyDescent="0.3">
      <c r="A445" t="s">
        <v>14</v>
      </c>
      <c r="B445" t="s">
        <v>127</v>
      </c>
      <c r="C445" t="s">
        <v>75</v>
      </c>
      <c r="D445" t="s">
        <v>17</v>
      </c>
      <c r="E445" t="s">
        <v>24</v>
      </c>
      <c r="F445" t="s">
        <v>843</v>
      </c>
      <c r="G445" s="2">
        <f t="shared" si="12"/>
        <v>41828</v>
      </c>
      <c r="H445">
        <f>DAY(Europe_Sales_Records34[[#This Row],[Order Date Fixed]])</f>
        <v>8</v>
      </c>
      <c r="I445" t="str">
        <f>TEXT(Europe_Sales_Records34[[#This Row],[Order Date Fixed]],"MMM")</f>
        <v>Jul</v>
      </c>
      <c r="J445">
        <f>YEAR(Europe_Sales_Records34[[#This Row],[Order Date Fixed]])</f>
        <v>2014</v>
      </c>
      <c r="K445" t="str">
        <f>TEXT(Europe_Sales_Records34[[#This Row],[Order Date Fixed]],"MMM-YYYY")</f>
        <v>Jul-2014</v>
      </c>
      <c r="L445">
        <v>606224572</v>
      </c>
      <c r="M445" s="2">
        <f t="shared" si="13"/>
        <v>41835</v>
      </c>
      <c r="N445">
        <f>DAY(Europe_Sales_Records34[[#This Row],[Ship Date Fixed]])</f>
        <v>15</v>
      </c>
      <c r="O445" t="str">
        <f>TEXT(Europe_Sales_Records34[[#This Row],[Ship Date Fixed]],"MMM")</f>
        <v>Jul</v>
      </c>
      <c r="P445">
        <f>YEAR(Europe_Sales_Records34[[#This Row],[Ship Date Fixed]])</f>
        <v>2014</v>
      </c>
      <c r="Q445" t="str">
        <f>TEXT(Europe_Sales_Records34[[#This Row],[Ship Date Fixed]],"MMM-YYYY")</f>
        <v>Jul-2014</v>
      </c>
      <c r="R445" t="s">
        <v>844</v>
      </c>
      <c r="S445" s="3">
        <f>Europe_Sales_Records34[[#This Row],[Ship Date Fixed]]-Europe_Sales_Records34[[#This Row],[Order Date Fixed]]</f>
        <v>7</v>
      </c>
      <c r="T445">
        <v>4177</v>
      </c>
      <c r="U445">
        <v>437.2</v>
      </c>
      <c r="V445">
        <v>263.33</v>
      </c>
      <c r="W445">
        <f>Europe_Sales_Records34[[#This Row],[Total Revenue]]/Europe_Sales_Records34[[#This Row],[Units Sold]]</f>
        <v>437.2</v>
      </c>
      <c r="X445">
        <v>1826184.4</v>
      </c>
      <c r="Y445">
        <v>1099929.4099999999</v>
      </c>
      <c r="Z445" s="4">
        <f>Europe_Sales_Records34[[#This Row],[Total Profit]]/Europe_Sales_Records34[[#This Row],[Total Revenue]]</f>
        <v>0.39768984446477584</v>
      </c>
      <c r="AA445">
        <v>726254.99</v>
      </c>
    </row>
    <row r="446" spans="1:27" x14ac:dyDescent="0.3">
      <c r="A446" t="s">
        <v>14</v>
      </c>
      <c r="B446" t="s">
        <v>105</v>
      </c>
      <c r="C446" t="s">
        <v>22</v>
      </c>
      <c r="D446" t="s">
        <v>23</v>
      </c>
      <c r="E446" t="s">
        <v>54</v>
      </c>
      <c r="F446" t="s">
        <v>139</v>
      </c>
      <c r="G446" s="2">
        <f t="shared" si="12"/>
        <v>40914</v>
      </c>
      <c r="H446">
        <f>DAY(Europe_Sales_Records34[[#This Row],[Order Date Fixed]])</f>
        <v>6</v>
      </c>
      <c r="I446" t="str">
        <f>TEXT(Europe_Sales_Records34[[#This Row],[Order Date Fixed]],"MMM")</f>
        <v>Jan</v>
      </c>
      <c r="J446">
        <f>YEAR(Europe_Sales_Records34[[#This Row],[Order Date Fixed]])</f>
        <v>2012</v>
      </c>
      <c r="K446" t="str">
        <f>TEXT(Europe_Sales_Records34[[#This Row],[Order Date Fixed]],"MMM-YYYY")</f>
        <v>Jan-2012</v>
      </c>
      <c r="L446">
        <v>325314033</v>
      </c>
      <c r="M446" s="2">
        <f t="shared" si="13"/>
        <v>40938</v>
      </c>
      <c r="N446">
        <f>DAY(Europe_Sales_Records34[[#This Row],[Ship Date Fixed]])</f>
        <v>30</v>
      </c>
      <c r="O446" t="str">
        <f>TEXT(Europe_Sales_Records34[[#This Row],[Ship Date Fixed]],"MMM")</f>
        <v>Jan</v>
      </c>
      <c r="P446">
        <f>YEAR(Europe_Sales_Records34[[#This Row],[Ship Date Fixed]])</f>
        <v>2012</v>
      </c>
      <c r="Q446" t="str">
        <f>TEXT(Europe_Sales_Records34[[#This Row],[Ship Date Fixed]],"MMM-YYYY")</f>
        <v>Jan-2012</v>
      </c>
      <c r="R446" t="s">
        <v>845</v>
      </c>
      <c r="S446" s="3">
        <f>Europe_Sales_Records34[[#This Row],[Ship Date Fixed]]-Europe_Sales_Records34[[#This Row],[Order Date Fixed]]</f>
        <v>24</v>
      </c>
      <c r="T446">
        <v>6506</v>
      </c>
      <c r="U446">
        <v>109.28</v>
      </c>
      <c r="V446">
        <v>35.840000000000003</v>
      </c>
      <c r="W446">
        <f>Europe_Sales_Records34[[#This Row],[Total Revenue]]/Europe_Sales_Records34[[#This Row],[Units Sold]]</f>
        <v>109.28</v>
      </c>
      <c r="X446">
        <v>710975.68</v>
      </c>
      <c r="Y446">
        <v>233175.04000000001</v>
      </c>
      <c r="Z446" s="4">
        <f>Europe_Sales_Records34[[#This Row],[Total Profit]]/Europe_Sales_Records34[[#This Row],[Total Revenue]]</f>
        <v>0.67203513909224011</v>
      </c>
      <c r="AA446">
        <v>477800.64</v>
      </c>
    </row>
    <row r="447" spans="1:27" x14ac:dyDescent="0.3">
      <c r="A447" t="s">
        <v>14</v>
      </c>
      <c r="B447" t="s">
        <v>132</v>
      </c>
      <c r="C447" t="s">
        <v>50</v>
      </c>
      <c r="D447" t="s">
        <v>17</v>
      </c>
      <c r="E447" t="s">
        <v>24</v>
      </c>
      <c r="F447" t="s">
        <v>846</v>
      </c>
      <c r="G447" s="2">
        <f t="shared" si="12"/>
        <v>41232</v>
      </c>
      <c r="H447">
        <f>DAY(Europe_Sales_Records34[[#This Row],[Order Date Fixed]])</f>
        <v>19</v>
      </c>
      <c r="I447" t="str">
        <f>TEXT(Europe_Sales_Records34[[#This Row],[Order Date Fixed]],"MMM")</f>
        <v>Nov</v>
      </c>
      <c r="J447">
        <f>YEAR(Europe_Sales_Records34[[#This Row],[Order Date Fixed]])</f>
        <v>2012</v>
      </c>
      <c r="K447" t="str">
        <f>TEXT(Europe_Sales_Records34[[#This Row],[Order Date Fixed]],"MMM-YYYY")</f>
        <v>Nov-2012</v>
      </c>
      <c r="L447">
        <v>159805858</v>
      </c>
      <c r="M447" s="2">
        <f t="shared" si="13"/>
        <v>41260</v>
      </c>
      <c r="N447">
        <f>DAY(Europe_Sales_Records34[[#This Row],[Ship Date Fixed]])</f>
        <v>17</v>
      </c>
      <c r="O447" t="str">
        <f>TEXT(Europe_Sales_Records34[[#This Row],[Ship Date Fixed]],"MMM")</f>
        <v>Dec</v>
      </c>
      <c r="P447">
        <f>YEAR(Europe_Sales_Records34[[#This Row],[Ship Date Fixed]])</f>
        <v>2012</v>
      </c>
      <c r="Q447" t="str">
        <f>TEXT(Europe_Sales_Records34[[#This Row],[Ship Date Fixed]],"MMM-YYYY")</f>
        <v>Dec-2012</v>
      </c>
      <c r="R447" t="s">
        <v>847</v>
      </c>
      <c r="S447" s="3">
        <f>Europe_Sales_Records34[[#This Row],[Ship Date Fixed]]-Europe_Sales_Records34[[#This Row],[Order Date Fixed]]</f>
        <v>28</v>
      </c>
      <c r="T447">
        <v>8959</v>
      </c>
      <c r="U447">
        <v>421.89</v>
      </c>
      <c r="V447">
        <v>364.69</v>
      </c>
      <c r="W447">
        <f>Europe_Sales_Records34[[#This Row],[Total Revenue]]/Europe_Sales_Records34[[#This Row],[Units Sold]]</f>
        <v>421.89</v>
      </c>
      <c r="X447">
        <v>3779712.51</v>
      </c>
      <c r="Y447">
        <v>3267257.71</v>
      </c>
      <c r="Z447" s="4">
        <f>Europe_Sales_Records34[[#This Row],[Total Profit]]/Europe_Sales_Records34[[#This Row],[Total Revenue]]</f>
        <v>0.13558036455000119</v>
      </c>
      <c r="AA447">
        <v>512454.8</v>
      </c>
    </row>
    <row r="448" spans="1:27" x14ac:dyDescent="0.3">
      <c r="A448" t="s">
        <v>14</v>
      </c>
      <c r="B448" t="s">
        <v>49</v>
      </c>
      <c r="C448" t="s">
        <v>58</v>
      </c>
      <c r="D448" t="s">
        <v>23</v>
      </c>
      <c r="E448" t="s">
        <v>54</v>
      </c>
      <c r="F448" t="s">
        <v>848</v>
      </c>
      <c r="G448" s="2">
        <f t="shared" si="12"/>
        <v>41005</v>
      </c>
      <c r="H448">
        <f>DAY(Europe_Sales_Records34[[#This Row],[Order Date Fixed]])</f>
        <v>6</v>
      </c>
      <c r="I448" t="str">
        <f>TEXT(Europe_Sales_Records34[[#This Row],[Order Date Fixed]],"MMM")</f>
        <v>Apr</v>
      </c>
      <c r="J448">
        <f>YEAR(Europe_Sales_Records34[[#This Row],[Order Date Fixed]])</f>
        <v>2012</v>
      </c>
      <c r="K448" t="str">
        <f>TEXT(Europe_Sales_Records34[[#This Row],[Order Date Fixed]],"MMM-YYYY")</f>
        <v>Apr-2012</v>
      </c>
      <c r="L448">
        <v>722248780</v>
      </c>
      <c r="M448" s="2">
        <f t="shared" si="13"/>
        <v>41007</v>
      </c>
      <c r="N448">
        <f>DAY(Europe_Sales_Records34[[#This Row],[Ship Date Fixed]])</f>
        <v>8</v>
      </c>
      <c r="O448" t="str">
        <f>TEXT(Europe_Sales_Records34[[#This Row],[Ship Date Fixed]],"MMM")</f>
        <v>Apr</v>
      </c>
      <c r="P448">
        <f>YEAR(Europe_Sales_Records34[[#This Row],[Ship Date Fixed]])</f>
        <v>2012</v>
      </c>
      <c r="Q448" t="str">
        <f>TEXT(Europe_Sales_Records34[[#This Row],[Ship Date Fixed]],"MMM-YYYY")</f>
        <v>Apr-2012</v>
      </c>
      <c r="R448" t="s">
        <v>849</v>
      </c>
      <c r="S448" s="3">
        <f>Europe_Sales_Records34[[#This Row],[Ship Date Fixed]]-Europe_Sales_Records34[[#This Row],[Order Date Fixed]]</f>
        <v>2</v>
      </c>
      <c r="T448">
        <v>8319</v>
      </c>
      <c r="U448">
        <v>152.58000000000001</v>
      </c>
      <c r="V448">
        <v>97.44</v>
      </c>
      <c r="W448">
        <f>Europe_Sales_Records34[[#This Row],[Total Revenue]]/Europe_Sales_Records34[[#This Row],[Units Sold]]</f>
        <v>152.58000000000001</v>
      </c>
      <c r="X448">
        <v>1269313.02</v>
      </c>
      <c r="Y448">
        <v>810603.36</v>
      </c>
      <c r="Z448" s="4">
        <f>Europe_Sales_Records34[[#This Row],[Total Profit]]/Europe_Sales_Records34[[#This Row],[Total Revenue]]</f>
        <v>0.36138419189933146</v>
      </c>
      <c r="AA448">
        <v>458709.66</v>
      </c>
    </row>
    <row r="449" spans="1:27" x14ac:dyDescent="0.3">
      <c r="A449" t="s">
        <v>14</v>
      </c>
      <c r="B449" t="s">
        <v>166</v>
      </c>
      <c r="C449" t="s">
        <v>46</v>
      </c>
      <c r="D449" t="s">
        <v>23</v>
      </c>
      <c r="E449" t="s">
        <v>54</v>
      </c>
      <c r="F449" t="s">
        <v>850</v>
      </c>
      <c r="G449" s="2">
        <f t="shared" si="12"/>
        <v>42156</v>
      </c>
      <c r="H449">
        <f>DAY(Europe_Sales_Records34[[#This Row],[Order Date Fixed]])</f>
        <v>1</v>
      </c>
      <c r="I449" t="str">
        <f>TEXT(Europe_Sales_Records34[[#This Row],[Order Date Fixed]],"MMM")</f>
        <v>Jun</v>
      </c>
      <c r="J449">
        <f>YEAR(Europe_Sales_Records34[[#This Row],[Order Date Fixed]])</f>
        <v>2015</v>
      </c>
      <c r="K449" t="str">
        <f>TEXT(Europe_Sales_Records34[[#This Row],[Order Date Fixed]],"MMM-YYYY")</f>
        <v>Jun-2015</v>
      </c>
      <c r="L449">
        <v>399115979</v>
      </c>
      <c r="M449" s="2">
        <f t="shared" si="13"/>
        <v>42179</v>
      </c>
      <c r="N449">
        <f>DAY(Europe_Sales_Records34[[#This Row],[Ship Date Fixed]])</f>
        <v>24</v>
      </c>
      <c r="O449" t="str">
        <f>TEXT(Europe_Sales_Records34[[#This Row],[Ship Date Fixed]],"MMM")</f>
        <v>Jun</v>
      </c>
      <c r="P449">
        <f>YEAR(Europe_Sales_Records34[[#This Row],[Ship Date Fixed]])</f>
        <v>2015</v>
      </c>
      <c r="Q449" t="str">
        <f>TEXT(Europe_Sales_Records34[[#This Row],[Ship Date Fixed]],"MMM-YYYY")</f>
        <v>Jun-2015</v>
      </c>
      <c r="R449" t="s">
        <v>386</v>
      </c>
      <c r="S449" s="3">
        <f>Europe_Sales_Records34[[#This Row],[Ship Date Fixed]]-Europe_Sales_Records34[[#This Row],[Order Date Fixed]]</f>
        <v>23</v>
      </c>
      <c r="T449">
        <v>6142</v>
      </c>
      <c r="U449">
        <v>154.06</v>
      </c>
      <c r="V449">
        <v>90.93</v>
      </c>
      <c r="W449">
        <f>Europe_Sales_Records34[[#This Row],[Total Revenue]]/Europe_Sales_Records34[[#This Row],[Units Sold]]</f>
        <v>154.06</v>
      </c>
      <c r="X449">
        <v>946236.52</v>
      </c>
      <c r="Y449">
        <v>558492.06000000006</v>
      </c>
      <c r="Z449" s="4">
        <f>Europe_Sales_Records34[[#This Row],[Total Profit]]/Europe_Sales_Records34[[#This Row],[Total Revenue]]</f>
        <v>0.40977541217707386</v>
      </c>
      <c r="AA449">
        <v>387744.46</v>
      </c>
    </row>
    <row r="450" spans="1:27" x14ac:dyDescent="0.3">
      <c r="A450" t="s">
        <v>14</v>
      </c>
      <c r="B450" t="s">
        <v>132</v>
      </c>
      <c r="C450" t="s">
        <v>71</v>
      </c>
      <c r="D450" t="s">
        <v>17</v>
      </c>
      <c r="E450" t="s">
        <v>24</v>
      </c>
      <c r="F450" t="s">
        <v>851</v>
      </c>
      <c r="G450" s="2">
        <f t="shared" ref="G450:G513" si="14">DATE(
  RIGHT(F450,4),
  LEFT(F450,FIND("/",F450)-1),
  MID(F450,FIND("/",F450)+1, FIND("/",F450,FIND("/",F450)+1)-FIND("/",F450)-1)
)</f>
        <v>42333</v>
      </c>
      <c r="H450">
        <f>DAY(Europe_Sales_Records34[[#This Row],[Order Date Fixed]])</f>
        <v>25</v>
      </c>
      <c r="I450" t="str">
        <f>TEXT(Europe_Sales_Records34[[#This Row],[Order Date Fixed]],"MMM")</f>
        <v>Nov</v>
      </c>
      <c r="J450">
        <f>YEAR(Europe_Sales_Records34[[#This Row],[Order Date Fixed]])</f>
        <v>2015</v>
      </c>
      <c r="K450" t="str">
        <f>TEXT(Europe_Sales_Records34[[#This Row],[Order Date Fixed]],"MMM-YYYY")</f>
        <v>Nov-2015</v>
      </c>
      <c r="L450">
        <v>792792594</v>
      </c>
      <c r="M450" s="2">
        <f t="shared" ref="M450:M513" si="15">DATE(
  RIGHT(R450,4),
  LEFT(R450,FIND("/",R450)-1),
  MID(
      R450,
      FIND("/",R450)+1,
      FIND("/",R450,FIND("/",R450)+1)-FIND("/",R450)-1
     )
)</f>
        <v>42371</v>
      </c>
      <c r="N450">
        <f>DAY(Europe_Sales_Records34[[#This Row],[Ship Date Fixed]])</f>
        <v>2</v>
      </c>
      <c r="O450" t="str">
        <f>TEXT(Europe_Sales_Records34[[#This Row],[Ship Date Fixed]],"MMM")</f>
        <v>Jan</v>
      </c>
      <c r="P450">
        <f>YEAR(Europe_Sales_Records34[[#This Row],[Ship Date Fixed]])</f>
        <v>2016</v>
      </c>
      <c r="Q450" t="str">
        <f>TEXT(Europe_Sales_Records34[[#This Row],[Ship Date Fixed]],"MMM-YYYY")</f>
        <v>Jan-2016</v>
      </c>
      <c r="R450" t="s">
        <v>852</v>
      </c>
      <c r="S450" s="3">
        <f>Europe_Sales_Records34[[#This Row],[Ship Date Fixed]]-Europe_Sales_Records34[[#This Row],[Order Date Fixed]]</f>
        <v>38</v>
      </c>
      <c r="T450">
        <v>3801</v>
      </c>
      <c r="U450">
        <v>668.27</v>
      </c>
      <c r="V450">
        <v>502.54</v>
      </c>
      <c r="W450">
        <f>Europe_Sales_Records34[[#This Row],[Total Revenue]]/Europe_Sales_Records34[[#This Row],[Units Sold]]</f>
        <v>668.27</v>
      </c>
      <c r="X450">
        <v>2540094.27</v>
      </c>
      <c r="Y450">
        <v>1910154.54</v>
      </c>
      <c r="Z450" s="4">
        <f>Europe_Sales_Records34[[#This Row],[Total Profit]]/Europe_Sales_Records34[[#This Row],[Total Revenue]]</f>
        <v>0.24799856345489099</v>
      </c>
      <c r="AA450">
        <v>629939.73</v>
      </c>
    </row>
    <row r="451" spans="1:27" x14ac:dyDescent="0.3">
      <c r="A451" t="s">
        <v>14</v>
      </c>
      <c r="B451" t="s">
        <v>86</v>
      </c>
      <c r="C451" t="s">
        <v>75</v>
      </c>
      <c r="D451" t="s">
        <v>17</v>
      </c>
      <c r="E451" t="s">
        <v>18</v>
      </c>
      <c r="F451" t="s">
        <v>853</v>
      </c>
      <c r="G451" s="2">
        <f t="shared" si="14"/>
        <v>41418</v>
      </c>
      <c r="H451">
        <f>DAY(Europe_Sales_Records34[[#This Row],[Order Date Fixed]])</f>
        <v>24</v>
      </c>
      <c r="I451" t="str">
        <f>TEXT(Europe_Sales_Records34[[#This Row],[Order Date Fixed]],"MMM")</f>
        <v>May</v>
      </c>
      <c r="J451">
        <f>YEAR(Europe_Sales_Records34[[#This Row],[Order Date Fixed]])</f>
        <v>2013</v>
      </c>
      <c r="K451" t="str">
        <f>TEXT(Europe_Sales_Records34[[#This Row],[Order Date Fixed]],"MMM-YYYY")</f>
        <v>May-2013</v>
      </c>
      <c r="L451">
        <v>626453149</v>
      </c>
      <c r="M451" s="2">
        <f t="shared" si="15"/>
        <v>41435</v>
      </c>
      <c r="N451">
        <f>DAY(Europe_Sales_Records34[[#This Row],[Ship Date Fixed]])</f>
        <v>10</v>
      </c>
      <c r="O451" t="str">
        <f>TEXT(Europe_Sales_Records34[[#This Row],[Ship Date Fixed]],"MMM")</f>
        <v>Jun</v>
      </c>
      <c r="P451">
        <f>YEAR(Europe_Sales_Records34[[#This Row],[Ship Date Fixed]])</f>
        <v>2013</v>
      </c>
      <c r="Q451" t="str">
        <f>TEXT(Europe_Sales_Records34[[#This Row],[Ship Date Fixed]],"MMM-YYYY")</f>
        <v>Jun-2013</v>
      </c>
      <c r="R451" t="s">
        <v>854</v>
      </c>
      <c r="S451" s="3">
        <f>Europe_Sales_Records34[[#This Row],[Ship Date Fixed]]-Europe_Sales_Records34[[#This Row],[Order Date Fixed]]</f>
        <v>17</v>
      </c>
      <c r="T451">
        <v>263</v>
      </c>
      <c r="U451">
        <v>437.2</v>
      </c>
      <c r="V451">
        <v>263.33</v>
      </c>
      <c r="W451">
        <f>Europe_Sales_Records34[[#This Row],[Total Revenue]]/Europe_Sales_Records34[[#This Row],[Units Sold]]</f>
        <v>437.20000000000005</v>
      </c>
      <c r="X451">
        <v>114983.6</v>
      </c>
      <c r="Y451">
        <v>69255.789999999994</v>
      </c>
      <c r="Z451" s="4">
        <f>Europe_Sales_Records34[[#This Row],[Total Profit]]/Europe_Sales_Records34[[#This Row],[Total Revenue]]</f>
        <v>0.39768984446477579</v>
      </c>
      <c r="AA451">
        <v>45727.81</v>
      </c>
    </row>
    <row r="452" spans="1:27" x14ac:dyDescent="0.3">
      <c r="A452" t="s">
        <v>14</v>
      </c>
      <c r="B452" t="s">
        <v>122</v>
      </c>
      <c r="C452" t="s">
        <v>58</v>
      </c>
      <c r="D452" t="s">
        <v>17</v>
      </c>
      <c r="E452" t="s">
        <v>33</v>
      </c>
      <c r="F452" t="s">
        <v>855</v>
      </c>
      <c r="G452" s="2">
        <f t="shared" si="14"/>
        <v>41486</v>
      </c>
      <c r="H452">
        <f>DAY(Europe_Sales_Records34[[#This Row],[Order Date Fixed]])</f>
        <v>31</v>
      </c>
      <c r="I452" t="str">
        <f>TEXT(Europe_Sales_Records34[[#This Row],[Order Date Fixed]],"MMM")</f>
        <v>Jul</v>
      </c>
      <c r="J452">
        <f>YEAR(Europe_Sales_Records34[[#This Row],[Order Date Fixed]])</f>
        <v>2013</v>
      </c>
      <c r="K452" t="str">
        <f>TEXT(Europe_Sales_Records34[[#This Row],[Order Date Fixed]],"MMM-YYYY")</f>
        <v>Jul-2013</v>
      </c>
      <c r="L452">
        <v>737095344</v>
      </c>
      <c r="M452" s="2">
        <f t="shared" si="15"/>
        <v>41530</v>
      </c>
      <c r="N452">
        <f>DAY(Europe_Sales_Records34[[#This Row],[Ship Date Fixed]])</f>
        <v>13</v>
      </c>
      <c r="O452" t="str">
        <f>TEXT(Europe_Sales_Records34[[#This Row],[Ship Date Fixed]],"MMM")</f>
        <v>Sep</v>
      </c>
      <c r="P452">
        <f>YEAR(Europe_Sales_Records34[[#This Row],[Ship Date Fixed]])</f>
        <v>2013</v>
      </c>
      <c r="Q452" t="str">
        <f>TEXT(Europe_Sales_Records34[[#This Row],[Ship Date Fixed]],"MMM-YYYY")</f>
        <v>Sep-2013</v>
      </c>
      <c r="R452" t="s">
        <v>856</v>
      </c>
      <c r="S452" s="3">
        <f>Europe_Sales_Records34[[#This Row],[Ship Date Fixed]]-Europe_Sales_Records34[[#This Row],[Order Date Fixed]]</f>
        <v>44</v>
      </c>
      <c r="T452">
        <v>1747</v>
      </c>
      <c r="U452">
        <v>152.58000000000001</v>
      </c>
      <c r="V452">
        <v>97.44</v>
      </c>
      <c r="W452">
        <f>Europe_Sales_Records34[[#This Row],[Total Revenue]]/Europe_Sales_Records34[[#This Row],[Units Sold]]</f>
        <v>152.58000000000001</v>
      </c>
      <c r="X452">
        <v>266557.26</v>
      </c>
      <c r="Y452">
        <v>170227.68</v>
      </c>
      <c r="Z452" s="4">
        <f>Europe_Sales_Records34[[#This Row],[Total Profit]]/Europe_Sales_Records34[[#This Row],[Total Revenue]]</f>
        <v>0.36138419189933152</v>
      </c>
      <c r="AA452">
        <v>96329.58</v>
      </c>
    </row>
    <row r="453" spans="1:27" x14ac:dyDescent="0.3">
      <c r="A453" t="s">
        <v>14</v>
      </c>
      <c r="B453" t="s">
        <v>61</v>
      </c>
      <c r="C453" t="s">
        <v>37</v>
      </c>
      <c r="D453" t="s">
        <v>17</v>
      </c>
      <c r="E453" t="s">
        <v>33</v>
      </c>
      <c r="F453" t="s">
        <v>857</v>
      </c>
      <c r="G453" s="2">
        <f t="shared" si="14"/>
        <v>42631</v>
      </c>
      <c r="H453">
        <f>DAY(Europe_Sales_Records34[[#This Row],[Order Date Fixed]])</f>
        <v>18</v>
      </c>
      <c r="I453" t="str">
        <f>TEXT(Europe_Sales_Records34[[#This Row],[Order Date Fixed]],"MMM")</f>
        <v>Sep</v>
      </c>
      <c r="J453">
        <f>YEAR(Europe_Sales_Records34[[#This Row],[Order Date Fixed]])</f>
        <v>2016</v>
      </c>
      <c r="K453" t="str">
        <f>TEXT(Europe_Sales_Records34[[#This Row],[Order Date Fixed]],"MMM-YYYY")</f>
        <v>Sep-2016</v>
      </c>
      <c r="L453">
        <v>708320605</v>
      </c>
      <c r="M453" s="2">
        <f t="shared" si="15"/>
        <v>42648</v>
      </c>
      <c r="N453">
        <f>DAY(Europe_Sales_Records34[[#This Row],[Ship Date Fixed]])</f>
        <v>5</v>
      </c>
      <c r="O453" t="str">
        <f>TEXT(Europe_Sales_Records34[[#This Row],[Ship Date Fixed]],"MMM")</f>
        <v>Oct</v>
      </c>
      <c r="P453">
        <f>YEAR(Europe_Sales_Records34[[#This Row],[Ship Date Fixed]])</f>
        <v>2016</v>
      </c>
      <c r="Q453" t="str">
        <f>TEXT(Europe_Sales_Records34[[#This Row],[Ship Date Fixed]],"MMM-YYYY")</f>
        <v>Oct-2016</v>
      </c>
      <c r="R453" t="s">
        <v>858</v>
      </c>
      <c r="S453" s="3">
        <f>Europe_Sales_Records34[[#This Row],[Ship Date Fixed]]-Europe_Sales_Records34[[#This Row],[Order Date Fixed]]</f>
        <v>17</v>
      </c>
      <c r="T453">
        <v>6662</v>
      </c>
      <c r="U453">
        <v>9.33</v>
      </c>
      <c r="V453">
        <v>6.92</v>
      </c>
      <c r="W453">
        <f>Europe_Sales_Records34[[#This Row],[Total Revenue]]/Europe_Sales_Records34[[#This Row],[Units Sold]]</f>
        <v>9.33</v>
      </c>
      <c r="X453">
        <v>62156.46</v>
      </c>
      <c r="Y453">
        <v>46101.04</v>
      </c>
      <c r="Z453" s="4">
        <f>Europe_Sales_Records34[[#This Row],[Total Profit]]/Europe_Sales_Records34[[#This Row],[Total Revenue]]</f>
        <v>0.25830653804930331</v>
      </c>
      <c r="AA453">
        <v>16055.42</v>
      </c>
    </row>
    <row r="454" spans="1:27" x14ac:dyDescent="0.3">
      <c r="A454" t="s">
        <v>14</v>
      </c>
      <c r="B454" t="s">
        <v>138</v>
      </c>
      <c r="C454" t="s">
        <v>32</v>
      </c>
      <c r="D454" t="s">
        <v>17</v>
      </c>
      <c r="E454" t="s">
        <v>24</v>
      </c>
      <c r="F454" t="s">
        <v>859</v>
      </c>
      <c r="G454" s="2">
        <f t="shared" si="14"/>
        <v>41338</v>
      </c>
      <c r="H454">
        <f>DAY(Europe_Sales_Records34[[#This Row],[Order Date Fixed]])</f>
        <v>5</v>
      </c>
      <c r="I454" t="str">
        <f>TEXT(Europe_Sales_Records34[[#This Row],[Order Date Fixed]],"MMM")</f>
        <v>Mar</v>
      </c>
      <c r="J454">
        <f>YEAR(Europe_Sales_Records34[[#This Row],[Order Date Fixed]])</f>
        <v>2013</v>
      </c>
      <c r="K454" t="str">
        <f>TEXT(Europe_Sales_Records34[[#This Row],[Order Date Fixed]],"MMM-YYYY")</f>
        <v>Mar-2013</v>
      </c>
      <c r="L454">
        <v>433079183</v>
      </c>
      <c r="M454" s="2">
        <f t="shared" si="15"/>
        <v>41383</v>
      </c>
      <c r="N454">
        <f>DAY(Europe_Sales_Records34[[#This Row],[Ship Date Fixed]])</f>
        <v>19</v>
      </c>
      <c r="O454" t="str">
        <f>TEXT(Europe_Sales_Records34[[#This Row],[Ship Date Fixed]],"MMM")</f>
        <v>Apr</v>
      </c>
      <c r="P454">
        <f>YEAR(Europe_Sales_Records34[[#This Row],[Ship Date Fixed]])</f>
        <v>2013</v>
      </c>
      <c r="Q454" t="str">
        <f>TEXT(Europe_Sales_Records34[[#This Row],[Ship Date Fixed]],"MMM-YYYY")</f>
        <v>Apr-2013</v>
      </c>
      <c r="R454" t="s">
        <v>860</v>
      </c>
      <c r="S454" s="3">
        <f>Europe_Sales_Records34[[#This Row],[Ship Date Fixed]]-Europe_Sales_Records34[[#This Row],[Order Date Fixed]]</f>
        <v>45</v>
      </c>
      <c r="T454">
        <v>6609</v>
      </c>
      <c r="U454">
        <v>651.21</v>
      </c>
      <c r="V454">
        <v>524.96</v>
      </c>
      <c r="W454">
        <f>Europe_Sales_Records34[[#This Row],[Total Revenue]]/Europe_Sales_Records34[[#This Row],[Units Sold]]</f>
        <v>651.20999999999992</v>
      </c>
      <c r="X454">
        <v>4303846.8899999997</v>
      </c>
      <c r="Y454">
        <v>3469460.64</v>
      </c>
      <c r="Z454" s="4">
        <f>Europe_Sales_Records34[[#This Row],[Total Profit]]/Europe_Sales_Records34[[#This Row],[Total Revenue]]</f>
        <v>0.19386987300563568</v>
      </c>
      <c r="AA454">
        <v>834386.25</v>
      </c>
    </row>
    <row r="455" spans="1:27" x14ac:dyDescent="0.3">
      <c r="A455" t="s">
        <v>14</v>
      </c>
      <c r="B455" t="s">
        <v>364</v>
      </c>
      <c r="C455" t="s">
        <v>102</v>
      </c>
      <c r="D455" t="s">
        <v>17</v>
      </c>
      <c r="E455" t="s">
        <v>33</v>
      </c>
      <c r="F455" t="s">
        <v>861</v>
      </c>
      <c r="G455" s="2">
        <f t="shared" si="14"/>
        <v>41051</v>
      </c>
      <c r="H455">
        <f>DAY(Europe_Sales_Records34[[#This Row],[Order Date Fixed]])</f>
        <v>22</v>
      </c>
      <c r="I455" t="str">
        <f>TEXT(Europe_Sales_Records34[[#This Row],[Order Date Fixed]],"MMM")</f>
        <v>May</v>
      </c>
      <c r="J455">
        <f>YEAR(Europe_Sales_Records34[[#This Row],[Order Date Fixed]])</f>
        <v>2012</v>
      </c>
      <c r="K455" t="str">
        <f>TEXT(Europe_Sales_Records34[[#This Row],[Order Date Fixed]],"MMM-YYYY")</f>
        <v>May-2012</v>
      </c>
      <c r="L455">
        <v>604494225</v>
      </c>
      <c r="M455" s="2">
        <f t="shared" si="15"/>
        <v>41085</v>
      </c>
      <c r="N455">
        <f>DAY(Europe_Sales_Records34[[#This Row],[Ship Date Fixed]])</f>
        <v>25</v>
      </c>
      <c r="O455" t="str">
        <f>TEXT(Europe_Sales_Records34[[#This Row],[Ship Date Fixed]],"MMM")</f>
        <v>Jun</v>
      </c>
      <c r="P455">
        <f>YEAR(Europe_Sales_Records34[[#This Row],[Ship Date Fixed]])</f>
        <v>2012</v>
      </c>
      <c r="Q455" t="str">
        <f>TEXT(Europe_Sales_Records34[[#This Row],[Ship Date Fixed]],"MMM-YYYY")</f>
        <v>Jun-2012</v>
      </c>
      <c r="R455" t="s">
        <v>338</v>
      </c>
      <c r="S455" s="3">
        <f>Europe_Sales_Records34[[#This Row],[Ship Date Fixed]]-Europe_Sales_Records34[[#This Row],[Order Date Fixed]]</f>
        <v>34</v>
      </c>
      <c r="T455">
        <v>2129</v>
      </c>
      <c r="U455">
        <v>81.73</v>
      </c>
      <c r="V455">
        <v>56.67</v>
      </c>
      <c r="W455">
        <f>Europe_Sales_Records34[[#This Row],[Total Revenue]]/Europe_Sales_Records34[[#This Row],[Units Sold]]</f>
        <v>81.73</v>
      </c>
      <c r="X455">
        <v>174003.17</v>
      </c>
      <c r="Y455">
        <v>120650.43</v>
      </c>
      <c r="Z455" s="4">
        <f>Europe_Sales_Records34[[#This Row],[Total Profit]]/Europe_Sales_Records34[[#This Row],[Total Revenue]]</f>
        <v>0.30661935641747212</v>
      </c>
      <c r="AA455">
        <v>53352.74</v>
      </c>
    </row>
    <row r="456" spans="1:27" x14ac:dyDescent="0.3">
      <c r="A456" t="s">
        <v>14</v>
      </c>
      <c r="B456" t="s">
        <v>181</v>
      </c>
      <c r="C456" t="s">
        <v>37</v>
      </c>
      <c r="D456" t="s">
        <v>23</v>
      </c>
      <c r="E456" t="s">
        <v>24</v>
      </c>
      <c r="F456" t="s">
        <v>862</v>
      </c>
      <c r="G456" s="2">
        <f t="shared" si="14"/>
        <v>40542</v>
      </c>
      <c r="H456">
        <f>DAY(Europe_Sales_Records34[[#This Row],[Order Date Fixed]])</f>
        <v>30</v>
      </c>
      <c r="I456" t="str">
        <f>TEXT(Europe_Sales_Records34[[#This Row],[Order Date Fixed]],"MMM")</f>
        <v>Dec</v>
      </c>
      <c r="J456">
        <f>YEAR(Europe_Sales_Records34[[#This Row],[Order Date Fixed]])</f>
        <v>2010</v>
      </c>
      <c r="K456" t="str">
        <f>TEXT(Europe_Sales_Records34[[#This Row],[Order Date Fixed]],"MMM-YYYY")</f>
        <v>Dec-2010</v>
      </c>
      <c r="L456">
        <v>707718932</v>
      </c>
      <c r="M456" s="2">
        <f t="shared" si="15"/>
        <v>40549</v>
      </c>
      <c r="N456">
        <f>DAY(Europe_Sales_Records34[[#This Row],[Ship Date Fixed]])</f>
        <v>6</v>
      </c>
      <c r="O456" t="str">
        <f>TEXT(Europe_Sales_Records34[[#This Row],[Ship Date Fixed]],"MMM")</f>
        <v>Jan</v>
      </c>
      <c r="P456">
        <f>YEAR(Europe_Sales_Records34[[#This Row],[Ship Date Fixed]])</f>
        <v>2011</v>
      </c>
      <c r="Q456" t="str">
        <f>TEXT(Europe_Sales_Records34[[#This Row],[Ship Date Fixed]],"MMM-YYYY")</f>
        <v>Jan-2011</v>
      </c>
      <c r="R456" t="s">
        <v>863</v>
      </c>
      <c r="S456" s="3">
        <f>Europe_Sales_Records34[[#This Row],[Ship Date Fixed]]-Europe_Sales_Records34[[#This Row],[Order Date Fixed]]</f>
        <v>7</v>
      </c>
      <c r="T456">
        <v>8614</v>
      </c>
      <c r="U456">
        <v>9.33</v>
      </c>
      <c r="V456">
        <v>6.92</v>
      </c>
      <c r="W456">
        <f>Europe_Sales_Records34[[#This Row],[Total Revenue]]/Europe_Sales_Records34[[#This Row],[Units Sold]]</f>
        <v>9.33</v>
      </c>
      <c r="X456">
        <v>80368.62</v>
      </c>
      <c r="Y456">
        <v>59608.88</v>
      </c>
      <c r="Z456" s="4">
        <f>Europe_Sales_Records34[[#This Row],[Total Profit]]/Europe_Sales_Records34[[#This Row],[Total Revenue]]</f>
        <v>0.25830653804930337</v>
      </c>
      <c r="AA456">
        <v>20759.740000000002</v>
      </c>
    </row>
    <row r="457" spans="1:27" x14ac:dyDescent="0.3">
      <c r="A457" t="s">
        <v>14</v>
      </c>
      <c r="B457" t="s">
        <v>169</v>
      </c>
      <c r="C457" t="s">
        <v>71</v>
      </c>
      <c r="D457" t="s">
        <v>17</v>
      </c>
      <c r="E457" t="s">
        <v>18</v>
      </c>
      <c r="F457" t="s">
        <v>864</v>
      </c>
      <c r="G457" s="2">
        <f t="shared" si="14"/>
        <v>40718</v>
      </c>
      <c r="H457">
        <f>DAY(Europe_Sales_Records34[[#This Row],[Order Date Fixed]])</f>
        <v>24</v>
      </c>
      <c r="I457" t="str">
        <f>TEXT(Europe_Sales_Records34[[#This Row],[Order Date Fixed]],"MMM")</f>
        <v>Jun</v>
      </c>
      <c r="J457">
        <f>YEAR(Europe_Sales_Records34[[#This Row],[Order Date Fixed]])</f>
        <v>2011</v>
      </c>
      <c r="K457" t="str">
        <f>TEXT(Europe_Sales_Records34[[#This Row],[Order Date Fixed]],"MMM-YYYY")</f>
        <v>Jun-2011</v>
      </c>
      <c r="L457">
        <v>656689155</v>
      </c>
      <c r="M457" s="2">
        <f t="shared" si="15"/>
        <v>40764</v>
      </c>
      <c r="N457">
        <f>DAY(Europe_Sales_Records34[[#This Row],[Ship Date Fixed]])</f>
        <v>9</v>
      </c>
      <c r="O457" t="str">
        <f>TEXT(Europe_Sales_Records34[[#This Row],[Ship Date Fixed]],"MMM")</f>
        <v>Aug</v>
      </c>
      <c r="P457">
        <f>YEAR(Europe_Sales_Records34[[#This Row],[Ship Date Fixed]])</f>
        <v>2011</v>
      </c>
      <c r="Q457" t="str">
        <f>TEXT(Europe_Sales_Records34[[#This Row],[Ship Date Fixed]],"MMM-YYYY")</f>
        <v>Aug-2011</v>
      </c>
      <c r="R457" t="s">
        <v>865</v>
      </c>
      <c r="S457" s="3">
        <f>Europe_Sales_Records34[[#This Row],[Ship Date Fixed]]-Europe_Sales_Records34[[#This Row],[Order Date Fixed]]</f>
        <v>46</v>
      </c>
      <c r="T457">
        <v>7769</v>
      </c>
      <c r="U457">
        <v>668.27</v>
      </c>
      <c r="V457">
        <v>502.54</v>
      </c>
      <c r="W457">
        <f>Europe_Sales_Records34[[#This Row],[Total Revenue]]/Europe_Sales_Records34[[#This Row],[Units Sold]]</f>
        <v>668.27</v>
      </c>
      <c r="X457">
        <v>5191789.63</v>
      </c>
      <c r="Y457">
        <v>3904233.26</v>
      </c>
      <c r="Z457" s="4">
        <f>Europe_Sales_Records34[[#This Row],[Total Profit]]/Europe_Sales_Records34[[#This Row],[Total Revenue]]</f>
        <v>0.24799856345489102</v>
      </c>
      <c r="AA457">
        <v>1287556.3700000001</v>
      </c>
    </row>
    <row r="458" spans="1:27" x14ac:dyDescent="0.3">
      <c r="A458" t="s">
        <v>14</v>
      </c>
      <c r="B458" t="s">
        <v>181</v>
      </c>
      <c r="C458" t="s">
        <v>16</v>
      </c>
      <c r="D458" t="s">
        <v>17</v>
      </c>
      <c r="E458" t="s">
        <v>24</v>
      </c>
      <c r="F458" t="s">
        <v>866</v>
      </c>
      <c r="G458" s="2">
        <f t="shared" si="14"/>
        <v>42425</v>
      </c>
      <c r="H458">
        <f>DAY(Europe_Sales_Records34[[#This Row],[Order Date Fixed]])</f>
        <v>25</v>
      </c>
      <c r="I458" t="str">
        <f>TEXT(Europe_Sales_Records34[[#This Row],[Order Date Fixed]],"MMM")</f>
        <v>Feb</v>
      </c>
      <c r="J458">
        <f>YEAR(Europe_Sales_Records34[[#This Row],[Order Date Fixed]])</f>
        <v>2016</v>
      </c>
      <c r="K458" t="str">
        <f>TEXT(Europe_Sales_Records34[[#This Row],[Order Date Fixed]],"MMM-YYYY")</f>
        <v>Feb-2016</v>
      </c>
      <c r="L458">
        <v>935907542</v>
      </c>
      <c r="M458" s="2">
        <f t="shared" si="15"/>
        <v>42450</v>
      </c>
      <c r="N458">
        <f>DAY(Europe_Sales_Records34[[#This Row],[Ship Date Fixed]])</f>
        <v>21</v>
      </c>
      <c r="O458" t="str">
        <f>TEXT(Europe_Sales_Records34[[#This Row],[Ship Date Fixed]],"MMM")</f>
        <v>Mar</v>
      </c>
      <c r="P458">
        <f>YEAR(Europe_Sales_Records34[[#This Row],[Ship Date Fixed]])</f>
        <v>2016</v>
      </c>
      <c r="Q458" t="str">
        <f>TEXT(Europe_Sales_Records34[[#This Row],[Ship Date Fixed]],"MMM-YYYY")</f>
        <v>Mar-2016</v>
      </c>
      <c r="R458" t="s">
        <v>867</v>
      </c>
      <c r="S458" s="3">
        <f>Europe_Sales_Records34[[#This Row],[Ship Date Fixed]]-Europe_Sales_Records34[[#This Row],[Order Date Fixed]]</f>
        <v>25</v>
      </c>
      <c r="T458">
        <v>4695</v>
      </c>
      <c r="U458">
        <v>47.45</v>
      </c>
      <c r="V458">
        <v>31.79</v>
      </c>
      <c r="W458">
        <f>Europe_Sales_Records34[[#This Row],[Total Revenue]]/Europe_Sales_Records34[[#This Row],[Units Sold]]</f>
        <v>47.45</v>
      </c>
      <c r="X458">
        <v>222777.75</v>
      </c>
      <c r="Y458">
        <v>149254.04999999999</v>
      </c>
      <c r="Z458" s="4">
        <f>Europe_Sales_Records34[[#This Row],[Total Profit]]/Europe_Sales_Records34[[#This Row],[Total Revenue]]</f>
        <v>0.33003161222339306</v>
      </c>
      <c r="AA458">
        <v>73523.7</v>
      </c>
    </row>
    <row r="459" spans="1:27" x14ac:dyDescent="0.3">
      <c r="A459" t="s">
        <v>14</v>
      </c>
      <c r="B459" t="s">
        <v>271</v>
      </c>
      <c r="C459" t="s">
        <v>71</v>
      </c>
      <c r="D459" t="s">
        <v>17</v>
      </c>
      <c r="E459" t="s">
        <v>18</v>
      </c>
      <c r="F459" t="s">
        <v>868</v>
      </c>
      <c r="G459" s="2">
        <f t="shared" si="14"/>
        <v>42077</v>
      </c>
      <c r="H459">
        <f>DAY(Europe_Sales_Records34[[#This Row],[Order Date Fixed]])</f>
        <v>14</v>
      </c>
      <c r="I459" t="str">
        <f>TEXT(Europe_Sales_Records34[[#This Row],[Order Date Fixed]],"MMM")</f>
        <v>Mar</v>
      </c>
      <c r="J459">
        <f>YEAR(Europe_Sales_Records34[[#This Row],[Order Date Fixed]])</f>
        <v>2015</v>
      </c>
      <c r="K459" t="str">
        <f>TEXT(Europe_Sales_Records34[[#This Row],[Order Date Fixed]],"MMM-YYYY")</f>
        <v>Mar-2015</v>
      </c>
      <c r="L459">
        <v>421660268</v>
      </c>
      <c r="M459" s="2">
        <f t="shared" si="15"/>
        <v>42105</v>
      </c>
      <c r="N459">
        <f>DAY(Europe_Sales_Records34[[#This Row],[Ship Date Fixed]])</f>
        <v>11</v>
      </c>
      <c r="O459" t="str">
        <f>TEXT(Europe_Sales_Records34[[#This Row],[Ship Date Fixed]],"MMM")</f>
        <v>Apr</v>
      </c>
      <c r="P459">
        <f>YEAR(Europe_Sales_Records34[[#This Row],[Ship Date Fixed]])</f>
        <v>2015</v>
      </c>
      <c r="Q459" t="str">
        <f>TEXT(Europe_Sales_Records34[[#This Row],[Ship Date Fixed]],"MMM-YYYY")</f>
        <v>Apr-2015</v>
      </c>
      <c r="R459" t="s">
        <v>869</v>
      </c>
      <c r="S459" s="3">
        <f>Europe_Sales_Records34[[#This Row],[Ship Date Fixed]]-Europe_Sales_Records34[[#This Row],[Order Date Fixed]]</f>
        <v>28</v>
      </c>
      <c r="T459">
        <v>7498</v>
      </c>
      <c r="U459">
        <v>668.27</v>
      </c>
      <c r="V459">
        <v>502.54</v>
      </c>
      <c r="W459">
        <f>Europe_Sales_Records34[[#This Row],[Total Revenue]]/Europe_Sales_Records34[[#This Row],[Units Sold]]</f>
        <v>668.27</v>
      </c>
      <c r="X459">
        <v>5010688.46</v>
      </c>
      <c r="Y459">
        <v>3768044.92</v>
      </c>
      <c r="Z459" s="4">
        <f>Europe_Sales_Records34[[#This Row],[Total Profit]]/Europe_Sales_Records34[[#This Row],[Total Revenue]]</f>
        <v>0.24799856345489099</v>
      </c>
      <c r="AA459">
        <v>1242643.54</v>
      </c>
    </row>
    <row r="460" spans="1:27" x14ac:dyDescent="0.3">
      <c r="A460" t="s">
        <v>14</v>
      </c>
      <c r="B460" t="s">
        <v>61</v>
      </c>
      <c r="C460" t="s">
        <v>75</v>
      </c>
      <c r="D460" t="s">
        <v>17</v>
      </c>
      <c r="E460" t="s">
        <v>18</v>
      </c>
      <c r="F460" t="s">
        <v>870</v>
      </c>
      <c r="G460" s="2">
        <f t="shared" si="14"/>
        <v>41873</v>
      </c>
      <c r="H460">
        <f>DAY(Europe_Sales_Records34[[#This Row],[Order Date Fixed]])</f>
        <v>22</v>
      </c>
      <c r="I460" t="str">
        <f>TEXT(Europe_Sales_Records34[[#This Row],[Order Date Fixed]],"MMM")</f>
        <v>Aug</v>
      </c>
      <c r="J460">
        <f>YEAR(Europe_Sales_Records34[[#This Row],[Order Date Fixed]])</f>
        <v>2014</v>
      </c>
      <c r="K460" t="str">
        <f>TEXT(Europe_Sales_Records34[[#This Row],[Order Date Fixed]],"MMM-YYYY")</f>
        <v>Aug-2014</v>
      </c>
      <c r="L460">
        <v>447183310</v>
      </c>
      <c r="M460" s="2">
        <f t="shared" si="15"/>
        <v>41901</v>
      </c>
      <c r="N460">
        <f>DAY(Europe_Sales_Records34[[#This Row],[Ship Date Fixed]])</f>
        <v>19</v>
      </c>
      <c r="O460" t="str">
        <f>TEXT(Europe_Sales_Records34[[#This Row],[Ship Date Fixed]],"MMM")</f>
        <v>Sep</v>
      </c>
      <c r="P460">
        <f>YEAR(Europe_Sales_Records34[[#This Row],[Ship Date Fixed]])</f>
        <v>2014</v>
      </c>
      <c r="Q460" t="str">
        <f>TEXT(Europe_Sales_Records34[[#This Row],[Ship Date Fixed]],"MMM-YYYY")</f>
        <v>Sep-2014</v>
      </c>
      <c r="R460" t="s">
        <v>871</v>
      </c>
      <c r="S460" s="3">
        <f>Europe_Sales_Records34[[#This Row],[Ship Date Fixed]]-Europe_Sales_Records34[[#This Row],[Order Date Fixed]]</f>
        <v>28</v>
      </c>
      <c r="T460">
        <v>334</v>
      </c>
      <c r="U460">
        <v>437.2</v>
      </c>
      <c r="V460">
        <v>263.33</v>
      </c>
      <c r="W460">
        <f>Europe_Sales_Records34[[#This Row],[Total Revenue]]/Europe_Sales_Records34[[#This Row],[Units Sold]]</f>
        <v>437.2</v>
      </c>
      <c r="X460">
        <v>146024.79999999999</v>
      </c>
      <c r="Y460">
        <v>87952.22</v>
      </c>
      <c r="Z460" s="4">
        <f>Europe_Sales_Records34[[#This Row],[Total Profit]]/Europe_Sales_Records34[[#This Row],[Total Revenue]]</f>
        <v>0.3976898444647759</v>
      </c>
      <c r="AA460">
        <v>58072.58</v>
      </c>
    </row>
    <row r="461" spans="1:27" x14ac:dyDescent="0.3">
      <c r="A461" t="s">
        <v>14</v>
      </c>
      <c r="B461" t="s">
        <v>36</v>
      </c>
      <c r="C461" t="s">
        <v>46</v>
      </c>
      <c r="D461" t="s">
        <v>17</v>
      </c>
      <c r="E461" t="s">
        <v>33</v>
      </c>
      <c r="F461" t="s">
        <v>782</v>
      </c>
      <c r="G461" s="2">
        <f t="shared" si="14"/>
        <v>40884</v>
      </c>
      <c r="H461">
        <f>DAY(Europe_Sales_Records34[[#This Row],[Order Date Fixed]])</f>
        <v>7</v>
      </c>
      <c r="I461" t="str">
        <f>TEXT(Europe_Sales_Records34[[#This Row],[Order Date Fixed]],"MMM")</f>
        <v>Dec</v>
      </c>
      <c r="J461">
        <f>YEAR(Europe_Sales_Records34[[#This Row],[Order Date Fixed]])</f>
        <v>2011</v>
      </c>
      <c r="K461" t="str">
        <f>TEXT(Europe_Sales_Records34[[#This Row],[Order Date Fixed]],"MMM-YYYY")</f>
        <v>Dec-2011</v>
      </c>
      <c r="L461">
        <v>127694451</v>
      </c>
      <c r="M461" s="2">
        <f t="shared" si="15"/>
        <v>40904</v>
      </c>
      <c r="N461">
        <f>DAY(Europe_Sales_Records34[[#This Row],[Ship Date Fixed]])</f>
        <v>27</v>
      </c>
      <c r="O461" t="str">
        <f>TEXT(Europe_Sales_Records34[[#This Row],[Ship Date Fixed]],"MMM")</f>
        <v>Dec</v>
      </c>
      <c r="P461">
        <f>YEAR(Europe_Sales_Records34[[#This Row],[Ship Date Fixed]])</f>
        <v>2011</v>
      </c>
      <c r="Q461" t="str">
        <f>TEXT(Europe_Sales_Records34[[#This Row],[Ship Date Fixed]],"MMM-YYYY")</f>
        <v>Dec-2011</v>
      </c>
      <c r="R461" t="s">
        <v>872</v>
      </c>
      <c r="S461" s="3">
        <f>Europe_Sales_Records34[[#This Row],[Ship Date Fixed]]-Europe_Sales_Records34[[#This Row],[Order Date Fixed]]</f>
        <v>20</v>
      </c>
      <c r="T461">
        <v>6481</v>
      </c>
      <c r="U461">
        <v>154.06</v>
      </c>
      <c r="V461">
        <v>90.93</v>
      </c>
      <c r="W461">
        <f>Europe_Sales_Records34[[#This Row],[Total Revenue]]/Europe_Sales_Records34[[#This Row],[Units Sold]]</f>
        <v>154.06</v>
      </c>
      <c r="X461">
        <v>998462.86</v>
      </c>
      <c r="Y461">
        <v>589317.32999999996</v>
      </c>
      <c r="Z461" s="4">
        <f>Europe_Sales_Records34[[#This Row],[Total Profit]]/Europe_Sales_Records34[[#This Row],[Total Revenue]]</f>
        <v>0.40977541217707392</v>
      </c>
      <c r="AA461">
        <v>409145.53</v>
      </c>
    </row>
    <row r="462" spans="1:27" x14ac:dyDescent="0.3">
      <c r="A462" t="s">
        <v>14</v>
      </c>
      <c r="B462" t="s">
        <v>257</v>
      </c>
      <c r="C462" t="s">
        <v>50</v>
      </c>
      <c r="D462" t="s">
        <v>17</v>
      </c>
      <c r="E462" t="s">
        <v>24</v>
      </c>
      <c r="F462" t="s">
        <v>873</v>
      </c>
      <c r="G462" s="2">
        <f t="shared" si="14"/>
        <v>41073</v>
      </c>
      <c r="H462">
        <f>DAY(Europe_Sales_Records34[[#This Row],[Order Date Fixed]])</f>
        <v>13</v>
      </c>
      <c r="I462" t="str">
        <f>TEXT(Europe_Sales_Records34[[#This Row],[Order Date Fixed]],"MMM")</f>
        <v>Jun</v>
      </c>
      <c r="J462">
        <f>YEAR(Europe_Sales_Records34[[#This Row],[Order Date Fixed]])</f>
        <v>2012</v>
      </c>
      <c r="K462" t="str">
        <f>TEXT(Europe_Sales_Records34[[#This Row],[Order Date Fixed]],"MMM-YYYY")</f>
        <v>Jun-2012</v>
      </c>
      <c r="L462">
        <v>697617518</v>
      </c>
      <c r="M462" s="2">
        <f t="shared" si="15"/>
        <v>41097</v>
      </c>
      <c r="N462">
        <f>DAY(Europe_Sales_Records34[[#This Row],[Ship Date Fixed]])</f>
        <v>7</v>
      </c>
      <c r="O462" t="str">
        <f>TEXT(Europe_Sales_Records34[[#This Row],[Ship Date Fixed]],"MMM")</f>
        <v>Jul</v>
      </c>
      <c r="P462">
        <f>YEAR(Europe_Sales_Records34[[#This Row],[Ship Date Fixed]])</f>
        <v>2012</v>
      </c>
      <c r="Q462" t="str">
        <f>TEXT(Europe_Sales_Records34[[#This Row],[Ship Date Fixed]],"MMM-YYYY")</f>
        <v>Jul-2012</v>
      </c>
      <c r="R462" t="s">
        <v>874</v>
      </c>
      <c r="S462" s="3">
        <f>Europe_Sales_Records34[[#This Row],[Ship Date Fixed]]-Europe_Sales_Records34[[#This Row],[Order Date Fixed]]</f>
        <v>24</v>
      </c>
      <c r="T462">
        <v>9381</v>
      </c>
      <c r="U462">
        <v>421.89</v>
      </c>
      <c r="V462">
        <v>364.69</v>
      </c>
      <c r="W462">
        <f>Europe_Sales_Records34[[#This Row],[Total Revenue]]/Europe_Sales_Records34[[#This Row],[Units Sold]]</f>
        <v>421.89</v>
      </c>
      <c r="X462">
        <v>3957750.09</v>
      </c>
      <c r="Y462">
        <v>3421156.89</v>
      </c>
      <c r="Z462" s="4">
        <f>Europe_Sales_Records34[[#This Row],[Total Profit]]/Europe_Sales_Records34[[#This Row],[Total Revenue]]</f>
        <v>0.13558036455000119</v>
      </c>
      <c r="AA462">
        <v>536593.19999999995</v>
      </c>
    </row>
    <row r="463" spans="1:27" x14ac:dyDescent="0.3">
      <c r="A463" t="s">
        <v>14</v>
      </c>
      <c r="B463" t="s">
        <v>94</v>
      </c>
      <c r="C463" t="s">
        <v>102</v>
      </c>
      <c r="D463" t="s">
        <v>17</v>
      </c>
      <c r="E463" t="s">
        <v>33</v>
      </c>
      <c r="F463" t="s">
        <v>875</v>
      </c>
      <c r="G463" s="2">
        <f t="shared" si="14"/>
        <v>42026</v>
      </c>
      <c r="H463">
        <f>DAY(Europe_Sales_Records34[[#This Row],[Order Date Fixed]])</f>
        <v>22</v>
      </c>
      <c r="I463" t="str">
        <f>TEXT(Europe_Sales_Records34[[#This Row],[Order Date Fixed]],"MMM")</f>
        <v>Jan</v>
      </c>
      <c r="J463">
        <f>YEAR(Europe_Sales_Records34[[#This Row],[Order Date Fixed]])</f>
        <v>2015</v>
      </c>
      <c r="K463" t="str">
        <f>TEXT(Europe_Sales_Records34[[#This Row],[Order Date Fixed]],"MMM-YYYY")</f>
        <v>Jan-2015</v>
      </c>
      <c r="L463">
        <v>311688840</v>
      </c>
      <c r="M463" s="2">
        <f t="shared" si="15"/>
        <v>42049</v>
      </c>
      <c r="N463">
        <f>DAY(Europe_Sales_Records34[[#This Row],[Ship Date Fixed]])</f>
        <v>14</v>
      </c>
      <c r="O463" t="str">
        <f>TEXT(Europe_Sales_Records34[[#This Row],[Ship Date Fixed]],"MMM")</f>
        <v>Feb</v>
      </c>
      <c r="P463">
        <f>YEAR(Europe_Sales_Records34[[#This Row],[Ship Date Fixed]])</f>
        <v>2015</v>
      </c>
      <c r="Q463" t="str">
        <f>TEXT(Europe_Sales_Records34[[#This Row],[Ship Date Fixed]],"MMM-YYYY")</f>
        <v>Feb-2015</v>
      </c>
      <c r="R463" t="s">
        <v>876</v>
      </c>
      <c r="S463" s="3">
        <f>Europe_Sales_Records34[[#This Row],[Ship Date Fixed]]-Europe_Sales_Records34[[#This Row],[Order Date Fixed]]</f>
        <v>23</v>
      </c>
      <c r="T463">
        <v>4509</v>
      </c>
      <c r="U463">
        <v>81.73</v>
      </c>
      <c r="V463">
        <v>56.67</v>
      </c>
      <c r="W463">
        <f>Europe_Sales_Records34[[#This Row],[Total Revenue]]/Europe_Sales_Records34[[#This Row],[Units Sold]]</f>
        <v>81.73</v>
      </c>
      <c r="X463">
        <v>368520.57</v>
      </c>
      <c r="Y463">
        <v>255525.03</v>
      </c>
      <c r="Z463" s="4">
        <f>Europe_Sales_Records34[[#This Row],[Total Profit]]/Europe_Sales_Records34[[#This Row],[Total Revenue]]</f>
        <v>0.30661935641747212</v>
      </c>
      <c r="AA463">
        <v>112995.54</v>
      </c>
    </row>
    <row r="464" spans="1:27" x14ac:dyDescent="0.3">
      <c r="A464" t="s">
        <v>14</v>
      </c>
      <c r="B464" t="s">
        <v>105</v>
      </c>
      <c r="C464" t="s">
        <v>75</v>
      </c>
      <c r="D464" t="s">
        <v>17</v>
      </c>
      <c r="E464" t="s">
        <v>24</v>
      </c>
      <c r="F464" t="s">
        <v>877</v>
      </c>
      <c r="G464" s="2">
        <f t="shared" si="14"/>
        <v>42314</v>
      </c>
      <c r="H464">
        <f>DAY(Europe_Sales_Records34[[#This Row],[Order Date Fixed]])</f>
        <v>6</v>
      </c>
      <c r="I464" t="str">
        <f>TEXT(Europe_Sales_Records34[[#This Row],[Order Date Fixed]],"MMM")</f>
        <v>Nov</v>
      </c>
      <c r="J464">
        <f>YEAR(Europe_Sales_Records34[[#This Row],[Order Date Fixed]])</f>
        <v>2015</v>
      </c>
      <c r="K464" t="str">
        <f>TEXT(Europe_Sales_Records34[[#This Row],[Order Date Fixed]],"MMM-YYYY")</f>
        <v>Nov-2015</v>
      </c>
      <c r="L464">
        <v>385080945</v>
      </c>
      <c r="M464" s="2">
        <f t="shared" si="15"/>
        <v>42315</v>
      </c>
      <c r="N464">
        <f>DAY(Europe_Sales_Records34[[#This Row],[Ship Date Fixed]])</f>
        <v>7</v>
      </c>
      <c r="O464" t="str">
        <f>TEXT(Europe_Sales_Records34[[#This Row],[Ship Date Fixed]],"MMM")</f>
        <v>Nov</v>
      </c>
      <c r="P464">
        <f>YEAR(Europe_Sales_Records34[[#This Row],[Ship Date Fixed]])</f>
        <v>2015</v>
      </c>
      <c r="Q464" t="str">
        <f>TEXT(Europe_Sales_Records34[[#This Row],[Ship Date Fixed]],"MMM-YYYY")</f>
        <v>Nov-2015</v>
      </c>
      <c r="R464" t="s">
        <v>878</v>
      </c>
      <c r="S464" s="3">
        <f>Europe_Sales_Records34[[#This Row],[Ship Date Fixed]]-Europe_Sales_Records34[[#This Row],[Order Date Fixed]]</f>
        <v>1</v>
      </c>
      <c r="T464">
        <v>2864</v>
      </c>
      <c r="U464">
        <v>437.2</v>
      </c>
      <c r="V464">
        <v>263.33</v>
      </c>
      <c r="W464">
        <f>Europe_Sales_Records34[[#This Row],[Total Revenue]]/Europe_Sales_Records34[[#This Row],[Units Sold]]</f>
        <v>437.2</v>
      </c>
      <c r="X464">
        <v>1252140.8</v>
      </c>
      <c r="Y464">
        <v>754177.12</v>
      </c>
      <c r="Z464" s="4">
        <f>Europe_Sales_Records34[[#This Row],[Total Profit]]/Europe_Sales_Records34[[#This Row],[Total Revenue]]</f>
        <v>0.39768984446477584</v>
      </c>
      <c r="AA464">
        <v>497963.68</v>
      </c>
    </row>
    <row r="465" spans="1:27" x14ac:dyDescent="0.3">
      <c r="A465" t="s">
        <v>14</v>
      </c>
      <c r="B465" t="s">
        <v>166</v>
      </c>
      <c r="C465" t="s">
        <v>71</v>
      </c>
      <c r="D465" t="s">
        <v>17</v>
      </c>
      <c r="E465" t="s">
        <v>24</v>
      </c>
      <c r="F465" t="s">
        <v>879</v>
      </c>
      <c r="G465" s="2">
        <f t="shared" si="14"/>
        <v>41022</v>
      </c>
      <c r="H465">
        <f>DAY(Europe_Sales_Records34[[#This Row],[Order Date Fixed]])</f>
        <v>23</v>
      </c>
      <c r="I465" t="str">
        <f>TEXT(Europe_Sales_Records34[[#This Row],[Order Date Fixed]],"MMM")</f>
        <v>Apr</v>
      </c>
      <c r="J465">
        <f>YEAR(Europe_Sales_Records34[[#This Row],[Order Date Fixed]])</f>
        <v>2012</v>
      </c>
      <c r="K465" t="str">
        <f>TEXT(Europe_Sales_Records34[[#This Row],[Order Date Fixed]],"MMM-YYYY")</f>
        <v>Apr-2012</v>
      </c>
      <c r="L465">
        <v>309148681</v>
      </c>
      <c r="M465" s="2">
        <f t="shared" si="15"/>
        <v>41034</v>
      </c>
      <c r="N465">
        <f>DAY(Europe_Sales_Records34[[#This Row],[Ship Date Fixed]])</f>
        <v>5</v>
      </c>
      <c r="O465" t="str">
        <f>TEXT(Europe_Sales_Records34[[#This Row],[Ship Date Fixed]],"MMM")</f>
        <v>May</v>
      </c>
      <c r="P465">
        <f>YEAR(Europe_Sales_Records34[[#This Row],[Ship Date Fixed]])</f>
        <v>2012</v>
      </c>
      <c r="Q465" t="str">
        <f>TEXT(Europe_Sales_Records34[[#This Row],[Ship Date Fixed]],"MMM-YYYY")</f>
        <v>May-2012</v>
      </c>
      <c r="R465" t="s">
        <v>201</v>
      </c>
      <c r="S465" s="3">
        <f>Europe_Sales_Records34[[#This Row],[Ship Date Fixed]]-Europe_Sales_Records34[[#This Row],[Order Date Fixed]]</f>
        <v>12</v>
      </c>
      <c r="T465">
        <v>2819</v>
      </c>
      <c r="U465">
        <v>668.27</v>
      </c>
      <c r="V465">
        <v>502.54</v>
      </c>
      <c r="W465">
        <f>Europe_Sales_Records34[[#This Row],[Total Revenue]]/Europe_Sales_Records34[[#This Row],[Units Sold]]</f>
        <v>668.27</v>
      </c>
      <c r="X465">
        <v>1883853.13</v>
      </c>
      <c r="Y465">
        <v>1416660.26</v>
      </c>
      <c r="Z465" s="4">
        <f>Europe_Sales_Records34[[#This Row],[Total Profit]]/Europe_Sales_Records34[[#This Row],[Total Revenue]]</f>
        <v>0.24799856345489099</v>
      </c>
      <c r="AA465">
        <v>467192.87</v>
      </c>
    </row>
    <row r="466" spans="1:27" x14ac:dyDescent="0.3">
      <c r="A466" t="s">
        <v>14</v>
      </c>
      <c r="B466" t="s">
        <v>83</v>
      </c>
      <c r="C466" t="s">
        <v>64</v>
      </c>
      <c r="D466" t="s">
        <v>17</v>
      </c>
      <c r="E466" t="s">
        <v>33</v>
      </c>
      <c r="F466" t="s">
        <v>880</v>
      </c>
      <c r="G466" s="2">
        <f t="shared" si="14"/>
        <v>41691</v>
      </c>
      <c r="H466">
        <f>DAY(Europe_Sales_Records34[[#This Row],[Order Date Fixed]])</f>
        <v>21</v>
      </c>
      <c r="I466" t="str">
        <f>TEXT(Europe_Sales_Records34[[#This Row],[Order Date Fixed]],"MMM")</f>
        <v>Feb</v>
      </c>
      <c r="J466">
        <f>YEAR(Europe_Sales_Records34[[#This Row],[Order Date Fixed]])</f>
        <v>2014</v>
      </c>
      <c r="K466" t="str">
        <f>TEXT(Europe_Sales_Records34[[#This Row],[Order Date Fixed]],"MMM-YYYY")</f>
        <v>Feb-2014</v>
      </c>
      <c r="L466">
        <v>630219399</v>
      </c>
      <c r="M466" s="2">
        <f t="shared" si="15"/>
        <v>41712</v>
      </c>
      <c r="N466">
        <f>DAY(Europe_Sales_Records34[[#This Row],[Ship Date Fixed]])</f>
        <v>14</v>
      </c>
      <c r="O466" t="str">
        <f>TEXT(Europe_Sales_Records34[[#This Row],[Ship Date Fixed]],"MMM")</f>
        <v>Mar</v>
      </c>
      <c r="P466">
        <f>YEAR(Europe_Sales_Records34[[#This Row],[Ship Date Fixed]])</f>
        <v>2014</v>
      </c>
      <c r="Q466" t="str">
        <f>TEXT(Europe_Sales_Records34[[#This Row],[Ship Date Fixed]],"MMM-YYYY")</f>
        <v>Mar-2014</v>
      </c>
      <c r="R466" t="s">
        <v>556</v>
      </c>
      <c r="S466" s="3">
        <f>Europe_Sales_Records34[[#This Row],[Ship Date Fixed]]-Europe_Sales_Records34[[#This Row],[Order Date Fixed]]</f>
        <v>21</v>
      </c>
      <c r="T466">
        <v>4780</v>
      </c>
      <c r="U466">
        <v>255.28</v>
      </c>
      <c r="V466">
        <v>159.41999999999999</v>
      </c>
      <c r="W466">
        <f>Europe_Sales_Records34[[#This Row],[Total Revenue]]/Europe_Sales_Records34[[#This Row],[Units Sold]]</f>
        <v>255.27999999999997</v>
      </c>
      <c r="X466">
        <v>1220238.3999999999</v>
      </c>
      <c r="Y466">
        <v>762027.6</v>
      </c>
      <c r="Z466" s="4">
        <f>Europe_Sales_Records34[[#This Row],[Total Profit]]/Europe_Sales_Records34[[#This Row],[Total Revenue]]</f>
        <v>0.37550924475086184</v>
      </c>
      <c r="AA466">
        <v>458210.8</v>
      </c>
    </row>
    <row r="467" spans="1:27" x14ac:dyDescent="0.3">
      <c r="A467" t="s">
        <v>14</v>
      </c>
      <c r="B467" t="s">
        <v>127</v>
      </c>
      <c r="C467" t="s">
        <v>58</v>
      </c>
      <c r="D467" t="s">
        <v>23</v>
      </c>
      <c r="E467" t="s">
        <v>54</v>
      </c>
      <c r="F467" t="s">
        <v>681</v>
      </c>
      <c r="G467" s="2">
        <f t="shared" si="14"/>
        <v>41012</v>
      </c>
      <c r="H467">
        <f>DAY(Europe_Sales_Records34[[#This Row],[Order Date Fixed]])</f>
        <v>13</v>
      </c>
      <c r="I467" t="str">
        <f>TEXT(Europe_Sales_Records34[[#This Row],[Order Date Fixed]],"MMM")</f>
        <v>Apr</v>
      </c>
      <c r="J467">
        <f>YEAR(Europe_Sales_Records34[[#This Row],[Order Date Fixed]])</f>
        <v>2012</v>
      </c>
      <c r="K467" t="str">
        <f>TEXT(Europe_Sales_Records34[[#This Row],[Order Date Fixed]],"MMM-YYYY")</f>
        <v>Apr-2012</v>
      </c>
      <c r="L467">
        <v>585677134</v>
      </c>
      <c r="M467" s="2">
        <f t="shared" si="15"/>
        <v>41033</v>
      </c>
      <c r="N467">
        <f>DAY(Europe_Sales_Records34[[#This Row],[Ship Date Fixed]])</f>
        <v>4</v>
      </c>
      <c r="O467" t="str">
        <f>TEXT(Europe_Sales_Records34[[#This Row],[Ship Date Fixed]],"MMM")</f>
        <v>May</v>
      </c>
      <c r="P467">
        <f>YEAR(Europe_Sales_Records34[[#This Row],[Ship Date Fixed]])</f>
        <v>2012</v>
      </c>
      <c r="Q467" t="str">
        <f>TEXT(Europe_Sales_Records34[[#This Row],[Ship Date Fixed]],"MMM-YYYY")</f>
        <v>May-2012</v>
      </c>
      <c r="R467" t="s">
        <v>881</v>
      </c>
      <c r="S467" s="3">
        <f>Europe_Sales_Records34[[#This Row],[Ship Date Fixed]]-Europe_Sales_Records34[[#This Row],[Order Date Fixed]]</f>
        <v>21</v>
      </c>
      <c r="T467">
        <v>3734</v>
      </c>
      <c r="U467">
        <v>152.58000000000001</v>
      </c>
      <c r="V467">
        <v>97.44</v>
      </c>
      <c r="W467">
        <f>Europe_Sales_Records34[[#This Row],[Total Revenue]]/Europe_Sales_Records34[[#This Row],[Units Sold]]</f>
        <v>152.57999999999998</v>
      </c>
      <c r="X467">
        <v>569733.72</v>
      </c>
      <c r="Y467">
        <v>363840.96</v>
      </c>
      <c r="Z467" s="4">
        <f>Europe_Sales_Records34[[#This Row],[Total Profit]]/Europe_Sales_Records34[[#This Row],[Total Revenue]]</f>
        <v>0.36138419189933152</v>
      </c>
      <c r="AA467">
        <v>205892.76</v>
      </c>
    </row>
    <row r="468" spans="1:27" x14ac:dyDescent="0.3">
      <c r="A468" t="s">
        <v>14</v>
      </c>
      <c r="B468" t="s">
        <v>185</v>
      </c>
      <c r="C468" t="s">
        <v>71</v>
      </c>
      <c r="D468" t="s">
        <v>23</v>
      </c>
      <c r="E468" t="s">
        <v>18</v>
      </c>
      <c r="F468" t="s">
        <v>882</v>
      </c>
      <c r="G468" s="2">
        <f t="shared" si="14"/>
        <v>42727</v>
      </c>
      <c r="H468">
        <f>DAY(Europe_Sales_Records34[[#This Row],[Order Date Fixed]])</f>
        <v>23</v>
      </c>
      <c r="I468" t="str">
        <f>TEXT(Europe_Sales_Records34[[#This Row],[Order Date Fixed]],"MMM")</f>
        <v>Dec</v>
      </c>
      <c r="J468">
        <f>YEAR(Europe_Sales_Records34[[#This Row],[Order Date Fixed]])</f>
        <v>2016</v>
      </c>
      <c r="K468" t="str">
        <f>TEXT(Europe_Sales_Records34[[#This Row],[Order Date Fixed]],"MMM-YYYY")</f>
        <v>Dec-2016</v>
      </c>
      <c r="L468">
        <v>692704999</v>
      </c>
      <c r="M468" s="2">
        <f t="shared" si="15"/>
        <v>42759</v>
      </c>
      <c r="N468">
        <f>DAY(Europe_Sales_Records34[[#This Row],[Ship Date Fixed]])</f>
        <v>24</v>
      </c>
      <c r="O468" t="str">
        <f>TEXT(Europe_Sales_Records34[[#This Row],[Ship Date Fixed]],"MMM")</f>
        <v>Jan</v>
      </c>
      <c r="P468">
        <f>YEAR(Europe_Sales_Records34[[#This Row],[Ship Date Fixed]])</f>
        <v>2017</v>
      </c>
      <c r="Q468" t="str">
        <f>TEXT(Europe_Sales_Records34[[#This Row],[Ship Date Fixed]],"MMM-YYYY")</f>
        <v>Jan-2017</v>
      </c>
      <c r="R468" t="s">
        <v>883</v>
      </c>
      <c r="S468" s="3">
        <f>Europe_Sales_Records34[[#This Row],[Ship Date Fixed]]-Europe_Sales_Records34[[#This Row],[Order Date Fixed]]</f>
        <v>32</v>
      </c>
      <c r="T468">
        <v>5657</v>
      </c>
      <c r="U468">
        <v>668.27</v>
      </c>
      <c r="V468">
        <v>502.54</v>
      </c>
      <c r="W468">
        <f>Europe_Sales_Records34[[#This Row],[Total Revenue]]/Europe_Sales_Records34[[#This Row],[Units Sold]]</f>
        <v>668.27</v>
      </c>
      <c r="X468">
        <v>3780403.39</v>
      </c>
      <c r="Y468">
        <v>2842868.78</v>
      </c>
      <c r="Z468" s="4">
        <f>Europe_Sales_Records34[[#This Row],[Total Profit]]/Europe_Sales_Records34[[#This Row],[Total Revenue]]</f>
        <v>0.24799856345489096</v>
      </c>
      <c r="AA468">
        <v>937534.61</v>
      </c>
    </row>
    <row r="469" spans="1:27" x14ac:dyDescent="0.3">
      <c r="A469" t="s">
        <v>14</v>
      </c>
      <c r="B469" t="s">
        <v>223</v>
      </c>
      <c r="C469" t="s">
        <v>75</v>
      </c>
      <c r="D469" t="s">
        <v>23</v>
      </c>
      <c r="E469" t="s">
        <v>24</v>
      </c>
      <c r="F469" t="s">
        <v>884</v>
      </c>
      <c r="G469" s="2">
        <f t="shared" si="14"/>
        <v>40583</v>
      </c>
      <c r="H469">
        <f>DAY(Europe_Sales_Records34[[#This Row],[Order Date Fixed]])</f>
        <v>9</v>
      </c>
      <c r="I469" t="str">
        <f>TEXT(Europe_Sales_Records34[[#This Row],[Order Date Fixed]],"MMM")</f>
        <v>Feb</v>
      </c>
      <c r="J469">
        <f>YEAR(Europe_Sales_Records34[[#This Row],[Order Date Fixed]])</f>
        <v>2011</v>
      </c>
      <c r="K469" t="str">
        <f>TEXT(Europe_Sales_Records34[[#This Row],[Order Date Fixed]],"MMM-YYYY")</f>
        <v>Feb-2011</v>
      </c>
      <c r="L469">
        <v>942454278</v>
      </c>
      <c r="M469" s="2">
        <f t="shared" si="15"/>
        <v>40631</v>
      </c>
      <c r="N469">
        <f>DAY(Europe_Sales_Records34[[#This Row],[Ship Date Fixed]])</f>
        <v>29</v>
      </c>
      <c r="O469" t="str">
        <f>TEXT(Europe_Sales_Records34[[#This Row],[Ship Date Fixed]],"MMM")</f>
        <v>Mar</v>
      </c>
      <c r="P469">
        <f>YEAR(Europe_Sales_Records34[[#This Row],[Ship Date Fixed]])</f>
        <v>2011</v>
      </c>
      <c r="Q469" t="str">
        <f>TEXT(Europe_Sales_Records34[[#This Row],[Ship Date Fixed]],"MMM-YYYY")</f>
        <v>Mar-2011</v>
      </c>
      <c r="R469" t="s">
        <v>885</v>
      </c>
      <c r="S469" s="3">
        <f>Europe_Sales_Records34[[#This Row],[Ship Date Fixed]]-Europe_Sales_Records34[[#This Row],[Order Date Fixed]]</f>
        <v>48</v>
      </c>
      <c r="T469">
        <v>2019</v>
      </c>
      <c r="U469">
        <v>437.2</v>
      </c>
      <c r="V469">
        <v>263.33</v>
      </c>
      <c r="W469">
        <f>Europe_Sales_Records34[[#This Row],[Total Revenue]]/Europe_Sales_Records34[[#This Row],[Units Sold]]</f>
        <v>437.20000000000005</v>
      </c>
      <c r="X469">
        <v>882706.8</v>
      </c>
      <c r="Y469">
        <v>531663.27</v>
      </c>
      <c r="Z469" s="4">
        <f>Europe_Sales_Records34[[#This Row],[Total Profit]]/Europe_Sales_Records34[[#This Row],[Total Revenue]]</f>
        <v>0.39768984446477584</v>
      </c>
      <c r="AA469">
        <v>351043.53</v>
      </c>
    </row>
    <row r="470" spans="1:27" x14ac:dyDescent="0.3">
      <c r="A470" t="s">
        <v>14</v>
      </c>
      <c r="B470" t="s">
        <v>132</v>
      </c>
      <c r="C470" t="s">
        <v>32</v>
      </c>
      <c r="D470" t="s">
        <v>17</v>
      </c>
      <c r="E470" t="s">
        <v>54</v>
      </c>
      <c r="F470" t="s">
        <v>886</v>
      </c>
      <c r="G470" s="2">
        <f t="shared" si="14"/>
        <v>42143</v>
      </c>
      <c r="H470">
        <f>DAY(Europe_Sales_Records34[[#This Row],[Order Date Fixed]])</f>
        <v>19</v>
      </c>
      <c r="I470" t="str">
        <f>TEXT(Europe_Sales_Records34[[#This Row],[Order Date Fixed]],"MMM")</f>
        <v>May</v>
      </c>
      <c r="J470">
        <f>YEAR(Europe_Sales_Records34[[#This Row],[Order Date Fixed]])</f>
        <v>2015</v>
      </c>
      <c r="K470" t="str">
        <f>TEXT(Europe_Sales_Records34[[#This Row],[Order Date Fixed]],"MMM-YYYY")</f>
        <v>May-2015</v>
      </c>
      <c r="L470">
        <v>150293242</v>
      </c>
      <c r="M470" s="2">
        <f t="shared" si="15"/>
        <v>42176</v>
      </c>
      <c r="N470">
        <f>DAY(Europe_Sales_Records34[[#This Row],[Ship Date Fixed]])</f>
        <v>21</v>
      </c>
      <c r="O470" t="str">
        <f>TEXT(Europe_Sales_Records34[[#This Row],[Ship Date Fixed]],"MMM")</f>
        <v>Jun</v>
      </c>
      <c r="P470">
        <f>YEAR(Europe_Sales_Records34[[#This Row],[Ship Date Fixed]])</f>
        <v>2015</v>
      </c>
      <c r="Q470" t="str">
        <f>TEXT(Europe_Sales_Records34[[#This Row],[Ship Date Fixed]],"MMM-YYYY")</f>
        <v>Jun-2015</v>
      </c>
      <c r="R470" t="s">
        <v>887</v>
      </c>
      <c r="S470" s="3">
        <f>Europe_Sales_Records34[[#This Row],[Ship Date Fixed]]-Europe_Sales_Records34[[#This Row],[Order Date Fixed]]</f>
        <v>33</v>
      </c>
      <c r="T470">
        <v>3965</v>
      </c>
      <c r="U470">
        <v>651.21</v>
      </c>
      <c r="V470">
        <v>524.96</v>
      </c>
      <c r="W470">
        <f>Europe_Sales_Records34[[#This Row],[Total Revenue]]/Europe_Sales_Records34[[#This Row],[Units Sold]]</f>
        <v>651.20999999999992</v>
      </c>
      <c r="X470">
        <v>2582047.65</v>
      </c>
      <c r="Y470">
        <v>2081466.4</v>
      </c>
      <c r="Z470" s="4">
        <f>Europe_Sales_Records34[[#This Row],[Total Profit]]/Europe_Sales_Records34[[#This Row],[Total Revenue]]</f>
        <v>0.19386987300563566</v>
      </c>
      <c r="AA470">
        <v>500581.25</v>
      </c>
    </row>
    <row r="471" spans="1:27" x14ac:dyDescent="0.3">
      <c r="A471" t="s">
        <v>14</v>
      </c>
      <c r="B471" t="s">
        <v>196</v>
      </c>
      <c r="C471" t="s">
        <v>32</v>
      </c>
      <c r="D471" t="s">
        <v>17</v>
      </c>
      <c r="E471" t="s">
        <v>54</v>
      </c>
      <c r="F471" t="s">
        <v>888</v>
      </c>
      <c r="G471" s="2">
        <f t="shared" si="14"/>
        <v>41627</v>
      </c>
      <c r="H471">
        <f>DAY(Europe_Sales_Records34[[#This Row],[Order Date Fixed]])</f>
        <v>19</v>
      </c>
      <c r="I471" t="str">
        <f>TEXT(Europe_Sales_Records34[[#This Row],[Order Date Fixed]],"MMM")</f>
        <v>Dec</v>
      </c>
      <c r="J471">
        <f>YEAR(Europe_Sales_Records34[[#This Row],[Order Date Fixed]])</f>
        <v>2013</v>
      </c>
      <c r="K471" t="str">
        <f>TEXT(Europe_Sales_Records34[[#This Row],[Order Date Fixed]],"MMM-YYYY")</f>
        <v>Dec-2013</v>
      </c>
      <c r="L471">
        <v>236042392</v>
      </c>
      <c r="M471" s="2">
        <f t="shared" si="15"/>
        <v>41665</v>
      </c>
      <c r="N471">
        <f>DAY(Europe_Sales_Records34[[#This Row],[Ship Date Fixed]])</f>
        <v>26</v>
      </c>
      <c r="O471" t="str">
        <f>TEXT(Europe_Sales_Records34[[#This Row],[Ship Date Fixed]],"MMM")</f>
        <v>Jan</v>
      </c>
      <c r="P471">
        <f>YEAR(Europe_Sales_Records34[[#This Row],[Ship Date Fixed]])</f>
        <v>2014</v>
      </c>
      <c r="Q471" t="str">
        <f>TEXT(Europe_Sales_Records34[[#This Row],[Ship Date Fixed]],"MMM-YYYY")</f>
        <v>Jan-2014</v>
      </c>
      <c r="R471" t="s">
        <v>365</v>
      </c>
      <c r="S471" s="3">
        <f>Europe_Sales_Records34[[#This Row],[Ship Date Fixed]]-Europe_Sales_Records34[[#This Row],[Order Date Fixed]]</f>
        <v>38</v>
      </c>
      <c r="T471">
        <v>9044</v>
      </c>
      <c r="U471">
        <v>651.21</v>
      </c>
      <c r="V471">
        <v>524.96</v>
      </c>
      <c r="W471">
        <f>Europe_Sales_Records34[[#This Row],[Total Revenue]]/Europe_Sales_Records34[[#This Row],[Units Sold]]</f>
        <v>651.21</v>
      </c>
      <c r="X471">
        <v>5889543.2400000002</v>
      </c>
      <c r="Y471">
        <v>4747738.24</v>
      </c>
      <c r="Z471" s="4">
        <f>Europe_Sales_Records34[[#This Row],[Total Profit]]/Europe_Sales_Records34[[#This Row],[Total Revenue]]</f>
        <v>0.19386987300563566</v>
      </c>
      <c r="AA471">
        <v>1141805</v>
      </c>
    </row>
    <row r="472" spans="1:27" x14ac:dyDescent="0.3">
      <c r="A472" t="s">
        <v>14</v>
      </c>
      <c r="B472" t="s">
        <v>185</v>
      </c>
      <c r="C472" t="s">
        <v>64</v>
      </c>
      <c r="D472" t="s">
        <v>17</v>
      </c>
      <c r="E472" t="s">
        <v>33</v>
      </c>
      <c r="F472" t="s">
        <v>889</v>
      </c>
      <c r="G472" s="2">
        <f t="shared" si="14"/>
        <v>41075</v>
      </c>
      <c r="H472">
        <f>DAY(Europe_Sales_Records34[[#This Row],[Order Date Fixed]])</f>
        <v>15</v>
      </c>
      <c r="I472" t="str">
        <f>TEXT(Europe_Sales_Records34[[#This Row],[Order Date Fixed]],"MMM")</f>
        <v>Jun</v>
      </c>
      <c r="J472">
        <f>YEAR(Europe_Sales_Records34[[#This Row],[Order Date Fixed]])</f>
        <v>2012</v>
      </c>
      <c r="K472" t="str">
        <f>TEXT(Europe_Sales_Records34[[#This Row],[Order Date Fixed]],"MMM-YYYY")</f>
        <v>Jun-2012</v>
      </c>
      <c r="L472">
        <v>314782178</v>
      </c>
      <c r="M472" s="2">
        <f t="shared" si="15"/>
        <v>41102</v>
      </c>
      <c r="N472">
        <f>DAY(Europe_Sales_Records34[[#This Row],[Ship Date Fixed]])</f>
        <v>12</v>
      </c>
      <c r="O472" t="str">
        <f>TEXT(Europe_Sales_Records34[[#This Row],[Ship Date Fixed]],"MMM")</f>
        <v>Jul</v>
      </c>
      <c r="P472">
        <f>YEAR(Europe_Sales_Records34[[#This Row],[Ship Date Fixed]])</f>
        <v>2012</v>
      </c>
      <c r="Q472" t="str">
        <f>TEXT(Europe_Sales_Records34[[#This Row],[Ship Date Fixed]],"MMM-YYYY")</f>
        <v>Jul-2012</v>
      </c>
      <c r="R472" t="s">
        <v>890</v>
      </c>
      <c r="S472" s="3">
        <f>Europe_Sales_Records34[[#This Row],[Ship Date Fixed]]-Europe_Sales_Records34[[#This Row],[Order Date Fixed]]</f>
        <v>27</v>
      </c>
      <c r="T472">
        <v>9896</v>
      </c>
      <c r="U472">
        <v>255.28</v>
      </c>
      <c r="V472">
        <v>159.41999999999999</v>
      </c>
      <c r="W472">
        <f>Europe_Sales_Records34[[#This Row],[Total Revenue]]/Europe_Sales_Records34[[#This Row],[Units Sold]]</f>
        <v>255.28</v>
      </c>
      <c r="X472">
        <v>2526250.88</v>
      </c>
      <c r="Y472">
        <v>1577620.32</v>
      </c>
      <c r="Z472" s="4">
        <f>Europe_Sales_Records34[[#This Row],[Total Profit]]/Europe_Sales_Records34[[#This Row],[Total Revenue]]</f>
        <v>0.37550924475086184</v>
      </c>
      <c r="AA472">
        <v>948630.56</v>
      </c>
    </row>
    <row r="473" spans="1:27" x14ac:dyDescent="0.3">
      <c r="A473" t="s">
        <v>14</v>
      </c>
      <c r="B473" t="s">
        <v>57</v>
      </c>
      <c r="C473" t="s">
        <v>75</v>
      </c>
      <c r="D473" t="s">
        <v>17</v>
      </c>
      <c r="E473" t="s">
        <v>24</v>
      </c>
      <c r="F473" t="s">
        <v>437</v>
      </c>
      <c r="G473" s="2">
        <f t="shared" si="14"/>
        <v>42578</v>
      </c>
      <c r="H473">
        <f>DAY(Europe_Sales_Records34[[#This Row],[Order Date Fixed]])</f>
        <v>27</v>
      </c>
      <c r="I473" t="str">
        <f>TEXT(Europe_Sales_Records34[[#This Row],[Order Date Fixed]],"MMM")</f>
        <v>Jul</v>
      </c>
      <c r="J473">
        <f>YEAR(Europe_Sales_Records34[[#This Row],[Order Date Fixed]])</f>
        <v>2016</v>
      </c>
      <c r="K473" t="str">
        <f>TEXT(Europe_Sales_Records34[[#This Row],[Order Date Fixed]],"MMM-YYYY")</f>
        <v>Jul-2016</v>
      </c>
      <c r="L473">
        <v>193472945</v>
      </c>
      <c r="M473" s="2">
        <f t="shared" si="15"/>
        <v>42626</v>
      </c>
      <c r="N473">
        <f>DAY(Europe_Sales_Records34[[#This Row],[Ship Date Fixed]])</f>
        <v>13</v>
      </c>
      <c r="O473" t="str">
        <f>TEXT(Europe_Sales_Records34[[#This Row],[Ship Date Fixed]],"MMM")</f>
        <v>Sep</v>
      </c>
      <c r="P473">
        <f>YEAR(Europe_Sales_Records34[[#This Row],[Ship Date Fixed]])</f>
        <v>2016</v>
      </c>
      <c r="Q473" t="str">
        <f>TEXT(Europe_Sales_Records34[[#This Row],[Ship Date Fixed]],"MMM-YYYY")</f>
        <v>Sep-2016</v>
      </c>
      <c r="R473" t="s">
        <v>891</v>
      </c>
      <c r="S473" s="3">
        <f>Europe_Sales_Records34[[#This Row],[Ship Date Fixed]]-Europe_Sales_Records34[[#This Row],[Order Date Fixed]]</f>
        <v>48</v>
      </c>
      <c r="T473">
        <v>1799</v>
      </c>
      <c r="U473">
        <v>437.2</v>
      </c>
      <c r="V473">
        <v>263.33</v>
      </c>
      <c r="W473">
        <f>Europe_Sales_Records34[[#This Row],[Total Revenue]]/Europe_Sales_Records34[[#This Row],[Units Sold]]</f>
        <v>437.20000000000005</v>
      </c>
      <c r="X473">
        <v>786522.8</v>
      </c>
      <c r="Y473">
        <v>473730.67</v>
      </c>
      <c r="Z473" s="4">
        <f>Europe_Sales_Records34[[#This Row],[Total Profit]]/Europe_Sales_Records34[[#This Row],[Total Revenue]]</f>
        <v>0.39768984446477584</v>
      </c>
      <c r="AA473">
        <v>312792.13</v>
      </c>
    </row>
    <row r="474" spans="1:27" x14ac:dyDescent="0.3">
      <c r="A474" t="s">
        <v>14</v>
      </c>
      <c r="B474" t="s">
        <v>110</v>
      </c>
      <c r="C474" t="s">
        <v>75</v>
      </c>
      <c r="D474" t="s">
        <v>17</v>
      </c>
      <c r="E474" t="s">
        <v>54</v>
      </c>
      <c r="F474" t="s">
        <v>892</v>
      </c>
      <c r="G474" s="2">
        <f t="shared" si="14"/>
        <v>40448</v>
      </c>
      <c r="H474">
        <f>DAY(Europe_Sales_Records34[[#This Row],[Order Date Fixed]])</f>
        <v>27</v>
      </c>
      <c r="I474" t="str">
        <f>TEXT(Europe_Sales_Records34[[#This Row],[Order Date Fixed]],"MMM")</f>
        <v>Sep</v>
      </c>
      <c r="J474">
        <f>YEAR(Europe_Sales_Records34[[#This Row],[Order Date Fixed]])</f>
        <v>2010</v>
      </c>
      <c r="K474" t="str">
        <f>TEXT(Europe_Sales_Records34[[#This Row],[Order Date Fixed]],"MMM-YYYY")</f>
        <v>Sep-2010</v>
      </c>
      <c r="L474">
        <v>434013879</v>
      </c>
      <c r="M474" s="2">
        <f t="shared" si="15"/>
        <v>40487</v>
      </c>
      <c r="N474">
        <f>DAY(Europe_Sales_Records34[[#This Row],[Ship Date Fixed]])</f>
        <v>5</v>
      </c>
      <c r="O474" t="str">
        <f>TEXT(Europe_Sales_Records34[[#This Row],[Ship Date Fixed]],"MMM")</f>
        <v>Nov</v>
      </c>
      <c r="P474">
        <f>YEAR(Europe_Sales_Records34[[#This Row],[Ship Date Fixed]])</f>
        <v>2010</v>
      </c>
      <c r="Q474" t="str">
        <f>TEXT(Europe_Sales_Records34[[#This Row],[Ship Date Fixed]],"MMM-YYYY")</f>
        <v>Nov-2010</v>
      </c>
      <c r="R474" t="s">
        <v>893</v>
      </c>
      <c r="S474" s="3">
        <f>Europe_Sales_Records34[[#This Row],[Ship Date Fixed]]-Europe_Sales_Records34[[#This Row],[Order Date Fixed]]</f>
        <v>39</v>
      </c>
      <c r="T474">
        <v>3206</v>
      </c>
      <c r="U474">
        <v>437.2</v>
      </c>
      <c r="V474">
        <v>263.33</v>
      </c>
      <c r="W474">
        <f>Europe_Sales_Records34[[#This Row],[Total Revenue]]/Europe_Sales_Records34[[#This Row],[Units Sold]]</f>
        <v>437.2</v>
      </c>
      <c r="X474">
        <v>1401663.2</v>
      </c>
      <c r="Y474">
        <v>844235.98</v>
      </c>
      <c r="Z474" s="4">
        <f>Europe_Sales_Records34[[#This Row],[Total Profit]]/Europe_Sales_Records34[[#This Row],[Total Revenue]]</f>
        <v>0.39768984446477584</v>
      </c>
      <c r="AA474">
        <v>557427.22</v>
      </c>
    </row>
    <row r="475" spans="1:27" x14ac:dyDescent="0.3">
      <c r="A475" t="s">
        <v>14</v>
      </c>
      <c r="B475" t="s">
        <v>183</v>
      </c>
      <c r="C475" t="s">
        <v>28</v>
      </c>
      <c r="D475" t="s">
        <v>23</v>
      </c>
      <c r="E475" t="s">
        <v>33</v>
      </c>
      <c r="F475" t="s">
        <v>894</v>
      </c>
      <c r="G475" s="2">
        <f t="shared" si="14"/>
        <v>42242</v>
      </c>
      <c r="H475">
        <f>DAY(Europe_Sales_Records34[[#This Row],[Order Date Fixed]])</f>
        <v>26</v>
      </c>
      <c r="I475" t="str">
        <f>TEXT(Europe_Sales_Records34[[#This Row],[Order Date Fixed]],"MMM")</f>
        <v>Aug</v>
      </c>
      <c r="J475">
        <f>YEAR(Europe_Sales_Records34[[#This Row],[Order Date Fixed]])</f>
        <v>2015</v>
      </c>
      <c r="K475" t="str">
        <f>TEXT(Europe_Sales_Records34[[#This Row],[Order Date Fixed]],"MMM-YYYY")</f>
        <v>Aug-2015</v>
      </c>
      <c r="L475">
        <v>431240689</v>
      </c>
      <c r="M475" s="2">
        <f t="shared" si="15"/>
        <v>42290</v>
      </c>
      <c r="N475">
        <f>DAY(Europe_Sales_Records34[[#This Row],[Ship Date Fixed]])</f>
        <v>13</v>
      </c>
      <c r="O475" t="str">
        <f>TEXT(Europe_Sales_Records34[[#This Row],[Ship Date Fixed]],"MMM")</f>
        <v>Oct</v>
      </c>
      <c r="P475">
        <f>YEAR(Europe_Sales_Records34[[#This Row],[Ship Date Fixed]])</f>
        <v>2015</v>
      </c>
      <c r="Q475" t="str">
        <f>TEXT(Europe_Sales_Records34[[#This Row],[Ship Date Fixed]],"MMM-YYYY")</f>
        <v>Oct-2015</v>
      </c>
      <c r="R475" t="s">
        <v>550</v>
      </c>
      <c r="S475" s="3">
        <f>Europe_Sales_Records34[[#This Row],[Ship Date Fixed]]-Europe_Sales_Records34[[#This Row],[Order Date Fixed]]</f>
        <v>48</v>
      </c>
      <c r="T475">
        <v>2558</v>
      </c>
      <c r="U475">
        <v>205.7</v>
      </c>
      <c r="V475">
        <v>117.11</v>
      </c>
      <c r="W475">
        <f>Europe_Sales_Records34[[#This Row],[Total Revenue]]/Europe_Sales_Records34[[#This Row],[Units Sold]]</f>
        <v>205.7</v>
      </c>
      <c r="X475">
        <v>526180.6</v>
      </c>
      <c r="Y475">
        <v>299567.38</v>
      </c>
      <c r="Z475" s="4">
        <f>Europe_Sales_Records34[[#This Row],[Total Profit]]/Europe_Sales_Records34[[#This Row],[Total Revenue]]</f>
        <v>0.43067574137092857</v>
      </c>
      <c r="AA475">
        <v>226613.22</v>
      </c>
    </row>
    <row r="476" spans="1:27" x14ac:dyDescent="0.3">
      <c r="A476" t="s">
        <v>14</v>
      </c>
      <c r="B476" t="s">
        <v>49</v>
      </c>
      <c r="C476" t="s">
        <v>50</v>
      </c>
      <c r="D476" t="s">
        <v>17</v>
      </c>
      <c r="E476" t="s">
        <v>33</v>
      </c>
      <c r="F476" t="s">
        <v>834</v>
      </c>
      <c r="G476" s="2">
        <f t="shared" si="14"/>
        <v>41025</v>
      </c>
      <c r="H476">
        <f>DAY(Europe_Sales_Records34[[#This Row],[Order Date Fixed]])</f>
        <v>26</v>
      </c>
      <c r="I476" t="str">
        <f>TEXT(Europe_Sales_Records34[[#This Row],[Order Date Fixed]],"MMM")</f>
        <v>Apr</v>
      </c>
      <c r="J476">
        <f>YEAR(Europe_Sales_Records34[[#This Row],[Order Date Fixed]])</f>
        <v>2012</v>
      </c>
      <c r="K476" t="str">
        <f>TEXT(Europe_Sales_Records34[[#This Row],[Order Date Fixed]],"MMM-YYYY")</f>
        <v>Apr-2012</v>
      </c>
      <c r="L476">
        <v>643259227</v>
      </c>
      <c r="M476" s="2">
        <f t="shared" si="15"/>
        <v>41025</v>
      </c>
      <c r="N476">
        <f>DAY(Europe_Sales_Records34[[#This Row],[Ship Date Fixed]])</f>
        <v>26</v>
      </c>
      <c r="O476" t="str">
        <f>TEXT(Europe_Sales_Records34[[#This Row],[Ship Date Fixed]],"MMM")</f>
        <v>Apr</v>
      </c>
      <c r="P476">
        <f>YEAR(Europe_Sales_Records34[[#This Row],[Ship Date Fixed]])</f>
        <v>2012</v>
      </c>
      <c r="Q476" t="str">
        <f>TEXT(Europe_Sales_Records34[[#This Row],[Ship Date Fixed]],"MMM-YYYY")</f>
        <v>Apr-2012</v>
      </c>
      <c r="R476" t="s">
        <v>834</v>
      </c>
      <c r="S476" s="3">
        <f>Europe_Sales_Records34[[#This Row],[Ship Date Fixed]]-Europe_Sales_Records34[[#This Row],[Order Date Fixed]]</f>
        <v>0</v>
      </c>
      <c r="T476">
        <v>3555</v>
      </c>
      <c r="U476">
        <v>421.89</v>
      </c>
      <c r="V476">
        <v>364.69</v>
      </c>
      <c r="W476">
        <f>Europe_Sales_Records34[[#This Row],[Total Revenue]]/Europe_Sales_Records34[[#This Row],[Units Sold]]</f>
        <v>421.89</v>
      </c>
      <c r="X476">
        <v>1499818.95</v>
      </c>
      <c r="Y476">
        <v>1296472.95</v>
      </c>
      <c r="Z476" s="4">
        <f>Europe_Sales_Records34[[#This Row],[Total Profit]]/Europe_Sales_Records34[[#This Row],[Total Revenue]]</f>
        <v>0.13558036455000119</v>
      </c>
      <c r="AA476">
        <v>203346</v>
      </c>
    </row>
    <row r="477" spans="1:27" x14ac:dyDescent="0.3">
      <c r="A477" t="s">
        <v>14</v>
      </c>
      <c r="B477" t="s">
        <v>15</v>
      </c>
      <c r="C477" t="s">
        <v>75</v>
      </c>
      <c r="D477" t="s">
        <v>23</v>
      </c>
      <c r="E477" t="s">
        <v>54</v>
      </c>
      <c r="F477" t="s">
        <v>895</v>
      </c>
      <c r="G477" s="2">
        <f t="shared" si="14"/>
        <v>42892</v>
      </c>
      <c r="H477">
        <f>DAY(Europe_Sales_Records34[[#This Row],[Order Date Fixed]])</f>
        <v>6</v>
      </c>
      <c r="I477" t="str">
        <f>TEXT(Europe_Sales_Records34[[#This Row],[Order Date Fixed]],"MMM")</f>
        <v>Jun</v>
      </c>
      <c r="J477">
        <f>YEAR(Europe_Sales_Records34[[#This Row],[Order Date Fixed]])</f>
        <v>2017</v>
      </c>
      <c r="K477" t="str">
        <f>TEXT(Europe_Sales_Records34[[#This Row],[Order Date Fixed]],"MMM-YYYY")</f>
        <v>Jun-2017</v>
      </c>
      <c r="L477">
        <v>151312482</v>
      </c>
      <c r="M477" s="2">
        <f t="shared" si="15"/>
        <v>42928</v>
      </c>
      <c r="N477">
        <f>DAY(Europe_Sales_Records34[[#This Row],[Ship Date Fixed]])</f>
        <v>12</v>
      </c>
      <c r="O477" t="str">
        <f>TEXT(Europe_Sales_Records34[[#This Row],[Ship Date Fixed]],"MMM")</f>
        <v>Jul</v>
      </c>
      <c r="P477">
        <f>YEAR(Europe_Sales_Records34[[#This Row],[Ship Date Fixed]])</f>
        <v>2017</v>
      </c>
      <c r="Q477" t="str">
        <f>TEXT(Europe_Sales_Records34[[#This Row],[Ship Date Fixed]],"MMM-YYYY")</f>
        <v>Jul-2017</v>
      </c>
      <c r="R477" t="s">
        <v>896</v>
      </c>
      <c r="S477" s="3">
        <f>Europe_Sales_Records34[[#This Row],[Ship Date Fixed]]-Europe_Sales_Records34[[#This Row],[Order Date Fixed]]</f>
        <v>36</v>
      </c>
      <c r="T477">
        <v>5581</v>
      </c>
      <c r="U477">
        <v>437.2</v>
      </c>
      <c r="V477">
        <v>263.33</v>
      </c>
      <c r="W477">
        <f>Europe_Sales_Records34[[#This Row],[Total Revenue]]/Europe_Sales_Records34[[#This Row],[Units Sold]]</f>
        <v>437.20000000000005</v>
      </c>
      <c r="X477">
        <v>2440013.2000000002</v>
      </c>
      <c r="Y477">
        <v>1469644.73</v>
      </c>
      <c r="Z477" s="4">
        <f>Europe_Sales_Records34[[#This Row],[Total Profit]]/Europe_Sales_Records34[[#This Row],[Total Revenue]]</f>
        <v>0.39768984446477579</v>
      </c>
      <c r="AA477">
        <v>970368.47</v>
      </c>
    </row>
    <row r="478" spans="1:27" x14ac:dyDescent="0.3">
      <c r="A478" t="s">
        <v>14</v>
      </c>
      <c r="B478" t="s">
        <v>27</v>
      </c>
      <c r="C478" t="s">
        <v>37</v>
      </c>
      <c r="D478" t="s">
        <v>23</v>
      </c>
      <c r="E478" t="s">
        <v>24</v>
      </c>
      <c r="F478" t="s">
        <v>289</v>
      </c>
      <c r="G478" s="2">
        <f t="shared" si="14"/>
        <v>41121</v>
      </c>
      <c r="H478">
        <f>DAY(Europe_Sales_Records34[[#This Row],[Order Date Fixed]])</f>
        <v>31</v>
      </c>
      <c r="I478" t="str">
        <f>TEXT(Europe_Sales_Records34[[#This Row],[Order Date Fixed]],"MMM")</f>
        <v>Jul</v>
      </c>
      <c r="J478">
        <f>YEAR(Europe_Sales_Records34[[#This Row],[Order Date Fixed]])</f>
        <v>2012</v>
      </c>
      <c r="K478" t="str">
        <f>TEXT(Europe_Sales_Records34[[#This Row],[Order Date Fixed]],"MMM-YYYY")</f>
        <v>Jul-2012</v>
      </c>
      <c r="L478">
        <v>750047194</v>
      </c>
      <c r="M478" s="2">
        <f t="shared" si="15"/>
        <v>41170</v>
      </c>
      <c r="N478">
        <f>DAY(Europe_Sales_Records34[[#This Row],[Ship Date Fixed]])</f>
        <v>18</v>
      </c>
      <c r="O478" t="str">
        <f>TEXT(Europe_Sales_Records34[[#This Row],[Ship Date Fixed]],"MMM")</f>
        <v>Sep</v>
      </c>
      <c r="P478">
        <f>YEAR(Europe_Sales_Records34[[#This Row],[Ship Date Fixed]])</f>
        <v>2012</v>
      </c>
      <c r="Q478" t="str">
        <f>TEXT(Europe_Sales_Records34[[#This Row],[Ship Date Fixed]],"MMM-YYYY")</f>
        <v>Sep-2012</v>
      </c>
      <c r="R478" t="s">
        <v>804</v>
      </c>
      <c r="S478" s="3">
        <f>Europe_Sales_Records34[[#This Row],[Ship Date Fixed]]-Europe_Sales_Records34[[#This Row],[Order Date Fixed]]</f>
        <v>49</v>
      </c>
      <c r="T478">
        <v>4487</v>
      </c>
      <c r="U478">
        <v>9.33</v>
      </c>
      <c r="V478">
        <v>6.92</v>
      </c>
      <c r="W478">
        <f>Europe_Sales_Records34[[#This Row],[Total Revenue]]/Europe_Sales_Records34[[#This Row],[Units Sold]]</f>
        <v>9.33</v>
      </c>
      <c r="X478">
        <v>41863.71</v>
      </c>
      <c r="Y478">
        <v>31050.04</v>
      </c>
      <c r="Z478" s="4">
        <f>Europe_Sales_Records34[[#This Row],[Total Profit]]/Europe_Sales_Records34[[#This Row],[Total Revenue]]</f>
        <v>0.25830653804930331</v>
      </c>
      <c r="AA478">
        <v>10813.67</v>
      </c>
    </row>
    <row r="479" spans="1:27" x14ac:dyDescent="0.3">
      <c r="A479" t="s">
        <v>14</v>
      </c>
      <c r="B479" t="s">
        <v>49</v>
      </c>
      <c r="C479" t="s">
        <v>37</v>
      </c>
      <c r="D479" t="s">
        <v>17</v>
      </c>
      <c r="E479" t="s">
        <v>33</v>
      </c>
      <c r="F479" t="s">
        <v>897</v>
      </c>
      <c r="G479" s="2">
        <f t="shared" si="14"/>
        <v>42337</v>
      </c>
      <c r="H479">
        <f>DAY(Europe_Sales_Records34[[#This Row],[Order Date Fixed]])</f>
        <v>29</v>
      </c>
      <c r="I479" t="str">
        <f>TEXT(Europe_Sales_Records34[[#This Row],[Order Date Fixed]],"MMM")</f>
        <v>Nov</v>
      </c>
      <c r="J479">
        <f>YEAR(Europe_Sales_Records34[[#This Row],[Order Date Fixed]])</f>
        <v>2015</v>
      </c>
      <c r="K479" t="str">
        <f>TEXT(Europe_Sales_Records34[[#This Row],[Order Date Fixed]],"MMM-YYYY")</f>
        <v>Nov-2015</v>
      </c>
      <c r="L479">
        <v>721318805</v>
      </c>
      <c r="M479" s="2">
        <f t="shared" si="15"/>
        <v>42347</v>
      </c>
      <c r="N479">
        <f>DAY(Europe_Sales_Records34[[#This Row],[Ship Date Fixed]])</f>
        <v>9</v>
      </c>
      <c r="O479" t="str">
        <f>TEXT(Europe_Sales_Records34[[#This Row],[Ship Date Fixed]],"MMM")</f>
        <v>Dec</v>
      </c>
      <c r="P479">
        <f>YEAR(Europe_Sales_Records34[[#This Row],[Ship Date Fixed]])</f>
        <v>2015</v>
      </c>
      <c r="Q479" t="str">
        <f>TEXT(Europe_Sales_Records34[[#This Row],[Ship Date Fixed]],"MMM-YYYY")</f>
        <v>Dec-2015</v>
      </c>
      <c r="R479" t="s">
        <v>527</v>
      </c>
      <c r="S479" s="3">
        <f>Europe_Sales_Records34[[#This Row],[Ship Date Fixed]]-Europe_Sales_Records34[[#This Row],[Order Date Fixed]]</f>
        <v>10</v>
      </c>
      <c r="T479">
        <v>3118</v>
      </c>
      <c r="U479">
        <v>9.33</v>
      </c>
      <c r="V479">
        <v>6.92</v>
      </c>
      <c r="W479">
        <f>Europe_Sales_Records34[[#This Row],[Total Revenue]]/Europe_Sales_Records34[[#This Row],[Units Sold]]</f>
        <v>9.33</v>
      </c>
      <c r="X479">
        <v>29090.94</v>
      </c>
      <c r="Y479">
        <v>21576.560000000001</v>
      </c>
      <c r="Z479" s="4">
        <f>Europe_Sales_Records34[[#This Row],[Total Profit]]/Europe_Sales_Records34[[#This Row],[Total Revenue]]</f>
        <v>0.25830653804930331</v>
      </c>
      <c r="AA479">
        <v>7514.38</v>
      </c>
    </row>
    <row r="480" spans="1:27" x14ac:dyDescent="0.3">
      <c r="A480" t="s">
        <v>14</v>
      </c>
      <c r="B480" t="s">
        <v>257</v>
      </c>
      <c r="C480" t="s">
        <v>16</v>
      </c>
      <c r="D480" t="s">
        <v>17</v>
      </c>
      <c r="E480" t="s">
        <v>54</v>
      </c>
      <c r="F480" t="s">
        <v>898</v>
      </c>
      <c r="G480" s="2">
        <f t="shared" si="14"/>
        <v>40952</v>
      </c>
      <c r="H480">
        <f>DAY(Europe_Sales_Records34[[#This Row],[Order Date Fixed]])</f>
        <v>13</v>
      </c>
      <c r="I480" t="str">
        <f>TEXT(Europe_Sales_Records34[[#This Row],[Order Date Fixed]],"MMM")</f>
        <v>Feb</v>
      </c>
      <c r="J480">
        <f>YEAR(Europe_Sales_Records34[[#This Row],[Order Date Fixed]])</f>
        <v>2012</v>
      </c>
      <c r="K480" t="str">
        <f>TEXT(Europe_Sales_Records34[[#This Row],[Order Date Fixed]],"MMM-YYYY")</f>
        <v>Feb-2012</v>
      </c>
      <c r="L480">
        <v>599997556</v>
      </c>
      <c r="M480" s="2">
        <f t="shared" si="15"/>
        <v>40953</v>
      </c>
      <c r="N480">
        <f>DAY(Europe_Sales_Records34[[#This Row],[Ship Date Fixed]])</f>
        <v>14</v>
      </c>
      <c r="O480" t="str">
        <f>TEXT(Europe_Sales_Records34[[#This Row],[Ship Date Fixed]],"MMM")</f>
        <v>Feb</v>
      </c>
      <c r="P480">
        <f>YEAR(Europe_Sales_Records34[[#This Row],[Ship Date Fixed]])</f>
        <v>2012</v>
      </c>
      <c r="Q480" t="str">
        <f>TEXT(Europe_Sales_Records34[[#This Row],[Ship Date Fixed]],"MMM-YYYY")</f>
        <v>Feb-2012</v>
      </c>
      <c r="R480" t="s">
        <v>899</v>
      </c>
      <c r="S480" s="3">
        <f>Europe_Sales_Records34[[#This Row],[Ship Date Fixed]]-Europe_Sales_Records34[[#This Row],[Order Date Fixed]]</f>
        <v>1</v>
      </c>
      <c r="T480">
        <v>1465</v>
      </c>
      <c r="U480">
        <v>47.45</v>
      </c>
      <c r="V480">
        <v>31.79</v>
      </c>
      <c r="W480">
        <f>Europe_Sales_Records34[[#This Row],[Total Revenue]]/Europe_Sales_Records34[[#This Row],[Units Sold]]</f>
        <v>47.45</v>
      </c>
      <c r="X480">
        <v>69514.25</v>
      </c>
      <c r="Y480">
        <v>46572.35</v>
      </c>
      <c r="Z480" s="4">
        <f>Europe_Sales_Records34[[#This Row],[Total Profit]]/Europe_Sales_Records34[[#This Row],[Total Revenue]]</f>
        <v>0.33003161222339306</v>
      </c>
      <c r="AA480">
        <v>22941.9</v>
      </c>
    </row>
    <row r="481" spans="1:27" x14ac:dyDescent="0.3">
      <c r="A481" t="s">
        <v>14</v>
      </c>
      <c r="B481" t="s">
        <v>36</v>
      </c>
      <c r="C481" t="s">
        <v>16</v>
      </c>
      <c r="D481" t="s">
        <v>23</v>
      </c>
      <c r="E481" t="s">
        <v>24</v>
      </c>
      <c r="F481" t="s">
        <v>900</v>
      </c>
      <c r="G481" s="2">
        <f t="shared" si="14"/>
        <v>42702</v>
      </c>
      <c r="H481">
        <f>DAY(Europe_Sales_Records34[[#This Row],[Order Date Fixed]])</f>
        <v>28</v>
      </c>
      <c r="I481" t="str">
        <f>TEXT(Europe_Sales_Records34[[#This Row],[Order Date Fixed]],"MMM")</f>
        <v>Nov</v>
      </c>
      <c r="J481">
        <f>YEAR(Europe_Sales_Records34[[#This Row],[Order Date Fixed]])</f>
        <v>2016</v>
      </c>
      <c r="K481" t="str">
        <f>TEXT(Europe_Sales_Records34[[#This Row],[Order Date Fixed]],"MMM-YYYY")</f>
        <v>Nov-2016</v>
      </c>
      <c r="L481">
        <v>826677262</v>
      </c>
      <c r="M481" s="2">
        <f t="shared" si="15"/>
        <v>42744</v>
      </c>
      <c r="N481">
        <f>DAY(Europe_Sales_Records34[[#This Row],[Ship Date Fixed]])</f>
        <v>9</v>
      </c>
      <c r="O481" t="str">
        <f>TEXT(Europe_Sales_Records34[[#This Row],[Ship Date Fixed]],"MMM")</f>
        <v>Jan</v>
      </c>
      <c r="P481">
        <f>YEAR(Europe_Sales_Records34[[#This Row],[Ship Date Fixed]])</f>
        <v>2017</v>
      </c>
      <c r="Q481" t="str">
        <f>TEXT(Europe_Sales_Records34[[#This Row],[Ship Date Fixed]],"MMM-YYYY")</f>
        <v>Jan-2017</v>
      </c>
      <c r="R481" t="s">
        <v>901</v>
      </c>
      <c r="S481" s="3">
        <f>Europe_Sales_Records34[[#This Row],[Ship Date Fixed]]-Europe_Sales_Records34[[#This Row],[Order Date Fixed]]</f>
        <v>42</v>
      </c>
      <c r="T481">
        <v>1027</v>
      </c>
      <c r="U481">
        <v>47.45</v>
      </c>
      <c r="V481">
        <v>31.79</v>
      </c>
      <c r="W481">
        <f>Europe_Sales_Records34[[#This Row],[Total Revenue]]/Europe_Sales_Records34[[#This Row],[Units Sold]]</f>
        <v>47.45</v>
      </c>
      <c r="X481">
        <v>48731.15</v>
      </c>
      <c r="Y481">
        <v>32648.33</v>
      </c>
      <c r="Z481" s="4">
        <f>Europe_Sales_Records34[[#This Row],[Total Profit]]/Europe_Sales_Records34[[#This Row],[Total Revenue]]</f>
        <v>0.33003161222339306</v>
      </c>
      <c r="AA481">
        <v>16082.82</v>
      </c>
    </row>
    <row r="482" spans="1:27" x14ac:dyDescent="0.3">
      <c r="A482" t="s">
        <v>14</v>
      </c>
      <c r="B482" t="s">
        <v>89</v>
      </c>
      <c r="C482" t="s">
        <v>16</v>
      </c>
      <c r="D482" t="s">
        <v>17</v>
      </c>
      <c r="E482" t="s">
        <v>54</v>
      </c>
      <c r="F482" t="s">
        <v>523</v>
      </c>
      <c r="G482" s="2">
        <f t="shared" si="14"/>
        <v>40729</v>
      </c>
      <c r="H482">
        <f>DAY(Europe_Sales_Records34[[#This Row],[Order Date Fixed]])</f>
        <v>5</v>
      </c>
      <c r="I482" t="str">
        <f>TEXT(Europe_Sales_Records34[[#This Row],[Order Date Fixed]],"MMM")</f>
        <v>Jul</v>
      </c>
      <c r="J482">
        <f>YEAR(Europe_Sales_Records34[[#This Row],[Order Date Fixed]])</f>
        <v>2011</v>
      </c>
      <c r="K482" t="str">
        <f>TEXT(Europe_Sales_Records34[[#This Row],[Order Date Fixed]],"MMM-YYYY")</f>
        <v>Jul-2011</v>
      </c>
      <c r="L482">
        <v>735445678</v>
      </c>
      <c r="M482" s="2">
        <f t="shared" si="15"/>
        <v>40746</v>
      </c>
      <c r="N482">
        <f>DAY(Europe_Sales_Records34[[#This Row],[Ship Date Fixed]])</f>
        <v>22</v>
      </c>
      <c r="O482" t="str">
        <f>TEXT(Europe_Sales_Records34[[#This Row],[Ship Date Fixed]],"MMM")</f>
        <v>Jul</v>
      </c>
      <c r="P482">
        <f>YEAR(Europe_Sales_Records34[[#This Row],[Ship Date Fixed]])</f>
        <v>2011</v>
      </c>
      <c r="Q482" t="str">
        <f>TEXT(Europe_Sales_Records34[[#This Row],[Ship Date Fixed]],"MMM-YYYY")</f>
        <v>Jul-2011</v>
      </c>
      <c r="R482" t="s">
        <v>902</v>
      </c>
      <c r="S482" s="3">
        <f>Europe_Sales_Records34[[#This Row],[Ship Date Fixed]]-Europe_Sales_Records34[[#This Row],[Order Date Fixed]]</f>
        <v>17</v>
      </c>
      <c r="T482">
        <v>3574</v>
      </c>
      <c r="U482">
        <v>47.45</v>
      </c>
      <c r="V482">
        <v>31.79</v>
      </c>
      <c r="W482">
        <f>Europe_Sales_Records34[[#This Row],[Total Revenue]]/Europe_Sales_Records34[[#This Row],[Units Sold]]</f>
        <v>47.449999999999996</v>
      </c>
      <c r="X482">
        <v>169586.3</v>
      </c>
      <c r="Y482">
        <v>113617.46</v>
      </c>
      <c r="Z482" s="4">
        <f>Europe_Sales_Records34[[#This Row],[Total Profit]]/Europe_Sales_Records34[[#This Row],[Total Revenue]]</f>
        <v>0.33003161222339306</v>
      </c>
      <c r="AA482">
        <v>55968.84</v>
      </c>
    </row>
    <row r="483" spans="1:27" x14ac:dyDescent="0.3">
      <c r="A483" t="s">
        <v>14</v>
      </c>
      <c r="B483" t="s">
        <v>61</v>
      </c>
      <c r="C483" t="s">
        <v>46</v>
      </c>
      <c r="D483" t="s">
        <v>17</v>
      </c>
      <c r="E483" t="s">
        <v>33</v>
      </c>
      <c r="F483" t="s">
        <v>903</v>
      </c>
      <c r="G483" s="2">
        <f t="shared" si="14"/>
        <v>41196</v>
      </c>
      <c r="H483">
        <f>DAY(Europe_Sales_Records34[[#This Row],[Order Date Fixed]])</f>
        <v>14</v>
      </c>
      <c r="I483" t="str">
        <f>TEXT(Europe_Sales_Records34[[#This Row],[Order Date Fixed]],"MMM")</f>
        <v>Oct</v>
      </c>
      <c r="J483">
        <f>YEAR(Europe_Sales_Records34[[#This Row],[Order Date Fixed]])</f>
        <v>2012</v>
      </c>
      <c r="K483" t="str">
        <f>TEXT(Europe_Sales_Records34[[#This Row],[Order Date Fixed]],"MMM-YYYY")</f>
        <v>Oct-2012</v>
      </c>
      <c r="L483">
        <v>354270303</v>
      </c>
      <c r="M483" s="2">
        <f t="shared" si="15"/>
        <v>41240</v>
      </c>
      <c r="N483">
        <f>DAY(Europe_Sales_Records34[[#This Row],[Ship Date Fixed]])</f>
        <v>27</v>
      </c>
      <c r="O483" t="str">
        <f>TEXT(Europe_Sales_Records34[[#This Row],[Ship Date Fixed]],"MMM")</f>
        <v>Nov</v>
      </c>
      <c r="P483">
        <f>YEAR(Europe_Sales_Records34[[#This Row],[Ship Date Fixed]])</f>
        <v>2012</v>
      </c>
      <c r="Q483" t="str">
        <f>TEXT(Europe_Sales_Records34[[#This Row],[Ship Date Fixed]],"MMM-YYYY")</f>
        <v>Nov-2012</v>
      </c>
      <c r="R483" t="s">
        <v>904</v>
      </c>
      <c r="S483" s="3">
        <f>Europe_Sales_Records34[[#This Row],[Ship Date Fixed]]-Europe_Sales_Records34[[#This Row],[Order Date Fixed]]</f>
        <v>44</v>
      </c>
      <c r="T483">
        <v>5310</v>
      </c>
      <c r="U483">
        <v>154.06</v>
      </c>
      <c r="V483">
        <v>90.93</v>
      </c>
      <c r="W483">
        <f>Europe_Sales_Records34[[#This Row],[Total Revenue]]/Europe_Sales_Records34[[#This Row],[Units Sold]]</f>
        <v>154.06</v>
      </c>
      <c r="X483">
        <v>818058.6</v>
      </c>
      <c r="Y483">
        <v>482838.3</v>
      </c>
      <c r="Z483" s="4">
        <f>Europe_Sales_Records34[[#This Row],[Total Profit]]/Europe_Sales_Records34[[#This Row],[Total Revenue]]</f>
        <v>0.40977541217707386</v>
      </c>
      <c r="AA483">
        <v>335220.3</v>
      </c>
    </row>
    <row r="484" spans="1:27" x14ac:dyDescent="0.3">
      <c r="A484" t="s">
        <v>14</v>
      </c>
      <c r="B484" t="s">
        <v>166</v>
      </c>
      <c r="C484" t="s">
        <v>28</v>
      </c>
      <c r="D484" t="s">
        <v>17</v>
      </c>
      <c r="E484" t="s">
        <v>54</v>
      </c>
      <c r="F484" t="s">
        <v>218</v>
      </c>
      <c r="G484" s="2">
        <f t="shared" si="14"/>
        <v>40516</v>
      </c>
      <c r="H484">
        <f>DAY(Europe_Sales_Records34[[#This Row],[Order Date Fixed]])</f>
        <v>4</v>
      </c>
      <c r="I484" t="str">
        <f>TEXT(Europe_Sales_Records34[[#This Row],[Order Date Fixed]],"MMM")</f>
        <v>Dec</v>
      </c>
      <c r="J484">
        <f>YEAR(Europe_Sales_Records34[[#This Row],[Order Date Fixed]])</f>
        <v>2010</v>
      </c>
      <c r="K484" t="str">
        <f>TEXT(Europe_Sales_Records34[[#This Row],[Order Date Fixed]],"MMM-YYYY")</f>
        <v>Dec-2010</v>
      </c>
      <c r="L484">
        <v>806662404</v>
      </c>
      <c r="M484" s="2">
        <f t="shared" si="15"/>
        <v>40519</v>
      </c>
      <c r="N484">
        <f>DAY(Europe_Sales_Records34[[#This Row],[Ship Date Fixed]])</f>
        <v>7</v>
      </c>
      <c r="O484" t="str">
        <f>TEXT(Europe_Sales_Records34[[#This Row],[Ship Date Fixed]],"MMM")</f>
        <v>Dec</v>
      </c>
      <c r="P484">
        <f>YEAR(Europe_Sales_Records34[[#This Row],[Ship Date Fixed]])</f>
        <v>2010</v>
      </c>
      <c r="Q484" t="str">
        <f>TEXT(Europe_Sales_Records34[[#This Row],[Ship Date Fixed]],"MMM-YYYY")</f>
        <v>Dec-2010</v>
      </c>
      <c r="R484" t="s">
        <v>208</v>
      </c>
      <c r="S484" s="3">
        <f>Europe_Sales_Records34[[#This Row],[Ship Date Fixed]]-Europe_Sales_Records34[[#This Row],[Order Date Fixed]]</f>
        <v>3</v>
      </c>
      <c r="T484">
        <v>8186</v>
      </c>
      <c r="U484">
        <v>205.7</v>
      </c>
      <c r="V484">
        <v>117.11</v>
      </c>
      <c r="W484">
        <f>Europe_Sales_Records34[[#This Row],[Total Revenue]]/Europe_Sales_Records34[[#This Row],[Units Sold]]</f>
        <v>205.7</v>
      </c>
      <c r="X484">
        <v>1683860.2</v>
      </c>
      <c r="Y484">
        <v>958662.46</v>
      </c>
      <c r="Z484" s="4">
        <f>Europe_Sales_Records34[[#This Row],[Total Profit]]/Europe_Sales_Records34[[#This Row],[Total Revenue]]</f>
        <v>0.43067574137092857</v>
      </c>
      <c r="AA484">
        <v>725197.74</v>
      </c>
    </row>
    <row r="485" spans="1:27" x14ac:dyDescent="0.3">
      <c r="A485" t="s">
        <v>14</v>
      </c>
      <c r="B485" t="s">
        <v>67</v>
      </c>
      <c r="C485" t="s">
        <v>102</v>
      </c>
      <c r="D485" t="s">
        <v>17</v>
      </c>
      <c r="E485" t="s">
        <v>18</v>
      </c>
      <c r="F485" t="s">
        <v>905</v>
      </c>
      <c r="G485" s="2">
        <f t="shared" si="14"/>
        <v>41591</v>
      </c>
      <c r="H485">
        <f>DAY(Europe_Sales_Records34[[#This Row],[Order Date Fixed]])</f>
        <v>13</v>
      </c>
      <c r="I485" t="str">
        <f>TEXT(Europe_Sales_Records34[[#This Row],[Order Date Fixed]],"MMM")</f>
        <v>Nov</v>
      </c>
      <c r="J485">
        <f>YEAR(Europe_Sales_Records34[[#This Row],[Order Date Fixed]])</f>
        <v>2013</v>
      </c>
      <c r="K485" t="str">
        <f>TEXT(Europe_Sales_Records34[[#This Row],[Order Date Fixed]],"MMM-YYYY")</f>
        <v>Nov-2013</v>
      </c>
      <c r="L485">
        <v>933699119</v>
      </c>
      <c r="M485" s="2">
        <f t="shared" si="15"/>
        <v>41602</v>
      </c>
      <c r="N485">
        <f>DAY(Europe_Sales_Records34[[#This Row],[Ship Date Fixed]])</f>
        <v>24</v>
      </c>
      <c r="O485" t="str">
        <f>TEXT(Europe_Sales_Records34[[#This Row],[Ship Date Fixed]],"MMM")</f>
        <v>Nov</v>
      </c>
      <c r="P485">
        <f>YEAR(Europe_Sales_Records34[[#This Row],[Ship Date Fixed]])</f>
        <v>2013</v>
      </c>
      <c r="Q485" t="str">
        <f>TEXT(Europe_Sales_Records34[[#This Row],[Ship Date Fixed]],"MMM-YYYY")</f>
        <v>Nov-2013</v>
      </c>
      <c r="R485" t="s">
        <v>637</v>
      </c>
      <c r="S485" s="3">
        <f>Europe_Sales_Records34[[#This Row],[Ship Date Fixed]]-Europe_Sales_Records34[[#This Row],[Order Date Fixed]]</f>
        <v>11</v>
      </c>
      <c r="T485">
        <v>1173</v>
      </c>
      <c r="U485">
        <v>81.73</v>
      </c>
      <c r="V485">
        <v>56.67</v>
      </c>
      <c r="W485">
        <f>Europe_Sales_Records34[[#This Row],[Total Revenue]]/Europe_Sales_Records34[[#This Row],[Units Sold]]</f>
        <v>81.72999999999999</v>
      </c>
      <c r="X485">
        <v>95869.29</v>
      </c>
      <c r="Y485">
        <v>66473.91</v>
      </c>
      <c r="Z485" s="4">
        <f>Europe_Sales_Records34[[#This Row],[Total Profit]]/Europe_Sales_Records34[[#This Row],[Total Revenue]]</f>
        <v>0.30661935641747218</v>
      </c>
      <c r="AA485">
        <v>29395.38</v>
      </c>
    </row>
    <row r="486" spans="1:27" x14ac:dyDescent="0.3">
      <c r="A486" t="s">
        <v>14</v>
      </c>
      <c r="B486" t="s">
        <v>49</v>
      </c>
      <c r="C486" t="s">
        <v>64</v>
      </c>
      <c r="D486" t="s">
        <v>17</v>
      </c>
      <c r="E486" t="s">
        <v>18</v>
      </c>
      <c r="F486" t="s">
        <v>906</v>
      </c>
      <c r="G486" s="2">
        <f t="shared" si="14"/>
        <v>42182</v>
      </c>
      <c r="H486">
        <f>DAY(Europe_Sales_Records34[[#This Row],[Order Date Fixed]])</f>
        <v>27</v>
      </c>
      <c r="I486" t="str">
        <f>TEXT(Europe_Sales_Records34[[#This Row],[Order Date Fixed]],"MMM")</f>
        <v>Jun</v>
      </c>
      <c r="J486">
        <f>YEAR(Europe_Sales_Records34[[#This Row],[Order Date Fixed]])</f>
        <v>2015</v>
      </c>
      <c r="K486" t="str">
        <f>TEXT(Europe_Sales_Records34[[#This Row],[Order Date Fixed]],"MMM-YYYY")</f>
        <v>Jun-2015</v>
      </c>
      <c r="L486">
        <v>726223170</v>
      </c>
      <c r="M486" s="2">
        <f t="shared" si="15"/>
        <v>42216</v>
      </c>
      <c r="N486">
        <f>DAY(Europe_Sales_Records34[[#This Row],[Ship Date Fixed]])</f>
        <v>31</v>
      </c>
      <c r="O486" t="str">
        <f>TEXT(Europe_Sales_Records34[[#This Row],[Ship Date Fixed]],"MMM")</f>
        <v>Jul</v>
      </c>
      <c r="P486">
        <f>YEAR(Europe_Sales_Records34[[#This Row],[Ship Date Fixed]])</f>
        <v>2015</v>
      </c>
      <c r="Q486" t="str">
        <f>TEXT(Europe_Sales_Records34[[#This Row],[Ship Date Fixed]],"MMM-YYYY")</f>
        <v>Jul-2015</v>
      </c>
      <c r="R486" t="s">
        <v>907</v>
      </c>
      <c r="S486" s="3">
        <f>Europe_Sales_Records34[[#This Row],[Ship Date Fixed]]-Europe_Sales_Records34[[#This Row],[Order Date Fixed]]</f>
        <v>34</v>
      </c>
      <c r="T486">
        <v>4429</v>
      </c>
      <c r="U486">
        <v>255.28</v>
      </c>
      <c r="V486">
        <v>159.41999999999999</v>
      </c>
      <c r="W486">
        <f>Europe_Sales_Records34[[#This Row],[Total Revenue]]/Europe_Sales_Records34[[#This Row],[Units Sold]]</f>
        <v>255.28000000000003</v>
      </c>
      <c r="X486">
        <v>1130635.1200000001</v>
      </c>
      <c r="Y486">
        <v>706071.18</v>
      </c>
      <c r="Z486" s="4">
        <f>Europe_Sales_Records34[[#This Row],[Total Profit]]/Europe_Sales_Records34[[#This Row],[Total Revenue]]</f>
        <v>0.37550924475086178</v>
      </c>
      <c r="AA486">
        <v>424563.94</v>
      </c>
    </row>
    <row r="487" spans="1:27" x14ac:dyDescent="0.3">
      <c r="A487" t="s">
        <v>14</v>
      </c>
      <c r="B487" t="s">
        <v>15</v>
      </c>
      <c r="C487" t="s">
        <v>50</v>
      </c>
      <c r="D487" t="s">
        <v>23</v>
      </c>
      <c r="E487" t="s">
        <v>24</v>
      </c>
      <c r="F487" t="s">
        <v>908</v>
      </c>
      <c r="G487" s="2">
        <f t="shared" si="14"/>
        <v>42013</v>
      </c>
      <c r="H487">
        <f>DAY(Europe_Sales_Records34[[#This Row],[Order Date Fixed]])</f>
        <v>9</v>
      </c>
      <c r="I487" t="str">
        <f>TEXT(Europe_Sales_Records34[[#This Row],[Order Date Fixed]],"MMM")</f>
        <v>Jan</v>
      </c>
      <c r="J487">
        <f>YEAR(Europe_Sales_Records34[[#This Row],[Order Date Fixed]])</f>
        <v>2015</v>
      </c>
      <c r="K487" t="str">
        <f>TEXT(Europe_Sales_Records34[[#This Row],[Order Date Fixed]],"MMM-YYYY")</f>
        <v>Jan-2015</v>
      </c>
      <c r="L487">
        <v>692555224</v>
      </c>
      <c r="M487" s="2">
        <f t="shared" si="15"/>
        <v>42036</v>
      </c>
      <c r="N487">
        <f>DAY(Europe_Sales_Records34[[#This Row],[Ship Date Fixed]])</f>
        <v>1</v>
      </c>
      <c r="O487" t="str">
        <f>TEXT(Europe_Sales_Records34[[#This Row],[Ship Date Fixed]],"MMM")</f>
        <v>Feb</v>
      </c>
      <c r="P487">
        <f>YEAR(Europe_Sales_Records34[[#This Row],[Ship Date Fixed]])</f>
        <v>2015</v>
      </c>
      <c r="Q487" t="str">
        <f>TEXT(Europe_Sales_Records34[[#This Row],[Ship Date Fixed]],"MMM-YYYY")</f>
        <v>Feb-2015</v>
      </c>
      <c r="R487" t="s">
        <v>909</v>
      </c>
      <c r="S487" s="3">
        <f>Europe_Sales_Records34[[#This Row],[Ship Date Fixed]]-Europe_Sales_Records34[[#This Row],[Order Date Fixed]]</f>
        <v>23</v>
      </c>
      <c r="T487">
        <v>1336</v>
      </c>
      <c r="U487">
        <v>421.89</v>
      </c>
      <c r="V487">
        <v>364.69</v>
      </c>
      <c r="W487">
        <f>Europe_Sales_Records34[[#This Row],[Total Revenue]]/Europe_Sales_Records34[[#This Row],[Units Sold]]</f>
        <v>421.89000000000004</v>
      </c>
      <c r="X487">
        <v>563645.04</v>
      </c>
      <c r="Y487">
        <v>487225.84</v>
      </c>
      <c r="Z487" s="4">
        <f>Europe_Sales_Records34[[#This Row],[Total Profit]]/Europe_Sales_Records34[[#This Row],[Total Revenue]]</f>
        <v>0.13558036455000116</v>
      </c>
      <c r="AA487">
        <v>76419.199999999997</v>
      </c>
    </row>
    <row r="488" spans="1:27" x14ac:dyDescent="0.3">
      <c r="A488" t="s">
        <v>14</v>
      </c>
      <c r="B488" t="s">
        <v>36</v>
      </c>
      <c r="C488" t="s">
        <v>46</v>
      </c>
      <c r="D488" t="s">
        <v>23</v>
      </c>
      <c r="E488" t="s">
        <v>33</v>
      </c>
      <c r="F488" t="s">
        <v>910</v>
      </c>
      <c r="G488" s="2">
        <f t="shared" si="14"/>
        <v>40602</v>
      </c>
      <c r="H488">
        <f>DAY(Europe_Sales_Records34[[#This Row],[Order Date Fixed]])</f>
        <v>28</v>
      </c>
      <c r="I488" t="str">
        <f>TEXT(Europe_Sales_Records34[[#This Row],[Order Date Fixed]],"MMM")</f>
        <v>Feb</v>
      </c>
      <c r="J488">
        <f>YEAR(Europe_Sales_Records34[[#This Row],[Order Date Fixed]])</f>
        <v>2011</v>
      </c>
      <c r="K488" t="str">
        <f>TEXT(Europe_Sales_Records34[[#This Row],[Order Date Fixed]],"MMM-YYYY")</f>
        <v>Feb-2011</v>
      </c>
      <c r="L488">
        <v>134121024</v>
      </c>
      <c r="M488" s="2">
        <f t="shared" si="15"/>
        <v>40641</v>
      </c>
      <c r="N488">
        <f>DAY(Europe_Sales_Records34[[#This Row],[Ship Date Fixed]])</f>
        <v>8</v>
      </c>
      <c r="O488" t="str">
        <f>TEXT(Europe_Sales_Records34[[#This Row],[Ship Date Fixed]],"MMM")</f>
        <v>Apr</v>
      </c>
      <c r="P488">
        <f>YEAR(Europe_Sales_Records34[[#This Row],[Ship Date Fixed]])</f>
        <v>2011</v>
      </c>
      <c r="Q488" t="str">
        <f>TEXT(Europe_Sales_Records34[[#This Row],[Ship Date Fixed]],"MMM-YYYY")</f>
        <v>Apr-2011</v>
      </c>
      <c r="R488" t="s">
        <v>911</v>
      </c>
      <c r="S488" s="3">
        <f>Europe_Sales_Records34[[#This Row],[Ship Date Fixed]]-Europe_Sales_Records34[[#This Row],[Order Date Fixed]]</f>
        <v>39</v>
      </c>
      <c r="T488">
        <v>8246</v>
      </c>
      <c r="U488">
        <v>154.06</v>
      </c>
      <c r="V488">
        <v>90.93</v>
      </c>
      <c r="W488">
        <f>Europe_Sales_Records34[[#This Row],[Total Revenue]]/Europe_Sales_Records34[[#This Row],[Units Sold]]</f>
        <v>154.06</v>
      </c>
      <c r="X488">
        <v>1270378.76</v>
      </c>
      <c r="Y488">
        <v>749808.78</v>
      </c>
      <c r="Z488" s="4">
        <f>Europe_Sales_Records34[[#This Row],[Total Profit]]/Europe_Sales_Records34[[#This Row],[Total Revenue]]</f>
        <v>0.40977541217707386</v>
      </c>
      <c r="AA488">
        <v>520569.98</v>
      </c>
    </row>
    <row r="489" spans="1:27" x14ac:dyDescent="0.3">
      <c r="A489" t="s">
        <v>14</v>
      </c>
      <c r="B489" t="s">
        <v>36</v>
      </c>
      <c r="C489" t="s">
        <v>22</v>
      </c>
      <c r="D489" t="s">
        <v>17</v>
      </c>
      <c r="E489" t="s">
        <v>18</v>
      </c>
      <c r="F489" t="s">
        <v>785</v>
      </c>
      <c r="G489" s="2">
        <f t="shared" si="14"/>
        <v>42722</v>
      </c>
      <c r="H489">
        <f>DAY(Europe_Sales_Records34[[#This Row],[Order Date Fixed]])</f>
        <v>18</v>
      </c>
      <c r="I489" t="str">
        <f>TEXT(Europe_Sales_Records34[[#This Row],[Order Date Fixed]],"MMM")</f>
        <v>Dec</v>
      </c>
      <c r="J489">
        <f>YEAR(Europe_Sales_Records34[[#This Row],[Order Date Fixed]])</f>
        <v>2016</v>
      </c>
      <c r="K489" t="str">
        <f>TEXT(Europe_Sales_Records34[[#This Row],[Order Date Fixed]],"MMM-YYYY")</f>
        <v>Dec-2016</v>
      </c>
      <c r="L489">
        <v>660312926</v>
      </c>
      <c r="M489" s="2">
        <f t="shared" si="15"/>
        <v>42740</v>
      </c>
      <c r="N489">
        <f>DAY(Europe_Sales_Records34[[#This Row],[Ship Date Fixed]])</f>
        <v>5</v>
      </c>
      <c r="O489" t="str">
        <f>TEXT(Europe_Sales_Records34[[#This Row],[Ship Date Fixed]],"MMM")</f>
        <v>Jan</v>
      </c>
      <c r="P489">
        <f>YEAR(Europe_Sales_Records34[[#This Row],[Ship Date Fixed]])</f>
        <v>2017</v>
      </c>
      <c r="Q489" t="str">
        <f>TEXT(Europe_Sales_Records34[[#This Row],[Ship Date Fixed]],"MMM-YYYY")</f>
        <v>Jan-2017</v>
      </c>
      <c r="R489" t="s">
        <v>912</v>
      </c>
      <c r="S489" s="3">
        <f>Europe_Sales_Records34[[#This Row],[Ship Date Fixed]]-Europe_Sales_Records34[[#This Row],[Order Date Fixed]]</f>
        <v>18</v>
      </c>
      <c r="T489">
        <v>123</v>
      </c>
      <c r="U489">
        <v>109.28</v>
      </c>
      <c r="V489">
        <v>35.840000000000003</v>
      </c>
      <c r="W489">
        <f>Europe_Sales_Records34[[#This Row],[Total Revenue]]/Europe_Sales_Records34[[#This Row],[Units Sold]]</f>
        <v>109.28</v>
      </c>
      <c r="X489">
        <v>13441.44</v>
      </c>
      <c r="Y489">
        <v>4408.32</v>
      </c>
      <c r="Z489" s="4">
        <f>Europe_Sales_Records34[[#This Row],[Total Profit]]/Europe_Sales_Records34[[#This Row],[Total Revenue]]</f>
        <v>0.67203513909224011</v>
      </c>
      <c r="AA489">
        <v>9033.1200000000008</v>
      </c>
    </row>
    <row r="490" spans="1:27" x14ac:dyDescent="0.3">
      <c r="A490" t="s">
        <v>14</v>
      </c>
      <c r="B490" t="s">
        <v>74</v>
      </c>
      <c r="C490" t="s">
        <v>75</v>
      </c>
      <c r="D490" t="s">
        <v>23</v>
      </c>
      <c r="E490" t="s">
        <v>18</v>
      </c>
      <c r="F490" t="s">
        <v>843</v>
      </c>
      <c r="G490" s="2">
        <f t="shared" si="14"/>
        <v>41828</v>
      </c>
      <c r="H490">
        <f>DAY(Europe_Sales_Records34[[#This Row],[Order Date Fixed]])</f>
        <v>8</v>
      </c>
      <c r="I490" t="str">
        <f>TEXT(Europe_Sales_Records34[[#This Row],[Order Date Fixed]],"MMM")</f>
        <v>Jul</v>
      </c>
      <c r="J490">
        <f>YEAR(Europe_Sales_Records34[[#This Row],[Order Date Fixed]])</f>
        <v>2014</v>
      </c>
      <c r="K490" t="str">
        <f>TEXT(Europe_Sales_Records34[[#This Row],[Order Date Fixed]],"MMM-YYYY")</f>
        <v>Jul-2014</v>
      </c>
      <c r="L490">
        <v>140461766</v>
      </c>
      <c r="M490" s="2">
        <f t="shared" si="15"/>
        <v>41840</v>
      </c>
      <c r="N490">
        <f>DAY(Europe_Sales_Records34[[#This Row],[Ship Date Fixed]])</f>
        <v>20</v>
      </c>
      <c r="O490" t="str">
        <f>TEXT(Europe_Sales_Records34[[#This Row],[Ship Date Fixed]],"MMM")</f>
        <v>Jul</v>
      </c>
      <c r="P490">
        <f>YEAR(Europe_Sales_Records34[[#This Row],[Ship Date Fixed]])</f>
        <v>2014</v>
      </c>
      <c r="Q490" t="str">
        <f>TEXT(Europe_Sales_Records34[[#This Row],[Ship Date Fixed]],"MMM-YYYY")</f>
        <v>Jul-2014</v>
      </c>
      <c r="R490" t="s">
        <v>544</v>
      </c>
      <c r="S490" s="3">
        <f>Europe_Sales_Records34[[#This Row],[Ship Date Fixed]]-Europe_Sales_Records34[[#This Row],[Order Date Fixed]]</f>
        <v>12</v>
      </c>
      <c r="T490">
        <v>4613</v>
      </c>
      <c r="U490">
        <v>437.2</v>
      </c>
      <c r="V490">
        <v>263.33</v>
      </c>
      <c r="W490">
        <f>Europe_Sales_Records34[[#This Row],[Total Revenue]]/Europe_Sales_Records34[[#This Row],[Units Sold]]</f>
        <v>437.20000000000005</v>
      </c>
      <c r="X490">
        <v>2016803.6</v>
      </c>
      <c r="Y490">
        <v>1214741.29</v>
      </c>
      <c r="Z490" s="4">
        <f>Europe_Sales_Records34[[#This Row],[Total Profit]]/Europe_Sales_Records34[[#This Row],[Total Revenue]]</f>
        <v>0.39768984446477584</v>
      </c>
      <c r="AA490">
        <v>802062.31</v>
      </c>
    </row>
    <row r="491" spans="1:27" x14ac:dyDescent="0.3">
      <c r="A491" t="s">
        <v>14</v>
      </c>
      <c r="B491" t="s">
        <v>74</v>
      </c>
      <c r="C491" t="s">
        <v>28</v>
      </c>
      <c r="D491" t="s">
        <v>17</v>
      </c>
      <c r="E491" t="s">
        <v>18</v>
      </c>
      <c r="F491" t="s">
        <v>624</v>
      </c>
      <c r="G491" s="2">
        <f t="shared" si="14"/>
        <v>40587</v>
      </c>
      <c r="H491">
        <f>DAY(Europe_Sales_Records34[[#This Row],[Order Date Fixed]])</f>
        <v>13</v>
      </c>
      <c r="I491" t="str">
        <f>TEXT(Europe_Sales_Records34[[#This Row],[Order Date Fixed]],"MMM")</f>
        <v>Feb</v>
      </c>
      <c r="J491">
        <f>YEAR(Europe_Sales_Records34[[#This Row],[Order Date Fixed]])</f>
        <v>2011</v>
      </c>
      <c r="K491" t="str">
        <f>TEXT(Europe_Sales_Records34[[#This Row],[Order Date Fixed]],"MMM-YYYY")</f>
        <v>Feb-2011</v>
      </c>
      <c r="L491">
        <v>741964948</v>
      </c>
      <c r="M491" s="2">
        <f t="shared" si="15"/>
        <v>40600</v>
      </c>
      <c r="N491">
        <f>DAY(Europe_Sales_Records34[[#This Row],[Ship Date Fixed]])</f>
        <v>26</v>
      </c>
      <c r="O491" t="str">
        <f>TEXT(Europe_Sales_Records34[[#This Row],[Ship Date Fixed]],"MMM")</f>
        <v>Feb</v>
      </c>
      <c r="P491">
        <f>YEAR(Europe_Sales_Records34[[#This Row],[Ship Date Fixed]])</f>
        <v>2011</v>
      </c>
      <c r="Q491" t="str">
        <f>TEXT(Europe_Sales_Records34[[#This Row],[Ship Date Fixed]],"MMM-YYYY")</f>
        <v>Feb-2011</v>
      </c>
      <c r="R491" t="s">
        <v>472</v>
      </c>
      <c r="S491" s="3">
        <f>Europe_Sales_Records34[[#This Row],[Ship Date Fixed]]-Europe_Sales_Records34[[#This Row],[Order Date Fixed]]</f>
        <v>13</v>
      </c>
      <c r="T491">
        <v>2771</v>
      </c>
      <c r="U491">
        <v>205.7</v>
      </c>
      <c r="V491">
        <v>117.11</v>
      </c>
      <c r="W491">
        <f>Europe_Sales_Records34[[#This Row],[Total Revenue]]/Europe_Sales_Records34[[#This Row],[Units Sold]]</f>
        <v>205.7</v>
      </c>
      <c r="X491">
        <v>569994.69999999995</v>
      </c>
      <c r="Y491">
        <v>324511.81</v>
      </c>
      <c r="Z491" s="4">
        <f>Europe_Sales_Records34[[#This Row],[Total Profit]]/Europe_Sales_Records34[[#This Row],[Total Revenue]]</f>
        <v>0.43067574137092862</v>
      </c>
      <c r="AA491">
        <v>245482.89</v>
      </c>
    </row>
    <row r="492" spans="1:27" x14ac:dyDescent="0.3">
      <c r="A492" t="s">
        <v>14</v>
      </c>
      <c r="B492" t="s">
        <v>61</v>
      </c>
      <c r="C492" t="s">
        <v>58</v>
      </c>
      <c r="D492" t="s">
        <v>17</v>
      </c>
      <c r="E492" t="s">
        <v>18</v>
      </c>
      <c r="F492" t="s">
        <v>722</v>
      </c>
      <c r="G492" s="2">
        <f t="shared" si="14"/>
        <v>42938</v>
      </c>
      <c r="H492">
        <f>DAY(Europe_Sales_Records34[[#This Row],[Order Date Fixed]])</f>
        <v>22</v>
      </c>
      <c r="I492" t="str">
        <f>TEXT(Europe_Sales_Records34[[#This Row],[Order Date Fixed]],"MMM")</f>
        <v>Jul</v>
      </c>
      <c r="J492">
        <f>YEAR(Europe_Sales_Records34[[#This Row],[Order Date Fixed]])</f>
        <v>2017</v>
      </c>
      <c r="K492" t="str">
        <f>TEXT(Europe_Sales_Records34[[#This Row],[Order Date Fixed]],"MMM-YYYY")</f>
        <v>Jul-2017</v>
      </c>
      <c r="L492">
        <v>476453721</v>
      </c>
      <c r="M492" s="2">
        <f t="shared" si="15"/>
        <v>42957</v>
      </c>
      <c r="N492">
        <f>DAY(Europe_Sales_Records34[[#This Row],[Ship Date Fixed]])</f>
        <v>10</v>
      </c>
      <c r="O492" t="str">
        <f>TEXT(Europe_Sales_Records34[[#This Row],[Ship Date Fixed]],"MMM")</f>
        <v>Aug</v>
      </c>
      <c r="P492">
        <f>YEAR(Europe_Sales_Records34[[#This Row],[Ship Date Fixed]])</f>
        <v>2017</v>
      </c>
      <c r="Q492" t="str">
        <f>TEXT(Europe_Sales_Records34[[#This Row],[Ship Date Fixed]],"MMM-YYYY")</f>
        <v>Aug-2017</v>
      </c>
      <c r="R492" t="s">
        <v>913</v>
      </c>
      <c r="S492" s="3">
        <f>Europe_Sales_Records34[[#This Row],[Ship Date Fixed]]-Europe_Sales_Records34[[#This Row],[Order Date Fixed]]</f>
        <v>19</v>
      </c>
      <c r="T492">
        <v>2099</v>
      </c>
      <c r="U492">
        <v>152.58000000000001</v>
      </c>
      <c r="V492">
        <v>97.44</v>
      </c>
      <c r="W492">
        <f>Europe_Sales_Records34[[#This Row],[Total Revenue]]/Europe_Sales_Records34[[#This Row],[Units Sold]]</f>
        <v>152.57999999999998</v>
      </c>
      <c r="X492">
        <v>320265.42</v>
      </c>
      <c r="Y492">
        <v>204526.56</v>
      </c>
      <c r="Z492" s="4">
        <f>Europe_Sales_Records34[[#This Row],[Total Profit]]/Europe_Sales_Records34[[#This Row],[Total Revenue]]</f>
        <v>0.36138419189933152</v>
      </c>
      <c r="AA492">
        <v>115738.86</v>
      </c>
    </row>
    <row r="493" spans="1:27" x14ac:dyDescent="0.3">
      <c r="A493" t="s">
        <v>14</v>
      </c>
      <c r="B493" t="s">
        <v>57</v>
      </c>
      <c r="C493" t="s">
        <v>37</v>
      </c>
      <c r="D493" t="s">
        <v>23</v>
      </c>
      <c r="E493" t="s">
        <v>24</v>
      </c>
      <c r="F493" t="s">
        <v>914</v>
      </c>
      <c r="G493" s="2">
        <f t="shared" si="14"/>
        <v>40661</v>
      </c>
      <c r="H493">
        <f>DAY(Europe_Sales_Records34[[#This Row],[Order Date Fixed]])</f>
        <v>28</v>
      </c>
      <c r="I493" t="str">
        <f>TEXT(Europe_Sales_Records34[[#This Row],[Order Date Fixed]],"MMM")</f>
        <v>Apr</v>
      </c>
      <c r="J493">
        <f>YEAR(Europe_Sales_Records34[[#This Row],[Order Date Fixed]])</f>
        <v>2011</v>
      </c>
      <c r="K493" t="str">
        <f>TEXT(Europe_Sales_Records34[[#This Row],[Order Date Fixed]],"MMM-YYYY")</f>
        <v>Apr-2011</v>
      </c>
      <c r="L493">
        <v>111496055</v>
      </c>
      <c r="M493" s="2">
        <f t="shared" si="15"/>
        <v>40698</v>
      </c>
      <c r="N493">
        <f>DAY(Europe_Sales_Records34[[#This Row],[Ship Date Fixed]])</f>
        <v>4</v>
      </c>
      <c r="O493" t="str">
        <f>TEXT(Europe_Sales_Records34[[#This Row],[Ship Date Fixed]],"MMM")</f>
        <v>Jun</v>
      </c>
      <c r="P493">
        <f>YEAR(Europe_Sales_Records34[[#This Row],[Ship Date Fixed]])</f>
        <v>2011</v>
      </c>
      <c r="Q493" t="str">
        <f>TEXT(Europe_Sales_Records34[[#This Row],[Ship Date Fixed]],"MMM-YYYY")</f>
        <v>Jun-2011</v>
      </c>
      <c r="R493" t="s">
        <v>915</v>
      </c>
      <c r="S493" s="3">
        <f>Europe_Sales_Records34[[#This Row],[Ship Date Fixed]]-Europe_Sales_Records34[[#This Row],[Order Date Fixed]]</f>
        <v>37</v>
      </c>
      <c r="T493">
        <v>3015</v>
      </c>
      <c r="U493">
        <v>9.33</v>
      </c>
      <c r="V493">
        <v>6.92</v>
      </c>
      <c r="W493">
        <f>Europe_Sales_Records34[[#This Row],[Total Revenue]]/Europe_Sales_Records34[[#This Row],[Units Sold]]</f>
        <v>9.33</v>
      </c>
      <c r="X493">
        <v>28129.95</v>
      </c>
      <c r="Y493">
        <v>20863.8</v>
      </c>
      <c r="Z493" s="4">
        <f>Europe_Sales_Records34[[#This Row],[Total Profit]]/Europe_Sales_Records34[[#This Row],[Total Revenue]]</f>
        <v>0.25830653804930331</v>
      </c>
      <c r="AA493">
        <v>7266.15</v>
      </c>
    </row>
    <row r="494" spans="1:27" x14ac:dyDescent="0.3">
      <c r="A494" t="s">
        <v>14</v>
      </c>
      <c r="B494" t="s">
        <v>243</v>
      </c>
      <c r="C494" t="s">
        <v>46</v>
      </c>
      <c r="D494" t="s">
        <v>23</v>
      </c>
      <c r="E494" t="s">
        <v>33</v>
      </c>
      <c r="F494" t="s">
        <v>916</v>
      </c>
      <c r="G494" s="2">
        <f t="shared" si="14"/>
        <v>42363</v>
      </c>
      <c r="H494">
        <f>DAY(Europe_Sales_Records34[[#This Row],[Order Date Fixed]])</f>
        <v>25</v>
      </c>
      <c r="I494" t="str">
        <f>TEXT(Europe_Sales_Records34[[#This Row],[Order Date Fixed]],"MMM")</f>
        <v>Dec</v>
      </c>
      <c r="J494">
        <f>YEAR(Europe_Sales_Records34[[#This Row],[Order Date Fixed]])</f>
        <v>2015</v>
      </c>
      <c r="K494" t="str">
        <f>TEXT(Europe_Sales_Records34[[#This Row],[Order Date Fixed]],"MMM-YYYY")</f>
        <v>Dec-2015</v>
      </c>
      <c r="L494">
        <v>628515231</v>
      </c>
      <c r="M494" s="2">
        <f t="shared" si="15"/>
        <v>42401</v>
      </c>
      <c r="N494">
        <f>DAY(Europe_Sales_Records34[[#This Row],[Ship Date Fixed]])</f>
        <v>1</v>
      </c>
      <c r="O494" t="str">
        <f>TEXT(Europe_Sales_Records34[[#This Row],[Ship Date Fixed]],"MMM")</f>
        <v>Feb</v>
      </c>
      <c r="P494">
        <f>YEAR(Europe_Sales_Records34[[#This Row],[Ship Date Fixed]])</f>
        <v>2016</v>
      </c>
      <c r="Q494" t="str">
        <f>TEXT(Europe_Sales_Records34[[#This Row],[Ship Date Fixed]],"MMM-YYYY")</f>
        <v>Feb-2016</v>
      </c>
      <c r="R494" t="s">
        <v>917</v>
      </c>
      <c r="S494" s="3">
        <f>Europe_Sales_Records34[[#This Row],[Ship Date Fixed]]-Europe_Sales_Records34[[#This Row],[Order Date Fixed]]</f>
        <v>38</v>
      </c>
      <c r="T494">
        <v>479</v>
      </c>
      <c r="U494">
        <v>154.06</v>
      </c>
      <c r="V494">
        <v>90.93</v>
      </c>
      <c r="W494">
        <f>Europe_Sales_Records34[[#This Row],[Total Revenue]]/Europe_Sales_Records34[[#This Row],[Units Sold]]</f>
        <v>154.06</v>
      </c>
      <c r="X494">
        <v>73794.740000000005</v>
      </c>
      <c r="Y494">
        <v>43555.47</v>
      </c>
      <c r="Z494" s="4">
        <f>Europe_Sales_Records34[[#This Row],[Total Profit]]/Europe_Sales_Records34[[#This Row],[Total Revenue]]</f>
        <v>0.40977541217707386</v>
      </c>
      <c r="AA494">
        <v>30239.27</v>
      </c>
    </row>
    <row r="495" spans="1:27" x14ac:dyDescent="0.3">
      <c r="A495" t="s">
        <v>14</v>
      </c>
      <c r="B495" t="s">
        <v>243</v>
      </c>
      <c r="C495" t="s">
        <v>32</v>
      </c>
      <c r="D495" t="s">
        <v>17</v>
      </c>
      <c r="E495" t="s">
        <v>24</v>
      </c>
      <c r="F495" t="s">
        <v>256</v>
      </c>
      <c r="G495" s="2">
        <f t="shared" si="14"/>
        <v>40239</v>
      </c>
      <c r="H495">
        <f>DAY(Europe_Sales_Records34[[#This Row],[Order Date Fixed]])</f>
        <v>2</v>
      </c>
      <c r="I495" t="str">
        <f>TEXT(Europe_Sales_Records34[[#This Row],[Order Date Fixed]],"MMM")</f>
        <v>Mar</v>
      </c>
      <c r="J495">
        <f>YEAR(Europe_Sales_Records34[[#This Row],[Order Date Fixed]])</f>
        <v>2010</v>
      </c>
      <c r="K495" t="str">
        <f>TEXT(Europe_Sales_Records34[[#This Row],[Order Date Fixed]],"MMM-YYYY")</f>
        <v>Mar-2010</v>
      </c>
      <c r="L495">
        <v>601894414</v>
      </c>
      <c r="M495" s="2">
        <f t="shared" si="15"/>
        <v>40256</v>
      </c>
      <c r="N495">
        <f>DAY(Europe_Sales_Records34[[#This Row],[Ship Date Fixed]])</f>
        <v>19</v>
      </c>
      <c r="O495" t="str">
        <f>TEXT(Europe_Sales_Records34[[#This Row],[Ship Date Fixed]],"MMM")</f>
        <v>Mar</v>
      </c>
      <c r="P495">
        <f>YEAR(Europe_Sales_Records34[[#This Row],[Ship Date Fixed]])</f>
        <v>2010</v>
      </c>
      <c r="Q495" t="str">
        <f>TEXT(Europe_Sales_Records34[[#This Row],[Ship Date Fixed]],"MMM-YYYY")</f>
        <v>Mar-2010</v>
      </c>
      <c r="R495" t="s">
        <v>221</v>
      </c>
      <c r="S495" s="3">
        <f>Europe_Sales_Records34[[#This Row],[Ship Date Fixed]]-Europe_Sales_Records34[[#This Row],[Order Date Fixed]]</f>
        <v>17</v>
      </c>
      <c r="T495">
        <v>2787</v>
      </c>
      <c r="U495">
        <v>651.21</v>
      </c>
      <c r="V495">
        <v>524.96</v>
      </c>
      <c r="W495">
        <f>Europe_Sales_Records34[[#This Row],[Total Revenue]]/Europe_Sales_Records34[[#This Row],[Units Sold]]</f>
        <v>651.21</v>
      </c>
      <c r="X495">
        <v>1814922.27</v>
      </c>
      <c r="Y495">
        <v>1463063.52</v>
      </c>
      <c r="Z495" s="4">
        <f>Europe_Sales_Records34[[#This Row],[Total Profit]]/Europe_Sales_Records34[[#This Row],[Total Revenue]]</f>
        <v>0.19386987300563566</v>
      </c>
      <c r="AA495">
        <v>351858.75</v>
      </c>
    </row>
    <row r="496" spans="1:27" x14ac:dyDescent="0.3">
      <c r="A496" t="s">
        <v>14</v>
      </c>
      <c r="B496" t="s">
        <v>21</v>
      </c>
      <c r="C496" t="s">
        <v>58</v>
      </c>
      <c r="D496" t="s">
        <v>17</v>
      </c>
      <c r="E496" t="s">
        <v>33</v>
      </c>
      <c r="F496" t="s">
        <v>918</v>
      </c>
      <c r="G496" s="2">
        <f t="shared" si="14"/>
        <v>40738</v>
      </c>
      <c r="H496">
        <f>DAY(Europe_Sales_Records34[[#This Row],[Order Date Fixed]])</f>
        <v>14</v>
      </c>
      <c r="I496" t="str">
        <f>TEXT(Europe_Sales_Records34[[#This Row],[Order Date Fixed]],"MMM")</f>
        <v>Jul</v>
      </c>
      <c r="J496">
        <f>YEAR(Europe_Sales_Records34[[#This Row],[Order Date Fixed]])</f>
        <v>2011</v>
      </c>
      <c r="K496" t="str">
        <f>TEXT(Europe_Sales_Records34[[#This Row],[Order Date Fixed]],"MMM-YYYY")</f>
        <v>Jul-2011</v>
      </c>
      <c r="L496">
        <v>954040992</v>
      </c>
      <c r="M496" s="2">
        <f t="shared" si="15"/>
        <v>40782</v>
      </c>
      <c r="N496">
        <f>DAY(Europe_Sales_Records34[[#This Row],[Ship Date Fixed]])</f>
        <v>27</v>
      </c>
      <c r="O496" t="str">
        <f>TEXT(Europe_Sales_Records34[[#This Row],[Ship Date Fixed]],"MMM")</f>
        <v>Aug</v>
      </c>
      <c r="P496">
        <f>YEAR(Europe_Sales_Records34[[#This Row],[Ship Date Fixed]])</f>
        <v>2011</v>
      </c>
      <c r="Q496" t="str">
        <f>TEXT(Europe_Sales_Records34[[#This Row],[Ship Date Fixed]],"MMM-YYYY")</f>
        <v>Aug-2011</v>
      </c>
      <c r="R496" t="s">
        <v>919</v>
      </c>
      <c r="S496" s="3">
        <f>Europe_Sales_Records34[[#This Row],[Ship Date Fixed]]-Europe_Sales_Records34[[#This Row],[Order Date Fixed]]</f>
        <v>44</v>
      </c>
      <c r="T496">
        <v>785</v>
      </c>
      <c r="U496">
        <v>152.58000000000001</v>
      </c>
      <c r="V496">
        <v>97.44</v>
      </c>
      <c r="W496">
        <f>Europe_Sales_Records34[[#This Row],[Total Revenue]]/Europe_Sales_Records34[[#This Row],[Units Sold]]</f>
        <v>152.58000000000001</v>
      </c>
      <c r="X496">
        <v>119775.3</v>
      </c>
      <c r="Y496">
        <v>76490.399999999994</v>
      </c>
      <c r="Z496" s="4">
        <f>Europe_Sales_Records34[[#This Row],[Total Profit]]/Europe_Sales_Records34[[#This Row],[Total Revenue]]</f>
        <v>0.36138419189933152</v>
      </c>
      <c r="AA496">
        <v>43284.9</v>
      </c>
    </row>
    <row r="497" spans="1:27" x14ac:dyDescent="0.3">
      <c r="A497" t="s">
        <v>14</v>
      </c>
      <c r="B497" t="s">
        <v>15</v>
      </c>
      <c r="C497" t="s">
        <v>32</v>
      </c>
      <c r="D497" t="s">
        <v>23</v>
      </c>
      <c r="E497" t="s">
        <v>24</v>
      </c>
      <c r="F497" t="s">
        <v>920</v>
      </c>
      <c r="G497" s="2">
        <f t="shared" si="14"/>
        <v>41768</v>
      </c>
      <c r="H497">
        <f>DAY(Europe_Sales_Records34[[#This Row],[Order Date Fixed]])</f>
        <v>9</v>
      </c>
      <c r="I497" t="str">
        <f>TEXT(Europe_Sales_Records34[[#This Row],[Order Date Fixed]],"MMM")</f>
        <v>May</v>
      </c>
      <c r="J497">
        <f>YEAR(Europe_Sales_Records34[[#This Row],[Order Date Fixed]])</f>
        <v>2014</v>
      </c>
      <c r="K497" t="str">
        <f>TEXT(Europe_Sales_Records34[[#This Row],[Order Date Fixed]],"MMM-YYYY")</f>
        <v>May-2014</v>
      </c>
      <c r="L497">
        <v>865824210</v>
      </c>
      <c r="M497" s="2">
        <f t="shared" si="15"/>
        <v>41773</v>
      </c>
      <c r="N497">
        <f>DAY(Europe_Sales_Records34[[#This Row],[Ship Date Fixed]])</f>
        <v>14</v>
      </c>
      <c r="O497" t="str">
        <f>TEXT(Europe_Sales_Records34[[#This Row],[Ship Date Fixed]],"MMM")</f>
        <v>May</v>
      </c>
      <c r="P497">
        <f>YEAR(Europe_Sales_Records34[[#This Row],[Ship Date Fixed]])</f>
        <v>2014</v>
      </c>
      <c r="Q497" t="str">
        <f>TEXT(Europe_Sales_Records34[[#This Row],[Ship Date Fixed]],"MMM-YYYY")</f>
        <v>May-2014</v>
      </c>
      <c r="R497" t="s">
        <v>921</v>
      </c>
      <c r="S497" s="3">
        <f>Europe_Sales_Records34[[#This Row],[Ship Date Fixed]]-Europe_Sales_Records34[[#This Row],[Order Date Fixed]]</f>
        <v>5</v>
      </c>
      <c r="T497">
        <v>5479</v>
      </c>
      <c r="U497">
        <v>651.21</v>
      </c>
      <c r="V497">
        <v>524.96</v>
      </c>
      <c r="W497">
        <f>Europe_Sales_Records34[[#This Row],[Total Revenue]]/Europe_Sales_Records34[[#This Row],[Units Sold]]</f>
        <v>651.20999999999992</v>
      </c>
      <c r="X497">
        <v>3567979.59</v>
      </c>
      <c r="Y497">
        <v>2876255.84</v>
      </c>
      <c r="Z497" s="4">
        <f>Europe_Sales_Records34[[#This Row],[Total Profit]]/Europe_Sales_Records34[[#This Row],[Total Revenue]]</f>
        <v>0.19386987300563568</v>
      </c>
      <c r="AA497">
        <v>691723.75</v>
      </c>
    </row>
    <row r="498" spans="1:27" x14ac:dyDescent="0.3">
      <c r="A498" t="s">
        <v>14</v>
      </c>
      <c r="B498" t="s">
        <v>57</v>
      </c>
      <c r="C498" t="s">
        <v>22</v>
      </c>
      <c r="D498" t="s">
        <v>17</v>
      </c>
      <c r="E498" t="s">
        <v>24</v>
      </c>
      <c r="F498" t="s">
        <v>539</v>
      </c>
      <c r="G498" s="2">
        <f t="shared" si="14"/>
        <v>42633</v>
      </c>
      <c r="H498">
        <f>DAY(Europe_Sales_Records34[[#This Row],[Order Date Fixed]])</f>
        <v>20</v>
      </c>
      <c r="I498" t="str">
        <f>TEXT(Europe_Sales_Records34[[#This Row],[Order Date Fixed]],"MMM")</f>
        <v>Sep</v>
      </c>
      <c r="J498">
        <f>YEAR(Europe_Sales_Records34[[#This Row],[Order Date Fixed]])</f>
        <v>2016</v>
      </c>
      <c r="K498" t="str">
        <f>TEXT(Europe_Sales_Records34[[#This Row],[Order Date Fixed]],"MMM-YYYY")</f>
        <v>Sep-2016</v>
      </c>
      <c r="L498">
        <v>761887109</v>
      </c>
      <c r="M498" s="2">
        <f t="shared" si="15"/>
        <v>42657</v>
      </c>
      <c r="N498">
        <f>DAY(Europe_Sales_Records34[[#This Row],[Ship Date Fixed]])</f>
        <v>14</v>
      </c>
      <c r="O498" t="str">
        <f>TEXT(Europe_Sales_Records34[[#This Row],[Ship Date Fixed]],"MMM")</f>
        <v>Oct</v>
      </c>
      <c r="P498">
        <f>YEAR(Europe_Sales_Records34[[#This Row],[Ship Date Fixed]])</f>
        <v>2016</v>
      </c>
      <c r="Q498" t="str">
        <f>TEXT(Europe_Sales_Records34[[#This Row],[Ship Date Fixed]],"MMM-YYYY")</f>
        <v>Oct-2016</v>
      </c>
      <c r="R498" t="s">
        <v>922</v>
      </c>
      <c r="S498" s="3">
        <f>Europe_Sales_Records34[[#This Row],[Ship Date Fixed]]-Europe_Sales_Records34[[#This Row],[Order Date Fixed]]</f>
        <v>24</v>
      </c>
      <c r="T498">
        <v>8181</v>
      </c>
      <c r="U498">
        <v>109.28</v>
      </c>
      <c r="V498">
        <v>35.840000000000003</v>
      </c>
      <c r="W498">
        <f>Europe_Sales_Records34[[#This Row],[Total Revenue]]/Europe_Sales_Records34[[#This Row],[Units Sold]]</f>
        <v>109.28</v>
      </c>
      <c r="X498">
        <v>894019.68</v>
      </c>
      <c r="Y498">
        <v>293207.03999999998</v>
      </c>
      <c r="Z498" s="4">
        <f>Europe_Sales_Records34[[#This Row],[Total Profit]]/Europe_Sales_Records34[[#This Row],[Total Revenue]]</f>
        <v>0.67203513909224011</v>
      </c>
      <c r="AA498">
        <v>600812.64</v>
      </c>
    </row>
    <row r="499" spans="1:27" x14ac:dyDescent="0.3">
      <c r="A499" t="s">
        <v>14</v>
      </c>
      <c r="B499" t="s">
        <v>342</v>
      </c>
      <c r="C499" t="s">
        <v>32</v>
      </c>
      <c r="D499" t="s">
        <v>23</v>
      </c>
      <c r="E499" t="s">
        <v>33</v>
      </c>
      <c r="F499" t="s">
        <v>923</v>
      </c>
      <c r="G499" s="2">
        <f t="shared" si="14"/>
        <v>42274</v>
      </c>
      <c r="H499">
        <f>DAY(Europe_Sales_Records34[[#This Row],[Order Date Fixed]])</f>
        <v>27</v>
      </c>
      <c r="I499" t="str">
        <f>TEXT(Europe_Sales_Records34[[#This Row],[Order Date Fixed]],"MMM")</f>
        <v>Sep</v>
      </c>
      <c r="J499">
        <f>YEAR(Europe_Sales_Records34[[#This Row],[Order Date Fixed]])</f>
        <v>2015</v>
      </c>
      <c r="K499" t="str">
        <f>TEXT(Europe_Sales_Records34[[#This Row],[Order Date Fixed]],"MMM-YYYY")</f>
        <v>Sep-2015</v>
      </c>
      <c r="L499">
        <v>160578763</v>
      </c>
      <c r="M499" s="2">
        <f t="shared" si="15"/>
        <v>42307</v>
      </c>
      <c r="N499">
        <f>DAY(Europe_Sales_Records34[[#This Row],[Ship Date Fixed]])</f>
        <v>30</v>
      </c>
      <c r="O499" t="str">
        <f>TEXT(Europe_Sales_Records34[[#This Row],[Ship Date Fixed]],"MMM")</f>
        <v>Oct</v>
      </c>
      <c r="P499">
        <f>YEAR(Europe_Sales_Records34[[#This Row],[Ship Date Fixed]])</f>
        <v>2015</v>
      </c>
      <c r="Q499" t="str">
        <f>TEXT(Europe_Sales_Records34[[#This Row],[Ship Date Fixed]],"MMM-YYYY")</f>
        <v>Oct-2015</v>
      </c>
      <c r="R499" t="s">
        <v>924</v>
      </c>
      <c r="S499" s="3">
        <f>Europe_Sales_Records34[[#This Row],[Ship Date Fixed]]-Europe_Sales_Records34[[#This Row],[Order Date Fixed]]</f>
        <v>33</v>
      </c>
      <c r="T499">
        <v>7679</v>
      </c>
      <c r="U499">
        <v>651.21</v>
      </c>
      <c r="V499">
        <v>524.96</v>
      </c>
      <c r="W499">
        <f>Europe_Sales_Records34[[#This Row],[Total Revenue]]/Europe_Sales_Records34[[#This Row],[Units Sold]]</f>
        <v>651.21</v>
      </c>
      <c r="X499">
        <v>5000641.59</v>
      </c>
      <c r="Y499">
        <v>4031167.84</v>
      </c>
      <c r="Z499" s="4">
        <f>Europe_Sales_Records34[[#This Row],[Total Profit]]/Europe_Sales_Records34[[#This Row],[Total Revenue]]</f>
        <v>0.19386987300563566</v>
      </c>
      <c r="AA499">
        <v>969473.75</v>
      </c>
    </row>
    <row r="500" spans="1:27" x14ac:dyDescent="0.3">
      <c r="A500" t="s">
        <v>14</v>
      </c>
      <c r="B500" t="s">
        <v>83</v>
      </c>
      <c r="C500" t="s">
        <v>46</v>
      </c>
      <c r="D500" t="s">
        <v>17</v>
      </c>
      <c r="E500" t="s">
        <v>24</v>
      </c>
      <c r="F500" t="s">
        <v>925</v>
      </c>
      <c r="G500" s="2">
        <f t="shared" si="14"/>
        <v>40610</v>
      </c>
      <c r="H500">
        <f>DAY(Europe_Sales_Records34[[#This Row],[Order Date Fixed]])</f>
        <v>8</v>
      </c>
      <c r="I500" t="str">
        <f>TEXT(Europe_Sales_Records34[[#This Row],[Order Date Fixed]],"MMM")</f>
        <v>Mar</v>
      </c>
      <c r="J500">
        <f>YEAR(Europe_Sales_Records34[[#This Row],[Order Date Fixed]])</f>
        <v>2011</v>
      </c>
      <c r="K500" t="str">
        <f>TEXT(Europe_Sales_Records34[[#This Row],[Order Date Fixed]],"MMM-YYYY")</f>
        <v>Mar-2011</v>
      </c>
      <c r="L500">
        <v>992992675</v>
      </c>
      <c r="M500" s="2">
        <f t="shared" si="15"/>
        <v>40611</v>
      </c>
      <c r="N500">
        <f>DAY(Europe_Sales_Records34[[#This Row],[Ship Date Fixed]])</f>
        <v>9</v>
      </c>
      <c r="O500" t="str">
        <f>TEXT(Europe_Sales_Records34[[#This Row],[Ship Date Fixed]],"MMM")</f>
        <v>Mar</v>
      </c>
      <c r="P500">
        <f>YEAR(Europe_Sales_Records34[[#This Row],[Ship Date Fixed]])</f>
        <v>2011</v>
      </c>
      <c r="Q500" t="str">
        <f>TEXT(Europe_Sales_Records34[[#This Row],[Ship Date Fixed]],"MMM-YYYY")</f>
        <v>Mar-2011</v>
      </c>
      <c r="R500" t="s">
        <v>926</v>
      </c>
      <c r="S500" s="3">
        <f>Europe_Sales_Records34[[#This Row],[Ship Date Fixed]]-Europe_Sales_Records34[[#This Row],[Order Date Fixed]]</f>
        <v>1</v>
      </c>
      <c r="T500">
        <v>7454</v>
      </c>
      <c r="U500">
        <v>154.06</v>
      </c>
      <c r="V500">
        <v>90.93</v>
      </c>
      <c r="W500">
        <f>Europe_Sales_Records34[[#This Row],[Total Revenue]]/Europe_Sales_Records34[[#This Row],[Units Sold]]</f>
        <v>154.06</v>
      </c>
      <c r="X500">
        <v>1148363.24</v>
      </c>
      <c r="Y500">
        <v>677792.22</v>
      </c>
      <c r="Z500" s="4">
        <f>Europe_Sales_Records34[[#This Row],[Total Profit]]/Europe_Sales_Records34[[#This Row],[Total Revenue]]</f>
        <v>0.40977541217707386</v>
      </c>
      <c r="AA500">
        <v>470571.02</v>
      </c>
    </row>
    <row r="501" spans="1:27" x14ac:dyDescent="0.3">
      <c r="A501" t="s">
        <v>14</v>
      </c>
      <c r="B501" t="s">
        <v>243</v>
      </c>
      <c r="C501" t="s">
        <v>22</v>
      </c>
      <c r="D501" t="s">
        <v>23</v>
      </c>
      <c r="E501" t="s">
        <v>24</v>
      </c>
      <c r="F501" t="s">
        <v>927</v>
      </c>
      <c r="G501" s="2">
        <f t="shared" si="14"/>
        <v>42133</v>
      </c>
      <c r="H501">
        <f>DAY(Europe_Sales_Records34[[#This Row],[Order Date Fixed]])</f>
        <v>9</v>
      </c>
      <c r="I501" t="str">
        <f>TEXT(Europe_Sales_Records34[[#This Row],[Order Date Fixed]],"MMM")</f>
        <v>May</v>
      </c>
      <c r="J501">
        <f>YEAR(Europe_Sales_Records34[[#This Row],[Order Date Fixed]])</f>
        <v>2015</v>
      </c>
      <c r="K501" t="str">
        <f>TEXT(Europe_Sales_Records34[[#This Row],[Order Date Fixed]],"MMM-YYYY")</f>
        <v>May-2015</v>
      </c>
      <c r="L501">
        <v>231369769</v>
      </c>
      <c r="M501" s="2">
        <f t="shared" si="15"/>
        <v>42140</v>
      </c>
      <c r="N501">
        <f>DAY(Europe_Sales_Records34[[#This Row],[Ship Date Fixed]])</f>
        <v>16</v>
      </c>
      <c r="O501" t="str">
        <f>TEXT(Europe_Sales_Records34[[#This Row],[Ship Date Fixed]],"MMM")</f>
        <v>May</v>
      </c>
      <c r="P501">
        <f>YEAR(Europe_Sales_Records34[[#This Row],[Ship Date Fixed]])</f>
        <v>2015</v>
      </c>
      <c r="Q501" t="str">
        <f>TEXT(Europe_Sales_Records34[[#This Row],[Ship Date Fixed]],"MMM-YYYY")</f>
        <v>May-2015</v>
      </c>
      <c r="R501" t="s">
        <v>928</v>
      </c>
      <c r="S501" s="3">
        <f>Europe_Sales_Records34[[#This Row],[Ship Date Fixed]]-Europe_Sales_Records34[[#This Row],[Order Date Fixed]]</f>
        <v>7</v>
      </c>
      <c r="T501">
        <v>6311</v>
      </c>
      <c r="U501">
        <v>109.28</v>
      </c>
      <c r="V501">
        <v>35.840000000000003</v>
      </c>
      <c r="W501">
        <f>Europe_Sales_Records34[[#This Row],[Total Revenue]]/Europe_Sales_Records34[[#This Row],[Units Sold]]</f>
        <v>109.27999999999999</v>
      </c>
      <c r="X501">
        <v>689666.08</v>
      </c>
      <c r="Y501">
        <v>226186.23999999999</v>
      </c>
      <c r="Z501" s="4">
        <f>Europe_Sales_Records34[[#This Row],[Total Profit]]/Europe_Sales_Records34[[#This Row],[Total Revenue]]</f>
        <v>0.67203513909224022</v>
      </c>
      <c r="AA501">
        <v>463479.84</v>
      </c>
    </row>
    <row r="502" spans="1:27" x14ac:dyDescent="0.3">
      <c r="A502" t="s">
        <v>14</v>
      </c>
      <c r="B502" t="s">
        <v>138</v>
      </c>
      <c r="C502" t="s">
        <v>75</v>
      </c>
      <c r="D502" t="s">
        <v>23</v>
      </c>
      <c r="E502" t="s">
        <v>24</v>
      </c>
      <c r="F502" t="s">
        <v>315</v>
      </c>
      <c r="G502" s="2">
        <f t="shared" si="14"/>
        <v>42457</v>
      </c>
      <c r="H502">
        <f>DAY(Europe_Sales_Records34[[#This Row],[Order Date Fixed]])</f>
        <v>28</v>
      </c>
      <c r="I502" t="str">
        <f>TEXT(Europe_Sales_Records34[[#This Row],[Order Date Fixed]],"MMM")</f>
        <v>Mar</v>
      </c>
      <c r="J502">
        <f>YEAR(Europe_Sales_Records34[[#This Row],[Order Date Fixed]])</f>
        <v>2016</v>
      </c>
      <c r="K502" t="str">
        <f>TEXT(Europe_Sales_Records34[[#This Row],[Order Date Fixed]],"MMM-YYYY")</f>
        <v>Mar-2016</v>
      </c>
      <c r="L502">
        <v>852392995</v>
      </c>
      <c r="M502" s="2">
        <f t="shared" si="15"/>
        <v>42479</v>
      </c>
      <c r="N502">
        <f>DAY(Europe_Sales_Records34[[#This Row],[Ship Date Fixed]])</f>
        <v>19</v>
      </c>
      <c r="O502" t="str">
        <f>TEXT(Europe_Sales_Records34[[#This Row],[Ship Date Fixed]],"MMM")</f>
        <v>Apr</v>
      </c>
      <c r="P502">
        <f>YEAR(Europe_Sales_Records34[[#This Row],[Ship Date Fixed]])</f>
        <v>2016</v>
      </c>
      <c r="Q502" t="str">
        <f>TEXT(Europe_Sales_Records34[[#This Row],[Ship Date Fixed]],"MMM-YYYY")</f>
        <v>Apr-2016</v>
      </c>
      <c r="R502" t="s">
        <v>484</v>
      </c>
      <c r="S502" s="3">
        <f>Europe_Sales_Records34[[#This Row],[Ship Date Fixed]]-Europe_Sales_Records34[[#This Row],[Order Date Fixed]]</f>
        <v>22</v>
      </c>
      <c r="T502">
        <v>884</v>
      </c>
      <c r="U502">
        <v>437.2</v>
      </c>
      <c r="V502">
        <v>263.33</v>
      </c>
      <c r="W502">
        <f>Europe_Sales_Records34[[#This Row],[Total Revenue]]/Europe_Sales_Records34[[#This Row],[Units Sold]]</f>
        <v>437.2</v>
      </c>
      <c r="X502">
        <v>386484.8</v>
      </c>
      <c r="Y502">
        <v>232783.72</v>
      </c>
      <c r="Z502" s="4">
        <f>Europe_Sales_Records34[[#This Row],[Total Profit]]/Europe_Sales_Records34[[#This Row],[Total Revenue]]</f>
        <v>0.39768984446477584</v>
      </c>
      <c r="AA502">
        <v>153701.07999999999</v>
      </c>
    </row>
    <row r="503" spans="1:27" x14ac:dyDescent="0.3">
      <c r="A503" t="s">
        <v>14</v>
      </c>
      <c r="B503" t="s">
        <v>181</v>
      </c>
      <c r="C503" t="s">
        <v>58</v>
      </c>
      <c r="D503" t="s">
        <v>17</v>
      </c>
      <c r="E503" t="s">
        <v>24</v>
      </c>
      <c r="F503" t="s">
        <v>929</v>
      </c>
      <c r="G503" s="2">
        <f t="shared" si="14"/>
        <v>41158</v>
      </c>
      <c r="H503">
        <f>DAY(Europe_Sales_Records34[[#This Row],[Order Date Fixed]])</f>
        <v>6</v>
      </c>
      <c r="I503" t="str">
        <f>TEXT(Europe_Sales_Records34[[#This Row],[Order Date Fixed]],"MMM")</f>
        <v>Sep</v>
      </c>
      <c r="J503">
        <f>YEAR(Europe_Sales_Records34[[#This Row],[Order Date Fixed]])</f>
        <v>2012</v>
      </c>
      <c r="K503" t="str">
        <f>TEXT(Europe_Sales_Records34[[#This Row],[Order Date Fixed]],"MMM-YYYY")</f>
        <v>Sep-2012</v>
      </c>
      <c r="L503">
        <v>597105491</v>
      </c>
      <c r="M503" s="2">
        <f t="shared" si="15"/>
        <v>41202</v>
      </c>
      <c r="N503">
        <f>DAY(Europe_Sales_Records34[[#This Row],[Ship Date Fixed]])</f>
        <v>20</v>
      </c>
      <c r="O503" t="str">
        <f>TEXT(Europe_Sales_Records34[[#This Row],[Ship Date Fixed]],"MMM")</f>
        <v>Oct</v>
      </c>
      <c r="P503">
        <f>YEAR(Europe_Sales_Records34[[#This Row],[Ship Date Fixed]])</f>
        <v>2012</v>
      </c>
      <c r="Q503" t="str">
        <f>TEXT(Europe_Sales_Records34[[#This Row],[Ship Date Fixed]],"MMM-YYYY")</f>
        <v>Oct-2012</v>
      </c>
      <c r="R503" t="s">
        <v>286</v>
      </c>
      <c r="S503" s="3">
        <f>Europe_Sales_Records34[[#This Row],[Ship Date Fixed]]-Europe_Sales_Records34[[#This Row],[Order Date Fixed]]</f>
        <v>44</v>
      </c>
      <c r="T503">
        <v>5639</v>
      </c>
      <c r="U503">
        <v>152.58000000000001</v>
      </c>
      <c r="V503">
        <v>97.44</v>
      </c>
      <c r="W503">
        <f>Europe_Sales_Records34[[#This Row],[Total Revenue]]/Europe_Sales_Records34[[#This Row],[Units Sold]]</f>
        <v>152.58000000000001</v>
      </c>
      <c r="X503">
        <v>860398.62</v>
      </c>
      <c r="Y503">
        <v>549464.16</v>
      </c>
      <c r="Z503" s="4">
        <f>Europe_Sales_Records34[[#This Row],[Total Profit]]/Europe_Sales_Records34[[#This Row],[Total Revenue]]</f>
        <v>0.36138419189933152</v>
      </c>
      <c r="AA503">
        <v>310934.46000000002</v>
      </c>
    </row>
    <row r="504" spans="1:27" x14ac:dyDescent="0.3">
      <c r="A504" t="s">
        <v>14</v>
      </c>
      <c r="B504" t="s">
        <v>220</v>
      </c>
      <c r="C504" t="s">
        <v>37</v>
      </c>
      <c r="D504" t="s">
        <v>17</v>
      </c>
      <c r="E504" t="s">
        <v>33</v>
      </c>
      <c r="F504" t="s">
        <v>930</v>
      </c>
      <c r="G504" s="2">
        <f t="shared" si="14"/>
        <v>42433</v>
      </c>
      <c r="H504">
        <f>DAY(Europe_Sales_Records34[[#This Row],[Order Date Fixed]])</f>
        <v>4</v>
      </c>
      <c r="I504" t="str">
        <f>TEXT(Europe_Sales_Records34[[#This Row],[Order Date Fixed]],"MMM")</f>
        <v>Mar</v>
      </c>
      <c r="J504">
        <f>YEAR(Europe_Sales_Records34[[#This Row],[Order Date Fixed]])</f>
        <v>2016</v>
      </c>
      <c r="K504" t="str">
        <f>TEXT(Europe_Sales_Records34[[#This Row],[Order Date Fixed]],"MMM-YYYY")</f>
        <v>Mar-2016</v>
      </c>
      <c r="L504">
        <v>716054379</v>
      </c>
      <c r="M504" s="2">
        <f t="shared" si="15"/>
        <v>42455</v>
      </c>
      <c r="N504">
        <f>DAY(Europe_Sales_Records34[[#This Row],[Ship Date Fixed]])</f>
        <v>26</v>
      </c>
      <c r="O504" t="str">
        <f>TEXT(Europe_Sales_Records34[[#This Row],[Ship Date Fixed]],"MMM")</f>
        <v>Mar</v>
      </c>
      <c r="P504">
        <f>YEAR(Europe_Sales_Records34[[#This Row],[Ship Date Fixed]])</f>
        <v>2016</v>
      </c>
      <c r="Q504" t="str">
        <f>TEXT(Europe_Sales_Records34[[#This Row],[Ship Date Fixed]],"MMM-YYYY")</f>
        <v>Mar-2016</v>
      </c>
      <c r="R504" t="s">
        <v>931</v>
      </c>
      <c r="S504" s="3">
        <f>Europe_Sales_Records34[[#This Row],[Ship Date Fixed]]-Europe_Sales_Records34[[#This Row],[Order Date Fixed]]</f>
        <v>22</v>
      </c>
      <c r="T504">
        <v>5258</v>
      </c>
      <c r="U504">
        <v>9.33</v>
      </c>
      <c r="V504">
        <v>6.92</v>
      </c>
      <c r="W504">
        <f>Europe_Sales_Records34[[#This Row],[Total Revenue]]/Europe_Sales_Records34[[#This Row],[Units Sold]]</f>
        <v>9.33</v>
      </c>
      <c r="X504">
        <v>49057.14</v>
      </c>
      <c r="Y504">
        <v>36385.360000000001</v>
      </c>
      <c r="Z504" s="4">
        <f>Europe_Sales_Records34[[#This Row],[Total Profit]]/Europe_Sales_Records34[[#This Row],[Total Revenue]]</f>
        <v>0.25830653804930331</v>
      </c>
      <c r="AA504">
        <v>12671.78</v>
      </c>
    </row>
    <row r="505" spans="1:27" x14ac:dyDescent="0.3">
      <c r="A505" t="s">
        <v>14</v>
      </c>
      <c r="B505" t="s">
        <v>27</v>
      </c>
      <c r="C505" t="s">
        <v>32</v>
      </c>
      <c r="D505" t="s">
        <v>17</v>
      </c>
      <c r="E505" t="s">
        <v>18</v>
      </c>
      <c r="F505" t="s">
        <v>932</v>
      </c>
      <c r="G505" s="2">
        <f t="shared" si="14"/>
        <v>42084</v>
      </c>
      <c r="H505">
        <f>DAY(Europe_Sales_Records34[[#This Row],[Order Date Fixed]])</f>
        <v>21</v>
      </c>
      <c r="I505" t="str">
        <f>TEXT(Europe_Sales_Records34[[#This Row],[Order Date Fixed]],"MMM")</f>
        <v>Mar</v>
      </c>
      <c r="J505">
        <f>YEAR(Europe_Sales_Records34[[#This Row],[Order Date Fixed]])</f>
        <v>2015</v>
      </c>
      <c r="K505" t="str">
        <f>TEXT(Europe_Sales_Records34[[#This Row],[Order Date Fixed]],"MMM-YYYY")</f>
        <v>Mar-2015</v>
      </c>
      <c r="L505">
        <v>511712110</v>
      </c>
      <c r="M505" s="2">
        <f t="shared" si="15"/>
        <v>42131</v>
      </c>
      <c r="N505">
        <f>DAY(Europe_Sales_Records34[[#This Row],[Ship Date Fixed]])</f>
        <v>7</v>
      </c>
      <c r="O505" t="str">
        <f>TEXT(Europe_Sales_Records34[[#This Row],[Ship Date Fixed]],"MMM")</f>
        <v>May</v>
      </c>
      <c r="P505">
        <f>YEAR(Europe_Sales_Records34[[#This Row],[Ship Date Fixed]])</f>
        <v>2015</v>
      </c>
      <c r="Q505" t="str">
        <f>TEXT(Europe_Sales_Records34[[#This Row],[Ship Date Fixed]],"MMM-YYYY")</f>
        <v>May-2015</v>
      </c>
      <c r="R505" t="s">
        <v>933</v>
      </c>
      <c r="S505" s="3">
        <f>Europe_Sales_Records34[[#This Row],[Ship Date Fixed]]-Europe_Sales_Records34[[#This Row],[Order Date Fixed]]</f>
        <v>47</v>
      </c>
      <c r="T505">
        <v>5839</v>
      </c>
      <c r="U505">
        <v>651.21</v>
      </c>
      <c r="V505">
        <v>524.96</v>
      </c>
      <c r="W505">
        <f>Europe_Sales_Records34[[#This Row],[Total Revenue]]/Europe_Sales_Records34[[#This Row],[Units Sold]]</f>
        <v>651.21</v>
      </c>
      <c r="X505">
        <v>3802415.19</v>
      </c>
      <c r="Y505">
        <v>3065241.44</v>
      </c>
      <c r="Z505" s="4">
        <f>Europe_Sales_Records34[[#This Row],[Total Profit]]/Europe_Sales_Records34[[#This Row],[Total Revenue]]</f>
        <v>0.19386987300563566</v>
      </c>
      <c r="AA505">
        <v>737173.75</v>
      </c>
    </row>
    <row r="506" spans="1:27" x14ac:dyDescent="0.3">
      <c r="A506" t="s">
        <v>14</v>
      </c>
      <c r="B506" t="s">
        <v>53</v>
      </c>
      <c r="C506" t="s">
        <v>64</v>
      </c>
      <c r="D506" t="s">
        <v>17</v>
      </c>
      <c r="E506" t="s">
        <v>18</v>
      </c>
      <c r="F506" t="s">
        <v>934</v>
      </c>
      <c r="G506" s="2">
        <f t="shared" si="14"/>
        <v>41889</v>
      </c>
      <c r="H506">
        <f>DAY(Europe_Sales_Records34[[#This Row],[Order Date Fixed]])</f>
        <v>7</v>
      </c>
      <c r="I506" t="str">
        <f>TEXT(Europe_Sales_Records34[[#This Row],[Order Date Fixed]],"MMM")</f>
        <v>Sep</v>
      </c>
      <c r="J506">
        <f>YEAR(Europe_Sales_Records34[[#This Row],[Order Date Fixed]])</f>
        <v>2014</v>
      </c>
      <c r="K506" t="str">
        <f>TEXT(Europe_Sales_Records34[[#This Row],[Order Date Fixed]],"MMM-YYYY")</f>
        <v>Sep-2014</v>
      </c>
      <c r="L506">
        <v>481308305</v>
      </c>
      <c r="M506" s="2">
        <f t="shared" si="15"/>
        <v>41928</v>
      </c>
      <c r="N506">
        <f>DAY(Europe_Sales_Records34[[#This Row],[Ship Date Fixed]])</f>
        <v>16</v>
      </c>
      <c r="O506" t="str">
        <f>TEXT(Europe_Sales_Records34[[#This Row],[Ship Date Fixed]],"MMM")</f>
        <v>Oct</v>
      </c>
      <c r="P506">
        <f>YEAR(Europe_Sales_Records34[[#This Row],[Ship Date Fixed]])</f>
        <v>2014</v>
      </c>
      <c r="Q506" t="str">
        <f>TEXT(Europe_Sales_Records34[[#This Row],[Ship Date Fixed]],"MMM-YYYY")</f>
        <v>Oct-2014</v>
      </c>
      <c r="R506" t="s">
        <v>752</v>
      </c>
      <c r="S506" s="3">
        <f>Europe_Sales_Records34[[#This Row],[Ship Date Fixed]]-Europe_Sales_Records34[[#This Row],[Order Date Fixed]]</f>
        <v>39</v>
      </c>
      <c r="T506">
        <v>8678</v>
      </c>
      <c r="U506">
        <v>255.28</v>
      </c>
      <c r="V506">
        <v>159.41999999999999</v>
      </c>
      <c r="W506">
        <f>Europe_Sales_Records34[[#This Row],[Total Revenue]]/Europe_Sales_Records34[[#This Row],[Units Sold]]</f>
        <v>255.27999999999997</v>
      </c>
      <c r="X506">
        <v>2215319.84</v>
      </c>
      <c r="Y506">
        <v>1383446.76</v>
      </c>
      <c r="Z506" s="4">
        <f>Europe_Sales_Records34[[#This Row],[Total Profit]]/Europe_Sales_Records34[[#This Row],[Total Revenue]]</f>
        <v>0.37550924475086178</v>
      </c>
      <c r="AA506">
        <v>831873.08</v>
      </c>
    </row>
    <row r="507" spans="1:27" x14ac:dyDescent="0.3">
      <c r="A507" t="s">
        <v>14</v>
      </c>
      <c r="B507" t="s">
        <v>220</v>
      </c>
      <c r="C507" t="s">
        <v>71</v>
      </c>
      <c r="D507" t="s">
        <v>23</v>
      </c>
      <c r="E507" t="s">
        <v>18</v>
      </c>
      <c r="F507" t="s">
        <v>935</v>
      </c>
      <c r="G507" s="2">
        <f t="shared" si="14"/>
        <v>41781</v>
      </c>
      <c r="H507">
        <f>DAY(Europe_Sales_Records34[[#This Row],[Order Date Fixed]])</f>
        <v>22</v>
      </c>
      <c r="I507" t="str">
        <f>TEXT(Europe_Sales_Records34[[#This Row],[Order Date Fixed]],"MMM")</f>
        <v>May</v>
      </c>
      <c r="J507">
        <f>YEAR(Europe_Sales_Records34[[#This Row],[Order Date Fixed]])</f>
        <v>2014</v>
      </c>
      <c r="K507" t="str">
        <f>TEXT(Europe_Sales_Records34[[#This Row],[Order Date Fixed]],"MMM-YYYY")</f>
        <v>May-2014</v>
      </c>
      <c r="L507">
        <v>266638886</v>
      </c>
      <c r="M507" s="2">
        <f t="shared" si="15"/>
        <v>41809</v>
      </c>
      <c r="N507">
        <f>DAY(Europe_Sales_Records34[[#This Row],[Ship Date Fixed]])</f>
        <v>19</v>
      </c>
      <c r="O507" t="str">
        <f>TEXT(Europe_Sales_Records34[[#This Row],[Ship Date Fixed]],"MMM")</f>
        <v>Jun</v>
      </c>
      <c r="P507">
        <f>YEAR(Europe_Sales_Records34[[#This Row],[Ship Date Fixed]])</f>
        <v>2014</v>
      </c>
      <c r="Q507" t="str">
        <f>TEXT(Europe_Sales_Records34[[#This Row],[Ship Date Fixed]],"MMM-YYYY")</f>
        <v>Jun-2014</v>
      </c>
      <c r="R507" t="s">
        <v>936</v>
      </c>
      <c r="S507" s="3">
        <f>Europe_Sales_Records34[[#This Row],[Ship Date Fixed]]-Europe_Sales_Records34[[#This Row],[Order Date Fixed]]</f>
        <v>28</v>
      </c>
      <c r="T507">
        <v>3227</v>
      </c>
      <c r="U507">
        <v>668.27</v>
      </c>
      <c r="V507">
        <v>502.54</v>
      </c>
      <c r="W507">
        <f>Europe_Sales_Records34[[#This Row],[Total Revenue]]/Europe_Sales_Records34[[#This Row],[Units Sold]]</f>
        <v>668.27</v>
      </c>
      <c r="X507">
        <v>2156507.29</v>
      </c>
      <c r="Y507">
        <v>1621696.58</v>
      </c>
      <c r="Z507" s="4">
        <f>Europe_Sales_Records34[[#This Row],[Total Profit]]/Europe_Sales_Records34[[#This Row],[Total Revenue]]</f>
        <v>0.24799856345489096</v>
      </c>
      <c r="AA507">
        <v>534810.71</v>
      </c>
    </row>
    <row r="508" spans="1:27" x14ac:dyDescent="0.3">
      <c r="A508" t="s">
        <v>14</v>
      </c>
      <c r="B508" t="s">
        <v>146</v>
      </c>
      <c r="C508" t="s">
        <v>50</v>
      </c>
      <c r="D508" t="s">
        <v>23</v>
      </c>
      <c r="E508" t="s">
        <v>54</v>
      </c>
      <c r="F508" t="s">
        <v>937</v>
      </c>
      <c r="G508" s="2">
        <f t="shared" si="14"/>
        <v>41169</v>
      </c>
      <c r="H508">
        <f>DAY(Europe_Sales_Records34[[#This Row],[Order Date Fixed]])</f>
        <v>17</v>
      </c>
      <c r="I508" t="str">
        <f>TEXT(Europe_Sales_Records34[[#This Row],[Order Date Fixed]],"MMM")</f>
        <v>Sep</v>
      </c>
      <c r="J508">
        <f>YEAR(Europe_Sales_Records34[[#This Row],[Order Date Fixed]])</f>
        <v>2012</v>
      </c>
      <c r="K508" t="str">
        <f>TEXT(Europe_Sales_Records34[[#This Row],[Order Date Fixed]],"MMM-YYYY")</f>
        <v>Sep-2012</v>
      </c>
      <c r="L508">
        <v>638314521</v>
      </c>
      <c r="M508" s="2">
        <f t="shared" si="15"/>
        <v>41197</v>
      </c>
      <c r="N508">
        <f>DAY(Europe_Sales_Records34[[#This Row],[Ship Date Fixed]])</f>
        <v>15</v>
      </c>
      <c r="O508" t="str">
        <f>TEXT(Europe_Sales_Records34[[#This Row],[Ship Date Fixed]],"MMM")</f>
        <v>Oct</v>
      </c>
      <c r="P508">
        <f>YEAR(Europe_Sales_Records34[[#This Row],[Ship Date Fixed]])</f>
        <v>2012</v>
      </c>
      <c r="Q508" t="str">
        <f>TEXT(Europe_Sales_Records34[[#This Row],[Ship Date Fixed]],"MMM-YYYY")</f>
        <v>Oct-2012</v>
      </c>
      <c r="R508" t="s">
        <v>938</v>
      </c>
      <c r="S508" s="3">
        <f>Europe_Sales_Records34[[#This Row],[Ship Date Fixed]]-Europe_Sales_Records34[[#This Row],[Order Date Fixed]]</f>
        <v>28</v>
      </c>
      <c r="T508">
        <v>306</v>
      </c>
      <c r="U508">
        <v>421.89</v>
      </c>
      <c r="V508">
        <v>364.69</v>
      </c>
      <c r="W508">
        <f>Europe_Sales_Records34[[#This Row],[Total Revenue]]/Europe_Sales_Records34[[#This Row],[Units Sold]]</f>
        <v>421.89</v>
      </c>
      <c r="X508">
        <v>129098.34</v>
      </c>
      <c r="Y508">
        <v>111595.14</v>
      </c>
      <c r="Z508" s="4">
        <f>Europe_Sales_Records34[[#This Row],[Total Profit]]/Europe_Sales_Records34[[#This Row],[Total Revenue]]</f>
        <v>0.13558036455000119</v>
      </c>
      <c r="AA508">
        <v>17503.2</v>
      </c>
    </row>
    <row r="509" spans="1:27" x14ac:dyDescent="0.3">
      <c r="A509" t="s">
        <v>14</v>
      </c>
      <c r="B509" t="s">
        <v>49</v>
      </c>
      <c r="C509" t="s">
        <v>75</v>
      </c>
      <c r="D509" t="s">
        <v>23</v>
      </c>
      <c r="E509" t="s">
        <v>24</v>
      </c>
      <c r="F509" t="s">
        <v>939</v>
      </c>
      <c r="G509" s="2">
        <f t="shared" si="14"/>
        <v>42109</v>
      </c>
      <c r="H509">
        <f>DAY(Europe_Sales_Records34[[#This Row],[Order Date Fixed]])</f>
        <v>15</v>
      </c>
      <c r="I509" t="str">
        <f>TEXT(Europe_Sales_Records34[[#This Row],[Order Date Fixed]],"MMM")</f>
        <v>Apr</v>
      </c>
      <c r="J509">
        <f>YEAR(Europe_Sales_Records34[[#This Row],[Order Date Fixed]])</f>
        <v>2015</v>
      </c>
      <c r="K509" t="str">
        <f>TEXT(Europe_Sales_Records34[[#This Row],[Order Date Fixed]],"MMM-YYYY")</f>
        <v>Apr-2015</v>
      </c>
      <c r="L509">
        <v>811977040</v>
      </c>
      <c r="M509" s="2">
        <f t="shared" si="15"/>
        <v>42152</v>
      </c>
      <c r="N509">
        <f>DAY(Europe_Sales_Records34[[#This Row],[Ship Date Fixed]])</f>
        <v>28</v>
      </c>
      <c r="O509" t="str">
        <f>TEXT(Europe_Sales_Records34[[#This Row],[Ship Date Fixed]],"MMM")</f>
        <v>May</v>
      </c>
      <c r="P509">
        <f>YEAR(Europe_Sales_Records34[[#This Row],[Ship Date Fixed]])</f>
        <v>2015</v>
      </c>
      <c r="Q509" t="str">
        <f>TEXT(Europe_Sales_Records34[[#This Row],[Ship Date Fixed]],"MMM-YYYY")</f>
        <v>May-2015</v>
      </c>
      <c r="R509" t="s">
        <v>940</v>
      </c>
      <c r="S509" s="3">
        <f>Europe_Sales_Records34[[#This Row],[Ship Date Fixed]]-Europe_Sales_Records34[[#This Row],[Order Date Fixed]]</f>
        <v>43</v>
      </c>
      <c r="T509">
        <v>905</v>
      </c>
      <c r="U509">
        <v>437.2</v>
      </c>
      <c r="V509">
        <v>263.33</v>
      </c>
      <c r="W509">
        <f>Europe_Sales_Records34[[#This Row],[Total Revenue]]/Europe_Sales_Records34[[#This Row],[Units Sold]]</f>
        <v>437.2</v>
      </c>
      <c r="X509">
        <v>395666</v>
      </c>
      <c r="Y509">
        <v>238313.65</v>
      </c>
      <c r="Z509" s="4">
        <f>Europe_Sales_Records34[[#This Row],[Total Profit]]/Europe_Sales_Records34[[#This Row],[Total Revenue]]</f>
        <v>0.39768984446477584</v>
      </c>
      <c r="AA509">
        <v>157352.35</v>
      </c>
    </row>
    <row r="510" spans="1:27" x14ac:dyDescent="0.3">
      <c r="A510" t="s">
        <v>14</v>
      </c>
      <c r="B510" t="s">
        <v>67</v>
      </c>
      <c r="C510" t="s">
        <v>50</v>
      </c>
      <c r="D510" t="s">
        <v>23</v>
      </c>
      <c r="E510" t="s">
        <v>24</v>
      </c>
      <c r="F510" t="s">
        <v>941</v>
      </c>
      <c r="G510" s="2">
        <f t="shared" si="14"/>
        <v>40460</v>
      </c>
      <c r="H510">
        <f>DAY(Europe_Sales_Records34[[#This Row],[Order Date Fixed]])</f>
        <v>9</v>
      </c>
      <c r="I510" t="str">
        <f>TEXT(Europe_Sales_Records34[[#This Row],[Order Date Fixed]],"MMM")</f>
        <v>Oct</v>
      </c>
      <c r="J510">
        <f>YEAR(Europe_Sales_Records34[[#This Row],[Order Date Fixed]])</f>
        <v>2010</v>
      </c>
      <c r="K510" t="str">
        <f>TEXT(Europe_Sales_Records34[[#This Row],[Order Date Fixed]],"MMM-YYYY")</f>
        <v>Oct-2010</v>
      </c>
      <c r="L510">
        <v>344160735</v>
      </c>
      <c r="M510" s="2">
        <f t="shared" si="15"/>
        <v>40502</v>
      </c>
      <c r="N510">
        <f>DAY(Europe_Sales_Records34[[#This Row],[Ship Date Fixed]])</f>
        <v>20</v>
      </c>
      <c r="O510" t="str">
        <f>TEXT(Europe_Sales_Records34[[#This Row],[Ship Date Fixed]],"MMM")</f>
        <v>Nov</v>
      </c>
      <c r="P510">
        <f>YEAR(Europe_Sales_Records34[[#This Row],[Ship Date Fixed]])</f>
        <v>2010</v>
      </c>
      <c r="Q510" t="str">
        <f>TEXT(Europe_Sales_Records34[[#This Row],[Ship Date Fixed]],"MMM-YYYY")</f>
        <v>Nov-2010</v>
      </c>
      <c r="R510" t="s">
        <v>942</v>
      </c>
      <c r="S510" s="3">
        <f>Europe_Sales_Records34[[#This Row],[Ship Date Fixed]]-Europe_Sales_Records34[[#This Row],[Order Date Fixed]]</f>
        <v>42</v>
      </c>
      <c r="T510">
        <v>3664</v>
      </c>
      <c r="U510">
        <v>421.89</v>
      </c>
      <c r="V510">
        <v>364.69</v>
      </c>
      <c r="W510">
        <f>Europe_Sales_Records34[[#This Row],[Total Revenue]]/Europe_Sales_Records34[[#This Row],[Units Sold]]</f>
        <v>421.89</v>
      </c>
      <c r="X510">
        <v>1545804.96</v>
      </c>
      <c r="Y510">
        <v>1336224.1599999999</v>
      </c>
      <c r="Z510" s="4">
        <f>Europe_Sales_Records34[[#This Row],[Total Profit]]/Europe_Sales_Records34[[#This Row],[Total Revenue]]</f>
        <v>0.13558036455000119</v>
      </c>
      <c r="AA510">
        <v>209580.79999999999</v>
      </c>
    </row>
    <row r="511" spans="1:27" x14ac:dyDescent="0.3">
      <c r="A511" t="s">
        <v>14</v>
      </c>
      <c r="B511" t="s">
        <v>70</v>
      </c>
      <c r="C511" t="s">
        <v>71</v>
      </c>
      <c r="D511" t="s">
        <v>23</v>
      </c>
      <c r="E511" t="s">
        <v>54</v>
      </c>
      <c r="F511" t="s">
        <v>69</v>
      </c>
      <c r="G511" s="2">
        <f t="shared" si="14"/>
        <v>42828</v>
      </c>
      <c r="H511">
        <f>DAY(Europe_Sales_Records34[[#This Row],[Order Date Fixed]])</f>
        <v>3</v>
      </c>
      <c r="I511" t="str">
        <f>TEXT(Europe_Sales_Records34[[#This Row],[Order Date Fixed]],"MMM")</f>
        <v>Apr</v>
      </c>
      <c r="J511">
        <f>YEAR(Europe_Sales_Records34[[#This Row],[Order Date Fixed]])</f>
        <v>2017</v>
      </c>
      <c r="K511" t="str">
        <f>TEXT(Europe_Sales_Records34[[#This Row],[Order Date Fixed]],"MMM-YYYY")</f>
        <v>Apr-2017</v>
      </c>
      <c r="L511">
        <v>549058330</v>
      </c>
      <c r="M511" s="2">
        <f t="shared" si="15"/>
        <v>42866</v>
      </c>
      <c r="N511">
        <f>DAY(Europe_Sales_Records34[[#This Row],[Ship Date Fixed]])</f>
        <v>11</v>
      </c>
      <c r="O511" t="str">
        <f>TEXT(Europe_Sales_Records34[[#This Row],[Ship Date Fixed]],"MMM")</f>
        <v>May</v>
      </c>
      <c r="P511">
        <f>YEAR(Europe_Sales_Records34[[#This Row],[Ship Date Fixed]])</f>
        <v>2017</v>
      </c>
      <c r="Q511" t="str">
        <f>TEXT(Europe_Sales_Records34[[#This Row],[Ship Date Fixed]],"MMM-YYYY")</f>
        <v>May-2017</v>
      </c>
      <c r="R511" t="s">
        <v>943</v>
      </c>
      <c r="S511" s="3">
        <f>Europe_Sales_Records34[[#This Row],[Ship Date Fixed]]-Europe_Sales_Records34[[#This Row],[Order Date Fixed]]</f>
        <v>38</v>
      </c>
      <c r="T511">
        <v>7416</v>
      </c>
      <c r="U511">
        <v>668.27</v>
      </c>
      <c r="V511">
        <v>502.54</v>
      </c>
      <c r="W511">
        <f>Europe_Sales_Records34[[#This Row],[Total Revenue]]/Europe_Sales_Records34[[#This Row],[Units Sold]]</f>
        <v>668.2700000000001</v>
      </c>
      <c r="X511">
        <v>4955890.32</v>
      </c>
      <c r="Y511">
        <v>3726836.64</v>
      </c>
      <c r="Z511" s="4">
        <f>Europe_Sales_Records34[[#This Row],[Total Profit]]/Europe_Sales_Records34[[#This Row],[Total Revenue]]</f>
        <v>0.24799856345489096</v>
      </c>
      <c r="AA511">
        <v>1229053.68</v>
      </c>
    </row>
    <row r="512" spans="1:27" x14ac:dyDescent="0.3">
      <c r="A512" t="s">
        <v>14</v>
      </c>
      <c r="B512" t="s">
        <v>183</v>
      </c>
      <c r="C512" t="s">
        <v>50</v>
      </c>
      <c r="D512" t="s">
        <v>23</v>
      </c>
      <c r="E512" t="s">
        <v>54</v>
      </c>
      <c r="F512" t="s">
        <v>944</v>
      </c>
      <c r="G512" s="2">
        <f t="shared" si="14"/>
        <v>41590</v>
      </c>
      <c r="H512">
        <f>DAY(Europe_Sales_Records34[[#This Row],[Order Date Fixed]])</f>
        <v>12</v>
      </c>
      <c r="I512" t="str">
        <f>TEXT(Europe_Sales_Records34[[#This Row],[Order Date Fixed]],"MMM")</f>
        <v>Nov</v>
      </c>
      <c r="J512">
        <f>YEAR(Europe_Sales_Records34[[#This Row],[Order Date Fixed]])</f>
        <v>2013</v>
      </c>
      <c r="K512" t="str">
        <f>TEXT(Europe_Sales_Records34[[#This Row],[Order Date Fixed]],"MMM-YYYY")</f>
        <v>Nov-2013</v>
      </c>
      <c r="L512">
        <v>969199979</v>
      </c>
      <c r="M512" s="2">
        <f t="shared" si="15"/>
        <v>41615</v>
      </c>
      <c r="N512">
        <f>DAY(Europe_Sales_Records34[[#This Row],[Ship Date Fixed]])</f>
        <v>7</v>
      </c>
      <c r="O512" t="str">
        <f>TEXT(Europe_Sales_Records34[[#This Row],[Ship Date Fixed]],"MMM")</f>
        <v>Dec</v>
      </c>
      <c r="P512">
        <f>YEAR(Europe_Sales_Records34[[#This Row],[Ship Date Fixed]])</f>
        <v>2013</v>
      </c>
      <c r="Q512" t="str">
        <f>TEXT(Europe_Sales_Records34[[#This Row],[Ship Date Fixed]],"MMM-YYYY")</f>
        <v>Dec-2013</v>
      </c>
      <c r="R512" t="s">
        <v>945</v>
      </c>
      <c r="S512" s="3">
        <f>Europe_Sales_Records34[[#This Row],[Ship Date Fixed]]-Europe_Sales_Records34[[#This Row],[Order Date Fixed]]</f>
        <v>25</v>
      </c>
      <c r="T512">
        <v>6666</v>
      </c>
      <c r="U512">
        <v>421.89</v>
      </c>
      <c r="V512">
        <v>364.69</v>
      </c>
      <c r="W512">
        <f>Europe_Sales_Records34[[#This Row],[Total Revenue]]/Europe_Sales_Records34[[#This Row],[Units Sold]]</f>
        <v>421.89000000000004</v>
      </c>
      <c r="X512">
        <v>2812318.74</v>
      </c>
      <c r="Y512">
        <v>2431023.54</v>
      </c>
      <c r="Z512" s="4">
        <f>Europe_Sales_Records34[[#This Row],[Total Profit]]/Europe_Sales_Records34[[#This Row],[Total Revenue]]</f>
        <v>0.13558036455000119</v>
      </c>
      <c r="AA512">
        <v>381295.2</v>
      </c>
    </row>
    <row r="513" spans="1:27" x14ac:dyDescent="0.3">
      <c r="A513" t="s">
        <v>14</v>
      </c>
      <c r="B513" t="s">
        <v>166</v>
      </c>
      <c r="C513" t="s">
        <v>64</v>
      </c>
      <c r="D513" t="s">
        <v>17</v>
      </c>
      <c r="E513" t="s">
        <v>33</v>
      </c>
      <c r="F513" t="s">
        <v>712</v>
      </c>
      <c r="G513" s="2">
        <f t="shared" si="14"/>
        <v>40685</v>
      </c>
      <c r="H513">
        <f>DAY(Europe_Sales_Records34[[#This Row],[Order Date Fixed]])</f>
        <v>22</v>
      </c>
      <c r="I513" t="str">
        <f>TEXT(Europe_Sales_Records34[[#This Row],[Order Date Fixed]],"MMM")</f>
        <v>May</v>
      </c>
      <c r="J513">
        <f>YEAR(Europe_Sales_Records34[[#This Row],[Order Date Fixed]])</f>
        <v>2011</v>
      </c>
      <c r="K513" t="str">
        <f>TEXT(Europe_Sales_Records34[[#This Row],[Order Date Fixed]],"MMM-YYYY")</f>
        <v>May-2011</v>
      </c>
      <c r="L513">
        <v>956594026</v>
      </c>
      <c r="M513" s="2">
        <f t="shared" si="15"/>
        <v>40711</v>
      </c>
      <c r="N513">
        <f>DAY(Europe_Sales_Records34[[#This Row],[Ship Date Fixed]])</f>
        <v>17</v>
      </c>
      <c r="O513" t="str">
        <f>TEXT(Europe_Sales_Records34[[#This Row],[Ship Date Fixed]],"MMM")</f>
        <v>Jun</v>
      </c>
      <c r="P513">
        <f>YEAR(Europe_Sales_Records34[[#This Row],[Ship Date Fixed]])</f>
        <v>2011</v>
      </c>
      <c r="Q513" t="str">
        <f>TEXT(Europe_Sales_Records34[[#This Row],[Ship Date Fixed]],"MMM-YYYY")</f>
        <v>Jun-2011</v>
      </c>
      <c r="R513" t="s">
        <v>946</v>
      </c>
      <c r="S513" s="3">
        <f>Europe_Sales_Records34[[#This Row],[Ship Date Fixed]]-Europe_Sales_Records34[[#This Row],[Order Date Fixed]]</f>
        <v>26</v>
      </c>
      <c r="T513">
        <v>6285</v>
      </c>
      <c r="U513">
        <v>255.28</v>
      </c>
      <c r="V513">
        <v>159.41999999999999</v>
      </c>
      <c r="W513">
        <f>Europe_Sales_Records34[[#This Row],[Total Revenue]]/Europe_Sales_Records34[[#This Row],[Units Sold]]</f>
        <v>255.28</v>
      </c>
      <c r="X513">
        <v>1604434.8</v>
      </c>
      <c r="Y513">
        <v>1001954.7</v>
      </c>
      <c r="Z513" s="4">
        <f>Europe_Sales_Records34[[#This Row],[Total Profit]]/Europe_Sales_Records34[[#This Row],[Total Revenue]]</f>
        <v>0.37550924475086178</v>
      </c>
      <c r="AA513">
        <v>602480.1</v>
      </c>
    </row>
    <row r="514" spans="1:27" x14ac:dyDescent="0.3">
      <c r="A514" t="s">
        <v>14</v>
      </c>
      <c r="B514" t="s">
        <v>74</v>
      </c>
      <c r="C514" t="s">
        <v>16</v>
      </c>
      <c r="D514" t="s">
        <v>23</v>
      </c>
      <c r="E514" t="s">
        <v>54</v>
      </c>
      <c r="F514" t="s">
        <v>947</v>
      </c>
      <c r="G514" s="2">
        <f t="shared" ref="G514:G577" si="16">DATE(
  RIGHT(F514,4),
  LEFT(F514,FIND("/",F514)-1),
  MID(F514,FIND("/",F514)+1, FIND("/",F514,FIND("/",F514)+1)-FIND("/",F514)-1)
)</f>
        <v>42087</v>
      </c>
      <c r="H514">
        <f>DAY(Europe_Sales_Records34[[#This Row],[Order Date Fixed]])</f>
        <v>24</v>
      </c>
      <c r="I514" t="str">
        <f>TEXT(Europe_Sales_Records34[[#This Row],[Order Date Fixed]],"MMM")</f>
        <v>Mar</v>
      </c>
      <c r="J514">
        <f>YEAR(Europe_Sales_Records34[[#This Row],[Order Date Fixed]])</f>
        <v>2015</v>
      </c>
      <c r="K514" t="str">
        <f>TEXT(Europe_Sales_Records34[[#This Row],[Order Date Fixed]],"MMM-YYYY")</f>
        <v>Mar-2015</v>
      </c>
      <c r="L514">
        <v>712595832</v>
      </c>
      <c r="M514" s="2">
        <f t="shared" ref="M514:M577" si="17">DATE(
  RIGHT(R514,4),
  LEFT(R514,FIND("/",R514)-1),
  MID(
      R514,
      FIND("/",R514)+1,
      FIND("/",R514,FIND("/",R514)+1)-FIND("/",R514)-1
     )
)</f>
        <v>42091</v>
      </c>
      <c r="N514">
        <f>DAY(Europe_Sales_Records34[[#This Row],[Ship Date Fixed]])</f>
        <v>28</v>
      </c>
      <c r="O514" t="str">
        <f>TEXT(Europe_Sales_Records34[[#This Row],[Ship Date Fixed]],"MMM")</f>
        <v>Mar</v>
      </c>
      <c r="P514">
        <f>YEAR(Europe_Sales_Records34[[#This Row],[Ship Date Fixed]])</f>
        <v>2015</v>
      </c>
      <c r="Q514" t="str">
        <f>TEXT(Europe_Sales_Records34[[#This Row],[Ship Date Fixed]],"MMM-YYYY")</f>
        <v>Mar-2015</v>
      </c>
      <c r="R514" t="s">
        <v>948</v>
      </c>
      <c r="S514" s="3">
        <f>Europe_Sales_Records34[[#This Row],[Ship Date Fixed]]-Europe_Sales_Records34[[#This Row],[Order Date Fixed]]</f>
        <v>4</v>
      </c>
      <c r="T514">
        <v>1797</v>
      </c>
      <c r="U514">
        <v>47.45</v>
      </c>
      <c r="V514">
        <v>31.79</v>
      </c>
      <c r="W514">
        <f>Europe_Sales_Records34[[#This Row],[Total Revenue]]/Europe_Sales_Records34[[#This Row],[Units Sold]]</f>
        <v>47.449999999999996</v>
      </c>
      <c r="X514">
        <v>85267.65</v>
      </c>
      <c r="Y514">
        <v>57126.63</v>
      </c>
      <c r="Z514" s="4">
        <f>Europe_Sales_Records34[[#This Row],[Total Profit]]/Europe_Sales_Records34[[#This Row],[Total Revenue]]</f>
        <v>0.33003161222339306</v>
      </c>
      <c r="AA514">
        <v>28141.02</v>
      </c>
    </row>
    <row r="515" spans="1:27" x14ac:dyDescent="0.3">
      <c r="A515" t="s">
        <v>14</v>
      </c>
      <c r="B515" t="s">
        <v>185</v>
      </c>
      <c r="C515" t="s">
        <v>64</v>
      </c>
      <c r="D515" t="s">
        <v>17</v>
      </c>
      <c r="E515" t="s">
        <v>18</v>
      </c>
      <c r="F515" t="s">
        <v>236</v>
      </c>
      <c r="G515" s="2">
        <f t="shared" si="16"/>
        <v>40355</v>
      </c>
      <c r="H515">
        <f>DAY(Europe_Sales_Records34[[#This Row],[Order Date Fixed]])</f>
        <v>26</v>
      </c>
      <c r="I515" t="str">
        <f>TEXT(Europe_Sales_Records34[[#This Row],[Order Date Fixed]],"MMM")</f>
        <v>Jun</v>
      </c>
      <c r="J515">
        <f>YEAR(Europe_Sales_Records34[[#This Row],[Order Date Fixed]])</f>
        <v>2010</v>
      </c>
      <c r="K515" t="str">
        <f>TEXT(Europe_Sales_Records34[[#This Row],[Order Date Fixed]],"MMM-YYYY")</f>
        <v>Jun-2010</v>
      </c>
      <c r="L515">
        <v>748357188</v>
      </c>
      <c r="M515" s="2">
        <f t="shared" si="17"/>
        <v>40379</v>
      </c>
      <c r="N515">
        <f>DAY(Europe_Sales_Records34[[#This Row],[Ship Date Fixed]])</f>
        <v>20</v>
      </c>
      <c r="O515" t="str">
        <f>TEXT(Europe_Sales_Records34[[#This Row],[Ship Date Fixed]],"MMM")</f>
        <v>Jul</v>
      </c>
      <c r="P515">
        <f>YEAR(Europe_Sales_Records34[[#This Row],[Ship Date Fixed]])</f>
        <v>2010</v>
      </c>
      <c r="Q515" t="str">
        <f>TEXT(Europe_Sales_Records34[[#This Row],[Ship Date Fixed]],"MMM-YYYY")</f>
        <v>Jul-2010</v>
      </c>
      <c r="R515" t="s">
        <v>949</v>
      </c>
      <c r="S515" s="3">
        <f>Europe_Sales_Records34[[#This Row],[Ship Date Fixed]]-Europe_Sales_Records34[[#This Row],[Order Date Fixed]]</f>
        <v>24</v>
      </c>
      <c r="T515">
        <v>4377</v>
      </c>
      <c r="U515">
        <v>255.28</v>
      </c>
      <c r="V515">
        <v>159.41999999999999</v>
      </c>
      <c r="W515">
        <f>Europe_Sales_Records34[[#This Row],[Total Revenue]]/Europe_Sales_Records34[[#This Row],[Units Sold]]</f>
        <v>255.28</v>
      </c>
      <c r="X515">
        <v>1117360.56</v>
      </c>
      <c r="Y515">
        <v>697781.34</v>
      </c>
      <c r="Z515" s="4">
        <f>Europe_Sales_Records34[[#This Row],[Total Profit]]/Europe_Sales_Records34[[#This Row],[Total Revenue]]</f>
        <v>0.37550924475086178</v>
      </c>
      <c r="AA515">
        <v>419579.22</v>
      </c>
    </row>
    <row r="516" spans="1:27" x14ac:dyDescent="0.3">
      <c r="A516" t="s">
        <v>14</v>
      </c>
      <c r="B516" t="s">
        <v>36</v>
      </c>
      <c r="C516" t="s">
        <v>37</v>
      </c>
      <c r="D516" t="s">
        <v>17</v>
      </c>
      <c r="E516" t="s">
        <v>33</v>
      </c>
      <c r="F516" t="s">
        <v>596</v>
      </c>
      <c r="G516" s="2">
        <f t="shared" si="16"/>
        <v>41330</v>
      </c>
      <c r="H516">
        <f>DAY(Europe_Sales_Records34[[#This Row],[Order Date Fixed]])</f>
        <v>25</v>
      </c>
      <c r="I516" t="str">
        <f>TEXT(Europe_Sales_Records34[[#This Row],[Order Date Fixed]],"MMM")</f>
        <v>Feb</v>
      </c>
      <c r="J516">
        <f>YEAR(Europe_Sales_Records34[[#This Row],[Order Date Fixed]])</f>
        <v>2013</v>
      </c>
      <c r="K516" t="str">
        <f>TEXT(Europe_Sales_Records34[[#This Row],[Order Date Fixed]],"MMM-YYYY")</f>
        <v>Feb-2013</v>
      </c>
      <c r="L516">
        <v>898211562</v>
      </c>
      <c r="M516" s="2">
        <f t="shared" si="17"/>
        <v>41345</v>
      </c>
      <c r="N516">
        <f>DAY(Europe_Sales_Records34[[#This Row],[Ship Date Fixed]])</f>
        <v>12</v>
      </c>
      <c r="O516" t="str">
        <f>TEXT(Europe_Sales_Records34[[#This Row],[Ship Date Fixed]],"MMM")</f>
        <v>Mar</v>
      </c>
      <c r="P516">
        <f>YEAR(Europe_Sales_Records34[[#This Row],[Ship Date Fixed]])</f>
        <v>2013</v>
      </c>
      <c r="Q516" t="str">
        <f>TEXT(Europe_Sales_Records34[[#This Row],[Ship Date Fixed]],"MMM-YYYY")</f>
        <v>Mar-2013</v>
      </c>
      <c r="R516" t="s">
        <v>829</v>
      </c>
      <c r="S516" s="3">
        <f>Europe_Sales_Records34[[#This Row],[Ship Date Fixed]]-Europe_Sales_Records34[[#This Row],[Order Date Fixed]]</f>
        <v>15</v>
      </c>
      <c r="T516">
        <v>9616</v>
      </c>
      <c r="U516">
        <v>9.33</v>
      </c>
      <c r="V516">
        <v>6.92</v>
      </c>
      <c r="W516">
        <f>Europe_Sales_Records34[[#This Row],[Total Revenue]]/Europe_Sales_Records34[[#This Row],[Units Sold]]</f>
        <v>9.33</v>
      </c>
      <c r="X516">
        <v>89717.28</v>
      </c>
      <c r="Y516">
        <v>66542.720000000001</v>
      </c>
      <c r="Z516" s="4">
        <f>Europe_Sales_Records34[[#This Row],[Total Profit]]/Europe_Sales_Records34[[#This Row],[Total Revenue]]</f>
        <v>0.25830653804930331</v>
      </c>
      <c r="AA516">
        <v>23174.560000000001</v>
      </c>
    </row>
    <row r="517" spans="1:27" x14ac:dyDescent="0.3">
      <c r="A517" t="s">
        <v>14</v>
      </c>
      <c r="B517" t="s">
        <v>271</v>
      </c>
      <c r="C517" t="s">
        <v>32</v>
      </c>
      <c r="D517" t="s">
        <v>17</v>
      </c>
      <c r="E517" t="s">
        <v>18</v>
      </c>
      <c r="F517" t="s">
        <v>492</v>
      </c>
      <c r="G517" s="2">
        <f t="shared" si="16"/>
        <v>41805</v>
      </c>
      <c r="H517">
        <f>DAY(Europe_Sales_Records34[[#This Row],[Order Date Fixed]])</f>
        <v>15</v>
      </c>
      <c r="I517" t="str">
        <f>TEXT(Europe_Sales_Records34[[#This Row],[Order Date Fixed]],"MMM")</f>
        <v>Jun</v>
      </c>
      <c r="J517">
        <f>YEAR(Europe_Sales_Records34[[#This Row],[Order Date Fixed]])</f>
        <v>2014</v>
      </c>
      <c r="K517" t="str">
        <f>TEXT(Europe_Sales_Records34[[#This Row],[Order Date Fixed]],"MMM-YYYY")</f>
        <v>Jun-2014</v>
      </c>
      <c r="L517">
        <v>729373586</v>
      </c>
      <c r="M517" s="2">
        <f t="shared" si="17"/>
        <v>41825</v>
      </c>
      <c r="N517">
        <f>DAY(Europe_Sales_Records34[[#This Row],[Ship Date Fixed]])</f>
        <v>5</v>
      </c>
      <c r="O517" t="str">
        <f>TEXT(Europe_Sales_Records34[[#This Row],[Ship Date Fixed]],"MMM")</f>
        <v>Jul</v>
      </c>
      <c r="P517">
        <f>YEAR(Europe_Sales_Records34[[#This Row],[Ship Date Fixed]])</f>
        <v>2014</v>
      </c>
      <c r="Q517" t="str">
        <f>TEXT(Europe_Sales_Records34[[#This Row],[Ship Date Fixed]],"MMM-YYYY")</f>
        <v>Jul-2014</v>
      </c>
      <c r="R517" t="s">
        <v>950</v>
      </c>
      <c r="S517" s="3">
        <f>Europe_Sales_Records34[[#This Row],[Ship Date Fixed]]-Europe_Sales_Records34[[#This Row],[Order Date Fixed]]</f>
        <v>20</v>
      </c>
      <c r="T517">
        <v>6707</v>
      </c>
      <c r="U517">
        <v>651.21</v>
      </c>
      <c r="V517">
        <v>524.96</v>
      </c>
      <c r="W517">
        <f>Europe_Sales_Records34[[#This Row],[Total Revenue]]/Europe_Sales_Records34[[#This Row],[Units Sold]]</f>
        <v>651.20999999999992</v>
      </c>
      <c r="X517">
        <v>4367665.47</v>
      </c>
      <c r="Y517">
        <v>3520906.72</v>
      </c>
      <c r="Z517" s="4">
        <f>Europe_Sales_Records34[[#This Row],[Total Profit]]/Europe_Sales_Records34[[#This Row],[Total Revenue]]</f>
        <v>0.19386987300563568</v>
      </c>
      <c r="AA517">
        <v>846758.75</v>
      </c>
    </row>
    <row r="518" spans="1:27" x14ac:dyDescent="0.3">
      <c r="A518" t="s">
        <v>14</v>
      </c>
      <c r="B518" t="s">
        <v>115</v>
      </c>
      <c r="C518" t="s">
        <v>37</v>
      </c>
      <c r="D518" t="s">
        <v>17</v>
      </c>
      <c r="E518" t="s">
        <v>24</v>
      </c>
      <c r="F518" t="s">
        <v>380</v>
      </c>
      <c r="G518" s="2">
        <f t="shared" si="16"/>
        <v>40897</v>
      </c>
      <c r="H518">
        <f>DAY(Europe_Sales_Records34[[#This Row],[Order Date Fixed]])</f>
        <v>20</v>
      </c>
      <c r="I518" t="str">
        <f>TEXT(Europe_Sales_Records34[[#This Row],[Order Date Fixed]],"MMM")</f>
        <v>Dec</v>
      </c>
      <c r="J518">
        <f>YEAR(Europe_Sales_Records34[[#This Row],[Order Date Fixed]])</f>
        <v>2011</v>
      </c>
      <c r="K518" t="str">
        <f>TEXT(Europe_Sales_Records34[[#This Row],[Order Date Fixed]],"MMM-YYYY")</f>
        <v>Dec-2011</v>
      </c>
      <c r="L518">
        <v>991761863</v>
      </c>
      <c r="M518" s="2">
        <f t="shared" si="17"/>
        <v>40901</v>
      </c>
      <c r="N518">
        <f>DAY(Europe_Sales_Records34[[#This Row],[Ship Date Fixed]])</f>
        <v>24</v>
      </c>
      <c r="O518" t="str">
        <f>TEXT(Europe_Sales_Records34[[#This Row],[Ship Date Fixed]],"MMM")</f>
        <v>Dec</v>
      </c>
      <c r="P518">
        <f>YEAR(Europe_Sales_Records34[[#This Row],[Ship Date Fixed]])</f>
        <v>2011</v>
      </c>
      <c r="Q518" t="str">
        <f>TEXT(Europe_Sales_Records34[[#This Row],[Ship Date Fixed]],"MMM-YYYY")</f>
        <v>Dec-2011</v>
      </c>
      <c r="R518" t="s">
        <v>692</v>
      </c>
      <c r="S518" s="3">
        <f>Europe_Sales_Records34[[#This Row],[Ship Date Fixed]]-Europe_Sales_Records34[[#This Row],[Order Date Fixed]]</f>
        <v>4</v>
      </c>
      <c r="T518">
        <v>3229</v>
      </c>
      <c r="U518">
        <v>9.33</v>
      </c>
      <c r="V518">
        <v>6.92</v>
      </c>
      <c r="W518">
        <f>Europe_Sales_Records34[[#This Row],[Total Revenue]]/Europe_Sales_Records34[[#This Row],[Units Sold]]</f>
        <v>9.33</v>
      </c>
      <c r="X518">
        <v>30126.57</v>
      </c>
      <c r="Y518">
        <v>22344.68</v>
      </c>
      <c r="Z518" s="4">
        <f>Europe_Sales_Records34[[#This Row],[Total Profit]]/Europe_Sales_Records34[[#This Row],[Total Revenue]]</f>
        <v>0.25830653804930331</v>
      </c>
      <c r="AA518">
        <v>7781.89</v>
      </c>
    </row>
    <row r="519" spans="1:27" x14ac:dyDescent="0.3">
      <c r="A519" t="s">
        <v>14</v>
      </c>
      <c r="B519" t="s">
        <v>80</v>
      </c>
      <c r="C519" t="s">
        <v>102</v>
      </c>
      <c r="D519" t="s">
        <v>17</v>
      </c>
      <c r="E519" t="s">
        <v>18</v>
      </c>
      <c r="F519" t="s">
        <v>951</v>
      </c>
      <c r="G519" s="2">
        <f t="shared" si="16"/>
        <v>40845</v>
      </c>
      <c r="H519">
        <f>DAY(Europe_Sales_Records34[[#This Row],[Order Date Fixed]])</f>
        <v>29</v>
      </c>
      <c r="I519" t="str">
        <f>TEXT(Europe_Sales_Records34[[#This Row],[Order Date Fixed]],"MMM")</f>
        <v>Oct</v>
      </c>
      <c r="J519">
        <f>YEAR(Europe_Sales_Records34[[#This Row],[Order Date Fixed]])</f>
        <v>2011</v>
      </c>
      <c r="K519" t="str">
        <f>TEXT(Europe_Sales_Records34[[#This Row],[Order Date Fixed]],"MMM-YYYY")</f>
        <v>Oct-2011</v>
      </c>
      <c r="L519">
        <v>160751283</v>
      </c>
      <c r="M519" s="2">
        <f t="shared" si="17"/>
        <v>40860</v>
      </c>
      <c r="N519">
        <f>DAY(Europe_Sales_Records34[[#This Row],[Ship Date Fixed]])</f>
        <v>13</v>
      </c>
      <c r="O519" t="str">
        <f>TEXT(Europe_Sales_Records34[[#This Row],[Ship Date Fixed]],"MMM")</f>
        <v>Nov</v>
      </c>
      <c r="P519">
        <f>YEAR(Europe_Sales_Records34[[#This Row],[Ship Date Fixed]])</f>
        <v>2011</v>
      </c>
      <c r="Q519" t="str">
        <f>TEXT(Europe_Sales_Records34[[#This Row],[Ship Date Fixed]],"MMM-YYYY")</f>
        <v>Nov-2011</v>
      </c>
      <c r="R519" t="s">
        <v>952</v>
      </c>
      <c r="S519" s="3">
        <f>Europe_Sales_Records34[[#This Row],[Ship Date Fixed]]-Europe_Sales_Records34[[#This Row],[Order Date Fixed]]</f>
        <v>15</v>
      </c>
      <c r="T519">
        <v>8732</v>
      </c>
      <c r="U519">
        <v>81.73</v>
      </c>
      <c r="V519">
        <v>56.67</v>
      </c>
      <c r="W519">
        <f>Europe_Sales_Records34[[#This Row],[Total Revenue]]/Europe_Sales_Records34[[#This Row],[Units Sold]]</f>
        <v>81.73</v>
      </c>
      <c r="X519">
        <v>713666.36</v>
      </c>
      <c r="Y519">
        <v>494842.44</v>
      </c>
      <c r="Z519" s="4">
        <f>Europe_Sales_Records34[[#This Row],[Total Profit]]/Europe_Sales_Records34[[#This Row],[Total Revenue]]</f>
        <v>0.30661935641747218</v>
      </c>
      <c r="AA519">
        <v>218823.92</v>
      </c>
    </row>
    <row r="520" spans="1:27" x14ac:dyDescent="0.3">
      <c r="A520" t="s">
        <v>14</v>
      </c>
      <c r="B520" t="s">
        <v>181</v>
      </c>
      <c r="C520" t="s">
        <v>71</v>
      </c>
      <c r="D520" t="s">
        <v>23</v>
      </c>
      <c r="E520" t="s">
        <v>54</v>
      </c>
      <c r="F520" t="s">
        <v>656</v>
      </c>
      <c r="G520" s="2">
        <f t="shared" si="16"/>
        <v>42788</v>
      </c>
      <c r="H520">
        <f>DAY(Europe_Sales_Records34[[#This Row],[Order Date Fixed]])</f>
        <v>22</v>
      </c>
      <c r="I520" t="str">
        <f>TEXT(Europe_Sales_Records34[[#This Row],[Order Date Fixed]],"MMM")</f>
        <v>Feb</v>
      </c>
      <c r="J520">
        <f>YEAR(Europe_Sales_Records34[[#This Row],[Order Date Fixed]])</f>
        <v>2017</v>
      </c>
      <c r="K520" t="str">
        <f>TEXT(Europe_Sales_Records34[[#This Row],[Order Date Fixed]],"MMM-YYYY")</f>
        <v>Feb-2017</v>
      </c>
      <c r="L520">
        <v>241392648</v>
      </c>
      <c r="M520" s="2">
        <f t="shared" si="17"/>
        <v>42810</v>
      </c>
      <c r="N520">
        <f>DAY(Europe_Sales_Records34[[#This Row],[Ship Date Fixed]])</f>
        <v>16</v>
      </c>
      <c r="O520" t="str">
        <f>TEXT(Europe_Sales_Records34[[#This Row],[Ship Date Fixed]],"MMM")</f>
        <v>Mar</v>
      </c>
      <c r="P520">
        <f>YEAR(Europe_Sales_Records34[[#This Row],[Ship Date Fixed]])</f>
        <v>2017</v>
      </c>
      <c r="Q520" t="str">
        <f>TEXT(Europe_Sales_Records34[[#This Row],[Ship Date Fixed]],"MMM-YYYY")</f>
        <v>Mar-2017</v>
      </c>
      <c r="R520" t="s">
        <v>953</v>
      </c>
      <c r="S520" s="3">
        <f>Europe_Sales_Records34[[#This Row],[Ship Date Fixed]]-Europe_Sales_Records34[[#This Row],[Order Date Fixed]]</f>
        <v>22</v>
      </c>
      <c r="T520">
        <v>2304</v>
      </c>
      <c r="U520">
        <v>668.27</v>
      </c>
      <c r="V520">
        <v>502.54</v>
      </c>
      <c r="W520">
        <f>Europe_Sales_Records34[[#This Row],[Total Revenue]]/Europe_Sales_Records34[[#This Row],[Units Sold]]</f>
        <v>668.27</v>
      </c>
      <c r="X520">
        <v>1539694.08</v>
      </c>
      <c r="Y520">
        <v>1157852.1599999999</v>
      </c>
      <c r="Z520" s="4">
        <f>Europe_Sales_Records34[[#This Row],[Total Profit]]/Europe_Sales_Records34[[#This Row],[Total Revenue]]</f>
        <v>0.24799856345489096</v>
      </c>
      <c r="AA520">
        <v>381841.91999999998</v>
      </c>
    </row>
    <row r="521" spans="1:27" x14ac:dyDescent="0.3">
      <c r="A521" t="s">
        <v>14</v>
      </c>
      <c r="B521" t="s">
        <v>100</v>
      </c>
      <c r="C521" t="s">
        <v>50</v>
      </c>
      <c r="D521" t="s">
        <v>23</v>
      </c>
      <c r="E521" t="s">
        <v>54</v>
      </c>
      <c r="F521" t="s">
        <v>947</v>
      </c>
      <c r="G521" s="2">
        <f t="shared" si="16"/>
        <v>42087</v>
      </c>
      <c r="H521">
        <f>DAY(Europe_Sales_Records34[[#This Row],[Order Date Fixed]])</f>
        <v>24</v>
      </c>
      <c r="I521" t="str">
        <f>TEXT(Europe_Sales_Records34[[#This Row],[Order Date Fixed]],"MMM")</f>
        <v>Mar</v>
      </c>
      <c r="J521">
        <f>YEAR(Europe_Sales_Records34[[#This Row],[Order Date Fixed]])</f>
        <v>2015</v>
      </c>
      <c r="K521" t="str">
        <f>TEXT(Europe_Sales_Records34[[#This Row],[Order Date Fixed]],"MMM-YYYY")</f>
        <v>Mar-2015</v>
      </c>
      <c r="L521">
        <v>901789844</v>
      </c>
      <c r="M521" s="2">
        <f t="shared" si="17"/>
        <v>42129</v>
      </c>
      <c r="N521">
        <f>DAY(Europe_Sales_Records34[[#This Row],[Ship Date Fixed]])</f>
        <v>5</v>
      </c>
      <c r="O521" t="str">
        <f>TEXT(Europe_Sales_Records34[[#This Row],[Ship Date Fixed]],"MMM")</f>
        <v>May</v>
      </c>
      <c r="P521">
        <f>YEAR(Europe_Sales_Records34[[#This Row],[Ship Date Fixed]])</f>
        <v>2015</v>
      </c>
      <c r="Q521" t="str">
        <f>TEXT(Europe_Sales_Records34[[#This Row],[Ship Date Fixed]],"MMM-YYYY")</f>
        <v>May-2015</v>
      </c>
      <c r="R521" t="s">
        <v>206</v>
      </c>
      <c r="S521" s="3">
        <f>Europe_Sales_Records34[[#This Row],[Ship Date Fixed]]-Europe_Sales_Records34[[#This Row],[Order Date Fixed]]</f>
        <v>42</v>
      </c>
      <c r="T521">
        <v>8509</v>
      </c>
      <c r="U521">
        <v>421.89</v>
      </c>
      <c r="V521">
        <v>364.69</v>
      </c>
      <c r="W521">
        <f>Europe_Sales_Records34[[#This Row],[Total Revenue]]/Europe_Sales_Records34[[#This Row],[Units Sold]]</f>
        <v>421.89</v>
      </c>
      <c r="X521">
        <v>3589862.01</v>
      </c>
      <c r="Y521">
        <v>3103147.21</v>
      </c>
      <c r="Z521" s="4">
        <f>Europe_Sales_Records34[[#This Row],[Total Profit]]/Europe_Sales_Records34[[#This Row],[Total Revenue]]</f>
        <v>0.13558036455000119</v>
      </c>
      <c r="AA521">
        <v>486714.8</v>
      </c>
    </row>
    <row r="522" spans="1:27" x14ac:dyDescent="0.3">
      <c r="A522" t="s">
        <v>14</v>
      </c>
      <c r="B522" t="s">
        <v>86</v>
      </c>
      <c r="C522" t="s">
        <v>32</v>
      </c>
      <c r="D522" t="s">
        <v>23</v>
      </c>
      <c r="E522" t="s">
        <v>24</v>
      </c>
      <c r="F522" t="s">
        <v>954</v>
      </c>
      <c r="G522" s="2">
        <f t="shared" si="16"/>
        <v>42695</v>
      </c>
      <c r="H522">
        <f>DAY(Europe_Sales_Records34[[#This Row],[Order Date Fixed]])</f>
        <v>21</v>
      </c>
      <c r="I522" t="str">
        <f>TEXT(Europe_Sales_Records34[[#This Row],[Order Date Fixed]],"MMM")</f>
        <v>Nov</v>
      </c>
      <c r="J522">
        <f>YEAR(Europe_Sales_Records34[[#This Row],[Order Date Fixed]])</f>
        <v>2016</v>
      </c>
      <c r="K522" t="str">
        <f>TEXT(Europe_Sales_Records34[[#This Row],[Order Date Fixed]],"MMM-YYYY")</f>
        <v>Nov-2016</v>
      </c>
      <c r="L522">
        <v>410229337</v>
      </c>
      <c r="M522" s="2">
        <f t="shared" si="17"/>
        <v>42726</v>
      </c>
      <c r="N522">
        <f>DAY(Europe_Sales_Records34[[#This Row],[Ship Date Fixed]])</f>
        <v>22</v>
      </c>
      <c r="O522" t="str">
        <f>TEXT(Europe_Sales_Records34[[#This Row],[Ship Date Fixed]],"MMM")</f>
        <v>Dec</v>
      </c>
      <c r="P522">
        <f>YEAR(Europe_Sales_Records34[[#This Row],[Ship Date Fixed]])</f>
        <v>2016</v>
      </c>
      <c r="Q522" t="str">
        <f>TEXT(Europe_Sales_Records34[[#This Row],[Ship Date Fixed]],"MMM-YYYY")</f>
        <v>Dec-2016</v>
      </c>
      <c r="R522" t="s">
        <v>955</v>
      </c>
      <c r="S522" s="3">
        <f>Europe_Sales_Records34[[#This Row],[Ship Date Fixed]]-Europe_Sales_Records34[[#This Row],[Order Date Fixed]]</f>
        <v>31</v>
      </c>
      <c r="T522">
        <v>4832</v>
      </c>
      <c r="U522">
        <v>651.21</v>
      </c>
      <c r="V522">
        <v>524.96</v>
      </c>
      <c r="W522">
        <f>Europe_Sales_Records34[[#This Row],[Total Revenue]]/Europe_Sales_Records34[[#This Row],[Units Sold]]</f>
        <v>651.21</v>
      </c>
      <c r="X522">
        <v>3146646.72</v>
      </c>
      <c r="Y522">
        <v>2536606.7200000002</v>
      </c>
      <c r="Z522" s="4">
        <f>Europe_Sales_Records34[[#This Row],[Total Profit]]/Europe_Sales_Records34[[#This Row],[Total Revenue]]</f>
        <v>0.19386987300563566</v>
      </c>
      <c r="AA522">
        <v>610040</v>
      </c>
    </row>
    <row r="523" spans="1:27" x14ac:dyDescent="0.3">
      <c r="A523" t="s">
        <v>14</v>
      </c>
      <c r="B523" t="s">
        <v>49</v>
      </c>
      <c r="C523" t="s">
        <v>16</v>
      </c>
      <c r="D523" t="s">
        <v>23</v>
      </c>
      <c r="E523" t="s">
        <v>33</v>
      </c>
      <c r="F523" t="s">
        <v>956</v>
      </c>
      <c r="G523" s="2">
        <f t="shared" si="16"/>
        <v>42829</v>
      </c>
      <c r="H523">
        <f>DAY(Europe_Sales_Records34[[#This Row],[Order Date Fixed]])</f>
        <v>4</v>
      </c>
      <c r="I523" t="str">
        <f>TEXT(Europe_Sales_Records34[[#This Row],[Order Date Fixed]],"MMM")</f>
        <v>Apr</v>
      </c>
      <c r="J523">
        <f>YEAR(Europe_Sales_Records34[[#This Row],[Order Date Fixed]])</f>
        <v>2017</v>
      </c>
      <c r="K523" t="str">
        <f>TEXT(Europe_Sales_Records34[[#This Row],[Order Date Fixed]],"MMM-YYYY")</f>
        <v>Apr-2017</v>
      </c>
      <c r="L523">
        <v>837906920</v>
      </c>
      <c r="M523" s="2">
        <f t="shared" si="17"/>
        <v>42871</v>
      </c>
      <c r="N523">
        <f>DAY(Europe_Sales_Records34[[#This Row],[Ship Date Fixed]])</f>
        <v>16</v>
      </c>
      <c r="O523" t="str">
        <f>TEXT(Europe_Sales_Records34[[#This Row],[Ship Date Fixed]],"MMM")</f>
        <v>May</v>
      </c>
      <c r="P523">
        <f>YEAR(Europe_Sales_Records34[[#This Row],[Ship Date Fixed]])</f>
        <v>2017</v>
      </c>
      <c r="Q523" t="str">
        <f>TEXT(Europe_Sales_Records34[[#This Row],[Ship Date Fixed]],"MMM-YYYY")</f>
        <v>May-2017</v>
      </c>
      <c r="R523" t="s">
        <v>957</v>
      </c>
      <c r="S523" s="3">
        <f>Europe_Sales_Records34[[#This Row],[Ship Date Fixed]]-Europe_Sales_Records34[[#This Row],[Order Date Fixed]]</f>
        <v>42</v>
      </c>
      <c r="T523">
        <v>4133</v>
      </c>
      <c r="U523">
        <v>47.45</v>
      </c>
      <c r="V523">
        <v>31.79</v>
      </c>
      <c r="W523">
        <f>Europe_Sales_Records34[[#This Row],[Total Revenue]]/Europe_Sales_Records34[[#This Row],[Units Sold]]</f>
        <v>47.45</v>
      </c>
      <c r="X523">
        <v>196110.85</v>
      </c>
      <c r="Y523">
        <v>131388.07</v>
      </c>
      <c r="Z523" s="4">
        <f>Europe_Sales_Records34[[#This Row],[Total Profit]]/Europe_Sales_Records34[[#This Row],[Total Revenue]]</f>
        <v>0.33003161222339306</v>
      </c>
      <c r="AA523">
        <v>64722.78</v>
      </c>
    </row>
    <row r="524" spans="1:27" x14ac:dyDescent="0.3">
      <c r="A524" t="s">
        <v>14</v>
      </c>
      <c r="B524" t="s">
        <v>243</v>
      </c>
      <c r="C524" t="s">
        <v>71</v>
      </c>
      <c r="D524" t="s">
        <v>23</v>
      </c>
      <c r="E524" t="s">
        <v>18</v>
      </c>
      <c r="F524" t="s">
        <v>958</v>
      </c>
      <c r="G524" s="2">
        <f t="shared" si="16"/>
        <v>42399</v>
      </c>
      <c r="H524">
        <f>DAY(Europe_Sales_Records34[[#This Row],[Order Date Fixed]])</f>
        <v>30</v>
      </c>
      <c r="I524" t="str">
        <f>TEXT(Europe_Sales_Records34[[#This Row],[Order Date Fixed]],"MMM")</f>
        <v>Jan</v>
      </c>
      <c r="J524">
        <f>YEAR(Europe_Sales_Records34[[#This Row],[Order Date Fixed]])</f>
        <v>2016</v>
      </c>
      <c r="K524" t="str">
        <f>TEXT(Europe_Sales_Records34[[#This Row],[Order Date Fixed]],"MMM-YYYY")</f>
        <v>Jan-2016</v>
      </c>
      <c r="L524">
        <v>704361665</v>
      </c>
      <c r="M524" s="2">
        <f t="shared" si="17"/>
        <v>42430</v>
      </c>
      <c r="N524">
        <f>DAY(Europe_Sales_Records34[[#This Row],[Ship Date Fixed]])</f>
        <v>1</v>
      </c>
      <c r="O524" t="str">
        <f>TEXT(Europe_Sales_Records34[[#This Row],[Ship Date Fixed]],"MMM")</f>
        <v>Mar</v>
      </c>
      <c r="P524">
        <f>YEAR(Europe_Sales_Records34[[#This Row],[Ship Date Fixed]])</f>
        <v>2016</v>
      </c>
      <c r="Q524" t="str">
        <f>TEXT(Europe_Sales_Records34[[#This Row],[Ship Date Fixed]],"MMM-YYYY")</f>
        <v>Mar-2016</v>
      </c>
      <c r="R524" t="s">
        <v>959</v>
      </c>
      <c r="S524" s="3">
        <f>Europe_Sales_Records34[[#This Row],[Ship Date Fixed]]-Europe_Sales_Records34[[#This Row],[Order Date Fixed]]</f>
        <v>31</v>
      </c>
      <c r="T524">
        <v>5124</v>
      </c>
      <c r="U524">
        <v>668.27</v>
      </c>
      <c r="V524">
        <v>502.54</v>
      </c>
      <c r="W524">
        <f>Europe_Sales_Records34[[#This Row],[Total Revenue]]/Europe_Sales_Records34[[#This Row],[Units Sold]]</f>
        <v>668.27</v>
      </c>
      <c r="X524">
        <v>3424215.48</v>
      </c>
      <c r="Y524">
        <v>2575014.96</v>
      </c>
      <c r="Z524" s="4">
        <f>Europe_Sales_Records34[[#This Row],[Total Profit]]/Europe_Sales_Records34[[#This Row],[Total Revenue]]</f>
        <v>0.24799856345489099</v>
      </c>
      <c r="AA524">
        <v>849200.52</v>
      </c>
    </row>
    <row r="525" spans="1:27" x14ac:dyDescent="0.3">
      <c r="A525" t="s">
        <v>14</v>
      </c>
      <c r="B525" t="s">
        <v>27</v>
      </c>
      <c r="C525" t="s">
        <v>58</v>
      </c>
      <c r="D525" t="s">
        <v>17</v>
      </c>
      <c r="E525" t="s">
        <v>24</v>
      </c>
      <c r="F525" t="s">
        <v>960</v>
      </c>
      <c r="G525" s="2">
        <f t="shared" si="16"/>
        <v>41466</v>
      </c>
      <c r="H525">
        <f>DAY(Europe_Sales_Records34[[#This Row],[Order Date Fixed]])</f>
        <v>11</v>
      </c>
      <c r="I525" t="str">
        <f>TEXT(Europe_Sales_Records34[[#This Row],[Order Date Fixed]],"MMM")</f>
        <v>Jul</v>
      </c>
      <c r="J525">
        <f>YEAR(Europe_Sales_Records34[[#This Row],[Order Date Fixed]])</f>
        <v>2013</v>
      </c>
      <c r="K525" t="str">
        <f>TEXT(Europe_Sales_Records34[[#This Row],[Order Date Fixed]],"MMM-YYYY")</f>
        <v>Jul-2013</v>
      </c>
      <c r="L525">
        <v>400267398</v>
      </c>
      <c r="M525" s="2">
        <f t="shared" si="17"/>
        <v>41475</v>
      </c>
      <c r="N525">
        <f>DAY(Europe_Sales_Records34[[#This Row],[Ship Date Fixed]])</f>
        <v>20</v>
      </c>
      <c r="O525" t="str">
        <f>TEXT(Europe_Sales_Records34[[#This Row],[Ship Date Fixed]],"MMM")</f>
        <v>Jul</v>
      </c>
      <c r="P525">
        <f>YEAR(Europe_Sales_Records34[[#This Row],[Ship Date Fixed]])</f>
        <v>2013</v>
      </c>
      <c r="Q525" t="str">
        <f>TEXT(Europe_Sales_Records34[[#This Row],[Ship Date Fixed]],"MMM-YYYY")</f>
        <v>Jul-2013</v>
      </c>
      <c r="R525" t="s">
        <v>961</v>
      </c>
      <c r="S525" s="3">
        <f>Europe_Sales_Records34[[#This Row],[Ship Date Fixed]]-Europe_Sales_Records34[[#This Row],[Order Date Fixed]]</f>
        <v>9</v>
      </c>
      <c r="T525">
        <v>6873</v>
      </c>
      <c r="U525">
        <v>152.58000000000001</v>
      </c>
      <c r="V525">
        <v>97.44</v>
      </c>
      <c r="W525">
        <f>Europe_Sales_Records34[[#This Row],[Total Revenue]]/Europe_Sales_Records34[[#This Row],[Units Sold]]</f>
        <v>152.58000000000001</v>
      </c>
      <c r="X525">
        <v>1048682.3400000001</v>
      </c>
      <c r="Y525">
        <v>669705.12</v>
      </c>
      <c r="Z525" s="4">
        <f>Europe_Sales_Records34[[#This Row],[Total Profit]]/Europe_Sales_Records34[[#This Row],[Total Revenue]]</f>
        <v>0.36138419189933146</v>
      </c>
      <c r="AA525">
        <v>378977.22</v>
      </c>
    </row>
    <row r="526" spans="1:27" x14ac:dyDescent="0.3">
      <c r="A526" t="s">
        <v>14</v>
      </c>
      <c r="B526" t="s">
        <v>163</v>
      </c>
      <c r="C526" t="s">
        <v>50</v>
      </c>
      <c r="D526" t="s">
        <v>23</v>
      </c>
      <c r="E526" t="s">
        <v>18</v>
      </c>
      <c r="F526" t="s">
        <v>962</v>
      </c>
      <c r="G526" s="2">
        <f t="shared" si="16"/>
        <v>41778</v>
      </c>
      <c r="H526">
        <f>DAY(Europe_Sales_Records34[[#This Row],[Order Date Fixed]])</f>
        <v>19</v>
      </c>
      <c r="I526" t="str">
        <f>TEXT(Europe_Sales_Records34[[#This Row],[Order Date Fixed]],"MMM")</f>
        <v>May</v>
      </c>
      <c r="J526">
        <f>YEAR(Europe_Sales_Records34[[#This Row],[Order Date Fixed]])</f>
        <v>2014</v>
      </c>
      <c r="K526" t="str">
        <f>TEXT(Europe_Sales_Records34[[#This Row],[Order Date Fixed]],"MMM-YYYY")</f>
        <v>May-2014</v>
      </c>
      <c r="L526">
        <v>531281936</v>
      </c>
      <c r="M526" s="2">
        <f t="shared" si="17"/>
        <v>41793</v>
      </c>
      <c r="N526">
        <f>DAY(Europe_Sales_Records34[[#This Row],[Ship Date Fixed]])</f>
        <v>3</v>
      </c>
      <c r="O526" t="str">
        <f>TEXT(Europe_Sales_Records34[[#This Row],[Ship Date Fixed]],"MMM")</f>
        <v>Jun</v>
      </c>
      <c r="P526">
        <f>YEAR(Europe_Sales_Records34[[#This Row],[Ship Date Fixed]])</f>
        <v>2014</v>
      </c>
      <c r="Q526" t="str">
        <f>TEXT(Europe_Sales_Records34[[#This Row],[Ship Date Fixed]],"MMM-YYYY")</f>
        <v>Jun-2014</v>
      </c>
      <c r="R526" t="s">
        <v>543</v>
      </c>
      <c r="S526" s="3">
        <f>Europe_Sales_Records34[[#This Row],[Ship Date Fixed]]-Europe_Sales_Records34[[#This Row],[Order Date Fixed]]</f>
        <v>15</v>
      </c>
      <c r="T526">
        <v>6986</v>
      </c>
      <c r="U526">
        <v>421.89</v>
      </c>
      <c r="V526">
        <v>364.69</v>
      </c>
      <c r="W526">
        <f>Europe_Sales_Records34[[#This Row],[Total Revenue]]/Europe_Sales_Records34[[#This Row],[Units Sold]]</f>
        <v>421.89</v>
      </c>
      <c r="X526">
        <v>2947323.54</v>
      </c>
      <c r="Y526">
        <v>2547724.34</v>
      </c>
      <c r="Z526" s="4">
        <f>Europe_Sales_Records34[[#This Row],[Total Profit]]/Europe_Sales_Records34[[#This Row],[Total Revenue]]</f>
        <v>0.13558036455000119</v>
      </c>
      <c r="AA526">
        <v>399599.2</v>
      </c>
    </row>
    <row r="527" spans="1:27" x14ac:dyDescent="0.3">
      <c r="A527" t="s">
        <v>14</v>
      </c>
      <c r="B527" t="s">
        <v>183</v>
      </c>
      <c r="C527" t="s">
        <v>75</v>
      </c>
      <c r="D527" t="s">
        <v>23</v>
      </c>
      <c r="E527" t="s">
        <v>18</v>
      </c>
      <c r="F527" t="s">
        <v>963</v>
      </c>
      <c r="G527" s="2">
        <f t="shared" si="16"/>
        <v>42906</v>
      </c>
      <c r="H527">
        <f>DAY(Europe_Sales_Records34[[#This Row],[Order Date Fixed]])</f>
        <v>20</v>
      </c>
      <c r="I527" t="str">
        <f>TEXT(Europe_Sales_Records34[[#This Row],[Order Date Fixed]],"MMM")</f>
        <v>Jun</v>
      </c>
      <c r="J527">
        <f>YEAR(Europe_Sales_Records34[[#This Row],[Order Date Fixed]])</f>
        <v>2017</v>
      </c>
      <c r="K527" t="str">
        <f>TEXT(Europe_Sales_Records34[[#This Row],[Order Date Fixed]],"MMM-YYYY")</f>
        <v>Jun-2017</v>
      </c>
      <c r="L527">
        <v>900808799</v>
      </c>
      <c r="M527" s="2">
        <f t="shared" si="17"/>
        <v>42914</v>
      </c>
      <c r="N527">
        <f>DAY(Europe_Sales_Records34[[#This Row],[Ship Date Fixed]])</f>
        <v>28</v>
      </c>
      <c r="O527" t="str">
        <f>TEXT(Europe_Sales_Records34[[#This Row],[Ship Date Fixed]],"MMM")</f>
        <v>Jun</v>
      </c>
      <c r="P527">
        <f>YEAR(Europe_Sales_Records34[[#This Row],[Ship Date Fixed]])</f>
        <v>2017</v>
      </c>
      <c r="Q527" t="str">
        <f>TEXT(Europe_Sales_Records34[[#This Row],[Ship Date Fixed]],"MMM-YYYY")</f>
        <v>Jun-2017</v>
      </c>
      <c r="R527" t="s">
        <v>964</v>
      </c>
      <c r="S527" s="3">
        <f>Europe_Sales_Records34[[#This Row],[Ship Date Fixed]]-Europe_Sales_Records34[[#This Row],[Order Date Fixed]]</f>
        <v>8</v>
      </c>
      <c r="T527">
        <v>8196</v>
      </c>
      <c r="U527">
        <v>437.2</v>
      </c>
      <c r="V527">
        <v>263.33</v>
      </c>
      <c r="W527">
        <f>Europe_Sales_Records34[[#This Row],[Total Revenue]]/Europe_Sales_Records34[[#This Row],[Units Sold]]</f>
        <v>437.20000000000005</v>
      </c>
      <c r="X527">
        <v>3583291.2</v>
      </c>
      <c r="Y527">
        <v>2158252.6800000002</v>
      </c>
      <c r="Z527" s="4">
        <f>Europe_Sales_Records34[[#This Row],[Total Profit]]/Europe_Sales_Records34[[#This Row],[Total Revenue]]</f>
        <v>0.39768984446477584</v>
      </c>
      <c r="AA527">
        <v>1425038.52</v>
      </c>
    </row>
    <row r="528" spans="1:27" x14ac:dyDescent="0.3">
      <c r="A528" t="s">
        <v>14</v>
      </c>
      <c r="B528" t="s">
        <v>15</v>
      </c>
      <c r="C528" t="s">
        <v>50</v>
      </c>
      <c r="D528" t="s">
        <v>23</v>
      </c>
      <c r="E528" t="s">
        <v>54</v>
      </c>
      <c r="F528" t="s">
        <v>875</v>
      </c>
      <c r="G528" s="2">
        <f t="shared" si="16"/>
        <v>42026</v>
      </c>
      <c r="H528">
        <f>DAY(Europe_Sales_Records34[[#This Row],[Order Date Fixed]])</f>
        <v>22</v>
      </c>
      <c r="I528" t="str">
        <f>TEXT(Europe_Sales_Records34[[#This Row],[Order Date Fixed]],"MMM")</f>
        <v>Jan</v>
      </c>
      <c r="J528">
        <f>YEAR(Europe_Sales_Records34[[#This Row],[Order Date Fixed]])</f>
        <v>2015</v>
      </c>
      <c r="K528" t="str">
        <f>TEXT(Europe_Sales_Records34[[#This Row],[Order Date Fixed]],"MMM-YYYY")</f>
        <v>Jan-2015</v>
      </c>
      <c r="L528">
        <v>756395232</v>
      </c>
      <c r="M528" s="2">
        <f t="shared" si="17"/>
        <v>42076</v>
      </c>
      <c r="N528">
        <f>DAY(Europe_Sales_Records34[[#This Row],[Ship Date Fixed]])</f>
        <v>13</v>
      </c>
      <c r="O528" t="str">
        <f>TEXT(Europe_Sales_Records34[[#This Row],[Ship Date Fixed]],"MMM")</f>
        <v>Mar</v>
      </c>
      <c r="P528">
        <f>YEAR(Europe_Sales_Records34[[#This Row],[Ship Date Fixed]])</f>
        <v>2015</v>
      </c>
      <c r="Q528" t="str">
        <f>TEXT(Europe_Sales_Records34[[#This Row],[Ship Date Fixed]],"MMM-YYYY")</f>
        <v>Mar-2015</v>
      </c>
      <c r="R528" t="s">
        <v>965</v>
      </c>
      <c r="S528" s="3">
        <f>Europe_Sales_Records34[[#This Row],[Ship Date Fixed]]-Europe_Sales_Records34[[#This Row],[Order Date Fixed]]</f>
        <v>50</v>
      </c>
      <c r="T528">
        <v>3013</v>
      </c>
      <c r="U528">
        <v>421.89</v>
      </c>
      <c r="V528">
        <v>364.69</v>
      </c>
      <c r="W528">
        <f>Europe_Sales_Records34[[#This Row],[Total Revenue]]/Europe_Sales_Records34[[#This Row],[Units Sold]]</f>
        <v>421.89000000000004</v>
      </c>
      <c r="X528">
        <v>1271154.57</v>
      </c>
      <c r="Y528">
        <v>1098810.97</v>
      </c>
      <c r="Z528" s="4">
        <f>Europe_Sales_Records34[[#This Row],[Total Profit]]/Europe_Sales_Records34[[#This Row],[Total Revenue]]</f>
        <v>0.13558036455000119</v>
      </c>
      <c r="AA528">
        <v>172343.6</v>
      </c>
    </row>
    <row r="529" spans="1:27" x14ac:dyDescent="0.3">
      <c r="A529" t="s">
        <v>14</v>
      </c>
      <c r="B529" t="s">
        <v>271</v>
      </c>
      <c r="C529" t="s">
        <v>22</v>
      </c>
      <c r="D529" t="s">
        <v>23</v>
      </c>
      <c r="E529" t="s">
        <v>18</v>
      </c>
      <c r="F529" t="s">
        <v>966</v>
      </c>
      <c r="G529" s="2">
        <f t="shared" si="16"/>
        <v>41184</v>
      </c>
      <c r="H529">
        <f>DAY(Europe_Sales_Records34[[#This Row],[Order Date Fixed]])</f>
        <v>2</v>
      </c>
      <c r="I529" t="str">
        <f>TEXT(Europe_Sales_Records34[[#This Row],[Order Date Fixed]],"MMM")</f>
        <v>Oct</v>
      </c>
      <c r="J529">
        <f>YEAR(Europe_Sales_Records34[[#This Row],[Order Date Fixed]])</f>
        <v>2012</v>
      </c>
      <c r="K529" t="str">
        <f>TEXT(Europe_Sales_Records34[[#This Row],[Order Date Fixed]],"MMM-YYYY")</f>
        <v>Oct-2012</v>
      </c>
      <c r="L529">
        <v>261187350</v>
      </c>
      <c r="M529" s="2">
        <f t="shared" si="17"/>
        <v>41185</v>
      </c>
      <c r="N529">
        <f>DAY(Europe_Sales_Records34[[#This Row],[Ship Date Fixed]])</f>
        <v>3</v>
      </c>
      <c r="O529" t="str">
        <f>TEXT(Europe_Sales_Records34[[#This Row],[Ship Date Fixed]],"MMM")</f>
        <v>Oct</v>
      </c>
      <c r="P529">
        <f>YEAR(Europe_Sales_Records34[[#This Row],[Ship Date Fixed]])</f>
        <v>2012</v>
      </c>
      <c r="Q529" t="str">
        <f>TEXT(Europe_Sales_Records34[[#This Row],[Ship Date Fixed]],"MMM-YYYY")</f>
        <v>Oct-2012</v>
      </c>
      <c r="R529" t="s">
        <v>733</v>
      </c>
      <c r="S529" s="3">
        <f>Europe_Sales_Records34[[#This Row],[Ship Date Fixed]]-Europe_Sales_Records34[[#This Row],[Order Date Fixed]]</f>
        <v>1</v>
      </c>
      <c r="T529">
        <v>9996</v>
      </c>
      <c r="U529">
        <v>109.28</v>
      </c>
      <c r="V529">
        <v>35.840000000000003</v>
      </c>
      <c r="W529">
        <f>Europe_Sales_Records34[[#This Row],[Total Revenue]]/Europe_Sales_Records34[[#This Row],[Units Sold]]</f>
        <v>109.27999999999999</v>
      </c>
      <c r="X529">
        <v>1092362.8799999999</v>
      </c>
      <c r="Y529">
        <v>358256.64000000001</v>
      </c>
      <c r="Z529" s="4">
        <f>Europe_Sales_Records34[[#This Row],[Total Profit]]/Europe_Sales_Records34[[#This Row],[Total Revenue]]</f>
        <v>0.67203513909224022</v>
      </c>
      <c r="AA529">
        <v>734106.24</v>
      </c>
    </row>
    <row r="530" spans="1:27" x14ac:dyDescent="0.3">
      <c r="A530" t="s">
        <v>14</v>
      </c>
      <c r="B530" t="s">
        <v>97</v>
      </c>
      <c r="C530" t="s">
        <v>22</v>
      </c>
      <c r="D530" t="s">
        <v>17</v>
      </c>
      <c r="E530" t="s">
        <v>33</v>
      </c>
      <c r="F530" t="s">
        <v>967</v>
      </c>
      <c r="G530" s="2">
        <f t="shared" si="16"/>
        <v>41775</v>
      </c>
      <c r="H530">
        <f>DAY(Europe_Sales_Records34[[#This Row],[Order Date Fixed]])</f>
        <v>16</v>
      </c>
      <c r="I530" t="str">
        <f>TEXT(Europe_Sales_Records34[[#This Row],[Order Date Fixed]],"MMM")</f>
        <v>May</v>
      </c>
      <c r="J530">
        <f>YEAR(Europe_Sales_Records34[[#This Row],[Order Date Fixed]])</f>
        <v>2014</v>
      </c>
      <c r="K530" t="str">
        <f>TEXT(Europe_Sales_Records34[[#This Row],[Order Date Fixed]],"MMM-YYYY")</f>
        <v>May-2014</v>
      </c>
      <c r="L530">
        <v>188866841</v>
      </c>
      <c r="M530" s="2">
        <f t="shared" si="17"/>
        <v>41779</v>
      </c>
      <c r="N530">
        <f>DAY(Europe_Sales_Records34[[#This Row],[Ship Date Fixed]])</f>
        <v>20</v>
      </c>
      <c r="O530" t="str">
        <f>TEXT(Europe_Sales_Records34[[#This Row],[Ship Date Fixed]],"MMM")</f>
        <v>May</v>
      </c>
      <c r="P530">
        <f>YEAR(Europe_Sales_Records34[[#This Row],[Ship Date Fixed]])</f>
        <v>2014</v>
      </c>
      <c r="Q530" t="str">
        <f>TEXT(Europe_Sales_Records34[[#This Row],[Ship Date Fixed]],"MMM-YYYY")</f>
        <v>May-2014</v>
      </c>
      <c r="R530" t="s">
        <v>199</v>
      </c>
      <c r="S530" s="3">
        <f>Europe_Sales_Records34[[#This Row],[Ship Date Fixed]]-Europe_Sales_Records34[[#This Row],[Order Date Fixed]]</f>
        <v>4</v>
      </c>
      <c r="T530">
        <v>8750</v>
      </c>
      <c r="U530">
        <v>109.28</v>
      </c>
      <c r="V530">
        <v>35.840000000000003</v>
      </c>
      <c r="W530">
        <f>Europe_Sales_Records34[[#This Row],[Total Revenue]]/Europe_Sales_Records34[[#This Row],[Units Sold]]</f>
        <v>109.28</v>
      </c>
      <c r="X530">
        <v>956200</v>
      </c>
      <c r="Y530">
        <v>313600</v>
      </c>
      <c r="Z530" s="4">
        <f>Europe_Sales_Records34[[#This Row],[Total Profit]]/Europe_Sales_Records34[[#This Row],[Total Revenue]]</f>
        <v>0.67203513909224011</v>
      </c>
      <c r="AA530">
        <v>642600</v>
      </c>
    </row>
    <row r="531" spans="1:27" x14ac:dyDescent="0.3">
      <c r="A531" t="s">
        <v>14</v>
      </c>
      <c r="B531" t="s">
        <v>105</v>
      </c>
      <c r="C531" t="s">
        <v>71</v>
      </c>
      <c r="D531" t="s">
        <v>23</v>
      </c>
      <c r="E531" t="s">
        <v>18</v>
      </c>
      <c r="F531" t="s">
        <v>968</v>
      </c>
      <c r="G531" s="2">
        <f t="shared" si="16"/>
        <v>41078</v>
      </c>
      <c r="H531">
        <f>DAY(Europe_Sales_Records34[[#This Row],[Order Date Fixed]])</f>
        <v>18</v>
      </c>
      <c r="I531" t="str">
        <f>TEXT(Europe_Sales_Records34[[#This Row],[Order Date Fixed]],"MMM")</f>
        <v>Jun</v>
      </c>
      <c r="J531">
        <f>YEAR(Europe_Sales_Records34[[#This Row],[Order Date Fixed]])</f>
        <v>2012</v>
      </c>
      <c r="K531" t="str">
        <f>TEXT(Europe_Sales_Records34[[#This Row],[Order Date Fixed]],"MMM-YYYY")</f>
        <v>Jun-2012</v>
      </c>
      <c r="L531">
        <v>709071195</v>
      </c>
      <c r="M531" s="2">
        <f t="shared" si="17"/>
        <v>41123</v>
      </c>
      <c r="N531">
        <f>DAY(Europe_Sales_Records34[[#This Row],[Ship Date Fixed]])</f>
        <v>2</v>
      </c>
      <c r="O531" t="str">
        <f>TEXT(Europe_Sales_Records34[[#This Row],[Ship Date Fixed]],"MMM")</f>
        <v>Aug</v>
      </c>
      <c r="P531">
        <f>YEAR(Europe_Sales_Records34[[#This Row],[Ship Date Fixed]])</f>
        <v>2012</v>
      </c>
      <c r="Q531" t="str">
        <f>TEXT(Europe_Sales_Records34[[#This Row],[Ship Date Fixed]],"MMM-YYYY")</f>
        <v>Aug-2012</v>
      </c>
      <c r="R531" t="s">
        <v>969</v>
      </c>
      <c r="S531" s="3">
        <f>Europe_Sales_Records34[[#This Row],[Ship Date Fixed]]-Europe_Sales_Records34[[#This Row],[Order Date Fixed]]</f>
        <v>45</v>
      </c>
      <c r="T531">
        <v>8778</v>
      </c>
      <c r="U531">
        <v>668.27</v>
      </c>
      <c r="V531">
        <v>502.54</v>
      </c>
      <c r="W531">
        <f>Europe_Sales_Records34[[#This Row],[Total Revenue]]/Europe_Sales_Records34[[#This Row],[Units Sold]]</f>
        <v>668.27</v>
      </c>
      <c r="X531">
        <v>5866074.0599999996</v>
      </c>
      <c r="Y531">
        <v>4411296.12</v>
      </c>
      <c r="Z531" s="4">
        <f>Europe_Sales_Records34[[#This Row],[Total Profit]]/Europe_Sales_Records34[[#This Row],[Total Revenue]]</f>
        <v>0.24799856345489099</v>
      </c>
      <c r="AA531">
        <v>1454777.94</v>
      </c>
    </row>
    <row r="532" spans="1:27" x14ac:dyDescent="0.3">
      <c r="A532" t="s">
        <v>14</v>
      </c>
      <c r="B532" t="s">
        <v>264</v>
      </c>
      <c r="C532" t="s">
        <v>28</v>
      </c>
      <c r="D532" t="s">
        <v>23</v>
      </c>
      <c r="E532" t="s">
        <v>33</v>
      </c>
      <c r="F532" t="s">
        <v>970</v>
      </c>
      <c r="G532" s="2">
        <f t="shared" si="16"/>
        <v>41258</v>
      </c>
      <c r="H532">
        <f>DAY(Europe_Sales_Records34[[#This Row],[Order Date Fixed]])</f>
        <v>15</v>
      </c>
      <c r="I532" t="str">
        <f>TEXT(Europe_Sales_Records34[[#This Row],[Order Date Fixed]],"MMM")</f>
        <v>Dec</v>
      </c>
      <c r="J532">
        <f>YEAR(Europe_Sales_Records34[[#This Row],[Order Date Fixed]])</f>
        <v>2012</v>
      </c>
      <c r="K532" t="str">
        <f>TEXT(Europe_Sales_Records34[[#This Row],[Order Date Fixed]],"MMM-YYYY")</f>
        <v>Dec-2012</v>
      </c>
      <c r="L532">
        <v>674060428</v>
      </c>
      <c r="M532" s="2">
        <f t="shared" si="17"/>
        <v>41260</v>
      </c>
      <c r="N532">
        <f>DAY(Europe_Sales_Records34[[#This Row],[Ship Date Fixed]])</f>
        <v>17</v>
      </c>
      <c r="O532" t="str">
        <f>TEXT(Europe_Sales_Records34[[#This Row],[Ship Date Fixed]],"MMM")</f>
        <v>Dec</v>
      </c>
      <c r="P532">
        <f>YEAR(Europe_Sales_Records34[[#This Row],[Ship Date Fixed]])</f>
        <v>2012</v>
      </c>
      <c r="Q532" t="str">
        <f>TEXT(Europe_Sales_Records34[[#This Row],[Ship Date Fixed]],"MMM-YYYY")</f>
        <v>Dec-2012</v>
      </c>
      <c r="R532" t="s">
        <v>847</v>
      </c>
      <c r="S532" s="3">
        <f>Europe_Sales_Records34[[#This Row],[Ship Date Fixed]]-Europe_Sales_Records34[[#This Row],[Order Date Fixed]]</f>
        <v>2</v>
      </c>
      <c r="T532">
        <v>8315</v>
      </c>
      <c r="U532">
        <v>205.7</v>
      </c>
      <c r="V532">
        <v>117.11</v>
      </c>
      <c r="W532">
        <f>Europe_Sales_Records34[[#This Row],[Total Revenue]]/Europe_Sales_Records34[[#This Row],[Units Sold]]</f>
        <v>205.7</v>
      </c>
      <c r="X532">
        <v>1710395.5</v>
      </c>
      <c r="Y532">
        <v>973769.65</v>
      </c>
      <c r="Z532" s="4">
        <f>Europe_Sales_Records34[[#This Row],[Total Profit]]/Europe_Sales_Records34[[#This Row],[Total Revenue]]</f>
        <v>0.43067574137092851</v>
      </c>
      <c r="AA532">
        <v>736625.85</v>
      </c>
    </row>
    <row r="533" spans="1:27" x14ac:dyDescent="0.3">
      <c r="A533" t="s">
        <v>14</v>
      </c>
      <c r="B533" t="s">
        <v>61</v>
      </c>
      <c r="C533" t="s">
        <v>75</v>
      </c>
      <c r="D533" t="s">
        <v>17</v>
      </c>
      <c r="E533" t="s">
        <v>18</v>
      </c>
      <c r="F533" t="s">
        <v>971</v>
      </c>
      <c r="G533" s="2">
        <f t="shared" si="16"/>
        <v>42670</v>
      </c>
      <c r="H533">
        <f>DAY(Europe_Sales_Records34[[#This Row],[Order Date Fixed]])</f>
        <v>27</v>
      </c>
      <c r="I533" t="str">
        <f>TEXT(Europe_Sales_Records34[[#This Row],[Order Date Fixed]],"MMM")</f>
        <v>Oct</v>
      </c>
      <c r="J533">
        <f>YEAR(Europe_Sales_Records34[[#This Row],[Order Date Fixed]])</f>
        <v>2016</v>
      </c>
      <c r="K533" t="str">
        <f>TEXT(Europe_Sales_Records34[[#This Row],[Order Date Fixed]],"MMM-YYYY")</f>
        <v>Oct-2016</v>
      </c>
      <c r="L533">
        <v>284595954</v>
      </c>
      <c r="M533" s="2">
        <f t="shared" si="17"/>
        <v>42672</v>
      </c>
      <c r="N533">
        <f>DAY(Europe_Sales_Records34[[#This Row],[Ship Date Fixed]])</f>
        <v>29</v>
      </c>
      <c r="O533" t="str">
        <f>TEXT(Europe_Sales_Records34[[#This Row],[Ship Date Fixed]],"MMM")</f>
        <v>Oct</v>
      </c>
      <c r="P533">
        <f>YEAR(Europe_Sales_Records34[[#This Row],[Ship Date Fixed]])</f>
        <v>2016</v>
      </c>
      <c r="Q533" t="str">
        <f>TEXT(Europe_Sales_Records34[[#This Row],[Ship Date Fixed]],"MMM-YYYY")</f>
        <v>Oct-2016</v>
      </c>
      <c r="R533" t="s">
        <v>540</v>
      </c>
      <c r="S533" s="3">
        <f>Europe_Sales_Records34[[#This Row],[Ship Date Fixed]]-Europe_Sales_Records34[[#This Row],[Order Date Fixed]]</f>
        <v>2</v>
      </c>
      <c r="T533">
        <v>7122</v>
      </c>
      <c r="U533">
        <v>437.2</v>
      </c>
      <c r="V533">
        <v>263.33</v>
      </c>
      <c r="W533">
        <f>Europe_Sales_Records34[[#This Row],[Total Revenue]]/Europe_Sales_Records34[[#This Row],[Units Sold]]</f>
        <v>437.2</v>
      </c>
      <c r="X533">
        <v>3113738.4</v>
      </c>
      <c r="Y533">
        <v>1875436.26</v>
      </c>
      <c r="Z533" s="4">
        <f>Europe_Sales_Records34[[#This Row],[Total Profit]]/Europe_Sales_Records34[[#This Row],[Total Revenue]]</f>
        <v>0.39768984446477584</v>
      </c>
      <c r="AA533">
        <v>1238302.1399999999</v>
      </c>
    </row>
    <row r="534" spans="1:27" x14ac:dyDescent="0.3">
      <c r="A534" t="s">
        <v>14</v>
      </c>
      <c r="B534" t="s">
        <v>223</v>
      </c>
      <c r="C534" t="s">
        <v>64</v>
      </c>
      <c r="D534" t="s">
        <v>17</v>
      </c>
      <c r="E534" t="s">
        <v>18</v>
      </c>
      <c r="F534" t="s">
        <v>972</v>
      </c>
      <c r="G534" s="2">
        <f t="shared" si="16"/>
        <v>42496</v>
      </c>
      <c r="H534">
        <f>DAY(Europe_Sales_Records34[[#This Row],[Order Date Fixed]])</f>
        <v>6</v>
      </c>
      <c r="I534" t="str">
        <f>TEXT(Europe_Sales_Records34[[#This Row],[Order Date Fixed]],"MMM")</f>
        <v>May</v>
      </c>
      <c r="J534">
        <f>YEAR(Europe_Sales_Records34[[#This Row],[Order Date Fixed]])</f>
        <v>2016</v>
      </c>
      <c r="K534" t="str">
        <f>TEXT(Europe_Sales_Records34[[#This Row],[Order Date Fixed]],"MMM-YYYY")</f>
        <v>May-2016</v>
      </c>
      <c r="L534">
        <v>580314862</v>
      </c>
      <c r="M534" s="2">
        <f t="shared" si="17"/>
        <v>42502</v>
      </c>
      <c r="N534">
        <f>DAY(Europe_Sales_Records34[[#This Row],[Ship Date Fixed]])</f>
        <v>12</v>
      </c>
      <c r="O534" t="str">
        <f>TEXT(Europe_Sales_Records34[[#This Row],[Ship Date Fixed]],"MMM")</f>
        <v>May</v>
      </c>
      <c r="P534">
        <f>YEAR(Europe_Sales_Records34[[#This Row],[Ship Date Fixed]])</f>
        <v>2016</v>
      </c>
      <c r="Q534" t="str">
        <f>TEXT(Europe_Sales_Records34[[#This Row],[Ship Date Fixed]],"MMM-YYYY")</f>
        <v>May-2016</v>
      </c>
      <c r="R534" t="s">
        <v>973</v>
      </c>
      <c r="S534" s="3">
        <f>Europe_Sales_Records34[[#This Row],[Ship Date Fixed]]-Europe_Sales_Records34[[#This Row],[Order Date Fixed]]</f>
        <v>6</v>
      </c>
      <c r="T534">
        <v>6918</v>
      </c>
      <c r="U534">
        <v>255.28</v>
      </c>
      <c r="V534">
        <v>159.41999999999999</v>
      </c>
      <c r="W534">
        <f>Europe_Sales_Records34[[#This Row],[Total Revenue]]/Europe_Sales_Records34[[#This Row],[Units Sold]]</f>
        <v>255.28</v>
      </c>
      <c r="X534">
        <v>1766027.04</v>
      </c>
      <c r="Y534">
        <v>1102867.56</v>
      </c>
      <c r="Z534" s="4">
        <f>Europe_Sales_Records34[[#This Row],[Total Profit]]/Europe_Sales_Records34[[#This Row],[Total Revenue]]</f>
        <v>0.37550924475086178</v>
      </c>
      <c r="AA534">
        <v>663159.48</v>
      </c>
    </row>
    <row r="535" spans="1:27" x14ac:dyDescent="0.3">
      <c r="A535" t="s">
        <v>14</v>
      </c>
      <c r="B535" t="s">
        <v>45</v>
      </c>
      <c r="C535" t="s">
        <v>58</v>
      </c>
      <c r="D535" t="s">
        <v>23</v>
      </c>
      <c r="E535" t="s">
        <v>33</v>
      </c>
      <c r="F535" t="s">
        <v>974</v>
      </c>
      <c r="G535" s="2">
        <f t="shared" si="16"/>
        <v>41326</v>
      </c>
      <c r="H535">
        <f>DAY(Europe_Sales_Records34[[#This Row],[Order Date Fixed]])</f>
        <v>21</v>
      </c>
      <c r="I535" t="str">
        <f>TEXT(Europe_Sales_Records34[[#This Row],[Order Date Fixed]],"MMM")</f>
        <v>Feb</v>
      </c>
      <c r="J535">
        <f>YEAR(Europe_Sales_Records34[[#This Row],[Order Date Fixed]])</f>
        <v>2013</v>
      </c>
      <c r="K535" t="str">
        <f>TEXT(Europe_Sales_Records34[[#This Row],[Order Date Fixed]],"MMM-YYYY")</f>
        <v>Feb-2013</v>
      </c>
      <c r="L535">
        <v>437604176</v>
      </c>
      <c r="M535" s="2">
        <f t="shared" si="17"/>
        <v>41371</v>
      </c>
      <c r="N535">
        <f>DAY(Europe_Sales_Records34[[#This Row],[Ship Date Fixed]])</f>
        <v>7</v>
      </c>
      <c r="O535" t="str">
        <f>TEXT(Europe_Sales_Records34[[#This Row],[Ship Date Fixed]],"MMM")</f>
        <v>Apr</v>
      </c>
      <c r="P535">
        <f>YEAR(Europe_Sales_Records34[[#This Row],[Ship Date Fixed]])</f>
        <v>2013</v>
      </c>
      <c r="Q535" t="str">
        <f>TEXT(Europe_Sales_Records34[[#This Row],[Ship Date Fixed]],"MMM-YYYY")</f>
        <v>Apr-2013</v>
      </c>
      <c r="R535" t="s">
        <v>975</v>
      </c>
      <c r="S535" s="3">
        <f>Europe_Sales_Records34[[#This Row],[Ship Date Fixed]]-Europe_Sales_Records34[[#This Row],[Order Date Fixed]]</f>
        <v>45</v>
      </c>
      <c r="T535">
        <v>5655</v>
      </c>
      <c r="U535">
        <v>152.58000000000001</v>
      </c>
      <c r="V535">
        <v>97.44</v>
      </c>
      <c r="W535">
        <f>Europe_Sales_Records34[[#This Row],[Total Revenue]]/Europe_Sales_Records34[[#This Row],[Units Sold]]</f>
        <v>152.58000000000001</v>
      </c>
      <c r="X535">
        <v>862839.9</v>
      </c>
      <c r="Y535">
        <v>551023.19999999995</v>
      </c>
      <c r="Z535" s="4">
        <f>Europe_Sales_Records34[[#This Row],[Total Profit]]/Europe_Sales_Records34[[#This Row],[Total Revenue]]</f>
        <v>0.36138419189933152</v>
      </c>
      <c r="AA535">
        <v>311816.7</v>
      </c>
    </row>
    <row r="536" spans="1:27" x14ac:dyDescent="0.3">
      <c r="A536" t="s">
        <v>14</v>
      </c>
      <c r="B536" t="s">
        <v>185</v>
      </c>
      <c r="C536" t="s">
        <v>16</v>
      </c>
      <c r="D536" t="s">
        <v>17</v>
      </c>
      <c r="E536" t="s">
        <v>54</v>
      </c>
      <c r="F536" t="s">
        <v>976</v>
      </c>
      <c r="G536" s="2">
        <f t="shared" si="16"/>
        <v>41978</v>
      </c>
      <c r="H536">
        <f>DAY(Europe_Sales_Records34[[#This Row],[Order Date Fixed]])</f>
        <v>5</v>
      </c>
      <c r="I536" t="str">
        <f>TEXT(Europe_Sales_Records34[[#This Row],[Order Date Fixed]],"MMM")</f>
        <v>Dec</v>
      </c>
      <c r="J536">
        <f>YEAR(Europe_Sales_Records34[[#This Row],[Order Date Fixed]])</f>
        <v>2014</v>
      </c>
      <c r="K536" t="str">
        <f>TEXT(Europe_Sales_Records34[[#This Row],[Order Date Fixed]],"MMM-YYYY")</f>
        <v>Dec-2014</v>
      </c>
      <c r="L536">
        <v>994978797</v>
      </c>
      <c r="M536" s="2">
        <f t="shared" si="17"/>
        <v>42006</v>
      </c>
      <c r="N536">
        <f>DAY(Europe_Sales_Records34[[#This Row],[Ship Date Fixed]])</f>
        <v>2</v>
      </c>
      <c r="O536" t="str">
        <f>TEXT(Europe_Sales_Records34[[#This Row],[Ship Date Fixed]],"MMM")</f>
        <v>Jan</v>
      </c>
      <c r="P536">
        <f>YEAR(Europe_Sales_Records34[[#This Row],[Ship Date Fixed]])</f>
        <v>2015</v>
      </c>
      <c r="Q536" t="str">
        <f>TEXT(Europe_Sales_Records34[[#This Row],[Ship Date Fixed]],"MMM-YYYY")</f>
        <v>Jan-2015</v>
      </c>
      <c r="R536" t="s">
        <v>351</v>
      </c>
      <c r="S536" s="3">
        <f>Europe_Sales_Records34[[#This Row],[Ship Date Fixed]]-Europe_Sales_Records34[[#This Row],[Order Date Fixed]]</f>
        <v>28</v>
      </c>
      <c r="T536">
        <v>5192</v>
      </c>
      <c r="U536">
        <v>47.45</v>
      </c>
      <c r="V536">
        <v>31.79</v>
      </c>
      <c r="W536">
        <f>Europe_Sales_Records34[[#This Row],[Total Revenue]]/Europe_Sales_Records34[[#This Row],[Units Sold]]</f>
        <v>47.449999999999996</v>
      </c>
      <c r="X536">
        <v>246360.4</v>
      </c>
      <c r="Y536">
        <v>165053.68</v>
      </c>
      <c r="Z536" s="4">
        <f>Europe_Sales_Records34[[#This Row],[Total Profit]]/Europe_Sales_Records34[[#This Row],[Total Revenue]]</f>
        <v>0.33003161222339306</v>
      </c>
      <c r="AA536">
        <v>81306.720000000001</v>
      </c>
    </row>
    <row r="537" spans="1:27" x14ac:dyDescent="0.3">
      <c r="A537" t="s">
        <v>14</v>
      </c>
      <c r="B537" t="s">
        <v>183</v>
      </c>
      <c r="C537" t="s">
        <v>16</v>
      </c>
      <c r="D537" t="s">
        <v>17</v>
      </c>
      <c r="E537" t="s">
        <v>54</v>
      </c>
      <c r="F537" t="s">
        <v>977</v>
      </c>
      <c r="G537" s="2">
        <f t="shared" si="16"/>
        <v>42855</v>
      </c>
      <c r="H537">
        <f>DAY(Europe_Sales_Records34[[#This Row],[Order Date Fixed]])</f>
        <v>30</v>
      </c>
      <c r="I537" t="str">
        <f>TEXT(Europe_Sales_Records34[[#This Row],[Order Date Fixed]],"MMM")</f>
        <v>Apr</v>
      </c>
      <c r="J537">
        <f>YEAR(Europe_Sales_Records34[[#This Row],[Order Date Fixed]])</f>
        <v>2017</v>
      </c>
      <c r="K537" t="str">
        <f>TEXT(Europe_Sales_Records34[[#This Row],[Order Date Fixed]],"MMM-YYYY")</f>
        <v>Apr-2017</v>
      </c>
      <c r="L537">
        <v>317006051</v>
      </c>
      <c r="M537" s="2">
        <f t="shared" si="17"/>
        <v>42891</v>
      </c>
      <c r="N537">
        <f>DAY(Europe_Sales_Records34[[#This Row],[Ship Date Fixed]])</f>
        <v>5</v>
      </c>
      <c r="O537" t="str">
        <f>TEXT(Europe_Sales_Records34[[#This Row],[Ship Date Fixed]],"MMM")</f>
        <v>Jun</v>
      </c>
      <c r="P537">
        <f>YEAR(Europe_Sales_Records34[[#This Row],[Ship Date Fixed]])</f>
        <v>2017</v>
      </c>
      <c r="Q537" t="str">
        <f>TEXT(Europe_Sales_Records34[[#This Row],[Ship Date Fixed]],"MMM-YYYY")</f>
        <v>Jun-2017</v>
      </c>
      <c r="R537" t="s">
        <v>978</v>
      </c>
      <c r="S537" s="3">
        <f>Europe_Sales_Records34[[#This Row],[Ship Date Fixed]]-Europe_Sales_Records34[[#This Row],[Order Date Fixed]]</f>
        <v>36</v>
      </c>
      <c r="T537">
        <v>7990</v>
      </c>
      <c r="U537">
        <v>47.45</v>
      </c>
      <c r="V537">
        <v>31.79</v>
      </c>
      <c r="W537">
        <f>Europe_Sales_Records34[[#This Row],[Total Revenue]]/Europe_Sales_Records34[[#This Row],[Units Sold]]</f>
        <v>47.45</v>
      </c>
      <c r="X537">
        <v>379125.5</v>
      </c>
      <c r="Y537">
        <v>254002.1</v>
      </c>
      <c r="Z537" s="4">
        <f>Europe_Sales_Records34[[#This Row],[Total Profit]]/Europe_Sales_Records34[[#This Row],[Total Revenue]]</f>
        <v>0.33003161222339306</v>
      </c>
      <c r="AA537">
        <v>125123.4</v>
      </c>
    </row>
    <row r="538" spans="1:27" x14ac:dyDescent="0.3">
      <c r="A538" t="s">
        <v>14</v>
      </c>
      <c r="B538" t="s">
        <v>40</v>
      </c>
      <c r="C538" t="s">
        <v>102</v>
      </c>
      <c r="D538" t="s">
        <v>23</v>
      </c>
      <c r="E538" t="s">
        <v>54</v>
      </c>
      <c r="F538" t="s">
        <v>979</v>
      </c>
      <c r="G538" s="2">
        <f t="shared" si="16"/>
        <v>41018</v>
      </c>
      <c r="H538">
        <f>DAY(Europe_Sales_Records34[[#This Row],[Order Date Fixed]])</f>
        <v>19</v>
      </c>
      <c r="I538" t="str">
        <f>TEXT(Europe_Sales_Records34[[#This Row],[Order Date Fixed]],"MMM")</f>
        <v>Apr</v>
      </c>
      <c r="J538">
        <f>YEAR(Europe_Sales_Records34[[#This Row],[Order Date Fixed]])</f>
        <v>2012</v>
      </c>
      <c r="K538" t="str">
        <f>TEXT(Europe_Sales_Records34[[#This Row],[Order Date Fixed]],"MMM-YYYY")</f>
        <v>Apr-2012</v>
      </c>
      <c r="L538">
        <v>933642041</v>
      </c>
      <c r="M538" s="2">
        <f t="shared" si="17"/>
        <v>41048</v>
      </c>
      <c r="N538">
        <f>DAY(Europe_Sales_Records34[[#This Row],[Ship Date Fixed]])</f>
        <v>19</v>
      </c>
      <c r="O538" t="str">
        <f>TEXT(Europe_Sales_Records34[[#This Row],[Ship Date Fixed]],"MMM")</f>
        <v>May</v>
      </c>
      <c r="P538">
        <f>YEAR(Europe_Sales_Records34[[#This Row],[Ship Date Fixed]])</f>
        <v>2012</v>
      </c>
      <c r="Q538" t="str">
        <f>TEXT(Europe_Sales_Records34[[#This Row],[Ship Date Fixed]],"MMM-YYYY")</f>
        <v>May-2012</v>
      </c>
      <c r="R538" t="s">
        <v>385</v>
      </c>
      <c r="S538" s="3">
        <f>Europe_Sales_Records34[[#This Row],[Ship Date Fixed]]-Europe_Sales_Records34[[#This Row],[Order Date Fixed]]</f>
        <v>30</v>
      </c>
      <c r="T538">
        <v>4282</v>
      </c>
      <c r="U538">
        <v>81.73</v>
      </c>
      <c r="V538">
        <v>56.67</v>
      </c>
      <c r="W538">
        <f>Europe_Sales_Records34[[#This Row],[Total Revenue]]/Europe_Sales_Records34[[#This Row],[Units Sold]]</f>
        <v>81.72999999999999</v>
      </c>
      <c r="X538">
        <v>349967.86</v>
      </c>
      <c r="Y538">
        <v>242660.94</v>
      </c>
      <c r="Z538" s="4">
        <f>Europe_Sales_Records34[[#This Row],[Total Profit]]/Europe_Sales_Records34[[#This Row],[Total Revenue]]</f>
        <v>0.30661935641747218</v>
      </c>
      <c r="AA538">
        <v>107306.92</v>
      </c>
    </row>
    <row r="539" spans="1:27" x14ac:dyDescent="0.3">
      <c r="A539" t="s">
        <v>14</v>
      </c>
      <c r="B539" t="s">
        <v>185</v>
      </c>
      <c r="C539" t="s">
        <v>32</v>
      </c>
      <c r="D539" t="s">
        <v>17</v>
      </c>
      <c r="E539" t="s">
        <v>24</v>
      </c>
      <c r="F539" t="s">
        <v>980</v>
      </c>
      <c r="G539" s="2">
        <f t="shared" si="16"/>
        <v>42530</v>
      </c>
      <c r="H539">
        <f>DAY(Europe_Sales_Records34[[#This Row],[Order Date Fixed]])</f>
        <v>9</v>
      </c>
      <c r="I539" t="str">
        <f>TEXT(Europe_Sales_Records34[[#This Row],[Order Date Fixed]],"MMM")</f>
        <v>Jun</v>
      </c>
      <c r="J539">
        <f>YEAR(Europe_Sales_Records34[[#This Row],[Order Date Fixed]])</f>
        <v>2016</v>
      </c>
      <c r="K539" t="str">
        <f>TEXT(Europe_Sales_Records34[[#This Row],[Order Date Fixed]],"MMM-YYYY")</f>
        <v>Jun-2016</v>
      </c>
      <c r="L539">
        <v>764592492</v>
      </c>
      <c r="M539" s="2">
        <f t="shared" si="17"/>
        <v>42570</v>
      </c>
      <c r="N539">
        <f>DAY(Europe_Sales_Records34[[#This Row],[Ship Date Fixed]])</f>
        <v>19</v>
      </c>
      <c r="O539" t="str">
        <f>TEXT(Europe_Sales_Records34[[#This Row],[Ship Date Fixed]],"MMM")</f>
        <v>Jul</v>
      </c>
      <c r="P539">
        <f>YEAR(Europe_Sales_Records34[[#This Row],[Ship Date Fixed]])</f>
        <v>2016</v>
      </c>
      <c r="Q539" t="str">
        <f>TEXT(Europe_Sales_Records34[[#This Row],[Ship Date Fixed]],"MMM-YYYY")</f>
        <v>Jul-2016</v>
      </c>
      <c r="R539" t="s">
        <v>981</v>
      </c>
      <c r="S539" s="3">
        <f>Europe_Sales_Records34[[#This Row],[Ship Date Fixed]]-Europe_Sales_Records34[[#This Row],[Order Date Fixed]]</f>
        <v>40</v>
      </c>
      <c r="T539">
        <v>8764</v>
      </c>
      <c r="U539">
        <v>651.21</v>
      </c>
      <c r="V539">
        <v>524.96</v>
      </c>
      <c r="W539">
        <f>Europe_Sales_Records34[[#This Row],[Total Revenue]]/Europe_Sales_Records34[[#This Row],[Units Sold]]</f>
        <v>651.21</v>
      </c>
      <c r="X539">
        <v>5707204.4400000004</v>
      </c>
      <c r="Y539">
        <v>4600749.4400000004</v>
      </c>
      <c r="Z539" s="4">
        <f>Europe_Sales_Records34[[#This Row],[Total Profit]]/Europe_Sales_Records34[[#This Row],[Total Revenue]]</f>
        <v>0.19386987300563566</v>
      </c>
      <c r="AA539">
        <v>1106455</v>
      </c>
    </row>
    <row r="540" spans="1:27" x14ac:dyDescent="0.3">
      <c r="A540" t="s">
        <v>14</v>
      </c>
      <c r="B540" t="s">
        <v>135</v>
      </c>
      <c r="C540" t="s">
        <v>22</v>
      </c>
      <c r="D540" t="s">
        <v>17</v>
      </c>
      <c r="E540" t="s">
        <v>18</v>
      </c>
      <c r="F540" t="s">
        <v>982</v>
      </c>
      <c r="G540" s="2">
        <f t="shared" si="16"/>
        <v>41450</v>
      </c>
      <c r="H540">
        <f>DAY(Europe_Sales_Records34[[#This Row],[Order Date Fixed]])</f>
        <v>25</v>
      </c>
      <c r="I540" t="str">
        <f>TEXT(Europe_Sales_Records34[[#This Row],[Order Date Fixed]],"MMM")</f>
        <v>Jun</v>
      </c>
      <c r="J540">
        <f>YEAR(Europe_Sales_Records34[[#This Row],[Order Date Fixed]])</f>
        <v>2013</v>
      </c>
      <c r="K540" t="str">
        <f>TEXT(Europe_Sales_Records34[[#This Row],[Order Date Fixed]],"MMM-YYYY")</f>
        <v>Jun-2013</v>
      </c>
      <c r="L540">
        <v>931559789</v>
      </c>
      <c r="M540" s="2">
        <f t="shared" si="17"/>
        <v>41460</v>
      </c>
      <c r="N540">
        <f>DAY(Europe_Sales_Records34[[#This Row],[Ship Date Fixed]])</f>
        <v>5</v>
      </c>
      <c r="O540" t="str">
        <f>TEXT(Europe_Sales_Records34[[#This Row],[Ship Date Fixed]],"MMM")</f>
        <v>Jul</v>
      </c>
      <c r="P540">
        <f>YEAR(Europe_Sales_Records34[[#This Row],[Ship Date Fixed]])</f>
        <v>2013</v>
      </c>
      <c r="Q540" t="str">
        <f>TEXT(Europe_Sales_Records34[[#This Row],[Ship Date Fixed]],"MMM-YYYY")</f>
        <v>Jul-2013</v>
      </c>
      <c r="R540" t="s">
        <v>983</v>
      </c>
      <c r="S540" s="3">
        <f>Europe_Sales_Records34[[#This Row],[Ship Date Fixed]]-Europe_Sales_Records34[[#This Row],[Order Date Fixed]]</f>
        <v>10</v>
      </c>
      <c r="T540">
        <v>8098</v>
      </c>
      <c r="U540">
        <v>109.28</v>
      </c>
      <c r="V540">
        <v>35.840000000000003</v>
      </c>
      <c r="W540">
        <f>Europe_Sales_Records34[[#This Row],[Total Revenue]]/Europe_Sales_Records34[[#This Row],[Units Sold]]</f>
        <v>109.27999999999999</v>
      </c>
      <c r="X540">
        <v>884949.44</v>
      </c>
      <c r="Y540">
        <v>290232.32000000001</v>
      </c>
      <c r="Z540" s="4">
        <f>Europe_Sales_Records34[[#This Row],[Total Profit]]/Europe_Sales_Records34[[#This Row],[Total Revenue]]</f>
        <v>0.67203513909224011</v>
      </c>
      <c r="AA540">
        <v>594717.12</v>
      </c>
    </row>
    <row r="541" spans="1:27" x14ac:dyDescent="0.3">
      <c r="A541" t="s">
        <v>14</v>
      </c>
      <c r="B541" t="s">
        <v>196</v>
      </c>
      <c r="C541" t="s">
        <v>16</v>
      </c>
      <c r="D541" t="s">
        <v>17</v>
      </c>
      <c r="E541" t="s">
        <v>33</v>
      </c>
      <c r="F541" t="s">
        <v>984</v>
      </c>
      <c r="G541" s="2">
        <f t="shared" si="16"/>
        <v>42334</v>
      </c>
      <c r="H541">
        <f>DAY(Europe_Sales_Records34[[#This Row],[Order Date Fixed]])</f>
        <v>26</v>
      </c>
      <c r="I541" t="str">
        <f>TEXT(Europe_Sales_Records34[[#This Row],[Order Date Fixed]],"MMM")</f>
        <v>Nov</v>
      </c>
      <c r="J541">
        <f>YEAR(Europe_Sales_Records34[[#This Row],[Order Date Fixed]])</f>
        <v>2015</v>
      </c>
      <c r="K541" t="str">
        <f>TEXT(Europe_Sales_Records34[[#This Row],[Order Date Fixed]],"MMM-YYYY")</f>
        <v>Nov-2015</v>
      </c>
      <c r="L541">
        <v>682314765</v>
      </c>
      <c r="M541" s="2">
        <f t="shared" si="17"/>
        <v>42358</v>
      </c>
      <c r="N541">
        <f>DAY(Europe_Sales_Records34[[#This Row],[Ship Date Fixed]])</f>
        <v>20</v>
      </c>
      <c r="O541" t="str">
        <f>TEXT(Europe_Sales_Records34[[#This Row],[Ship Date Fixed]],"MMM")</f>
        <v>Dec</v>
      </c>
      <c r="P541">
        <f>YEAR(Europe_Sales_Records34[[#This Row],[Ship Date Fixed]])</f>
        <v>2015</v>
      </c>
      <c r="Q541" t="str">
        <f>TEXT(Europe_Sales_Records34[[#This Row],[Ship Date Fixed]],"MMM-YYYY")</f>
        <v>Dec-2015</v>
      </c>
      <c r="R541" t="s">
        <v>985</v>
      </c>
      <c r="S541" s="3">
        <f>Europe_Sales_Records34[[#This Row],[Ship Date Fixed]]-Europe_Sales_Records34[[#This Row],[Order Date Fixed]]</f>
        <v>24</v>
      </c>
      <c r="T541">
        <v>956</v>
      </c>
      <c r="U541">
        <v>47.45</v>
      </c>
      <c r="V541">
        <v>31.79</v>
      </c>
      <c r="W541">
        <f>Europe_Sales_Records34[[#This Row],[Total Revenue]]/Europe_Sales_Records34[[#This Row],[Units Sold]]</f>
        <v>47.449999999999996</v>
      </c>
      <c r="X541">
        <v>45362.2</v>
      </c>
      <c r="Y541">
        <v>30391.24</v>
      </c>
      <c r="Z541" s="4">
        <f>Europe_Sales_Records34[[#This Row],[Total Profit]]/Europe_Sales_Records34[[#This Row],[Total Revenue]]</f>
        <v>0.33003161222339306</v>
      </c>
      <c r="AA541">
        <v>14970.96</v>
      </c>
    </row>
    <row r="542" spans="1:27" x14ac:dyDescent="0.3">
      <c r="A542" t="s">
        <v>14</v>
      </c>
      <c r="B542" t="s">
        <v>166</v>
      </c>
      <c r="C542" t="s">
        <v>58</v>
      </c>
      <c r="D542" t="s">
        <v>23</v>
      </c>
      <c r="E542" t="s">
        <v>18</v>
      </c>
      <c r="F542" t="s">
        <v>986</v>
      </c>
      <c r="G542" s="2">
        <f t="shared" si="16"/>
        <v>42685</v>
      </c>
      <c r="H542">
        <f>DAY(Europe_Sales_Records34[[#This Row],[Order Date Fixed]])</f>
        <v>11</v>
      </c>
      <c r="I542" t="str">
        <f>TEXT(Europe_Sales_Records34[[#This Row],[Order Date Fixed]],"MMM")</f>
        <v>Nov</v>
      </c>
      <c r="J542">
        <f>YEAR(Europe_Sales_Records34[[#This Row],[Order Date Fixed]])</f>
        <v>2016</v>
      </c>
      <c r="K542" t="str">
        <f>TEXT(Europe_Sales_Records34[[#This Row],[Order Date Fixed]],"MMM-YYYY")</f>
        <v>Nov-2016</v>
      </c>
      <c r="L542">
        <v>485165965</v>
      </c>
      <c r="M542" s="2">
        <f t="shared" si="17"/>
        <v>42718</v>
      </c>
      <c r="N542">
        <f>DAY(Europe_Sales_Records34[[#This Row],[Ship Date Fixed]])</f>
        <v>14</v>
      </c>
      <c r="O542" t="str">
        <f>TEXT(Europe_Sales_Records34[[#This Row],[Ship Date Fixed]],"MMM")</f>
        <v>Dec</v>
      </c>
      <c r="P542">
        <f>YEAR(Europe_Sales_Records34[[#This Row],[Ship Date Fixed]])</f>
        <v>2016</v>
      </c>
      <c r="Q542" t="str">
        <f>TEXT(Europe_Sales_Records34[[#This Row],[Ship Date Fixed]],"MMM-YYYY")</f>
        <v>Dec-2016</v>
      </c>
      <c r="R542" t="s">
        <v>784</v>
      </c>
      <c r="S542" s="3">
        <f>Europe_Sales_Records34[[#This Row],[Ship Date Fixed]]-Europe_Sales_Records34[[#This Row],[Order Date Fixed]]</f>
        <v>33</v>
      </c>
      <c r="T542">
        <v>245</v>
      </c>
      <c r="U542">
        <v>152.58000000000001</v>
      </c>
      <c r="V542">
        <v>97.44</v>
      </c>
      <c r="W542">
        <f>Europe_Sales_Records34[[#This Row],[Total Revenue]]/Europe_Sales_Records34[[#This Row],[Units Sold]]</f>
        <v>152.57999999999998</v>
      </c>
      <c r="X542">
        <v>37382.1</v>
      </c>
      <c r="Y542">
        <v>23872.799999999999</v>
      </c>
      <c r="Z542" s="4">
        <f>Europe_Sales_Records34[[#This Row],[Total Profit]]/Europe_Sales_Records34[[#This Row],[Total Revenue]]</f>
        <v>0.36138419189933152</v>
      </c>
      <c r="AA542">
        <v>13509.3</v>
      </c>
    </row>
    <row r="543" spans="1:27" x14ac:dyDescent="0.3">
      <c r="A543" t="s">
        <v>14</v>
      </c>
      <c r="B543" t="s">
        <v>67</v>
      </c>
      <c r="C543" t="s">
        <v>16</v>
      </c>
      <c r="D543" t="s">
        <v>23</v>
      </c>
      <c r="E543" t="s">
        <v>18</v>
      </c>
      <c r="F543" t="s">
        <v>987</v>
      </c>
      <c r="G543" s="2">
        <f t="shared" si="16"/>
        <v>40241</v>
      </c>
      <c r="H543">
        <f>DAY(Europe_Sales_Records34[[#This Row],[Order Date Fixed]])</f>
        <v>4</v>
      </c>
      <c r="I543" t="str">
        <f>TEXT(Europe_Sales_Records34[[#This Row],[Order Date Fixed]],"MMM")</f>
        <v>Mar</v>
      </c>
      <c r="J543">
        <f>YEAR(Europe_Sales_Records34[[#This Row],[Order Date Fixed]])</f>
        <v>2010</v>
      </c>
      <c r="K543" t="str">
        <f>TEXT(Europe_Sales_Records34[[#This Row],[Order Date Fixed]],"MMM-YYYY")</f>
        <v>Mar-2010</v>
      </c>
      <c r="L543">
        <v>601422345</v>
      </c>
      <c r="M543" s="2">
        <f t="shared" si="17"/>
        <v>40257</v>
      </c>
      <c r="N543">
        <f>DAY(Europe_Sales_Records34[[#This Row],[Ship Date Fixed]])</f>
        <v>20</v>
      </c>
      <c r="O543" t="str">
        <f>TEXT(Europe_Sales_Records34[[#This Row],[Ship Date Fixed]],"MMM")</f>
        <v>Mar</v>
      </c>
      <c r="P543">
        <f>YEAR(Europe_Sales_Records34[[#This Row],[Ship Date Fixed]])</f>
        <v>2010</v>
      </c>
      <c r="Q543" t="str">
        <f>TEXT(Europe_Sales_Records34[[#This Row],[Ship Date Fixed]],"MMM-YYYY")</f>
        <v>Mar-2010</v>
      </c>
      <c r="R543" t="s">
        <v>188</v>
      </c>
      <c r="S543" s="3">
        <f>Europe_Sales_Records34[[#This Row],[Ship Date Fixed]]-Europe_Sales_Records34[[#This Row],[Order Date Fixed]]</f>
        <v>16</v>
      </c>
      <c r="T543">
        <v>3092</v>
      </c>
      <c r="U543">
        <v>47.45</v>
      </c>
      <c r="V543">
        <v>31.79</v>
      </c>
      <c r="W543">
        <f>Europe_Sales_Records34[[#This Row],[Total Revenue]]/Europe_Sales_Records34[[#This Row],[Units Sold]]</f>
        <v>47.449999999999996</v>
      </c>
      <c r="X543">
        <v>146715.4</v>
      </c>
      <c r="Y543">
        <v>98294.68</v>
      </c>
      <c r="Z543" s="4">
        <f>Europe_Sales_Records34[[#This Row],[Total Profit]]/Europe_Sales_Records34[[#This Row],[Total Revenue]]</f>
        <v>0.33003161222339306</v>
      </c>
      <c r="AA543">
        <v>48420.72</v>
      </c>
    </row>
    <row r="544" spans="1:27" x14ac:dyDescent="0.3">
      <c r="A544" t="s">
        <v>14</v>
      </c>
      <c r="B544" t="s">
        <v>141</v>
      </c>
      <c r="C544" t="s">
        <v>71</v>
      </c>
      <c r="D544" t="s">
        <v>17</v>
      </c>
      <c r="E544" t="s">
        <v>24</v>
      </c>
      <c r="F544" t="s">
        <v>988</v>
      </c>
      <c r="G544" s="2">
        <f t="shared" si="16"/>
        <v>40999</v>
      </c>
      <c r="H544">
        <f>DAY(Europe_Sales_Records34[[#This Row],[Order Date Fixed]])</f>
        <v>31</v>
      </c>
      <c r="I544" t="str">
        <f>TEXT(Europe_Sales_Records34[[#This Row],[Order Date Fixed]],"MMM")</f>
        <v>Mar</v>
      </c>
      <c r="J544">
        <f>YEAR(Europe_Sales_Records34[[#This Row],[Order Date Fixed]])</f>
        <v>2012</v>
      </c>
      <c r="K544" t="str">
        <f>TEXT(Europe_Sales_Records34[[#This Row],[Order Date Fixed]],"MMM-YYYY")</f>
        <v>Mar-2012</v>
      </c>
      <c r="L544">
        <v>999879729</v>
      </c>
      <c r="M544" s="2">
        <f t="shared" si="17"/>
        <v>41035</v>
      </c>
      <c r="N544">
        <f>DAY(Europe_Sales_Records34[[#This Row],[Ship Date Fixed]])</f>
        <v>6</v>
      </c>
      <c r="O544" t="str">
        <f>TEXT(Europe_Sales_Records34[[#This Row],[Ship Date Fixed]],"MMM")</f>
        <v>May</v>
      </c>
      <c r="P544">
        <f>YEAR(Europe_Sales_Records34[[#This Row],[Ship Date Fixed]])</f>
        <v>2012</v>
      </c>
      <c r="Q544" t="str">
        <f>TEXT(Europe_Sales_Records34[[#This Row],[Ship Date Fixed]],"MMM-YYYY")</f>
        <v>May-2012</v>
      </c>
      <c r="R544" t="s">
        <v>989</v>
      </c>
      <c r="S544" s="3">
        <f>Europe_Sales_Records34[[#This Row],[Ship Date Fixed]]-Europe_Sales_Records34[[#This Row],[Order Date Fixed]]</f>
        <v>36</v>
      </c>
      <c r="T544">
        <v>5486</v>
      </c>
      <c r="U544">
        <v>668.27</v>
      </c>
      <c r="V544">
        <v>502.54</v>
      </c>
      <c r="W544">
        <f>Europe_Sales_Records34[[#This Row],[Total Revenue]]/Europe_Sales_Records34[[#This Row],[Units Sold]]</f>
        <v>668.27</v>
      </c>
      <c r="X544">
        <v>3666129.22</v>
      </c>
      <c r="Y544">
        <v>2756934.44</v>
      </c>
      <c r="Z544" s="4">
        <f>Europe_Sales_Records34[[#This Row],[Total Profit]]/Europe_Sales_Records34[[#This Row],[Total Revenue]]</f>
        <v>0.24799856345489099</v>
      </c>
      <c r="AA544">
        <v>909194.78</v>
      </c>
    </row>
    <row r="545" spans="1:27" x14ac:dyDescent="0.3">
      <c r="A545" t="s">
        <v>14</v>
      </c>
      <c r="B545" t="s">
        <v>80</v>
      </c>
      <c r="C545" t="s">
        <v>75</v>
      </c>
      <c r="D545" t="s">
        <v>17</v>
      </c>
      <c r="E545" t="s">
        <v>54</v>
      </c>
      <c r="F545" t="s">
        <v>990</v>
      </c>
      <c r="G545" s="2">
        <f t="shared" si="16"/>
        <v>40973</v>
      </c>
      <c r="H545">
        <f>DAY(Europe_Sales_Records34[[#This Row],[Order Date Fixed]])</f>
        <v>5</v>
      </c>
      <c r="I545" t="str">
        <f>TEXT(Europe_Sales_Records34[[#This Row],[Order Date Fixed]],"MMM")</f>
        <v>Mar</v>
      </c>
      <c r="J545">
        <f>YEAR(Europe_Sales_Records34[[#This Row],[Order Date Fixed]])</f>
        <v>2012</v>
      </c>
      <c r="K545" t="str">
        <f>TEXT(Europe_Sales_Records34[[#This Row],[Order Date Fixed]],"MMM-YYYY")</f>
        <v>Mar-2012</v>
      </c>
      <c r="L545">
        <v>246603858</v>
      </c>
      <c r="M545" s="2">
        <f t="shared" si="17"/>
        <v>41014</v>
      </c>
      <c r="N545">
        <f>DAY(Europe_Sales_Records34[[#This Row],[Ship Date Fixed]])</f>
        <v>15</v>
      </c>
      <c r="O545" t="str">
        <f>TEXT(Europe_Sales_Records34[[#This Row],[Ship Date Fixed]],"MMM")</f>
        <v>Apr</v>
      </c>
      <c r="P545">
        <f>YEAR(Europe_Sales_Records34[[#This Row],[Ship Date Fixed]])</f>
        <v>2012</v>
      </c>
      <c r="Q545" t="str">
        <f>TEXT(Europe_Sales_Records34[[#This Row],[Ship Date Fixed]],"MMM-YYYY")</f>
        <v>Apr-2012</v>
      </c>
      <c r="R545" t="s">
        <v>991</v>
      </c>
      <c r="S545" s="3">
        <f>Europe_Sales_Records34[[#This Row],[Ship Date Fixed]]-Europe_Sales_Records34[[#This Row],[Order Date Fixed]]</f>
        <v>41</v>
      </c>
      <c r="T545">
        <v>4417</v>
      </c>
      <c r="U545">
        <v>437.2</v>
      </c>
      <c r="V545">
        <v>263.33</v>
      </c>
      <c r="W545">
        <f>Europe_Sales_Records34[[#This Row],[Total Revenue]]/Europe_Sales_Records34[[#This Row],[Units Sold]]</f>
        <v>437.2</v>
      </c>
      <c r="X545">
        <v>1931112.4</v>
      </c>
      <c r="Y545">
        <v>1163128.6100000001</v>
      </c>
      <c r="Z545" s="4">
        <f>Europe_Sales_Records34[[#This Row],[Total Profit]]/Europe_Sales_Records34[[#This Row],[Total Revenue]]</f>
        <v>0.3976898444647759</v>
      </c>
      <c r="AA545">
        <v>767983.79</v>
      </c>
    </row>
    <row r="546" spans="1:27" x14ac:dyDescent="0.3">
      <c r="A546" t="s">
        <v>14</v>
      </c>
      <c r="B546" t="s">
        <v>243</v>
      </c>
      <c r="C546" t="s">
        <v>16</v>
      </c>
      <c r="D546" t="s">
        <v>23</v>
      </c>
      <c r="E546" t="s">
        <v>33</v>
      </c>
      <c r="F546" t="s">
        <v>992</v>
      </c>
      <c r="G546" s="2">
        <f t="shared" si="16"/>
        <v>41570</v>
      </c>
      <c r="H546">
        <f>DAY(Europe_Sales_Records34[[#This Row],[Order Date Fixed]])</f>
        <v>23</v>
      </c>
      <c r="I546" t="str">
        <f>TEXT(Europe_Sales_Records34[[#This Row],[Order Date Fixed]],"MMM")</f>
        <v>Oct</v>
      </c>
      <c r="J546">
        <f>YEAR(Europe_Sales_Records34[[#This Row],[Order Date Fixed]])</f>
        <v>2013</v>
      </c>
      <c r="K546" t="str">
        <f>TEXT(Europe_Sales_Records34[[#This Row],[Order Date Fixed]],"MMM-YYYY")</f>
        <v>Oct-2013</v>
      </c>
      <c r="L546">
        <v>291531503</v>
      </c>
      <c r="M546" s="2">
        <f t="shared" si="17"/>
        <v>41573</v>
      </c>
      <c r="N546">
        <f>DAY(Europe_Sales_Records34[[#This Row],[Ship Date Fixed]])</f>
        <v>26</v>
      </c>
      <c r="O546" t="str">
        <f>TEXT(Europe_Sales_Records34[[#This Row],[Ship Date Fixed]],"MMM")</f>
        <v>Oct</v>
      </c>
      <c r="P546">
        <f>YEAR(Europe_Sales_Records34[[#This Row],[Ship Date Fixed]])</f>
        <v>2013</v>
      </c>
      <c r="Q546" t="str">
        <f>TEXT(Europe_Sales_Records34[[#This Row],[Ship Date Fixed]],"MMM-YYYY")</f>
        <v>Oct-2013</v>
      </c>
      <c r="R546" t="s">
        <v>993</v>
      </c>
      <c r="S546" s="3">
        <f>Europe_Sales_Records34[[#This Row],[Ship Date Fixed]]-Europe_Sales_Records34[[#This Row],[Order Date Fixed]]</f>
        <v>3</v>
      </c>
      <c r="T546">
        <v>9505</v>
      </c>
      <c r="U546">
        <v>47.45</v>
      </c>
      <c r="V546">
        <v>31.79</v>
      </c>
      <c r="W546">
        <f>Europe_Sales_Records34[[#This Row],[Total Revenue]]/Europe_Sales_Records34[[#This Row],[Units Sold]]</f>
        <v>47.45</v>
      </c>
      <c r="X546">
        <v>451012.25</v>
      </c>
      <c r="Y546">
        <v>302163.95</v>
      </c>
      <c r="Z546" s="4">
        <f>Europe_Sales_Records34[[#This Row],[Total Profit]]/Europe_Sales_Records34[[#This Row],[Total Revenue]]</f>
        <v>0.330031612223393</v>
      </c>
      <c r="AA546">
        <v>148848.29999999999</v>
      </c>
    </row>
    <row r="547" spans="1:27" x14ac:dyDescent="0.3">
      <c r="A547" t="s">
        <v>14</v>
      </c>
      <c r="B547" t="s">
        <v>132</v>
      </c>
      <c r="C547" t="s">
        <v>28</v>
      </c>
      <c r="D547" t="s">
        <v>17</v>
      </c>
      <c r="E547" t="s">
        <v>54</v>
      </c>
      <c r="F547" t="s">
        <v>994</v>
      </c>
      <c r="G547" s="2">
        <f t="shared" si="16"/>
        <v>42934</v>
      </c>
      <c r="H547">
        <f>DAY(Europe_Sales_Records34[[#This Row],[Order Date Fixed]])</f>
        <v>18</v>
      </c>
      <c r="I547" t="str">
        <f>TEXT(Europe_Sales_Records34[[#This Row],[Order Date Fixed]],"MMM")</f>
        <v>Jul</v>
      </c>
      <c r="J547">
        <f>YEAR(Europe_Sales_Records34[[#This Row],[Order Date Fixed]])</f>
        <v>2017</v>
      </c>
      <c r="K547" t="str">
        <f>TEXT(Europe_Sales_Records34[[#This Row],[Order Date Fixed]],"MMM-YYYY")</f>
        <v>Jul-2017</v>
      </c>
      <c r="L547">
        <v>483655774</v>
      </c>
      <c r="M547" s="2">
        <f t="shared" si="17"/>
        <v>42952</v>
      </c>
      <c r="N547">
        <f>DAY(Europe_Sales_Records34[[#This Row],[Ship Date Fixed]])</f>
        <v>5</v>
      </c>
      <c r="O547" t="str">
        <f>TEXT(Europe_Sales_Records34[[#This Row],[Ship Date Fixed]],"MMM")</f>
        <v>Aug</v>
      </c>
      <c r="P547">
        <f>YEAR(Europe_Sales_Records34[[#This Row],[Ship Date Fixed]])</f>
        <v>2017</v>
      </c>
      <c r="Q547" t="str">
        <f>TEXT(Europe_Sales_Records34[[#This Row],[Ship Date Fixed]],"MMM-YYYY")</f>
        <v>Aug-2017</v>
      </c>
      <c r="R547" t="s">
        <v>995</v>
      </c>
      <c r="S547" s="3">
        <f>Europe_Sales_Records34[[#This Row],[Ship Date Fixed]]-Europe_Sales_Records34[[#This Row],[Order Date Fixed]]</f>
        <v>18</v>
      </c>
      <c r="T547">
        <v>3346</v>
      </c>
      <c r="U547">
        <v>205.7</v>
      </c>
      <c r="V547">
        <v>117.11</v>
      </c>
      <c r="W547">
        <f>Europe_Sales_Records34[[#This Row],[Total Revenue]]/Europe_Sales_Records34[[#This Row],[Units Sold]]</f>
        <v>205.7</v>
      </c>
      <c r="X547">
        <v>688272.2</v>
      </c>
      <c r="Y547">
        <v>391850.06</v>
      </c>
      <c r="Z547" s="4">
        <f>Europe_Sales_Records34[[#This Row],[Total Profit]]/Europe_Sales_Records34[[#This Row],[Total Revenue]]</f>
        <v>0.43067574137092857</v>
      </c>
      <c r="AA547">
        <v>296422.14</v>
      </c>
    </row>
    <row r="548" spans="1:27" x14ac:dyDescent="0.3">
      <c r="A548" t="s">
        <v>14</v>
      </c>
      <c r="B548" t="s">
        <v>122</v>
      </c>
      <c r="C548" t="s">
        <v>102</v>
      </c>
      <c r="D548" t="s">
        <v>23</v>
      </c>
      <c r="E548" t="s">
        <v>18</v>
      </c>
      <c r="F548" t="s">
        <v>996</v>
      </c>
      <c r="G548" s="2">
        <f t="shared" si="16"/>
        <v>40522</v>
      </c>
      <c r="H548">
        <f>DAY(Europe_Sales_Records34[[#This Row],[Order Date Fixed]])</f>
        <v>10</v>
      </c>
      <c r="I548" t="str">
        <f>TEXT(Europe_Sales_Records34[[#This Row],[Order Date Fixed]],"MMM")</f>
        <v>Dec</v>
      </c>
      <c r="J548">
        <f>YEAR(Europe_Sales_Records34[[#This Row],[Order Date Fixed]])</f>
        <v>2010</v>
      </c>
      <c r="K548" t="str">
        <f>TEXT(Europe_Sales_Records34[[#This Row],[Order Date Fixed]],"MMM-YYYY")</f>
        <v>Dec-2010</v>
      </c>
      <c r="L548">
        <v>840747058</v>
      </c>
      <c r="M548" s="2">
        <f t="shared" si="17"/>
        <v>40538</v>
      </c>
      <c r="N548">
        <f>DAY(Europe_Sales_Records34[[#This Row],[Ship Date Fixed]])</f>
        <v>26</v>
      </c>
      <c r="O548" t="str">
        <f>TEXT(Europe_Sales_Records34[[#This Row],[Ship Date Fixed]],"MMM")</f>
        <v>Dec</v>
      </c>
      <c r="P548">
        <f>YEAR(Europe_Sales_Records34[[#This Row],[Ship Date Fixed]])</f>
        <v>2010</v>
      </c>
      <c r="Q548" t="str">
        <f>TEXT(Europe_Sales_Records34[[#This Row],[Ship Date Fixed]],"MMM-YYYY")</f>
        <v>Dec-2010</v>
      </c>
      <c r="R548" t="s">
        <v>182</v>
      </c>
      <c r="S548" s="3">
        <f>Europe_Sales_Records34[[#This Row],[Ship Date Fixed]]-Europe_Sales_Records34[[#This Row],[Order Date Fixed]]</f>
        <v>16</v>
      </c>
      <c r="T548">
        <v>4593</v>
      </c>
      <c r="U548">
        <v>81.73</v>
      </c>
      <c r="V548">
        <v>56.67</v>
      </c>
      <c r="W548">
        <f>Europe_Sales_Records34[[#This Row],[Total Revenue]]/Europe_Sales_Records34[[#This Row],[Units Sold]]</f>
        <v>81.73</v>
      </c>
      <c r="X548">
        <v>375385.89</v>
      </c>
      <c r="Y548">
        <v>260285.31</v>
      </c>
      <c r="Z548" s="4">
        <f>Europe_Sales_Records34[[#This Row],[Total Profit]]/Europe_Sales_Records34[[#This Row],[Total Revenue]]</f>
        <v>0.30661935641747218</v>
      </c>
      <c r="AA548">
        <v>115100.58</v>
      </c>
    </row>
    <row r="549" spans="1:27" x14ac:dyDescent="0.3">
      <c r="A549" t="s">
        <v>14</v>
      </c>
      <c r="B549" t="s">
        <v>21</v>
      </c>
      <c r="C549" t="s">
        <v>75</v>
      </c>
      <c r="D549" t="s">
        <v>17</v>
      </c>
      <c r="E549" t="s">
        <v>54</v>
      </c>
      <c r="F549" t="s">
        <v>997</v>
      </c>
      <c r="G549" s="2">
        <f t="shared" si="16"/>
        <v>40951</v>
      </c>
      <c r="H549">
        <f>DAY(Europe_Sales_Records34[[#This Row],[Order Date Fixed]])</f>
        <v>12</v>
      </c>
      <c r="I549" t="str">
        <f>TEXT(Europe_Sales_Records34[[#This Row],[Order Date Fixed]],"MMM")</f>
        <v>Feb</v>
      </c>
      <c r="J549">
        <f>YEAR(Europe_Sales_Records34[[#This Row],[Order Date Fixed]])</f>
        <v>2012</v>
      </c>
      <c r="K549" t="str">
        <f>TEXT(Europe_Sales_Records34[[#This Row],[Order Date Fixed]],"MMM-YYYY")</f>
        <v>Feb-2012</v>
      </c>
      <c r="L549">
        <v>205354487</v>
      </c>
      <c r="M549" s="2">
        <f t="shared" si="17"/>
        <v>40959</v>
      </c>
      <c r="N549">
        <f>DAY(Europe_Sales_Records34[[#This Row],[Ship Date Fixed]])</f>
        <v>20</v>
      </c>
      <c r="O549" t="str">
        <f>TEXT(Europe_Sales_Records34[[#This Row],[Ship Date Fixed]],"MMM")</f>
        <v>Feb</v>
      </c>
      <c r="P549">
        <f>YEAR(Europe_Sales_Records34[[#This Row],[Ship Date Fixed]])</f>
        <v>2012</v>
      </c>
      <c r="Q549" t="str">
        <f>TEXT(Europe_Sales_Records34[[#This Row],[Ship Date Fixed]],"MMM-YYYY")</f>
        <v>Feb-2012</v>
      </c>
      <c r="R549" t="s">
        <v>998</v>
      </c>
      <c r="S549" s="3">
        <f>Europe_Sales_Records34[[#This Row],[Ship Date Fixed]]-Europe_Sales_Records34[[#This Row],[Order Date Fixed]]</f>
        <v>8</v>
      </c>
      <c r="T549">
        <v>7811</v>
      </c>
      <c r="U549">
        <v>437.2</v>
      </c>
      <c r="V549">
        <v>263.33</v>
      </c>
      <c r="W549">
        <f>Europe_Sales_Records34[[#This Row],[Total Revenue]]/Europe_Sales_Records34[[#This Row],[Units Sold]]</f>
        <v>437.20000000000005</v>
      </c>
      <c r="X549">
        <v>3414969.2</v>
      </c>
      <c r="Y549">
        <v>2056870.63</v>
      </c>
      <c r="Z549" s="4">
        <f>Europe_Sales_Records34[[#This Row],[Total Profit]]/Europe_Sales_Records34[[#This Row],[Total Revenue]]</f>
        <v>0.39768984446477584</v>
      </c>
      <c r="AA549">
        <v>1358098.57</v>
      </c>
    </row>
    <row r="550" spans="1:27" x14ac:dyDescent="0.3">
      <c r="A550" t="s">
        <v>14</v>
      </c>
      <c r="B550" t="s">
        <v>53</v>
      </c>
      <c r="C550" t="s">
        <v>28</v>
      </c>
      <c r="D550" t="s">
        <v>23</v>
      </c>
      <c r="E550" t="s">
        <v>54</v>
      </c>
      <c r="F550" t="s">
        <v>999</v>
      </c>
      <c r="G550" s="2">
        <f t="shared" si="16"/>
        <v>40740</v>
      </c>
      <c r="H550">
        <f>DAY(Europe_Sales_Records34[[#This Row],[Order Date Fixed]])</f>
        <v>16</v>
      </c>
      <c r="I550" t="str">
        <f>TEXT(Europe_Sales_Records34[[#This Row],[Order Date Fixed]],"MMM")</f>
        <v>Jul</v>
      </c>
      <c r="J550">
        <f>YEAR(Europe_Sales_Records34[[#This Row],[Order Date Fixed]])</f>
        <v>2011</v>
      </c>
      <c r="K550" t="str">
        <f>TEXT(Europe_Sales_Records34[[#This Row],[Order Date Fixed]],"MMM-YYYY")</f>
        <v>Jul-2011</v>
      </c>
      <c r="L550">
        <v>280192410</v>
      </c>
      <c r="M550" s="2">
        <f t="shared" si="17"/>
        <v>40783</v>
      </c>
      <c r="N550">
        <f>DAY(Europe_Sales_Records34[[#This Row],[Ship Date Fixed]])</f>
        <v>28</v>
      </c>
      <c r="O550" t="str">
        <f>TEXT(Europe_Sales_Records34[[#This Row],[Ship Date Fixed]],"MMM")</f>
        <v>Aug</v>
      </c>
      <c r="P550">
        <f>YEAR(Europe_Sales_Records34[[#This Row],[Ship Date Fixed]])</f>
        <v>2011</v>
      </c>
      <c r="Q550" t="str">
        <f>TEXT(Europe_Sales_Records34[[#This Row],[Ship Date Fixed]],"MMM-YYYY")</f>
        <v>Aug-2011</v>
      </c>
      <c r="R550" t="s">
        <v>1000</v>
      </c>
      <c r="S550" s="3">
        <f>Europe_Sales_Records34[[#This Row],[Ship Date Fixed]]-Europe_Sales_Records34[[#This Row],[Order Date Fixed]]</f>
        <v>43</v>
      </c>
      <c r="T550">
        <v>4016</v>
      </c>
      <c r="U550">
        <v>205.7</v>
      </c>
      <c r="V550">
        <v>117.11</v>
      </c>
      <c r="W550">
        <f>Europe_Sales_Records34[[#This Row],[Total Revenue]]/Europe_Sales_Records34[[#This Row],[Units Sold]]</f>
        <v>205.7</v>
      </c>
      <c r="X550">
        <v>826091.2</v>
      </c>
      <c r="Y550">
        <v>470313.76</v>
      </c>
      <c r="Z550" s="4">
        <f>Europe_Sales_Records34[[#This Row],[Total Profit]]/Europe_Sales_Records34[[#This Row],[Total Revenue]]</f>
        <v>0.43067574137092857</v>
      </c>
      <c r="AA550">
        <v>355777.44</v>
      </c>
    </row>
    <row r="551" spans="1:27" x14ac:dyDescent="0.3">
      <c r="A551" t="s">
        <v>14</v>
      </c>
      <c r="B551" t="s">
        <v>196</v>
      </c>
      <c r="C551" t="s">
        <v>46</v>
      </c>
      <c r="D551" t="s">
        <v>17</v>
      </c>
      <c r="E551" t="s">
        <v>18</v>
      </c>
      <c r="F551" t="s">
        <v>1001</v>
      </c>
      <c r="G551" s="2">
        <f t="shared" si="16"/>
        <v>40616</v>
      </c>
      <c r="H551">
        <f>DAY(Europe_Sales_Records34[[#This Row],[Order Date Fixed]])</f>
        <v>14</v>
      </c>
      <c r="I551" t="str">
        <f>TEXT(Europe_Sales_Records34[[#This Row],[Order Date Fixed]],"MMM")</f>
        <v>Mar</v>
      </c>
      <c r="J551">
        <f>YEAR(Europe_Sales_Records34[[#This Row],[Order Date Fixed]])</f>
        <v>2011</v>
      </c>
      <c r="K551" t="str">
        <f>TEXT(Europe_Sales_Records34[[#This Row],[Order Date Fixed]],"MMM-YYYY")</f>
        <v>Mar-2011</v>
      </c>
      <c r="L551">
        <v>465753209</v>
      </c>
      <c r="M551" s="2">
        <f t="shared" si="17"/>
        <v>40616</v>
      </c>
      <c r="N551">
        <f>DAY(Europe_Sales_Records34[[#This Row],[Ship Date Fixed]])</f>
        <v>14</v>
      </c>
      <c r="O551" t="str">
        <f>TEXT(Europe_Sales_Records34[[#This Row],[Ship Date Fixed]],"MMM")</f>
        <v>Mar</v>
      </c>
      <c r="P551">
        <f>YEAR(Europe_Sales_Records34[[#This Row],[Ship Date Fixed]])</f>
        <v>2011</v>
      </c>
      <c r="Q551" t="str">
        <f>TEXT(Europe_Sales_Records34[[#This Row],[Ship Date Fixed]],"MMM-YYYY")</f>
        <v>Mar-2011</v>
      </c>
      <c r="R551" t="s">
        <v>1001</v>
      </c>
      <c r="S551" s="3">
        <f>Europe_Sales_Records34[[#This Row],[Ship Date Fixed]]-Europe_Sales_Records34[[#This Row],[Order Date Fixed]]</f>
        <v>0</v>
      </c>
      <c r="T551">
        <v>5579</v>
      </c>
      <c r="U551">
        <v>154.06</v>
      </c>
      <c r="V551">
        <v>90.93</v>
      </c>
      <c r="W551">
        <f>Europe_Sales_Records34[[#This Row],[Total Revenue]]/Europe_Sales_Records34[[#This Row],[Units Sold]]</f>
        <v>154.06</v>
      </c>
      <c r="X551">
        <v>859500.74</v>
      </c>
      <c r="Y551">
        <v>507298.47</v>
      </c>
      <c r="Z551" s="4">
        <f>Europe_Sales_Records34[[#This Row],[Total Profit]]/Europe_Sales_Records34[[#This Row],[Total Revenue]]</f>
        <v>0.40977541217707392</v>
      </c>
      <c r="AA551">
        <v>352202.27</v>
      </c>
    </row>
    <row r="552" spans="1:27" x14ac:dyDescent="0.3">
      <c r="A552" t="s">
        <v>14</v>
      </c>
      <c r="B552" t="s">
        <v>169</v>
      </c>
      <c r="C552" t="s">
        <v>102</v>
      </c>
      <c r="D552" t="s">
        <v>23</v>
      </c>
      <c r="E552" t="s">
        <v>18</v>
      </c>
      <c r="F552" t="s">
        <v>530</v>
      </c>
      <c r="G552" s="2">
        <f t="shared" si="16"/>
        <v>40659</v>
      </c>
      <c r="H552">
        <f>DAY(Europe_Sales_Records34[[#This Row],[Order Date Fixed]])</f>
        <v>26</v>
      </c>
      <c r="I552" t="str">
        <f>TEXT(Europe_Sales_Records34[[#This Row],[Order Date Fixed]],"MMM")</f>
        <v>Apr</v>
      </c>
      <c r="J552">
        <f>YEAR(Europe_Sales_Records34[[#This Row],[Order Date Fixed]])</f>
        <v>2011</v>
      </c>
      <c r="K552" t="str">
        <f>TEXT(Europe_Sales_Records34[[#This Row],[Order Date Fixed]],"MMM-YYYY")</f>
        <v>Apr-2011</v>
      </c>
      <c r="L552">
        <v>587846076</v>
      </c>
      <c r="M552" s="2">
        <f t="shared" si="17"/>
        <v>40687</v>
      </c>
      <c r="N552">
        <f>DAY(Europe_Sales_Records34[[#This Row],[Ship Date Fixed]])</f>
        <v>24</v>
      </c>
      <c r="O552" t="str">
        <f>TEXT(Europe_Sales_Records34[[#This Row],[Ship Date Fixed]],"MMM")</f>
        <v>May</v>
      </c>
      <c r="P552">
        <f>YEAR(Europe_Sales_Records34[[#This Row],[Ship Date Fixed]])</f>
        <v>2011</v>
      </c>
      <c r="Q552" t="str">
        <f>TEXT(Europe_Sales_Records34[[#This Row],[Ship Date Fixed]],"MMM-YYYY")</f>
        <v>May-2011</v>
      </c>
      <c r="R552" t="s">
        <v>1002</v>
      </c>
      <c r="S552" s="3">
        <f>Europe_Sales_Records34[[#This Row],[Ship Date Fixed]]-Europe_Sales_Records34[[#This Row],[Order Date Fixed]]</f>
        <v>28</v>
      </c>
      <c r="T552">
        <v>5572</v>
      </c>
      <c r="U552">
        <v>81.73</v>
      </c>
      <c r="V552">
        <v>56.67</v>
      </c>
      <c r="W552">
        <f>Europe_Sales_Records34[[#This Row],[Total Revenue]]/Europe_Sales_Records34[[#This Row],[Units Sold]]</f>
        <v>81.73</v>
      </c>
      <c r="X552">
        <v>455399.56</v>
      </c>
      <c r="Y552">
        <v>315765.24</v>
      </c>
      <c r="Z552" s="4">
        <f>Europe_Sales_Records34[[#This Row],[Total Profit]]/Europe_Sales_Records34[[#This Row],[Total Revenue]]</f>
        <v>0.30661935641747218</v>
      </c>
      <c r="AA552">
        <v>139634.32</v>
      </c>
    </row>
    <row r="553" spans="1:27" x14ac:dyDescent="0.3">
      <c r="A553" t="s">
        <v>14</v>
      </c>
      <c r="B553" t="s">
        <v>122</v>
      </c>
      <c r="C553" t="s">
        <v>28</v>
      </c>
      <c r="D553" t="s">
        <v>17</v>
      </c>
      <c r="E553" t="s">
        <v>54</v>
      </c>
      <c r="F553" t="s">
        <v>1003</v>
      </c>
      <c r="G553" s="2">
        <f t="shared" si="16"/>
        <v>40796</v>
      </c>
      <c r="H553">
        <f>DAY(Europe_Sales_Records34[[#This Row],[Order Date Fixed]])</f>
        <v>10</v>
      </c>
      <c r="I553" t="str">
        <f>TEXT(Europe_Sales_Records34[[#This Row],[Order Date Fixed]],"MMM")</f>
        <v>Sep</v>
      </c>
      <c r="J553">
        <f>YEAR(Europe_Sales_Records34[[#This Row],[Order Date Fixed]])</f>
        <v>2011</v>
      </c>
      <c r="K553" t="str">
        <f>TEXT(Europe_Sales_Records34[[#This Row],[Order Date Fixed]],"MMM-YYYY")</f>
        <v>Sep-2011</v>
      </c>
      <c r="L553">
        <v>580342328</v>
      </c>
      <c r="M553" s="2">
        <f t="shared" si="17"/>
        <v>40830</v>
      </c>
      <c r="N553">
        <f>DAY(Europe_Sales_Records34[[#This Row],[Ship Date Fixed]])</f>
        <v>14</v>
      </c>
      <c r="O553" t="str">
        <f>TEXT(Europe_Sales_Records34[[#This Row],[Ship Date Fixed]],"MMM")</f>
        <v>Oct</v>
      </c>
      <c r="P553">
        <f>YEAR(Europe_Sales_Records34[[#This Row],[Ship Date Fixed]])</f>
        <v>2011</v>
      </c>
      <c r="Q553" t="str">
        <f>TEXT(Europe_Sales_Records34[[#This Row],[Ship Date Fixed]],"MMM-YYYY")</f>
        <v>Oct-2011</v>
      </c>
      <c r="R553" t="s">
        <v>1004</v>
      </c>
      <c r="S553" s="3">
        <f>Europe_Sales_Records34[[#This Row],[Ship Date Fixed]]-Europe_Sales_Records34[[#This Row],[Order Date Fixed]]</f>
        <v>34</v>
      </c>
      <c r="T553">
        <v>5046</v>
      </c>
      <c r="U553">
        <v>205.7</v>
      </c>
      <c r="V553">
        <v>117.11</v>
      </c>
      <c r="W553">
        <f>Europe_Sales_Records34[[#This Row],[Total Revenue]]/Europe_Sales_Records34[[#This Row],[Units Sold]]</f>
        <v>205.7</v>
      </c>
      <c r="X553">
        <v>1037962.2</v>
      </c>
      <c r="Y553">
        <v>590937.06000000006</v>
      </c>
      <c r="Z553" s="4">
        <f>Europe_Sales_Records34[[#This Row],[Total Profit]]/Europe_Sales_Records34[[#This Row],[Total Revenue]]</f>
        <v>0.43067574137092857</v>
      </c>
      <c r="AA553">
        <v>447025.14</v>
      </c>
    </row>
    <row r="554" spans="1:27" x14ac:dyDescent="0.3">
      <c r="A554" t="s">
        <v>14</v>
      </c>
      <c r="B554" t="s">
        <v>49</v>
      </c>
      <c r="C554" t="s">
        <v>50</v>
      </c>
      <c r="D554" t="s">
        <v>23</v>
      </c>
      <c r="E554" t="s">
        <v>18</v>
      </c>
      <c r="F554" t="s">
        <v>1005</v>
      </c>
      <c r="G554" s="2">
        <f t="shared" si="16"/>
        <v>41020</v>
      </c>
      <c r="H554">
        <f>DAY(Europe_Sales_Records34[[#This Row],[Order Date Fixed]])</f>
        <v>21</v>
      </c>
      <c r="I554" t="str">
        <f>TEXT(Europe_Sales_Records34[[#This Row],[Order Date Fixed]],"MMM")</f>
        <v>Apr</v>
      </c>
      <c r="J554">
        <f>YEAR(Europe_Sales_Records34[[#This Row],[Order Date Fixed]])</f>
        <v>2012</v>
      </c>
      <c r="K554" t="str">
        <f>TEXT(Europe_Sales_Records34[[#This Row],[Order Date Fixed]],"MMM-YYYY")</f>
        <v>Apr-2012</v>
      </c>
      <c r="L554">
        <v>877084767</v>
      </c>
      <c r="M554" s="2">
        <f t="shared" si="17"/>
        <v>41069</v>
      </c>
      <c r="N554">
        <f>DAY(Europe_Sales_Records34[[#This Row],[Ship Date Fixed]])</f>
        <v>9</v>
      </c>
      <c r="O554" t="str">
        <f>TEXT(Europe_Sales_Records34[[#This Row],[Ship Date Fixed]],"MMM")</f>
        <v>Jun</v>
      </c>
      <c r="P554">
        <f>YEAR(Europe_Sales_Records34[[#This Row],[Ship Date Fixed]])</f>
        <v>2012</v>
      </c>
      <c r="Q554" t="str">
        <f>TEXT(Europe_Sales_Records34[[#This Row],[Ship Date Fixed]],"MMM-YYYY")</f>
        <v>Jun-2012</v>
      </c>
      <c r="R554" t="s">
        <v>1006</v>
      </c>
      <c r="S554" s="3">
        <f>Europe_Sales_Records34[[#This Row],[Ship Date Fixed]]-Europe_Sales_Records34[[#This Row],[Order Date Fixed]]</f>
        <v>49</v>
      </c>
      <c r="T554">
        <v>7728</v>
      </c>
      <c r="U554">
        <v>421.89</v>
      </c>
      <c r="V554">
        <v>364.69</v>
      </c>
      <c r="W554">
        <f>Europe_Sales_Records34[[#This Row],[Total Revenue]]/Europe_Sales_Records34[[#This Row],[Units Sold]]</f>
        <v>421.89</v>
      </c>
      <c r="X554">
        <v>3260365.92</v>
      </c>
      <c r="Y554">
        <v>2818324.32</v>
      </c>
      <c r="Z554" s="4">
        <f>Europe_Sales_Records34[[#This Row],[Total Profit]]/Europe_Sales_Records34[[#This Row],[Total Revenue]]</f>
        <v>0.13558036455000119</v>
      </c>
      <c r="AA554">
        <v>442041.59999999998</v>
      </c>
    </row>
    <row r="555" spans="1:27" x14ac:dyDescent="0.3">
      <c r="A555" t="s">
        <v>14</v>
      </c>
      <c r="B555" t="s">
        <v>115</v>
      </c>
      <c r="C555" t="s">
        <v>22</v>
      </c>
      <c r="D555" t="s">
        <v>23</v>
      </c>
      <c r="E555" t="s">
        <v>18</v>
      </c>
      <c r="F555" t="s">
        <v>1007</v>
      </c>
      <c r="G555" s="2">
        <f t="shared" si="16"/>
        <v>41028</v>
      </c>
      <c r="H555">
        <f>DAY(Europe_Sales_Records34[[#This Row],[Order Date Fixed]])</f>
        <v>29</v>
      </c>
      <c r="I555" t="str">
        <f>TEXT(Europe_Sales_Records34[[#This Row],[Order Date Fixed]],"MMM")</f>
        <v>Apr</v>
      </c>
      <c r="J555">
        <f>YEAR(Europe_Sales_Records34[[#This Row],[Order Date Fixed]])</f>
        <v>2012</v>
      </c>
      <c r="K555" t="str">
        <f>TEXT(Europe_Sales_Records34[[#This Row],[Order Date Fixed]],"MMM-YYYY")</f>
        <v>Apr-2012</v>
      </c>
      <c r="L555">
        <v>709105527</v>
      </c>
      <c r="M555" s="2">
        <f t="shared" si="17"/>
        <v>41030</v>
      </c>
      <c r="N555">
        <f>DAY(Europe_Sales_Records34[[#This Row],[Ship Date Fixed]])</f>
        <v>1</v>
      </c>
      <c r="O555" t="str">
        <f>TEXT(Europe_Sales_Records34[[#This Row],[Ship Date Fixed]],"MMM")</f>
        <v>May</v>
      </c>
      <c r="P555">
        <f>YEAR(Europe_Sales_Records34[[#This Row],[Ship Date Fixed]])</f>
        <v>2012</v>
      </c>
      <c r="Q555" t="str">
        <f>TEXT(Europe_Sales_Records34[[#This Row],[Ship Date Fixed]],"MMM-YYYY")</f>
        <v>May-2012</v>
      </c>
      <c r="R555" t="s">
        <v>377</v>
      </c>
      <c r="S555" s="3">
        <f>Europe_Sales_Records34[[#This Row],[Ship Date Fixed]]-Europe_Sales_Records34[[#This Row],[Order Date Fixed]]</f>
        <v>2</v>
      </c>
      <c r="T555">
        <v>8938</v>
      </c>
      <c r="U555">
        <v>109.28</v>
      </c>
      <c r="V555">
        <v>35.840000000000003</v>
      </c>
      <c r="W555">
        <f>Europe_Sales_Records34[[#This Row],[Total Revenue]]/Europe_Sales_Records34[[#This Row],[Units Sold]]</f>
        <v>109.28</v>
      </c>
      <c r="X555">
        <v>976744.64</v>
      </c>
      <c r="Y555">
        <v>320337.91999999998</v>
      </c>
      <c r="Z555" s="4">
        <f>Europe_Sales_Records34[[#This Row],[Total Profit]]/Europe_Sales_Records34[[#This Row],[Total Revenue]]</f>
        <v>0.67203513909224011</v>
      </c>
      <c r="AA555">
        <v>656406.72</v>
      </c>
    </row>
    <row r="556" spans="1:27" x14ac:dyDescent="0.3">
      <c r="A556" t="s">
        <v>14</v>
      </c>
      <c r="B556" t="s">
        <v>61</v>
      </c>
      <c r="C556" t="s">
        <v>50</v>
      </c>
      <c r="D556" t="s">
        <v>23</v>
      </c>
      <c r="E556" t="s">
        <v>54</v>
      </c>
      <c r="F556" t="s">
        <v>1008</v>
      </c>
      <c r="G556" s="2">
        <f t="shared" si="16"/>
        <v>42513</v>
      </c>
      <c r="H556">
        <f>DAY(Europe_Sales_Records34[[#This Row],[Order Date Fixed]])</f>
        <v>23</v>
      </c>
      <c r="I556" t="str">
        <f>TEXT(Europe_Sales_Records34[[#This Row],[Order Date Fixed]],"MMM")</f>
        <v>May</v>
      </c>
      <c r="J556">
        <f>YEAR(Europe_Sales_Records34[[#This Row],[Order Date Fixed]])</f>
        <v>2016</v>
      </c>
      <c r="K556" t="str">
        <f>TEXT(Europe_Sales_Records34[[#This Row],[Order Date Fixed]],"MMM-YYYY")</f>
        <v>May-2016</v>
      </c>
      <c r="L556">
        <v>614321839</v>
      </c>
      <c r="M556" s="2">
        <f t="shared" si="17"/>
        <v>42556</v>
      </c>
      <c r="N556">
        <f>DAY(Europe_Sales_Records34[[#This Row],[Ship Date Fixed]])</f>
        <v>5</v>
      </c>
      <c r="O556" t="str">
        <f>TEXT(Europe_Sales_Records34[[#This Row],[Ship Date Fixed]],"MMM")</f>
        <v>Jul</v>
      </c>
      <c r="P556">
        <f>YEAR(Europe_Sales_Records34[[#This Row],[Ship Date Fixed]])</f>
        <v>2016</v>
      </c>
      <c r="Q556" t="str">
        <f>TEXT(Europe_Sales_Records34[[#This Row],[Ship Date Fixed]],"MMM-YYYY")</f>
        <v>Jul-2016</v>
      </c>
      <c r="R556" t="s">
        <v>1009</v>
      </c>
      <c r="S556" s="3">
        <f>Europe_Sales_Records34[[#This Row],[Ship Date Fixed]]-Europe_Sales_Records34[[#This Row],[Order Date Fixed]]</f>
        <v>43</v>
      </c>
      <c r="T556">
        <v>339</v>
      </c>
      <c r="U556">
        <v>421.89</v>
      </c>
      <c r="V556">
        <v>364.69</v>
      </c>
      <c r="W556">
        <f>Europe_Sales_Records34[[#This Row],[Total Revenue]]/Europe_Sales_Records34[[#This Row],[Units Sold]]</f>
        <v>421.89</v>
      </c>
      <c r="X556">
        <v>143020.71</v>
      </c>
      <c r="Y556">
        <v>123629.91</v>
      </c>
      <c r="Z556" s="4">
        <f>Europe_Sales_Records34[[#This Row],[Total Profit]]/Europe_Sales_Records34[[#This Row],[Total Revenue]]</f>
        <v>0.13558036455000119</v>
      </c>
      <c r="AA556">
        <v>19390.8</v>
      </c>
    </row>
    <row r="557" spans="1:27" x14ac:dyDescent="0.3">
      <c r="A557" t="s">
        <v>14</v>
      </c>
      <c r="B557" t="s">
        <v>74</v>
      </c>
      <c r="C557" t="s">
        <v>75</v>
      </c>
      <c r="D557" t="s">
        <v>23</v>
      </c>
      <c r="E557" t="s">
        <v>33</v>
      </c>
      <c r="F557" t="s">
        <v>1010</v>
      </c>
      <c r="G557" s="2">
        <f t="shared" si="16"/>
        <v>40561</v>
      </c>
      <c r="H557">
        <f>DAY(Europe_Sales_Records34[[#This Row],[Order Date Fixed]])</f>
        <v>18</v>
      </c>
      <c r="I557" t="str">
        <f>TEXT(Europe_Sales_Records34[[#This Row],[Order Date Fixed]],"MMM")</f>
        <v>Jan</v>
      </c>
      <c r="J557">
        <f>YEAR(Europe_Sales_Records34[[#This Row],[Order Date Fixed]])</f>
        <v>2011</v>
      </c>
      <c r="K557" t="str">
        <f>TEXT(Europe_Sales_Records34[[#This Row],[Order Date Fixed]],"MMM-YYYY")</f>
        <v>Jan-2011</v>
      </c>
      <c r="L557">
        <v>329529607</v>
      </c>
      <c r="M557" s="2">
        <f t="shared" si="17"/>
        <v>40566</v>
      </c>
      <c r="N557">
        <f>DAY(Europe_Sales_Records34[[#This Row],[Ship Date Fixed]])</f>
        <v>23</v>
      </c>
      <c r="O557" t="str">
        <f>TEXT(Europe_Sales_Records34[[#This Row],[Ship Date Fixed]],"MMM")</f>
        <v>Jan</v>
      </c>
      <c r="P557">
        <f>YEAR(Europe_Sales_Records34[[#This Row],[Ship Date Fixed]])</f>
        <v>2011</v>
      </c>
      <c r="Q557" t="str">
        <f>TEXT(Europe_Sales_Records34[[#This Row],[Ship Date Fixed]],"MMM-YYYY")</f>
        <v>Jan-2011</v>
      </c>
      <c r="R557" t="s">
        <v>706</v>
      </c>
      <c r="S557" s="3">
        <f>Europe_Sales_Records34[[#This Row],[Ship Date Fixed]]-Europe_Sales_Records34[[#This Row],[Order Date Fixed]]</f>
        <v>5</v>
      </c>
      <c r="T557">
        <v>3988</v>
      </c>
      <c r="U557">
        <v>437.2</v>
      </c>
      <c r="V557">
        <v>263.33</v>
      </c>
      <c r="W557">
        <f>Europe_Sales_Records34[[#This Row],[Total Revenue]]/Europe_Sales_Records34[[#This Row],[Units Sold]]</f>
        <v>437.20000000000005</v>
      </c>
      <c r="X557">
        <v>1743553.6</v>
      </c>
      <c r="Y557">
        <v>1050160.04</v>
      </c>
      <c r="Z557" s="4">
        <f>Europe_Sales_Records34[[#This Row],[Total Profit]]/Europe_Sales_Records34[[#This Row],[Total Revenue]]</f>
        <v>0.39768984446477584</v>
      </c>
      <c r="AA557">
        <v>693393.56</v>
      </c>
    </row>
    <row r="558" spans="1:27" x14ac:dyDescent="0.3">
      <c r="A558" t="s">
        <v>14</v>
      </c>
      <c r="B558" t="s">
        <v>271</v>
      </c>
      <c r="C558" t="s">
        <v>37</v>
      </c>
      <c r="D558" t="s">
        <v>23</v>
      </c>
      <c r="E558" t="s">
        <v>33</v>
      </c>
      <c r="F558" t="s">
        <v>311</v>
      </c>
      <c r="G558" s="2">
        <f t="shared" si="16"/>
        <v>40328</v>
      </c>
      <c r="H558">
        <f>DAY(Europe_Sales_Records34[[#This Row],[Order Date Fixed]])</f>
        <v>30</v>
      </c>
      <c r="I558" t="str">
        <f>TEXT(Europe_Sales_Records34[[#This Row],[Order Date Fixed]],"MMM")</f>
        <v>May</v>
      </c>
      <c r="J558">
        <f>YEAR(Europe_Sales_Records34[[#This Row],[Order Date Fixed]])</f>
        <v>2010</v>
      </c>
      <c r="K558" t="str">
        <f>TEXT(Europe_Sales_Records34[[#This Row],[Order Date Fixed]],"MMM-YYYY")</f>
        <v>May-2010</v>
      </c>
      <c r="L558">
        <v>223869454</v>
      </c>
      <c r="M558" s="2">
        <f t="shared" si="17"/>
        <v>40356</v>
      </c>
      <c r="N558">
        <f>DAY(Europe_Sales_Records34[[#This Row],[Ship Date Fixed]])</f>
        <v>27</v>
      </c>
      <c r="O558" t="str">
        <f>TEXT(Europe_Sales_Records34[[#This Row],[Ship Date Fixed]],"MMM")</f>
        <v>Jun</v>
      </c>
      <c r="P558">
        <f>YEAR(Europe_Sales_Records34[[#This Row],[Ship Date Fixed]])</f>
        <v>2010</v>
      </c>
      <c r="Q558" t="str">
        <f>TEXT(Europe_Sales_Records34[[#This Row],[Ship Date Fixed]],"MMM-YYYY")</f>
        <v>Jun-2010</v>
      </c>
      <c r="R558" t="s">
        <v>1011</v>
      </c>
      <c r="S558" s="3">
        <f>Europe_Sales_Records34[[#This Row],[Ship Date Fixed]]-Europe_Sales_Records34[[#This Row],[Order Date Fixed]]</f>
        <v>28</v>
      </c>
      <c r="T558">
        <v>6801</v>
      </c>
      <c r="U558">
        <v>9.33</v>
      </c>
      <c r="V558">
        <v>6.92</v>
      </c>
      <c r="W558">
        <f>Europe_Sales_Records34[[#This Row],[Total Revenue]]/Europe_Sales_Records34[[#This Row],[Units Sold]]</f>
        <v>9.33</v>
      </c>
      <c r="X558">
        <v>63453.33</v>
      </c>
      <c r="Y558">
        <v>47062.92</v>
      </c>
      <c r="Z558" s="4">
        <f>Europe_Sales_Records34[[#This Row],[Total Profit]]/Europe_Sales_Records34[[#This Row],[Total Revenue]]</f>
        <v>0.25830653804930331</v>
      </c>
      <c r="AA558">
        <v>16390.41</v>
      </c>
    </row>
    <row r="559" spans="1:27" x14ac:dyDescent="0.3">
      <c r="A559" t="s">
        <v>14</v>
      </c>
      <c r="B559" t="s">
        <v>15</v>
      </c>
      <c r="C559" t="s">
        <v>32</v>
      </c>
      <c r="D559" t="s">
        <v>17</v>
      </c>
      <c r="E559" t="s">
        <v>54</v>
      </c>
      <c r="F559" t="s">
        <v>1012</v>
      </c>
      <c r="G559" s="2">
        <f t="shared" si="16"/>
        <v>41040</v>
      </c>
      <c r="H559">
        <f>DAY(Europe_Sales_Records34[[#This Row],[Order Date Fixed]])</f>
        <v>11</v>
      </c>
      <c r="I559" t="str">
        <f>TEXT(Europe_Sales_Records34[[#This Row],[Order Date Fixed]],"MMM")</f>
        <v>May</v>
      </c>
      <c r="J559">
        <f>YEAR(Europe_Sales_Records34[[#This Row],[Order Date Fixed]])</f>
        <v>2012</v>
      </c>
      <c r="K559" t="str">
        <f>TEXT(Europe_Sales_Records34[[#This Row],[Order Date Fixed]],"MMM-YYYY")</f>
        <v>May-2012</v>
      </c>
      <c r="L559">
        <v>189108455</v>
      </c>
      <c r="M559" s="2">
        <f t="shared" si="17"/>
        <v>41090</v>
      </c>
      <c r="N559">
        <f>DAY(Europe_Sales_Records34[[#This Row],[Ship Date Fixed]])</f>
        <v>30</v>
      </c>
      <c r="O559" t="str">
        <f>TEXT(Europe_Sales_Records34[[#This Row],[Ship Date Fixed]],"MMM")</f>
        <v>Jun</v>
      </c>
      <c r="P559">
        <f>YEAR(Europe_Sales_Records34[[#This Row],[Ship Date Fixed]])</f>
        <v>2012</v>
      </c>
      <c r="Q559" t="str">
        <f>TEXT(Europe_Sales_Records34[[#This Row],[Ship Date Fixed]],"MMM-YYYY")</f>
        <v>Jun-2012</v>
      </c>
      <c r="R559" t="s">
        <v>328</v>
      </c>
      <c r="S559" s="3">
        <f>Europe_Sales_Records34[[#This Row],[Ship Date Fixed]]-Europe_Sales_Records34[[#This Row],[Order Date Fixed]]</f>
        <v>50</v>
      </c>
      <c r="T559">
        <v>249</v>
      </c>
      <c r="U559">
        <v>651.21</v>
      </c>
      <c r="V559">
        <v>524.96</v>
      </c>
      <c r="W559">
        <f>Europe_Sales_Records34[[#This Row],[Total Revenue]]/Europe_Sales_Records34[[#This Row],[Units Sold]]</f>
        <v>651.21</v>
      </c>
      <c r="X559">
        <v>162151.29</v>
      </c>
      <c r="Y559">
        <v>130715.04</v>
      </c>
      <c r="Z559" s="4">
        <f>Europe_Sales_Records34[[#This Row],[Total Profit]]/Europe_Sales_Records34[[#This Row],[Total Revenue]]</f>
        <v>0.19386987300563566</v>
      </c>
      <c r="AA559">
        <v>31436.25</v>
      </c>
    </row>
    <row r="560" spans="1:27" x14ac:dyDescent="0.3">
      <c r="A560" t="s">
        <v>14</v>
      </c>
      <c r="B560" t="s">
        <v>169</v>
      </c>
      <c r="C560" t="s">
        <v>37</v>
      </c>
      <c r="D560" t="s">
        <v>17</v>
      </c>
      <c r="E560" t="s">
        <v>33</v>
      </c>
      <c r="F560" t="s">
        <v>1013</v>
      </c>
      <c r="G560" s="2">
        <f t="shared" si="16"/>
        <v>42018</v>
      </c>
      <c r="H560">
        <f>DAY(Europe_Sales_Records34[[#This Row],[Order Date Fixed]])</f>
        <v>14</v>
      </c>
      <c r="I560" t="str">
        <f>TEXT(Europe_Sales_Records34[[#This Row],[Order Date Fixed]],"MMM")</f>
        <v>Jan</v>
      </c>
      <c r="J560">
        <f>YEAR(Europe_Sales_Records34[[#This Row],[Order Date Fixed]])</f>
        <v>2015</v>
      </c>
      <c r="K560" t="str">
        <f>TEXT(Europe_Sales_Records34[[#This Row],[Order Date Fixed]],"MMM-YYYY")</f>
        <v>Jan-2015</v>
      </c>
      <c r="L560">
        <v>452471768</v>
      </c>
      <c r="M560" s="2">
        <f t="shared" si="17"/>
        <v>42045</v>
      </c>
      <c r="N560">
        <f>DAY(Europe_Sales_Records34[[#This Row],[Ship Date Fixed]])</f>
        <v>10</v>
      </c>
      <c r="O560" t="str">
        <f>TEXT(Europe_Sales_Records34[[#This Row],[Ship Date Fixed]],"MMM")</f>
        <v>Feb</v>
      </c>
      <c r="P560">
        <f>YEAR(Europe_Sales_Records34[[#This Row],[Ship Date Fixed]])</f>
        <v>2015</v>
      </c>
      <c r="Q560" t="str">
        <f>TEXT(Europe_Sales_Records34[[#This Row],[Ship Date Fixed]],"MMM-YYYY")</f>
        <v>Feb-2015</v>
      </c>
      <c r="R560" t="s">
        <v>1014</v>
      </c>
      <c r="S560" s="3">
        <f>Europe_Sales_Records34[[#This Row],[Ship Date Fixed]]-Europe_Sales_Records34[[#This Row],[Order Date Fixed]]</f>
        <v>27</v>
      </c>
      <c r="T560">
        <v>5306</v>
      </c>
      <c r="U560">
        <v>9.33</v>
      </c>
      <c r="V560">
        <v>6.92</v>
      </c>
      <c r="W560">
        <f>Europe_Sales_Records34[[#This Row],[Total Revenue]]/Europe_Sales_Records34[[#This Row],[Units Sold]]</f>
        <v>9.33</v>
      </c>
      <c r="X560">
        <v>49504.98</v>
      </c>
      <c r="Y560">
        <v>36717.519999999997</v>
      </c>
      <c r="Z560" s="4">
        <f>Europe_Sales_Records34[[#This Row],[Total Profit]]/Europe_Sales_Records34[[#This Row],[Total Revenue]]</f>
        <v>0.25830653804930331</v>
      </c>
      <c r="AA560">
        <v>12787.46</v>
      </c>
    </row>
    <row r="561" spans="1:27" x14ac:dyDescent="0.3">
      <c r="A561" t="s">
        <v>14</v>
      </c>
      <c r="B561" t="s">
        <v>196</v>
      </c>
      <c r="C561" t="s">
        <v>28</v>
      </c>
      <c r="D561" t="s">
        <v>17</v>
      </c>
      <c r="E561" t="s">
        <v>24</v>
      </c>
      <c r="F561" t="s">
        <v>1015</v>
      </c>
      <c r="G561" s="2">
        <f t="shared" si="16"/>
        <v>42490</v>
      </c>
      <c r="H561">
        <f>DAY(Europe_Sales_Records34[[#This Row],[Order Date Fixed]])</f>
        <v>30</v>
      </c>
      <c r="I561" t="str">
        <f>TEXT(Europe_Sales_Records34[[#This Row],[Order Date Fixed]],"MMM")</f>
        <v>Apr</v>
      </c>
      <c r="J561">
        <f>YEAR(Europe_Sales_Records34[[#This Row],[Order Date Fixed]])</f>
        <v>2016</v>
      </c>
      <c r="K561" t="str">
        <f>TEXT(Europe_Sales_Records34[[#This Row],[Order Date Fixed]],"MMM-YYYY")</f>
        <v>Apr-2016</v>
      </c>
      <c r="L561">
        <v>174218118</v>
      </c>
      <c r="M561" s="2">
        <f t="shared" si="17"/>
        <v>42534</v>
      </c>
      <c r="N561">
        <f>DAY(Europe_Sales_Records34[[#This Row],[Ship Date Fixed]])</f>
        <v>13</v>
      </c>
      <c r="O561" t="str">
        <f>TEXT(Europe_Sales_Records34[[#This Row],[Ship Date Fixed]],"MMM")</f>
        <v>Jun</v>
      </c>
      <c r="P561">
        <f>YEAR(Europe_Sales_Records34[[#This Row],[Ship Date Fixed]])</f>
        <v>2016</v>
      </c>
      <c r="Q561" t="str">
        <f>TEXT(Europe_Sales_Records34[[#This Row],[Ship Date Fixed]],"MMM-YYYY")</f>
        <v>Jun-2016</v>
      </c>
      <c r="R561" t="s">
        <v>1016</v>
      </c>
      <c r="S561" s="3">
        <f>Europe_Sales_Records34[[#This Row],[Ship Date Fixed]]-Europe_Sales_Records34[[#This Row],[Order Date Fixed]]</f>
        <v>44</v>
      </c>
      <c r="T561">
        <v>3867</v>
      </c>
      <c r="U561">
        <v>205.7</v>
      </c>
      <c r="V561">
        <v>117.11</v>
      </c>
      <c r="W561">
        <f>Europe_Sales_Records34[[#This Row],[Total Revenue]]/Europe_Sales_Records34[[#This Row],[Units Sold]]</f>
        <v>205.70000000000002</v>
      </c>
      <c r="X561">
        <v>795441.9</v>
      </c>
      <c r="Y561">
        <v>452864.37</v>
      </c>
      <c r="Z561" s="4">
        <f>Europe_Sales_Records34[[#This Row],[Total Profit]]/Europe_Sales_Records34[[#This Row],[Total Revenue]]</f>
        <v>0.43067574137092857</v>
      </c>
      <c r="AA561">
        <v>342577.53</v>
      </c>
    </row>
    <row r="562" spans="1:27" x14ac:dyDescent="0.3">
      <c r="A562" t="s">
        <v>14</v>
      </c>
      <c r="B562" t="s">
        <v>196</v>
      </c>
      <c r="C562" t="s">
        <v>50</v>
      </c>
      <c r="D562" t="s">
        <v>23</v>
      </c>
      <c r="E562" t="s">
        <v>54</v>
      </c>
      <c r="F562" t="s">
        <v>1017</v>
      </c>
      <c r="G562" s="2">
        <f t="shared" si="16"/>
        <v>42883</v>
      </c>
      <c r="H562">
        <f>DAY(Europe_Sales_Records34[[#This Row],[Order Date Fixed]])</f>
        <v>28</v>
      </c>
      <c r="I562" t="str">
        <f>TEXT(Europe_Sales_Records34[[#This Row],[Order Date Fixed]],"MMM")</f>
        <v>May</v>
      </c>
      <c r="J562">
        <f>YEAR(Europe_Sales_Records34[[#This Row],[Order Date Fixed]])</f>
        <v>2017</v>
      </c>
      <c r="K562" t="str">
        <f>TEXT(Europe_Sales_Records34[[#This Row],[Order Date Fixed]],"MMM-YYYY")</f>
        <v>May-2017</v>
      </c>
      <c r="L562">
        <v>820437371</v>
      </c>
      <c r="M562" s="2">
        <f t="shared" si="17"/>
        <v>42897</v>
      </c>
      <c r="N562">
        <f>DAY(Europe_Sales_Records34[[#This Row],[Ship Date Fixed]])</f>
        <v>11</v>
      </c>
      <c r="O562" t="str">
        <f>TEXT(Europe_Sales_Records34[[#This Row],[Ship Date Fixed]],"MMM")</f>
        <v>Jun</v>
      </c>
      <c r="P562">
        <f>YEAR(Europe_Sales_Records34[[#This Row],[Ship Date Fixed]])</f>
        <v>2017</v>
      </c>
      <c r="Q562" t="str">
        <f>TEXT(Europe_Sales_Records34[[#This Row],[Ship Date Fixed]],"MMM-YYYY")</f>
        <v>Jun-2017</v>
      </c>
      <c r="R562" t="s">
        <v>1018</v>
      </c>
      <c r="S562" s="3">
        <f>Europe_Sales_Records34[[#This Row],[Ship Date Fixed]]-Europe_Sales_Records34[[#This Row],[Order Date Fixed]]</f>
        <v>14</v>
      </c>
      <c r="T562">
        <v>4505</v>
      </c>
      <c r="U562">
        <v>421.89</v>
      </c>
      <c r="V562">
        <v>364.69</v>
      </c>
      <c r="W562">
        <f>Europe_Sales_Records34[[#This Row],[Total Revenue]]/Europe_Sales_Records34[[#This Row],[Units Sold]]</f>
        <v>421.89</v>
      </c>
      <c r="X562">
        <v>1900614.45</v>
      </c>
      <c r="Y562">
        <v>1642928.45</v>
      </c>
      <c r="Z562" s="4">
        <f>Europe_Sales_Records34[[#This Row],[Total Profit]]/Europe_Sales_Records34[[#This Row],[Total Revenue]]</f>
        <v>0.13558036455000119</v>
      </c>
      <c r="AA562">
        <v>257686</v>
      </c>
    </row>
    <row r="563" spans="1:27" x14ac:dyDescent="0.3">
      <c r="A563" t="s">
        <v>14</v>
      </c>
      <c r="B563" t="s">
        <v>97</v>
      </c>
      <c r="C563" t="s">
        <v>102</v>
      </c>
      <c r="D563" t="s">
        <v>17</v>
      </c>
      <c r="E563" t="s">
        <v>33</v>
      </c>
      <c r="F563" t="s">
        <v>1019</v>
      </c>
      <c r="G563" s="2">
        <f t="shared" si="16"/>
        <v>40945</v>
      </c>
      <c r="H563">
        <f>DAY(Europe_Sales_Records34[[#This Row],[Order Date Fixed]])</f>
        <v>6</v>
      </c>
      <c r="I563" t="str">
        <f>TEXT(Europe_Sales_Records34[[#This Row],[Order Date Fixed]],"MMM")</f>
        <v>Feb</v>
      </c>
      <c r="J563">
        <f>YEAR(Europe_Sales_Records34[[#This Row],[Order Date Fixed]])</f>
        <v>2012</v>
      </c>
      <c r="K563" t="str">
        <f>TEXT(Europe_Sales_Records34[[#This Row],[Order Date Fixed]],"MMM-YYYY")</f>
        <v>Feb-2012</v>
      </c>
      <c r="L563">
        <v>410291135</v>
      </c>
      <c r="M563" s="2">
        <f t="shared" si="17"/>
        <v>40961</v>
      </c>
      <c r="N563">
        <f>DAY(Europe_Sales_Records34[[#This Row],[Ship Date Fixed]])</f>
        <v>22</v>
      </c>
      <c r="O563" t="str">
        <f>TEXT(Europe_Sales_Records34[[#This Row],[Ship Date Fixed]],"MMM")</f>
        <v>Feb</v>
      </c>
      <c r="P563">
        <f>YEAR(Europe_Sales_Records34[[#This Row],[Ship Date Fixed]])</f>
        <v>2012</v>
      </c>
      <c r="Q563" t="str">
        <f>TEXT(Europe_Sales_Records34[[#This Row],[Ship Date Fixed]],"MMM-YYYY")</f>
        <v>Feb-2012</v>
      </c>
      <c r="R563" t="s">
        <v>1020</v>
      </c>
      <c r="S563" s="3">
        <f>Europe_Sales_Records34[[#This Row],[Ship Date Fixed]]-Europe_Sales_Records34[[#This Row],[Order Date Fixed]]</f>
        <v>16</v>
      </c>
      <c r="T563">
        <v>3119</v>
      </c>
      <c r="U563">
        <v>81.73</v>
      </c>
      <c r="V563">
        <v>56.67</v>
      </c>
      <c r="W563">
        <f>Europe_Sales_Records34[[#This Row],[Total Revenue]]/Europe_Sales_Records34[[#This Row],[Units Sold]]</f>
        <v>81.73</v>
      </c>
      <c r="X563">
        <v>254915.87</v>
      </c>
      <c r="Y563">
        <v>176753.73</v>
      </c>
      <c r="Z563" s="4">
        <f>Europe_Sales_Records34[[#This Row],[Total Profit]]/Europe_Sales_Records34[[#This Row],[Total Revenue]]</f>
        <v>0.30661935641747218</v>
      </c>
      <c r="AA563">
        <v>78162.14</v>
      </c>
    </row>
    <row r="564" spans="1:27" x14ac:dyDescent="0.3">
      <c r="A564" t="s">
        <v>14</v>
      </c>
      <c r="B564" t="s">
        <v>220</v>
      </c>
      <c r="C564" t="s">
        <v>64</v>
      </c>
      <c r="D564" t="s">
        <v>17</v>
      </c>
      <c r="E564" t="s">
        <v>18</v>
      </c>
      <c r="F564" t="s">
        <v>1021</v>
      </c>
      <c r="G564" s="2">
        <f t="shared" si="16"/>
        <v>42910</v>
      </c>
      <c r="H564">
        <f>DAY(Europe_Sales_Records34[[#This Row],[Order Date Fixed]])</f>
        <v>24</v>
      </c>
      <c r="I564" t="str">
        <f>TEXT(Europe_Sales_Records34[[#This Row],[Order Date Fixed]],"MMM")</f>
        <v>Jun</v>
      </c>
      <c r="J564">
        <f>YEAR(Europe_Sales_Records34[[#This Row],[Order Date Fixed]])</f>
        <v>2017</v>
      </c>
      <c r="K564" t="str">
        <f>TEXT(Europe_Sales_Records34[[#This Row],[Order Date Fixed]],"MMM-YYYY")</f>
        <v>Jun-2017</v>
      </c>
      <c r="L564">
        <v>174614226</v>
      </c>
      <c r="M564" s="2">
        <f t="shared" si="17"/>
        <v>42960</v>
      </c>
      <c r="N564">
        <f>DAY(Europe_Sales_Records34[[#This Row],[Ship Date Fixed]])</f>
        <v>13</v>
      </c>
      <c r="O564" t="str">
        <f>TEXT(Europe_Sales_Records34[[#This Row],[Ship Date Fixed]],"MMM")</f>
        <v>Aug</v>
      </c>
      <c r="P564">
        <f>YEAR(Europe_Sales_Records34[[#This Row],[Ship Date Fixed]])</f>
        <v>2017</v>
      </c>
      <c r="Q564" t="str">
        <f>TEXT(Europe_Sales_Records34[[#This Row],[Ship Date Fixed]],"MMM-YYYY")</f>
        <v>Aug-2017</v>
      </c>
      <c r="R564" t="s">
        <v>1022</v>
      </c>
      <c r="S564" s="3">
        <f>Europe_Sales_Records34[[#This Row],[Ship Date Fixed]]-Europe_Sales_Records34[[#This Row],[Order Date Fixed]]</f>
        <v>50</v>
      </c>
      <c r="T564">
        <v>1085</v>
      </c>
      <c r="U564">
        <v>255.28</v>
      </c>
      <c r="V564">
        <v>159.41999999999999</v>
      </c>
      <c r="W564">
        <f>Europe_Sales_Records34[[#This Row],[Total Revenue]]/Europe_Sales_Records34[[#This Row],[Units Sold]]</f>
        <v>255.28</v>
      </c>
      <c r="X564">
        <v>276978.8</v>
      </c>
      <c r="Y564">
        <v>172970.7</v>
      </c>
      <c r="Z564" s="4">
        <f>Europe_Sales_Records34[[#This Row],[Total Profit]]/Europe_Sales_Records34[[#This Row],[Total Revenue]]</f>
        <v>0.37550924475086184</v>
      </c>
      <c r="AA564">
        <v>104008.1</v>
      </c>
    </row>
    <row r="565" spans="1:27" x14ac:dyDescent="0.3">
      <c r="A565" t="s">
        <v>14</v>
      </c>
      <c r="B565" t="s">
        <v>257</v>
      </c>
      <c r="C565" t="s">
        <v>58</v>
      </c>
      <c r="D565" t="s">
        <v>17</v>
      </c>
      <c r="E565" t="s">
        <v>33</v>
      </c>
      <c r="F565" t="s">
        <v>1023</v>
      </c>
      <c r="G565" s="2">
        <f t="shared" si="16"/>
        <v>40696</v>
      </c>
      <c r="H565">
        <f>DAY(Europe_Sales_Records34[[#This Row],[Order Date Fixed]])</f>
        <v>2</v>
      </c>
      <c r="I565" t="str">
        <f>TEXT(Europe_Sales_Records34[[#This Row],[Order Date Fixed]],"MMM")</f>
        <v>Jun</v>
      </c>
      <c r="J565">
        <f>YEAR(Europe_Sales_Records34[[#This Row],[Order Date Fixed]])</f>
        <v>2011</v>
      </c>
      <c r="K565" t="str">
        <f>TEXT(Europe_Sales_Records34[[#This Row],[Order Date Fixed]],"MMM-YYYY")</f>
        <v>Jun-2011</v>
      </c>
      <c r="L565">
        <v>118859469</v>
      </c>
      <c r="M565" s="2">
        <f t="shared" si="17"/>
        <v>40725</v>
      </c>
      <c r="N565">
        <f>DAY(Europe_Sales_Records34[[#This Row],[Ship Date Fixed]])</f>
        <v>1</v>
      </c>
      <c r="O565" t="str">
        <f>TEXT(Europe_Sales_Records34[[#This Row],[Ship Date Fixed]],"MMM")</f>
        <v>Jul</v>
      </c>
      <c r="P565">
        <f>YEAR(Europe_Sales_Records34[[#This Row],[Ship Date Fixed]])</f>
        <v>2011</v>
      </c>
      <c r="Q565" t="str">
        <f>TEXT(Europe_Sales_Records34[[#This Row],[Ship Date Fixed]],"MMM-YYYY")</f>
        <v>Jul-2011</v>
      </c>
      <c r="R565" t="s">
        <v>1024</v>
      </c>
      <c r="S565" s="3">
        <f>Europe_Sales_Records34[[#This Row],[Ship Date Fixed]]-Europe_Sales_Records34[[#This Row],[Order Date Fixed]]</f>
        <v>29</v>
      </c>
      <c r="T565">
        <v>2013</v>
      </c>
      <c r="U565">
        <v>152.58000000000001</v>
      </c>
      <c r="V565">
        <v>97.44</v>
      </c>
      <c r="W565">
        <f>Europe_Sales_Records34[[#This Row],[Total Revenue]]/Europe_Sales_Records34[[#This Row],[Units Sold]]</f>
        <v>152.57999999999998</v>
      </c>
      <c r="X565">
        <v>307143.53999999998</v>
      </c>
      <c r="Y565">
        <v>196146.72</v>
      </c>
      <c r="Z565" s="4">
        <f>Europe_Sales_Records34[[#This Row],[Total Profit]]/Europe_Sales_Records34[[#This Row],[Total Revenue]]</f>
        <v>0.36138419189933152</v>
      </c>
      <c r="AA565">
        <v>110996.82</v>
      </c>
    </row>
    <row r="566" spans="1:27" x14ac:dyDescent="0.3">
      <c r="A566" t="s">
        <v>14</v>
      </c>
      <c r="B566" t="s">
        <v>264</v>
      </c>
      <c r="C566" t="s">
        <v>75</v>
      </c>
      <c r="D566" t="s">
        <v>17</v>
      </c>
      <c r="E566" t="s">
        <v>54</v>
      </c>
      <c r="F566" t="s">
        <v>1025</v>
      </c>
      <c r="G566" s="2">
        <f t="shared" si="16"/>
        <v>42215</v>
      </c>
      <c r="H566">
        <f>DAY(Europe_Sales_Records34[[#This Row],[Order Date Fixed]])</f>
        <v>30</v>
      </c>
      <c r="I566" t="str">
        <f>TEXT(Europe_Sales_Records34[[#This Row],[Order Date Fixed]],"MMM")</f>
        <v>Jul</v>
      </c>
      <c r="J566">
        <f>YEAR(Europe_Sales_Records34[[#This Row],[Order Date Fixed]])</f>
        <v>2015</v>
      </c>
      <c r="K566" t="str">
        <f>TEXT(Europe_Sales_Records34[[#This Row],[Order Date Fixed]],"MMM-YYYY")</f>
        <v>Jul-2015</v>
      </c>
      <c r="L566">
        <v>669550883</v>
      </c>
      <c r="M566" s="2">
        <f t="shared" si="17"/>
        <v>42263</v>
      </c>
      <c r="N566">
        <f>DAY(Europe_Sales_Records34[[#This Row],[Ship Date Fixed]])</f>
        <v>16</v>
      </c>
      <c r="O566" t="str">
        <f>TEXT(Europe_Sales_Records34[[#This Row],[Ship Date Fixed]],"MMM")</f>
        <v>Sep</v>
      </c>
      <c r="P566">
        <f>YEAR(Europe_Sales_Records34[[#This Row],[Ship Date Fixed]])</f>
        <v>2015</v>
      </c>
      <c r="Q566" t="str">
        <f>TEXT(Europe_Sales_Records34[[#This Row],[Ship Date Fixed]],"MMM-YYYY")</f>
        <v>Sep-2015</v>
      </c>
      <c r="R566" t="s">
        <v>1026</v>
      </c>
      <c r="S566" s="3">
        <f>Europe_Sales_Records34[[#This Row],[Ship Date Fixed]]-Europe_Sales_Records34[[#This Row],[Order Date Fixed]]</f>
        <v>48</v>
      </c>
      <c r="T566">
        <v>3840</v>
      </c>
      <c r="U566">
        <v>437.2</v>
      </c>
      <c r="V566">
        <v>263.33</v>
      </c>
      <c r="W566">
        <f>Europe_Sales_Records34[[#This Row],[Total Revenue]]/Europe_Sales_Records34[[#This Row],[Units Sold]]</f>
        <v>437.2</v>
      </c>
      <c r="X566">
        <v>1678848</v>
      </c>
      <c r="Y566">
        <v>1011187.2</v>
      </c>
      <c r="Z566" s="4">
        <f>Europe_Sales_Records34[[#This Row],[Total Profit]]/Europe_Sales_Records34[[#This Row],[Total Revenue]]</f>
        <v>0.3976898444647759</v>
      </c>
      <c r="AA566">
        <v>667660.80000000005</v>
      </c>
    </row>
    <row r="567" spans="1:27" x14ac:dyDescent="0.3">
      <c r="A567" t="s">
        <v>14</v>
      </c>
      <c r="B567" t="s">
        <v>94</v>
      </c>
      <c r="C567" t="s">
        <v>102</v>
      </c>
      <c r="D567" t="s">
        <v>23</v>
      </c>
      <c r="E567" t="s">
        <v>24</v>
      </c>
      <c r="F567" t="s">
        <v>175</v>
      </c>
      <c r="G567" s="2">
        <f t="shared" si="16"/>
        <v>41077</v>
      </c>
      <c r="H567">
        <f>DAY(Europe_Sales_Records34[[#This Row],[Order Date Fixed]])</f>
        <v>17</v>
      </c>
      <c r="I567" t="str">
        <f>TEXT(Europe_Sales_Records34[[#This Row],[Order Date Fixed]],"MMM")</f>
        <v>Jun</v>
      </c>
      <c r="J567">
        <f>YEAR(Europe_Sales_Records34[[#This Row],[Order Date Fixed]])</f>
        <v>2012</v>
      </c>
      <c r="K567" t="str">
        <f>TEXT(Europe_Sales_Records34[[#This Row],[Order Date Fixed]],"MMM-YYYY")</f>
        <v>Jun-2012</v>
      </c>
      <c r="L567">
        <v>439114367</v>
      </c>
      <c r="M567" s="2">
        <f t="shared" si="17"/>
        <v>41086</v>
      </c>
      <c r="N567">
        <f>DAY(Europe_Sales_Records34[[#This Row],[Ship Date Fixed]])</f>
        <v>26</v>
      </c>
      <c r="O567" t="str">
        <f>TEXT(Europe_Sales_Records34[[#This Row],[Ship Date Fixed]],"MMM")</f>
        <v>Jun</v>
      </c>
      <c r="P567">
        <f>YEAR(Europe_Sales_Records34[[#This Row],[Ship Date Fixed]])</f>
        <v>2012</v>
      </c>
      <c r="Q567" t="str">
        <f>TEXT(Europe_Sales_Records34[[#This Row],[Ship Date Fixed]],"MMM-YYYY")</f>
        <v>Jun-2012</v>
      </c>
      <c r="R567" t="s">
        <v>1027</v>
      </c>
      <c r="S567" s="3">
        <f>Europe_Sales_Records34[[#This Row],[Ship Date Fixed]]-Europe_Sales_Records34[[#This Row],[Order Date Fixed]]</f>
        <v>9</v>
      </c>
      <c r="T567">
        <v>2554</v>
      </c>
      <c r="U567">
        <v>81.73</v>
      </c>
      <c r="V567">
        <v>56.67</v>
      </c>
      <c r="W567">
        <f>Europe_Sales_Records34[[#This Row],[Total Revenue]]/Europe_Sales_Records34[[#This Row],[Units Sold]]</f>
        <v>81.73</v>
      </c>
      <c r="X567">
        <v>208738.42</v>
      </c>
      <c r="Y567">
        <v>144735.18</v>
      </c>
      <c r="Z567" s="4">
        <f>Europe_Sales_Records34[[#This Row],[Total Profit]]/Europe_Sales_Records34[[#This Row],[Total Revenue]]</f>
        <v>0.30661935641747212</v>
      </c>
      <c r="AA567">
        <v>64003.24</v>
      </c>
    </row>
    <row r="568" spans="1:27" x14ac:dyDescent="0.3">
      <c r="A568" t="s">
        <v>14</v>
      </c>
      <c r="B568" t="s">
        <v>146</v>
      </c>
      <c r="C568" t="s">
        <v>71</v>
      </c>
      <c r="D568" t="s">
        <v>23</v>
      </c>
      <c r="E568" t="s">
        <v>24</v>
      </c>
      <c r="F568" t="s">
        <v>1028</v>
      </c>
      <c r="G568" s="2">
        <f t="shared" si="16"/>
        <v>40574</v>
      </c>
      <c r="H568">
        <f>DAY(Europe_Sales_Records34[[#This Row],[Order Date Fixed]])</f>
        <v>31</v>
      </c>
      <c r="I568" t="str">
        <f>TEXT(Europe_Sales_Records34[[#This Row],[Order Date Fixed]],"MMM")</f>
        <v>Jan</v>
      </c>
      <c r="J568">
        <f>YEAR(Europe_Sales_Records34[[#This Row],[Order Date Fixed]])</f>
        <v>2011</v>
      </c>
      <c r="K568" t="str">
        <f>TEXT(Europe_Sales_Records34[[#This Row],[Order Date Fixed]],"MMM-YYYY")</f>
        <v>Jan-2011</v>
      </c>
      <c r="L568">
        <v>582563626</v>
      </c>
      <c r="M568" s="2">
        <f t="shared" si="17"/>
        <v>40593</v>
      </c>
      <c r="N568">
        <f>DAY(Europe_Sales_Records34[[#This Row],[Ship Date Fixed]])</f>
        <v>19</v>
      </c>
      <c r="O568" t="str">
        <f>TEXT(Europe_Sales_Records34[[#This Row],[Ship Date Fixed]],"MMM")</f>
        <v>Feb</v>
      </c>
      <c r="P568">
        <f>YEAR(Europe_Sales_Records34[[#This Row],[Ship Date Fixed]])</f>
        <v>2011</v>
      </c>
      <c r="Q568" t="str">
        <f>TEXT(Europe_Sales_Records34[[#This Row],[Ship Date Fixed]],"MMM-YYYY")</f>
        <v>Feb-2011</v>
      </c>
      <c r="R568" t="s">
        <v>1029</v>
      </c>
      <c r="S568" s="3">
        <f>Europe_Sales_Records34[[#This Row],[Ship Date Fixed]]-Europe_Sales_Records34[[#This Row],[Order Date Fixed]]</f>
        <v>19</v>
      </c>
      <c r="T568">
        <v>2378</v>
      </c>
      <c r="U568">
        <v>668.27</v>
      </c>
      <c r="V568">
        <v>502.54</v>
      </c>
      <c r="W568">
        <f>Europe_Sales_Records34[[#This Row],[Total Revenue]]/Europe_Sales_Records34[[#This Row],[Units Sold]]</f>
        <v>668.27</v>
      </c>
      <c r="X568">
        <v>1589146.06</v>
      </c>
      <c r="Y568">
        <v>1195040.1200000001</v>
      </c>
      <c r="Z568" s="4">
        <f>Europe_Sales_Records34[[#This Row],[Total Profit]]/Europe_Sales_Records34[[#This Row],[Total Revenue]]</f>
        <v>0.24799856345489099</v>
      </c>
      <c r="AA568">
        <v>394105.94</v>
      </c>
    </row>
    <row r="569" spans="1:27" x14ac:dyDescent="0.3">
      <c r="A569" t="s">
        <v>14</v>
      </c>
      <c r="B569" t="s">
        <v>80</v>
      </c>
      <c r="C569" t="s">
        <v>58</v>
      </c>
      <c r="D569" t="s">
        <v>23</v>
      </c>
      <c r="E569" t="s">
        <v>24</v>
      </c>
      <c r="F569" t="s">
        <v>1030</v>
      </c>
      <c r="G569" s="2">
        <f t="shared" si="16"/>
        <v>41313</v>
      </c>
      <c r="H569">
        <f>DAY(Europe_Sales_Records34[[#This Row],[Order Date Fixed]])</f>
        <v>8</v>
      </c>
      <c r="I569" t="str">
        <f>TEXT(Europe_Sales_Records34[[#This Row],[Order Date Fixed]],"MMM")</f>
        <v>Feb</v>
      </c>
      <c r="J569">
        <f>YEAR(Europe_Sales_Records34[[#This Row],[Order Date Fixed]])</f>
        <v>2013</v>
      </c>
      <c r="K569" t="str">
        <f>TEXT(Europe_Sales_Records34[[#This Row],[Order Date Fixed]],"MMM-YYYY")</f>
        <v>Feb-2013</v>
      </c>
      <c r="L569">
        <v>943274819</v>
      </c>
      <c r="M569" s="2">
        <f t="shared" si="17"/>
        <v>41341</v>
      </c>
      <c r="N569">
        <f>DAY(Europe_Sales_Records34[[#This Row],[Ship Date Fixed]])</f>
        <v>8</v>
      </c>
      <c r="O569" t="str">
        <f>TEXT(Europe_Sales_Records34[[#This Row],[Ship Date Fixed]],"MMM")</f>
        <v>Mar</v>
      </c>
      <c r="P569">
        <f>YEAR(Europe_Sales_Records34[[#This Row],[Ship Date Fixed]])</f>
        <v>2013</v>
      </c>
      <c r="Q569" t="str">
        <f>TEXT(Europe_Sales_Records34[[#This Row],[Ship Date Fixed]],"MMM-YYYY")</f>
        <v>Mar-2013</v>
      </c>
      <c r="R569" t="s">
        <v>1031</v>
      </c>
      <c r="S569" s="3">
        <f>Europe_Sales_Records34[[#This Row],[Ship Date Fixed]]-Europe_Sales_Records34[[#This Row],[Order Date Fixed]]</f>
        <v>28</v>
      </c>
      <c r="T569">
        <v>4836</v>
      </c>
      <c r="U569">
        <v>152.58000000000001</v>
      </c>
      <c r="V569">
        <v>97.44</v>
      </c>
      <c r="W569">
        <f>Europe_Sales_Records34[[#This Row],[Total Revenue]]/Europe_Sales_Records34[[#This Row],[Units Sold]]</f>
        <v>152.58000000000001</v>
      </c>
      <c r="X569">
        <v>737876.88</v>
      </c>
      <c r="Y569">
        <v>471219.84</v>
      </c>
      <c r="Z569" s="4">
        <f>Europe_Sales_Records34[[#This Row],[Total Profit]]/Europe_Sales_Records34[[#This Row],[Total Revenue]]</f>
        <v>0.36138419189933146</v>
      </c>
      <c r="AA569">
        <v>266657.03999999998</v>
      </c>
    </row>
    <row r="570" spans="1:27" x14ac:dyDescent="0.3">
      <c r="A570" t="s">
        <v>14</v>
      </c>
      <c r="B570" t="s">
        <v>135</v>
      </c>
      <c r="C570" t="s">
        <v>32</v>
      </c>
      <c r="D570" t="s">
        <v>23</v>
      </c>
      <c r="E570" t="s">
        <v>54</v>
      </c>
      <c r="F570" t="s">
        <v>1032</v>
      </c>
      <c r="G570" s="2">
        <f t="shared" si="16"/>
        <v>40517</v>
      </c>
      <c r="H570">
        <f>DAY(Europe_Sales_Records34[[#This Row],[Order Date Fixed]])</f>
        <v>5</v>
      </c>
      <c r="I570" t="str">
        <f>TEXT(Europe_Sales_Records34[[#This Row],[Order Date Fixed]],"MMM")</f>
        <v>Dec</v>
      </c>
      <c r="J570">
        <f>YEAR(Europe_Sales_Records34[[#This Row],[Order Date Fixed]])</f>
        <v>2010</v>
      </c>
      <c r="K570" t="str">
        <f>TEXT(Europe_Sales_Records34[[#This Row],[Order Date Fixed]],"MMM-YYYY")</f>
        <v>Dec-2010</v>
      </c>
      <c r="L570">
        <v>313821303</v>
      </c>
      <c r="M570" s="2">
        <f t="shared" si="17"/>
        <v>40560</v>
      </c>
      <c r="N570">
        <f>DAY(Europe_Sales_Records34[[#This Row],[Ship Date Fixed]])</f>
        <v>17</v>
      </c>
      <c r="O570" t="str">
        <f>TEXT(Europe_Sales_Records34[[#This Row],[Ship Date Fixed]],"MMM")</f>
        <v>Jan</v>
      </c>
      <c r="P570">
        <f>YEAR(Europe_Sales_Records34[[#This Row],[Ship Date Fixed]])</f>
        <v>2011</v>
      </c>
      <c r="Q570" t="str">
        <f>TEXT(Europe_Sales_Records34[[#This Row],[Ship Date Fixed]],"MMM-YYYY")</f>
        <v>Jan-2011</v>
      </c>
      <c r="R570" t="s">
        <v>1033</v>
      </c>
      <c r="S570" s="3">
        <f>Europe_Sales_Records34[[#This Row],[Ship Date Fixed]]-Europe_Sales_Records34[[#This Row],[Order Date Fixed]]</f>
        <v>43</v>
      </c>
      <c r="T570">
        <v>5552</v>
      </c>
      <c r="U570">
        <v>651.21</v>
      </c>
      <c r="V570">
        <v>524.96</v>
      </c>
      <c r="W570">
        <f>Europe_Sales_Records34[[#This Row],[Total Revenue]]/Europe_Sales_Records34[[#This Row],[Units Sold]]</f>
        <v>651.21</v>
      </c>
      <c r="X570">
        <v>3615517.92</v>
      </c>
      <c r="Y570">
        <v>2914577.92</v>
      </c>
      <c r="Z570" s="4">
        <f>Europe_Sales_Records34[[#This Row],[Total Profit]]/Europe_Sales_Records34[[#This Row],[Total Revenue]]</f>
        <v>0.19386987300563566</v>
      </c>
      <c r="AA570">
        <v>700940</v>
      </c>
    </row>
    <row r="571" spans="1:27" x14ac:dyDescent="0.3">
      <c r="A571" t="s">
        <v>14</v>
      </c>
      <c r="B571" t="s">
        <v>243</v>
      </c>
      <c r="C571" t="s">
        <v>16</v>
      </c>
      <c r="D571" t="s">
        <v>23</v>
      </c>
      <c r="E571" t="s">
        <v>24</v>
      </c>
      <c r="F571" t="s">
        <v>1034</v>
      </c>
      <c r="G571" s="2">
        <f t="shared" si="16"/>
        <v>42249</v>
      </c>
      <c r="H571">
        <f>DAY(Europe_Sales_Records34[[#This Row],[Order Date Fixed]])</f>
        <v>2</v>
      </c>
      <c r="I571" t="str">
        <f>TEXT(Europe_Sales_Records34[[#This Row],[Order Date Fixed]],"MMM")</f>
        <v>Sep</v>
      </c>
      <c r="J571">
        <f>YEAR(Europe_Sales_Records34[[#This Row],[Order Date Fixed]])</f>
        <v>2015</v>
      </c>
      <c r="K571" t="str">
        <f>TEXT(Europe_Sales_Records34[[#This Row],[Order Date Fixed]],"MMM-YYYY")</f>
        <v>Sep-2015</v>
      </c>
      <c r="L571">
        <v>431753098</v>
      </c>
      <c r="M571" s="2">
        <f t="shared" si="17"/>
        <v>42296</v>
      </c>
      <c r="N571">
        <f>DAY(Europe_Sales_Records34[[#This Row],[Ship Date Fixed]])</f>
        <v>19</v>
      </c>
      <c r="O571" t="str">
        <f>TEXT(Europe_Sales_Records34[[#This Row],[Ship Date Fixed]],"MMM")</f>
        <v>Oct</v>
      </c>
      <c r="P571">
        <f>YEAR(Europe_Sales_Records34[[#This Row],[Ship Date Fixed]])</f>
        <v>2015</v>
      </c>
      <c r="Q571" t="str">
        <f>TEXT(Europe_Sales_Records34[[#This Row],[Ship Date Fixed]],"MMM-YYYY")</f>
        <v>Oct-2015</v>
      </c>
      <c r="R571" t="s">
        <v>1035</v>
      </c>
      <c r="S571" s="3">
        <f>Europe_Sales_Records34[[#This Row],[Ship Date Fixed]]-Europe_Sales_Records34[[#This Row],[Order Date Fixed]]</f>
        <v>47</v>
      </c>
      <c r="T571">
        <v>4191</v>
      </c>
      <c r="U571">
        <v>47.45</v>
      </c>
      <c r="V571">
        <v>31.79</v>
      </c>
      <c r="W571">
        <f>Europe_Sales_Records34[[#This Row],[Total Revenue]]/Europe_Sales_Records34[[#This Row],[Units Sold]]</f>
        <v>47.45</v>
      </c>
      <c r="X571">
        <v>198862.95</v>
      </c>
      <c r="Y571">
        <v>133231.89000000001</v>
      </c>
      <c r="Z571" s="4">
        <f>Europe_Sales_Records34[[#This Row],[Total Profit]]/Europe_Sales_Records34[[#This Row],[Total Revenue]]</f>
        <v>0.330031612223393</v>
      </c>
      <c r="AA571">
        <v>65631.06</v>
      </c>
    </row>
    <row r="572" spans="1:27" x14ac:dyDescent="0.3">
      <c r="A572" t="s">
        <v>14</v>
      </c>
      <c r="B572" t="s">
        <v>21</v>
      </c>
      <c r="C572" t="s">
        <v>71</v>
      </c>
      <c r="D572" t="s">
        <v>23</v>
      </c>
      <c r="E572" t="s">
        <v>18</v>
      </c>
      <c r="F572" t="s">
        <v>1036</v>
      </c>
      <c r="G572" s="2">
        <f t="shared" si="16"/>
        <v>40905</v>
      </c>
      <c r="H572">
        <f>DAY(Europe_Sales_Records34[[#This Row],[Order Date Fixed]])</f>
        <v>28</v>
      </c>
      <c r="I572" t="str">
        <f>TEXT(Europe_Sales_Records34[[#This Row],[Order Date Fixed]],"MMM")</f>
        <v>Dec</v>
      </c>
      <c r="J572">
        <f>YEAR(Europe_Sales_Records34[[#This Row],[Order Date Fixed]])</f>
        <v>2011</v>
      </c>
      <c r="K572" t="str">
        <f>TEXT(Europe_Sales_Records34[[#This Row],[Order Date Fixed]],"MMM-YYYY")</f>
        <v>Dec-2011</v>
      </c>
      <c r="L572">
        <v>969289243</v>
      </c>
      <c r="M572" s="2">
        <f t="shared" si="17"/>
        <v>40941</v>
      </c>
      <c r="N572">
        <f>DAY(Europe_Sales_Records34[[#This Row],[Ship Date Fixed]])</f>
        <v>2</v>
      </c>
      <c r="O572" t="str">
        <f>TEXT(Europe_Sales_Records34[[#This Row],[Ship Date Fixed]],"MMM")</f>
        <v>Feb</v>
      </c>
      <c r="P572">
        <f>YEAR(Europe_Sales_Records34[[#This Row],[Ship Date Fixed]])</f>
        <v>2012</v>
      </c>
      <c r="Q572" t="str">
        <f>TEXT(Europe_Sales_Records34[[#This Row],[Ship Date Fixed]],"MMM-YYYY")</f>
        <v>Feb-2012</v>
      </c>
      <c r="R572" t="s">
        <v>356</v>
      </c>
      <c r="S572" s="3">
        <f>Europe_Sales_Records34[[#This Row],[Ship Date Fixed]]-Europe_Sales_Records34[[#This Row],[Order Date Fixed]]</f>
        <v>36</v>
      </c>
      <c r="T572">
        <v>3082</v>
      </c>
      <c r="U572">
        <v>668.27</v>
      </c>
      <c r="V572">
        <v>502.54</v>
      </c>
      <c r="W572">
        <f>Europe_Sales_Records34[[#This Row],[Total Revenue]]/Europe_Sales_Records34[[#This Row],[Units Sold]]</f>
        <v>668.27</v>
      </c>
      <c r="X572">
        <v>2059608.14</v>
      </c>
      <c r="Y572">
        <v>1548828.28</v>
      </c>
      <c r="Z572" s="4">
        <f>Europe_Sales_Records34[[#This Row],[Total Profit]]/Europe_Sales_Records34[[#This Row],[Total Revenue]]</f>
        <v>0.24799856345489099</v>
      </c>
      <c r="AA572">
        <v>510779.86</v>
      </c>
    </row>
    <row r="573" spans="1:27" x14ac:dyDescent="0.3">
      <c r="A573" t="s">
        <v>14</v>
      </c>
      <c r="B573" t="s">
        <v>115</v>
      </c>
      <c r="C573" t="s">
        <v>58</v>
      </c>
      <c r="D573" t="s">
        <v>17</v>
      </c>
      <c r="E573" t="s">
        <v>24</v>
      </c>
      <c r="F573" t="s">
        <v>1037</v>
      </c>
      <c r="G573" s="2">
        <f t="shared" si="16"/>
        <v>40741</v>
      </c>
      <c r="H573">
        <f>DAY(Europe_Sales_Records34[[#This Row],[Order Date Fixed]])</f>
        <v>17</v>
      </c>
      <c r="I573" t="str">
        <f>TEXT(Europe_Sales_Records34[[#This Row],[Order Date Fixed]],"MMM")</f>
        <v>Jul</v>
      </c>
      <c r="J573">
        <f>YEAR(Europe_Sales_Records34[[#This Row],[Order Date Fixed]])</f>
        <v>2011</v>
      </c>
      <c r="K573" t="str">
        <f>TEXT(Europe_Sales_Records34[[#This Row],[Order Date Fixed]],"MMM-YYYY")</f>
        <v>Jul-2011</v>
      </c>
      <c r="L573">
        <v>861982858</v>
      </c>
      <c r="M573" s="2">
        <f t="shared" si="17"/>
        <v>40790</v>
      </c>
      <c r="N573">
        <f>DAY(Europe_Sales_Records34[[#This Row],[Ship Date Fixed]])</f>
        <v>4</v>
      </c>
      <c r="O573" t="str">
        <f>TEXT(Europe_Sales_Records34[[#This Row],[Ship Date Fixed]],"MMM")</f>
        <v>Sep</v>
      </c>
      <c r="P573">
        <f>YEAR(Europe_Sales_Records34[[#This Row],[Ship Date Fixed]])</f>
        <v>2011</v>
      </c>
      <c r="Q573" t="str">
        <f>TEXT(Europe_Sales_Records34[[#This Row],[Ship Date Fixed]],"MMM-YYYY")</f>
        <v>Sep-2011</v>
      </c>
      <c r="R573" t="s">
        <v>1038</v>
      </c>
      <c r="S573" s="3">
        <f>Europe_Sales_Records34[[#This Row],[Ship Date Fixed]]-Europe_Sales_Records34[[#This Row],[Order Date Fixed]]</f>
        <v>49</v>
      </c>
      <c r="T573">
        <v>8738</v>
      </c>
      <c r="U573">
        <v>152.58000000000001</v>
      </c>
      <c r="V573">
        <v>97.44</v>
      </c>
      <c r="W573">
        <f>Europe_Sales_Records34[[#This Row],[Total Revenue]]/Europe_Sales_Records34[[#This Row],[Units Sold]]</f>
        <v>152.58000000000001</v>
      </c>
      <c r="X573">
        <v>1333244.04</v>
      </c>
      <c r="Y573">
        <v>851430.72</v>
      </c>
      <c r="Z573" s="4">
        <f>Europe_Sales_Records34[[#This Row],[Total Profit]]/Europe_Sales_Records34[[#This Row],[Total Revenue]]</f>
        <v>0.36138419189933152</v>
      </c>
      <c r="AA573">
        <v>481813.32</v>
      </c>
    </row>
    <row r="574" spans="1:27" x14ac:dyDescent="0.3">
      <c r="A574" t="s">
        <v>14</v>
      </c>
      <c r="B574" t="s">
        <v>185</v>
      </c>
      <c r="C574" t="s">
        <v>50</v>
      </c>
      <c r="D574" t="s">
        <v>23</v>
      </c>
      <c r="E574" t="s">
        <v>24</v>
      </c>
      <c r="F574" t="s">
        <v>1039</v>
      </c>
      <c r="G574" s="2">
        <f t="shared" si="16"/>
        <v>42421</v>
      </c>
      <c r="H574">
        <f>DAY(Europe_Sales_Records34[[#This Row],[Order Date Fixed]])</f>
        <v>21</v>
      </c>
      <c r="I574" t="str">
        <f>TEXT(Europe_Sales_Records34[[#This Row],[Order Date Fixed]],"MMM")</f>
        <v>Feb</v>
      </c>
      <c r="J574">
        <f>YEAR(Europe_Sales_Records34[[#This Row],[Order Date Fixed]])</f>
        <v>2016</v>
      </c>
      <c r="K574" t="str">
        <f>TEXT(Europe_Sales_Records34[[#This Row],[Order Date Fixed]],"MMM-YYYY")</f>
        <v>Feb-2016</v>
      </c>
      <c r="L574">
        <v>290317428</v>
      </c>
      <c r="M574" s="2">
        <f t="shared" si="17"/>
        <v>42462</v>
      </c>
      <c r="N574">
        <f>DAY(Europe_Sales_Records34[[#This Row],[Ship Date Fixed]])</f>
        <v>2</v>
      </c>
      <c r="O574" t="str">
        <f>TEXT(Europe_Sales_Records34[[#This Row],[Ship Date Fixed]],"MMM")</f>
        <v>Apr</v>
      </c>
      <c r="P574">
        <f>YEAR(Europe_Sales_Records34[[#This Row],[Ship Date Fixed]])</f>
        <v>2016</v>
      </c>
      <c r="Q574" t="str">
        <f>TEXT(Europe_Sales_Records34[[#This Row],[Ship Date Fixed]],"MMM-YYYY")</f>
        <v>Apr-2016</v>
      </c>
      <c r="R574" t="s">
        <v>1040</v>
      </c>
      <c r="S574" s="3">
        <f>Europe_Sales_Records34[[#This Row],[Ship Date Fixed]]-Europe_Sales_Records34[[#This Row],[Order Date Fixed]]</f>
        <v>41</v>
      </c>
      <c r="T574">
        <v>233</v>
      </c>
      <c r="U574">
        <v>421.89</v>
      </c>
      <c r="V574">
        <v>364.69</v>
      </c>
      <c r="W574">
        <f>Europe_Sales_Records34[[#This Row],[Total Revenue]]/Europe_Sales_Records34[[#This Row],[Units Sold]]</f>
        <v>421.89</v>
      </c>
      <c r="X574">
        <v>98300.37</v>
      </c>
      <c r="Y574">
        <v>84972.77</v>
      </c>
      <c r="Z574" s="4">
        <f>Europe_Sales_Records34[[#This Row],[Total Profit]]/Europe_Sales_Records34[[#This Row],[Total Revenue]]</f>
        <v>0.13558036455000119</v>
      </c>
      <c r="AA574">
        <v>13327.6</v>
      </c>
    </row>
    <row r="575" spans="1:27" x14ac:dyDescent="0.3">
      <c r="A575" t="s">
        <v>14</v>
      </c>
      <c r="B575" t="s">
        <v>97</v>
      </c>
      <c r="C575" t="s">
        <v>22</v>
      </c>
      <c r="D575" t="s">
        <v>17</v>
      </c>
      <c r="E575" t="s">
        <v>18</v>
      </c>
      <c r="F575" t="s">
        <v>1041</v>
      </c>
      <c r="G575" s="2">
        <f t="shared" si="16"/>
        <v>42523</v>
      </c>
      <c r="H575">
        <f>DAY(Europe_Sales_Records34[[#This Row],[Order Date Fixed]])</f>
        <v>2</v>
      </c>
      <c r="I575" t="str">
        <f>TEXT(Europe_Sales_Records34[[#This Row],[Order Date Fixed]],"MMM")</f>
        <v>Jun</v>
      </c>
      <c r="J575">
        <f>YEAR(Europe_Sales_Records34[[#This Row],[Order Date Fixed]])</f>
        <v>2016</v>
      </c>
      <c r="K575" t="str">
        <f>TEXT(Europe_Sales_Records34[[#This Row],[Order Date Fixed]],"MMM-YYYY")</f>
        <v>Jun-2016</v>
      </c>
      <c r="L575">
        <v>105030000</v>
      </c>
      <c r="M575" s="2">
        <f t="shared" si="17"/>
        <v>42534</v>
      </c>
      <c r="N575">
        <f>DAY(Europe_Sales_Records34[[#This Row],[Ship Date Fixed]])</f>
        <v>13</v>
      </c>
      <c r="O575" t="str">
        <f>TEXT(Europe_Sales_Records34[[#This Row],[Ship Date Fixed]],"MMM")</f>
        <v>Jun</v>
      </c>
      <c r="P575">
        <f>YEAR(Europe_Sales_Records34[[#This Row],[Ship Date Fixed]])</f>
        <v>2016</v>
      </c>
      <c r="Q575" t="str">
        <f>TEXT(Europe_Sales_Records34[[#This Row],[Ship Date Fixed]],"MMM-YYYY")</f>
        <v>Jun-2016</v>
      </c>
      <c r="R575" t="s">
        <v>1016</v>
      </c>
      <c r="S575" s="3">
        <f>Europe_Sales_Records34[[#This Row],[Ship Date Fixed]]-Europe_Sales_Records34[[#This Row],[Order Date Fixed]]</f>
        <v>11</v>
      </c>
      <c r="T575">
        <v>9566</v>
      </c>
      <c r="U575">
        <v>109.28</v>
      </c>
      <c r="V575">
        <v>35.840000000000003</v>
      </c>
      <c r="W575">
        <f>Europe_Sales_Records34[[#This Row],[Total Revenue]]/Europe_Sales_Records34[[#This Row],[Units Sold]]</f>
        <v>109.28</v>
      </c>
      <c r="X575">
        <v>1045372.48</v>
      </c>
      <c r="Y575">
        <v>342845.44</v>
      </c>
      <c r="Z575" s="4">
        <f>Europe_Sales_Records34[[#This Row],[Total Profit]]/Europe_Sales_Records34[[#This Row],[Total Revenue]]</f>
        <v>0.67203513909224022</v>
      </c>
      <c r="AA575">
        <v>702527.04</v>
      </c>
    </row>
    <row r="576" spans="1:27" x14ac:dyDescent="0.3">
      <c r="A576" t="s">
        <v>14</v>
      </c>
      <c r="B576" t="s">
        <v>57</v>
      </c>
      <c r="C576" t="s">
        <v>16</v>
      </c>
      <c r="D576" t="s">
        <v>23</v>
      </c>
      <c r="E576" t="s">
        <v>54</v>
      </c>
      <c r="F576" t="s">
        <v>1042</v>
      </c>
      <c r="G576" s="2">
        <f t="shared" si="16"/>
        <v>42247</v>
      </c>
      <c r="H576">
        <f>DAY(Europe_Sales_Records34[[#This Row],[Order Date Fixed]])</f>
        <v>31</v>
      </c>
      <c r="I576" t="str">
        <f>TEXT(Europe_Sales_Records34[[#This Row],[Order Date Fixed]],"MMM")</f>
        <v>Aug</v>
      </c>
      <c r="J576">
        <f>YEAR(Europe_Sales_Records34[[#This Row],[Order Date Fixed]])</f>
        <v>2015</v>
      </c>
      <c r="K576" t="str">
        <f>TEXT(Europe_Sales_Records34[[#This Row],[Order Date Fixed]],"MMM-YYYY")</f>
        <v>Aug-2015</v>
      </c>
      <c r="L576">
        <v>960213077</v>
      </c>
      <c r="M576" s="2">
        <f t="shared" si="17"/>
        <v>42293</v>
      </c>
      <c r="N576">
        <f>DAY(Europe_Sales_Records34[[#This Row],[Ship Date Fixed]])</f>
        <v>16</v>
      </c>
      <c r="O576" t="str">
        <f>TEXT(Europe_Sales_Records34[[#This Row],[Ship Date Fixed]],"MMM")</f>
        <v>Oct</v>
      </c>
      <c r="P576">
        <f>YEAR(Europe_Sales_Records34[[#This Row],[Ship Date Fixed]])</f>
        <v>2015</v>
      </c>
      <c r="Q576" t="str">
        <f>TEXT(Europe_Sales_Records34[[#This Row],[Ship Date Fixed]],"MMM-YYYY")</f>
        <v>Oct-2015</v>
      </c>
      <c r="R576" t="s">
        <v>1043</v>
      </c>
      <c r="S576" s="3">
        <f>Europe_Sales_Records34[[#This Row],[Ship Date Fixed]]-Europe_Sales_Records34[[#This Row],[Order Date Fixed]]</f>
        <v>46</v>
      </c>
      <c r="T576">
        <v>7242</v>
      </c>
      <c r="U576">
        <v>47.45</v>
      </c>
      <c r="V576">
        <v>31.79</v>
      </c>
      <c r="W576">
        <f>Europe_Sales_Records34[[#This Row],[Total Revenue]]/Europe_Sales_Records34[[#This Row],[Units Sold]]</f>
        <v>47.45</v>
      </c>
      <c r="X576">
        <v>343632.9</v>
      </c>
      <c r="Y576">
        <v>230223.18</v>
      </c>
      <c r="Z576" s="4">
        <f>Europe_Sales_Records34[[#This Row],[Total Profit]]/Europe_Sales_Records34[[#This Row],[Total Revenue]]</f>
        <v>0.330031612223393</v>
      </c>
      <c r="AA576">
        <v>113409.72</v>
      </c>
    </row>
    <row r="577" spans="1:27" x14ac:dyDescent="0.3">
      <c r="A577" t="s">
        <v>14</v>
      </c>
      <c r="B577" t="s">
        <v>135</v>
      </c>
      <c r="C577" t="s">
        <v>75</v>
      </c>
      <c r="D577" t="s">
        <v>17</v>
      </c>
      <c r="E577" t="s">
        <v>33</v>
      </c>
      <c r="F577" t="s">
        <v>491</v>
      </c>
      <c r="G577" s="2">
        <f t="shared" si="16"/>
        <v>41786</v>
      </c>
      <c r="H577">
        <f>DAY(Europe_Sales_Records34[[#This Row],[Order Date Fixed]])</f>
        <v>27</v>
      </c>
      <c r="I577" t="str">
        <f>TEXT(Europe_Sales_Records34[[#This Row],[Order Date Fixed]],"MMM")</f>
        <v>May</v>
      </c>
      <c r="J577">
        <f>YEAR(Europe_Sales_Records34[[#This Row],[Order Date Fixed]])</f>
        <v>2014</v>
      </c>
      <c r="K577" t="str">
        <f>TEXT(Europe_Sales_Records34[[#This Row],[Order Date Fixed]],"MMM-YYYY")</f>
        <v>May-2014</v>
      </c>
      <c r="L577">
        <v>743619334</v>
      </c>
      <c r="M577" s="2">
        <f t="shared" si="17"/>
        <v>41829</v>
      </c>
      <c r="N577">
        <f>DAY(Europe_Sales_Records34[[#This Row],[Ship Date Fixed]])</f>
        <v>9</v>
      </c>
      <c r="O577" t="str">
        <f>TEXT(Europe_Sales_Records34[[#This Row],[Ship Date Fixed]],"MMM")</f>
        <v>Jul</v>
      </c>
      <c r="P577">
        <f>YEAR(Europe_Sales_Records34[[#This Row],[Ship Date Fixed]])</f>
        <v>2014</v>
      </c>
      <c r="Q577" t="str">
        <f>TEXT(Europe_Sales_Records34[[#This Row],[Ship Date Fixed]],"MMM-YYYY")</f>
        <v>Jul-2014</v>
      </c>
      <c r="R577" t="s">
        <v>1044</v>
      </c>
      <c r="S577" s="3">
        <f>Europe_Sales_Records34[[#This Row],[Ship Date Fixed]]-Europe_Sales_Records34[[#This Row],[Order Date Fixed]]</f>
        <v>43</v>
      </c>
      <c r="T577">
        <v>2341</v>
      </c>
      <c r="U577">
        <v>437.2</v>
      </c>
      <c r="V577">
        <v>263.33</v>
      </c>
      <c r="W577">
        <f>Europe_Sales_Records34[[#This Row],[Total Revenue]]/Europe_Sales_Records34[[#This Row],[Units Sold]]</f>
        <v>437.2</v>
      </c>
      <c r="X577">
        <v>1023485.2</v>
      </c>
      <c r="Y577">
        <v>616455.53</v>
      </c>
      <c r="Z577" s="4">
        <f>Europe_Sales_Records34[[#This Row],[Total Profit]]/Europe_Sales_Records34[[#This Row],[Total Revenue]]</f>
        <v>0.39768984446477584</v>
      </c>
      <c r="AA577">
        <v>407029.67</v>
      </c>
    </row>
    <row r="578" spans="1:27" x14ac:dyDescent="0.3">
      <c r="A578" t="s">
        <v>14</v>
      </c>
      <c r="B578" t="s">
        <v>271</v>
      </c>
      <c r="C578" t="s">
        <v>32</v>
      </c>
      <c r="D578" t="s">
        <v>17</v>
      </c>
      <c r="E578" t="s">
        <v>54</v>
      </c>
      <c r="F578" t="s">
        <v>160</v>
      </c>
      <c r="G578" s="2">
        <f t="shared" ref="G578:G641" si="18">DATE(
  RIGHT(F578,4),
  LEFT(F578,FIND("/",F578)-1),
  MID(F578,FIND("/",F578)+1, FIND("/",F578,FIND("/",F578)+1)-FIND("/",F578)-1)
)</f>
        <v>42719</v>
      </c>
      <c r="H578">
        <f>DAY(Europe_Sales_Records34[[#This Row],[Order Date Fixed]])</f>
        <v>15</v>
      </c>
      <c r="I578" t="str">
        <f>TEXT(Europe_Sales_Records34[[#This Row],[Order Date Fixed]],"MMM")</f>
        <v>Dec</v>
      </c>
      <c r="J578">
        <f>YEAR(Europe_Sales_Records34[[#This Row],[Order Date Fixed]])</f>
        <v>2016</v>
      </c>
      <c r="K578" t="str">
        <f>TEXT(Europe_Sales_Records34[[#This Row],[Order Date Fixed]],"MMM-YYYY")</f>
        <v>Dec-2016</v>
      </c>
      <c r="L578">
        <v>263977277</v>
      </c>
      <c r="M578" s="2">
        <f t="shared" ref="M578:M641" si="19">DATE(
  RIGHT(R578,4),
  LEFT(R578,FIND("/",R578)-1),
  MID(
      R578,
      FIND("/",R578)+1,
      FIND("/",R578,FIND("/",R578)+1)-FIND("/",R578)-1
     )
)</f>
        <v>42745</v>
      </c>
      <c r="N578">
        <f>DAY(Europe_Sales_Records34[[#This Row],[Ship Date Fixed]])</f>
        <v>10</v>
      </c>
      <c r="O578" t="str">
        <f>TEXT(Europe_Sales_Records34[[#This Row],[Ship Date Fixed]],"MMM")</f>
        <v>Jan</v>
      </c>
      <c r="P578">
        <f>YEAR(Europe_Sales_Records34[[#This Row],[Ship Date Fixed]])</f>
        <v>2017</v>
      </c>
      <c r="Q578" t="str">
        <f>TEXT(Europe_Sales_Records34[[#This Row],[Ship Date Fixed]],"MMM-YYYY")</f>
        <v>Jan-2017</v>
      </c>
      <c r="R578" t="s">
        <v>630</v>
      </c>
      <c r="S578" s="3">
        <f>Europe_Sales_Records34[[#This Row],[Ship Date Fixed]]-Europe_Sales_Records34[[#This Row],[Order Date Fixed]]</f>
        <v>26</v>
      </c>
      <c r="T578">
        <v>5597</v>
      </c>
      <c r="U578">
        <v>651.21</v>
      </c>
      <c r="V578">
        <v>524.96</v>
      </c>
      <c r="W578">
        <f>Europe_Sales_Records34[[#This Row],[Total Revenue]]/Europe_Sales_Records34[[#This Row],[Units Sold]]</f>
        <v>651.21</v>
      </c>
      <c r="X578">
        <v>3644822.37</v>
      </c>
      <c r="Y578">
        <v>2938201.12</v>
      </c>
      <c r="Z578" s="4">
        <f>Europe_Sales_Records34[[#This Row],[Total Profit]]/Europe_Sales_Records34[[#This Row],[Total Revenue]]</f>
        <v>0.19386987300563566</v>
      </c>
      <c r="AA578">
        <v>706621.25</v>
      </c>
    </row>
    <row r="579" spans="1:27" x14ac:dyDescent="0.3">
      <c r="A579" t="s">
        <v>14</v>
      </c>
      <c r="B579" t="s">
        <v>40</v>
      </c>
      <c r="C579" t="s">
        <v>32</v>
      </c>
      <c r="D579" t="s">
        <v>17</v>
      </c>
      <c r="E579" t="s">
        <v>54</v>
      </c>
      <c r="F579" t="s">
        <v>1045</v>
      </c>
      <c r="G579" s="2">
        <f t="shared" si="18"/>
        <v>40656</v>
      </c>
      <c r="H579">
        <f>DAY(Europe_Sales_Records34[[#This Row],[Order Date Fixed]])</f>
        <v>23</v>
      </c>
      <c r="I579" t="str">
        <f>TEXT(Europe_Sales_Records34[[#This Row],[Order Date Fixed]],"MMM")</f>
        <v>Apr</v>
      </c>
      <c r="J579">
        <f>YEAR(Europe_Sales_Records34[[#This Row],[Order Date Fixed]])</f>
        <v>2011</v>
      </c>
      <c r="K579" t="str">
        <f>TEXT(Europe_Sales_Records34[[#This Row],[Order Date Fixed]],"MMM-YYYY")</f>
        <v>Apr-2011</v>
      </c>
      <c r="L579">
        <v>819152915</v>
      </c>
      <c r="M579" s="2">
        <f t="shared" si="19"/>
        <v>40657</v>
      </c>
      <c r="N579">
        <f>DAY(Europe_Sales_Records34[[#This Row],[Ship Date Fixed]])</f>
        <v>24</v>
      </c>
      <c r="O579" t="str">
        <f>TEXT(Europe_Sales_Records34[[#This Row],[Ship Date Fixed]],"MMM")</f>
        <v>Apr</v>
      </c>
      <c r="P579">
        <f>YEAR(Europe_Sales_Records34[[#This Row],[Ship Date Fixed]])</f>
        <v>2011</v>
      </c>
      <c r="Q579" t="str">
        <f>TEXT(Europe_Sales_Records34[[#This Row],[Ship Date Fixed]],"MMM-YYYY")</f>
        <v>Apr-2011</v>
      </c>
      <c r="R579" t="s">
        <v>1046</v>
      </c>
      <c r="S579" s="3">
        <f>Europe_Sales_Records34[[#This Row],[Ship Date Fixed]]-Europe_Sales_Records34[[#This Row],[Order Date Fixed]]</f>
        <v>1</v>
      </c>
      <c r="T579">
        <v>4406</v>
      </c>
      <c r="U579">
        <v>651.21</v>
      </c>
      <c r="V579">
        <v>524.96</v>
      </c>
      <c r="W579">
        <f>Europe_Sales_Records34[[#This Row],[Total Revenue]]/Europe_Sales_Records34[[#This Row],[Units Sold]]</f>
        <v>651.20999999999992</v>
      </c>
      <c r="X579">
        <v>2869231.26</v>
      </c>
      <c r="Y579">
        <v>2312973.7599999998</v>
      </c>
      <c r="Z579" s="4">
        <f>Europe_Sales_Records34[[#This Row],[Total Profit]]/Europe_Sales_Records34[[#This Row],[Total Revenue]]</f>
        <v>0.19386987300563568</v>
      </c>
      <c r="AA579">
        <v>556257.5</v>
      </c>
    </row>
    <row r="580" spans="1:27" x14ac:dyDescent="0.3">
      <c r="A580" t="s">
        <v>14</v>
      </c>
      <c r="B580" t="s">
        <v>163</v>
      </c>
      <c r="C580" t="s">
        <v>102</v>
      </c>
      <c r="D580" t="s">
        <v>17</v>
      </c>
      <c r="E580" t="s">
        <v>18</v>
      </c>
      <c r="F580" t="s">
        <v>1047</v>
      </c>
      <c r="G580" s="2">
        <f t="shared" si="18"/>
        <v>42229</v>
      </c>
      <c r="H580">
        <f>DAY(Europe_Sales_Records34[[#This Row],[Order Date Fixed]])</f>
        <v>13</v>
      </c>
      <c r="I580" t="str">
        <f>TEXT(Europe_Sales_Records34[[#This Row],[Order Date Fixed]],"MMM")</f>
        <v>Aug</v>
      </c>
      <c r="J580">
        <f>YEAR(Europe_Sales_Records34[[#This Row],[Order Date Fixed]])</f>
        <v>2015</v>
      </c>
      <c r="K580" t="str">
        <f>TEXT(Europe_Sales_Records34[[#This Row],[Order Date Fixed]],"MMM-YYYY")</f>
        <v>Aug-2015</v>
      </c>
      <c r="L580">
        <v>980598723</v>
      </c>
      <c r="M580" s="2">
        <f t="shared" si="19"/>
        <v>42271</v>
      </c>
      <c r="N580">
        <f>DAY(Europe_Sales_Records34[[#This Row],[Ship Date Fixed]])</f>
        <v>24</v>
      </c>
      <c r="O580" t="str">
        <f>TEXT(Europe_Sales_Records34[[#This Row],[Ship Date Fixed]],"MMM")</f>
        <v>Sep</v>
      </c>
      <c r="P580">
        <f>YEAR(Europe_Sales_Records34[[#This Row],[Ship Date Fixed]])</f>
        <v>2015</v>
      </c>
      <c r="Q580" t="str">
        <f>TEXT(Europe_Sales_Records34[[#This Row],[Ship Date Fixed]],"MMM-YYYY")</f>
        <v>Sep-2015</v>
      </c>
      <c r="R580" t="s">
        <v>1048</v>
      </c>
      <c r="S580" s="3">
        <f>Europe_Sales_Records34[[#This Row],[Ship Date Fixed]]-Europe_Sales_Records34[[#This Row],[Order Date Fixed]]</f>
        <v>42</v>
      </c>
      <c r="T580">
        <v>9808</v>
      </c>
      <c r="U580">
        <v>81.73</v>
      </c>
      <c r="V580">
        <v>56.67</v>
      </c>
      <c r="W580">
        <f>Europe_Sales_Records34[[#This Row],[Total Revenue]]/Europe_Sales_Records34[[#This Row],[Units Sold]]</f>
        <v>81.72999999999999</v>
      </c>
      <c r="X580">
        <v>801607.84</v>
      </c>
      <c r="Y580">
        <v>555819.36</v>
      </c>
      <c r="Z580" s="4">
        <f>Europe_Sales_Records34[[#This Row],[Total Profit]]/Europe_Sales_Records34[[#This Row],[Total Revenue]]</f>
        <v>0.30661935641747218</v>
      </c>
      <c r="AA580">
        <v>245788.48</v>
      </c>
    </row>
    <row r="581" spans="1:27" x14ac:dyDescent="0.3">
      <c r="A581" t="s">
        <v>14</v>
      </c>
      <c r="B581" t="s">
        <v>220</v>
      </c>
      <c r="C581" t="s">
        <v>22</v>
      </c>
      <c r="D581" t="s">
        <v>17</v>
      </c>
      <c r="E581" t="s">
        <v>33</v>
      </c>
      <c r="F581" t="s">
        <v>1049</v>
      </c>
      <c r="G581" s="2">
        <f t="shared" si="18"/>
        <v>40681</v>
      </c>
      <c r="H581">
        <f>DAY(Europe_Sales_Records34[[#This Row],[Order Date Fixed]])</f>
        <v>18</v>
      </c>
      <c r="I581" t="str">
        <f>TEXT(Europe_Sales_Records34[[#This Row],[Order Date Fixed]],"MMM")</f>
        <v>May</v>
      </c>
      <c r="J581">
        <f>YEAR(Europe_Sales_Records34[[#This Row],[Order Date Fixed]])</f>
        <v>2011</v>
      </c>
      <c r="K581" t="str">
        <f>TEXT(Europe_Sales_Records34[[#This Row],[Order Date Fixed]],"MMM-YYYY")</f>
        <v>May-2011</v>
      </c>
      <c r="L581">
        <v>974147260</v>
      </c>
      <c r="M581" s="2">
        <f t="shared" si="19"/>
        <v>40702</v>
      </c>
      <c r="N581">
        <f>DAY(Europe_Sales_Records34[[#This Row],[Ship Date Fixed]])</f>
        <v>8</v>
      </c>
      <c r="O581" t="str">
        <f>TEXT(Europe_Sales_Records34[[#This Row],[Ship Date Fixed]],"MMM")</f>
        <v>Jun</v>
      </c>
      <c r="P581">
        <f>YEAR(Europe_Sales_Records34[[#This Row],[Ship Date Fixed]])</f>
        <v>2011</v>
      </c>
      <c r="Q581" t="str">
        <f>TEXT(Europe_Sales_Records34[[#This Row],[Ship Date Fixed]],"MMM-YYYY")</f>
        <v>Jun-2011</v>
      </c>
      <c r="R581" t="s">
        <v>1050</v>
      </c>
      <c r="S581" s="3">
        <f>Europe_Sales_Records34[[#This Row],[Ship Date Fixed]]-Europe_Sales_Records34[[#This Row],[Order Date Fixed]]</f>
        <v>21</v>
      </c>
      <c r="T581">
        <v>677</v>
      </c>
      <c r="U581">
        <v>109.28</v>
      </c>
      <c r="V581">
        <v>35.840000000000003</v>
      </c>
      <c r="W581">
        <f>Europe_Sales_Records34[[#This Row],[Total Revenue]]/Europe_Sales_Records34[[#This Row],[Units Sold]]</f>
        <v>109.28</v>
      </c>
      <c r="X581">
        <v>73982.559999999998</v>
      </c>
      <c r="Y581">
        <v>24263.68</v>
      </c>
      <c r="Z581" s="4">
        <f>Europe_Sales_Records34[[#This Row],[Total Profit]]/Europe_Sales_Records34[[#This Row],[Total Revenue]]</f>
        <v>0.67203513909224011</v>
      </c>
      <c r="AA581">
        <v>49718.879999999997</v>
      </c>
    </row>
    <row r="582" spans="1:27" x14ac:dyDescent="0.3">
      <c r="A582" t="s">
        <v>14</v>
      </c>
      <c r="B582" t="s">
        <v>53</v>
      </c>
      <c r="C582" t="s">
        <v>32</v>
      </c>
      <c r="D582" t="s">
        <v>23</v>
      </c>
      <c r="E582" t="s">
        <v>54</v>
      </c>
      <c r="F582" t="s">
        <v>354</v>
      </c>
      <c r="G582" s="2">
        <f t="shared" si="18"/>
        <v>40898</v>
      </c>
      <c r="H582">
        <f>DAY(Europe_Sales_Records34[[#This Row],[Order Date Fixed]])</f>
        <v>21</v>
      </c>
      <c r="I582" t="str">
        <f>TEXT(Europe_Sales_Records34[[#This Row],[Order Date Fixed]],"MMM")</f>
        <v>Dec</v>
      </c>
      <c r="J582">
        <f>YEAR(Europe_Sales_Records34[[#This Row],[Order Date Fixed]])</f>
        <v>2011</v>
      </c>
      <c r="K582" t="str">
        <f>TEXT(Europe_Sales_Records34[[#This Row],[Order Date Fixed]],"MMM-YYYY")</f>
        <v>Dec-2011</v>
      </c>
      <c r="L582">
        <v>719404351</v>
      </c>
      <c r="M582" s="2">
        <f t="shared" si="19"/>
        <v>40918</v>
      </c>
      <c r="N582">
        <f>DAY(Europe_Sales_Records34[[#This Row],[Ship Date Fixed]])</f>
        <v>10</v>
      </c>
      <c r="O582" t="str">
        <f>TEXT(Europe_Sales_Records34[[#This Row],[Ship Date Fixed]],"MMM")</f>
        <v>Jan</v>
      </c>
      <c r="P582">
        <f>YEAR(Europe_Sales_Records34[[#This Row],[Ship Date Fixed]])</f>
        <v>2012</v>
      </c>
      <c r="Q582" t="str">
        <f>TEXT(Europe_Sales_Records34[[#This Row],[Ship Date Fixed]],"MMM-YYYY")</f>
        <v>Jan-2012</v>
      </c>
      <c r="R582" t="s">
        <v>485</v>
      </c>
      <c r="S582" s="3">
        <f>Europe_Sales_Records34[[#This Row],[Ship Date Fixed]]-Europe_Sales_Records34[[#This Row],[Order Date Fixed]]</f>
        <v>20</v>
      </c>
      <c r="T582">
        <v>6589</v>
      </c>
      <c r="U582">
        <v>651.21</v>
      </c>
      <c r="V582">
        <v>524.96</v>
      </c>
      <c r="W582">
        <f>Europe_Sales_Records34[[#This Row],[Total Revenue]]/Europe_Sales_Records34[[#This Row],[Units Sold]]</f>
        <v>651.21</v>
      </c>
      <c r="X582">
        <v>4290822.6900000004</v>
      </c>
      <c r="Y582">
        <v>3458961.44</v>
      </c>
      <c r="Z582" s="4">
        <f>Europe_Sales_Records34[[#This Row],[Total Profit]]/Europe_Sales_Records34[[#This Row],[Total Revenue]]</f>
        <v>0.19386987300563566</v>
      </c>
      <c r="AA582">
        <v>831861.25</v>
      </c>
    </row>
    <row r="583" spans="1:27" x14ac:dyDescent="0.3">
      <c r="A583" t="s">
        <v>14</v>
      </c>
      <c r="B583" t="s">
        <v>364</v>
      </c>
      <c r="C583" t="s">
        <v>102</v>
      </c>
      <c r="D583" t="s">
        <v>17</v>
      </c>
      <c r="E583" t="s">
        <v>33</v>
      </c>
      <c r="F583" t="s">
        <v>1051</v>
      </c>
      <c r="G583" s="2">
        <f t="shared" si="18"/>
        <v>42209</v>
      </c>
      <c r="H583">
        <f>DAY(Europe_Sales_Records34[[#This Row],[Order Date Fixed]])</f>
        <v>24</v>
      </c>
      <c r="I583" t="str">
        <f>TEXT(Europe_Sales_Records34[[#This Row],[Order Date Fixed]],"MMM")</f>
        <v>Jul</v>
      </c>
      <c r="J583">
        <f>YEAR(Europe_Sales_Records34[[#This Row],[Order Date Fixed]])</f>
        <v>2015</v>
      </c>
      <c r="K583" t="str">
        <f>TEXT(Europe_Sales_Records34[[#This Row],[Order Date Fixed]],"MMM-YYYY")</f>
        <v>Jul-2015</v>
      </c>
      <c r="L583">
        <v>643770778</v>
      </c>
      <c r="M583" s="2">
        <f t="shared" si="19"/>
        <v>42216</v>
      </c>
      <c r="N583">
        <f>DAY(Europe_Sales_Records34[[#This Row],[Ship Date Fixed]])</f>
        <v>31</v>
      </c>
      <c r="O583" t="str">
        <f>TEXT(Europe_Sales_Records34[[#This Row],[Ship Date Fixed]],"MMM")</f>
        <v>Jul</v>
      </c>
      <c r="P583">
        <f>YEAR(Europe_Sales_Records34[[#This Row],[Ship Date Fixed]])</f>
        <v>2015</v>
      </c>
      <c r="Q583" t="str">
        <f>TEXT(Europe_Sales_Records34[[#This Row],[Ship Date Fixed]],"MMM-YYYY")</f>
        <v>Jul-2015</v>
      </c>
      <c r="R583" t="s">
        <v>907</v>
      </c>
      <c r="S583" s="3">
        <f>Europe_Sales_Records34[[#This Row],[Ship Date Fixed]]-Europe_Sales_Records34[[#This Row],[Order Date Fixed]]</f>
        <v>7</v>
      </c>
      <c r="T583">
        <v>4934</v>
      </c>
      <c r="U583">
        <v>81.73</v>
      </c>
      <c r="V583">
        <v>56.67</v>
      </c>
      <c r="W583">
        <f>Europe_Sales_Records34[[#This Row],[Total Revenue]]/Europe_Sales_Records34[[#This Row],[Units Sold]]</f>
        <v>81.73</v>
      </c>
      <c r="X583">
        <v>403255.82</v>
      </c>
      <c r="Y583">
        <v>279609.78000000003</v>
      </c>
      <c r="Z583" s="4">
        <f>Europe_Sales_Records34[[#This Row],[Total Profit]]/Europe_Sales_Records34[[#This Row],[Total Revenue]]</f>
        <v>0.30661935641747212</v>
      </c>
      <c r="AA583">
        <v>123646.04</v>
      </c>
    </row>
    <row r="584" spans="1:27" x14ac:dyDescent="0.3">
      <c r="A584" t="s">
        <v>14</v>
      </c>
      <c r="B584" t="s">
        <v>122</v>
      </c>
      <c r="C584" t="s">
        <v>50</v>
      </c>
      <c r="D584" t="s">
        <v>17</v>
      </c>
      <c r="E584" t="s">
        <v>18</v>
      </c>
      <c r="F584" t="s">
        <v>788</v>
      </c>
      <c r="G584" s="2">
        <f t="shared" si="18"/>
        <v>42644</v>
      </c>
      <c r="H584">
        <f>DAY(Europe_Sales_Records34[[#This Row],[Order Date Fixed]])</f>
        <v>1</v>
      </c>
      <c r="I584" t="str">
        <f>TEXT(Europe_Sales_Records34[[#This Row],[Order Date Fixed]],"MMM")</f>
        <v>Oct</v>
      </c>
      <c r="J584">
        <f>YEAR(Europe_Sales_Records34[[#This Row],[Order Date Fixed]])</f>
        <v>2016</v>
      </c>
      <c r="K584" t="str">
        <f>TEXT(Europe_Sales_Records34[[#This Row],[Order Date Fixed]],"MMM-YYYY")</f>
        <v>Oct-2016</v>
      </c>
      <c r="L584">
        <v>645309722</v>
      </c>
      <c r="M584" s="2">
        <f t="shared" si="19"/>
        <v>42680</v>
      </c>
      <c r="N584">
        <f>DAY(Europe_Sales_Records34[[#This Row],[Ship Date Fixed]])</f>
        <v>6</v>
      </c>
      <c r="O584" t="str">
        <f>TEXT(Europe_Sales_Records34[[#This Row],[Ship Date Fixed]],"MMM")</f>
        <v>Nov</v>
      </c>
      <c r="P584">
        <f>YEAR(Europe_Sales_Records34[[#This Row],[Ship Date Fixed]])</f>
        <v>2016</v>
      </c>
      <c r="Q584" t="str">
        <f>TEXT(Europe_Sales_Records34[[#This Row],[Ship Date Fixed]],"MMM-YYYY")</f>
        <v>Nov-2016</v>
      </c>
      <c r="R584" t="s">
        <v>1052</v>
      </c>
      <c r="S584" s="3">
        <f>Europe_Sales_Records34[[#This Row],[Ship Date Fixed]]-Europe_Sales_Records34[[#This Row],[Order Date Fixed]]</f>
        <v>36</v>
      </c>
      <c r="T584">
        <v>342</v>
      </c>
      <c r="U584">
        <v>421.89</v>
      </c>
      <c r="V584">
        <v>364.69</v>
      </c>
      <c r="W584">
        <f>Europe_Sales_Records34[[#This Row],[Total Revenue]]/Europe_Sales_Records34[[#This Row],[Units Sold]]</f>
        <v>421.89</v>
      </c>
      <c r="X584">
        <v>144286.38</v>
      </c>
      <c r="Y584">
        <v>124723.98</v>
      </c>
      <c r="Z584" s="4">
        <f>Europe_Sales_Records34[[#This Row],[Total Profit]]/Europe_Sales_Records34[[#This Row],[Total Revenue]]</f>
        <v>0.13558036455000119</v>
      </c>
      <c r="AA584">
        <v>19562.400000000001</v>
      </c>
    </row>
    <row r="585" spans="1:27" x14ac:dyDescent="0.3">
      <c r="A585" t="s">
        <v>14</v>
      </c>
      <c r="B585" t="s">
        <v>100</v>
      </c>
      <c r="C585" t="s">
        <v>28</v>
      </c>
      <c r="D585" t="s">
        <v>17</v>
      </c>
      <c r="E585" t="s">
        <v>24</v>
      </c>
      <c r="F585" t="s">
        <v>961</v>
      </c>
      <c r="G585" s="2">
        <f t="shared" si="18"/>
        <v>41475</v>
      </c>
      <c r="H585">
        <f>DAY(Europe_Sales_Records34[[#This Row],[Order Date Fixed]])</f>
        <v>20</v>
      </c>
      <c r="I585" t="str">
        <f>TEXT(Europe_Sales_Records34[[#This Row],[Order Date Fixed]],"MMM")</f>
        <v>Jul</v>
      </c>
      <c r="J585">
        <f>YEAR(Europe_Sales_Records34[[#This Row],[Order Date Fixed]])</f>
        <v>2013</v>
      </c>
      <c r="K585" t="str">
        <f>TEXT(Europe_Sales_Records34[[#This Row],[Order Date Fixed]],"MMM-YYYY")</f>
        <v>Jul-2013</v>
      </c>
      <c r="L585">
        <v>469144809</v>
      </c>
      <c r="M585" s="2">
        <f t="shared" si="19"/>
        <v>41510</v>
      </c>
      <c r="N585">
        <f>DAY(Europe_Sales_Records34[[#This Row],[Ship Date Fixed]])</f>
        <v>24</v>
      </c>
      <c r="O585" t="str">
        <f>TEXT(Europe_Sales_Records34[[#This Row],[Ship Date Fixed]],"MMM")</f>
        <v>Aug</v>
      </c>
      <c r="P585">
        <f>YEAR(Europe_Sales_Records34[[#This Row],[Ship Date Fixed]])</f>
        <v>2013</v>
      </c>
      <c r="Q585" t="str">
        <f>TEXT(Europe_Sales_Records34[[#This Row],[Ship Date Fixed]],"MMM-YYYY")</f>
        <v>Aug-2013</v>
      </c>
      <c r="R585" t="s">
        <v>747</v>
      </c>
      <c r="S585" s="3">
        <f>Europe_Sales_Records34[[#This Row],[Ship Date Fixed]]-Europe_Sales_Records34[[#This Row],[Order Date Fixed]]</f>
        <v>35</v>
      </c>
      <c r="T585">
        <v>9229</v>
      </c>
      <c r="U585">
        <v>205.7</v>
      </c>
      <c r="V585">
        <v>117.11</v>
      </c>
      <c r="W585">
        <f>Europe_Sales_Records34[[#This Row],[Total Revenue]]/Europe_Sales_Records34[[#This Row],[Units Sold]]</f>
        <v>205.70000000000002</v>
      </c>
      <c r="X585">
        <v>1898405.3</v>
      </c>
      <c r="Y585">
        <v>1080808.19</v>
      </c>
      <c r="Z585" s="4">
        <f>Europe_Sales_Records34[[#This Row],[Total Profit]]/Europe_Sales_Records34[[#This Row],[Total Revenue]]</f>
        <v>0.43067574137092851</v>
      </c>
      <c r="AA585">
        <v>817597.11</v>
      </c>
    </row>
    <row r="586" spans="1:27" x14ac:dyDescent="0.3">
      <c r="A586" t="s">
        <v>14</v>
      </c>
      <c r="B586" t="s">
        <v>115</v>
      </c>
      <c r="C586" t="s">
        <v>75</v>
      </c>
      <c r="D586" t="s">
        <v>23</v>
      </c>
      <c r="E586" t="s">
        <v>33</v>
      </c>
      <c r="F586" t="s">
        <v>1053</v>
      </c>
      <c r="G586" s="2">
        <f t="shared" si="18"/>
        <v>40744</v>
      </c>
      <c r="H586">
        <f>DAY(Europe_Sales_Records34[[#This Row],[Order Date Fixed]])</f>
        <v>20</v>
      </c>
      <c r="I586" t="str">
        <f>TEXT(Europe_Sales_Records34[[#This Row],[Order Date Fixed]],"MMM")</f>
        <v>Jul</v>
      </c>
      <c r="J586">
        <f>YEAR(Europe_Sales_Records34[[#This Row],[Order Date Fixed]])</f>
        <v>2011</v>
      </c>
      <c r="K586" t="str">
        <f>TEXT(Europe_Sales_Records34[[#This Row],[Order Date Fixed]],"MMM-YYYY")</f>
        <v>Jul-2011</v>
      </c>
      <c r="L586">
        <v>821916663</v>
      </c>
      <c r="M586" s="2">
        <f t="shared" si="19"/>
        <v>40781</v>
      </c>
      <c r="N586">
        <f>DAY(Europe_Sales_Records34[[#This Row],[Ship Date Fixed]])</f>
        <v>26</v>
      </c>
      <c r="O586" t="str">
        <f>TEXT(Europe_Sales_Records34[[#This Row],[Ship Date Fixed]],"MMM")</f>
        <v>Aug</v>
      </c>
      <c r="P586">
        <f>YEAR(Europe_Sales_Records34[[#This Row],[Ship Date Fixed]])</f>
        <v>2011</v>
      </c>
      <c r="Q586" t="str">
        <f>TEXT(Europe_Sales_Records34[[#This Row],[Ship Date Fixed]],"MMM-YYYY")</f>
        <v>Aug-2011</v>
      </c>
      <c r="R586" t="s">
        <v>1054</v>
      </c>
      <c r="S586" s="3">
        <f>Europe_Sales_Records34[[#This Row],[Ship Date Fixed]]-Europe_Sales_Records34[[#This Row],[Order Date Fixed]]</f>
        <v>37</v>
      </c>
      <c r="T586">
        <v>2260</v>
      </c>
      <c r="U586">
        <v>437.2</v>
      </c>
      <c r="V586">
        <v>263.33</v>
      </c>
      <c r="W586">
        <f>Europe_Sales_Records34[[#This Row],[Total Revenue]]/Europe_Sales_Records34[[#This Row],[Units Sold]]</f>
        <v>437.2</v>
      </c>
      <c r="X586">
        <v>988072</v>
      </c>
      <c r="Y586">
        <v>595125.80000000005</v>
      </c>
      <c r="Z586" s="4">
        <f>Europe_Sales_Records34[[#This Row],[Total Profit]]/Europe_Sales_Records34[[#This Row],[Total Revenue]]</f>
        <v>0.39768984446477584</v>
      </c>
      <c r="AA586">
        <v>392946.2</v>
      </c>
    </row>
    <row r="587" spans="1:27" x14ac:dyDescent="0.3">
      <c r="A587" t="s">
        <v>14</v>
      </c>
      <c r="B587" t="s">
        <v>27</v>
      </c>
      <c r="C587" t="s">
        <v>71</v>
      </c>
      <c r="D587" t="s">
        <v>17</v>
      </c>
      <c r="E587" t="s">
        <v>24</v>
      </c>
      <c r="F587" t="s">
        <v>104</v>
      </c>
      <c r="G587" s="2">
        <f t="shared" si="18"/>
        <v>40417</v>
      </c>
      <c r="H587">
        <f>DAY(Europe_Sales_Records34[[#This Row],[Order Date Fixed]])</f>
        <v>27</v>
      </c>
      <c r="I587" t="str">
        <f>TEXT(Europe_Sales_Records34[[#This Row],[Order Date Fixed]],"MMM")</f>
        <v>Aug</v>
      </c>
      <c r="J587">
        <f>YEAR(Europe_Sales_Records34[[#This Row],[Order Date Fixed]])</f>
        <v>2010</v>
      </c>
      <c r="K587" t="str">
        <f>TEXT(Europe_Sales_Records34[[#This Row],[Order Date Fixed]],"MMM-YYYY")</f>
        <v>Aug-2010</v>
      </c>
      <c r="L587">
        <v>835265910</v>
      </c>
      <c r="M587" s="2">
        <f t="shared" si="19"/>
        <v>40452</v>
      </c>
      <c r="N587">
        <f>DAY(Europe_Sales_Records34[[#This Row],[Ship Date Fixed]])</f>
        <v>1</v>
      </c>
      <c r="O587" t="str">
        <f>TEXT(Europe_Sales_Records34[[#This Row],[Ship Date Fixed]],"MMM")</f>
        <v>Oct</v>
      </c>
      <c r="P587">
        <f>YEAR(Europe_Sales_Records34[[#This Row],[Ship Date Fixed]])</f>
        <v>2010</v>
      </c>
      <c r="Q587" t="str">
        <f>TEXT(Europe_Sales_Records34[[#This Row],[Ship Date Fixed]],"MMM-YYYY")</f>
        <v>Oct-2010</v>
      </c>
      <c r="R587" t="s">
        <v>813</v>
      </c>
      <c r="S587" s="3">
        <f>Europe_Sales_Records34[[#This Row],[Ship Date Fixed]]-Europe_Sales_Records34[[#This Row],[Order Date Fixed]]</f>
        <v>35</v>
      </c>
      <c r="T587">
        <v>2599</v>
      </c>
      <c r="U587">
        <v>668.27</v>
      </c>
      <c r="V587">
        <v>502.54</v>
      </c>
      <c r="W587">
        <f>Europe_Sales_Records34[[#This Row],[Total Revenue]]/Europe_Sales_Records34[[#This Row],[Units Sold]]</f>
        <v>668.27</v>
      </c>
      <c r="X587">
        <v>1736833.73</v>
      </c>
      <c r="Y587">
        <v>1306101.46</v>
      </c>
      <c r="Z587" s="4">
        <f>Europe_Sales_Records34[[#This Row],[Total Profit]]/Europe_Sales_Records34[[#This Row],[Total Revenue]]</f>
        <v>0.24799856345489099</v>
      </c>
      <c r="AA587">
        <v>430732.27</v>
      </c>
    </row>
    <row r="588" spans="1:27" x14ac:dyDescent="0.3">
      <c r="A588" t="s">
        <v>14</v>
      </c>
      <c r="B588" t="s">
        <v>183</v>
      </c>
      <c r="C588" t="s">
        <v>71</v>
      </c>
      <c r="D588" t="s">
        <v>23</v>
      </c>
      <c r="E588" t="s">
        <v>33</v>
      </c>
      <c r="F588" t="s">
        <v>1055</v>
      </c>
      <c r="G588" s="2">
        <f t="shared" si="18"/>
        <v>41543</v>
      </c>
      <c r="H588">
        <f>DAY(Europe_Sales_Records34[[#This Row],[Order Date Fixed]])</f>
        <v>26</v>
      </c>
      <c r="I588" t="str">
        <f>TEXT(Europe_Sales_Records34[[#This Row],[Order Date Fixed]],"MMM")</f>
        <v>Sep</v>
      </c>
      <c r="J588">
        <f>YEAR(Europe_Sales_Records34[[#This Row],[Order Date Fixed]])</f>
        <v>2013</v>
      </c>
      <c r="K588" t="str">
        <f>TEXT(Europe_Sales_Records34[[#This Row],[Order Date Fixed]],"MMM-YYYY")</f>
        <v>Sep-2013</v>
      </c>
      <c r="L588">
        <v>195259082</v>
      </c>
      <c r="M588" s="2">
        <f t="shared" si="19"/>
        <v>41558</v>
      </c>
      <c r="N588">
        <f>DAY(Europe_Sales_Records34[[#This Row],[Ship Date Fixed]])</f>
        <v>11</v>
      </c>
      <c r="O588" t="str">
        <f>TEXT(Europe_Sales_Records34[[#This Row],[Ship Date Fixed]],"MMM")</f>
        <v>Oct</v>
      </c>
      <c r="P588">
        <f>YEAR(Europe_Sales_Records34[[#This Row],[Ship Date Fixed]])</f>
        <v>2013</v>
      </c>
      <c r="Q588" t="str">
        <f>TEXT(Europe_Sales_Records34[[#This Row],[Ship Date Fixed]],"MMM-YYYY")</f>
        <v>Oct-2013</v>
      </c>
      <c r="R588" t="s">
        <v>1056</v>
      </c>
      <c r="S588" s="3">
        <f>Europe_Sales_Records34[[#This Row],[Ship Date Fixed]]-Europe_Sales_Records34[[#This Row],[Order Date Fixed]]</f>
        <v>15</v>
      </c>
      <c r="T588">
        <v>356</v>
      </c>
      <c r="U588">
        <v>668.27</v>
      </c>
      <c r="V588">
        <v>502.54</v>
      </c>
      <c r="W588">
        <f>Europe_Sales_Records34[[#This Row],[Total Revenue]]/Europe_Sales_Records34[[#This Row],[Units Sold]]</f>
        <v>668.27</v>
      </c>
      <c r="X588">
        <v>237904.12</v>
      </c>
      <c r="Y588">
        <v>178904.24</v>
      </c>
      <c r="Z588" s="4">
        <f>Europe_Sales_Records34[[#This Row],[Total Profit]]/Europe_Sales_Records34[[#This Row],[Total Revenue]]</f>
        <v>0.24799856345489099</v>
      </c>
      <c r="AA588">
        <v>58999.88</v>
      </c>
    </row>
    <row r="589" spans="1:27" x14ac:dyDescent="0.3">
      <c r="A589" t="s">
        <v>14</v>
      </c>
      <c r="B589" t="s">
        <v>105</v>
      </c>
      <c r="C589" t="s">
        <v>22</v>
      </c>
      <c r="D589" t="s">
        <v>23</v>
      </c>
      <c r="E589" t="s">
        <v>18</v>
      </c>
      <c r="F589" t="s">
        <v>1057</v>
      </c>
      <c r="G589" s="2">
        <f t="shared" si="18"/>
        <v>41046</v>
      </c>
      <c r="H589">
        <f>DAY(Europe_Sales_Records34[[#This Row],[Order Date Fixed]])</f>
        <v>17</v>
      </c>
      <c r="I589" t="str">
        <f>TEXT(Europe_Sales_Records34[[#This Row],[Order Date Fixed]],"MMM")</f>
        <v>May</v>
      </c>
      <c r="J589">
        <f>YEAR(Europe_Sales_Records34[[#This Row],[Order Date Fixed]])</f>
        <v>2012</v>
      </c>
      <c r="K589" t="str">
        <f>TEXT(Europe_Sales_Records34[[#This Row],[Order Date Fixed]],"MMM-YYYY")</f>
        <v>May-2012</v>
      </c>
      <c r="L589">
        <v>593158566</v>
      </c>
      <c r="M589" s="2">
        <f t="shared" si="19"/>
        <v>41085</v>
      </c>
      <c r="N589">
        <f>DAY(Europe_Sales_Records34[[#This Row],[Ship Date Fixed]])</f>
        <v>25</v>
      </c>
      <c r="O589" t="str">
        <f>TEXT(Europe_Sales_Records34[[#This Row],[Ship Date Fixed]],"MMM")</f>
        <v>Jun</v>
      </c>
      <c r="P589">
        <f>YEAR(Europe_Sales_Records34[[#This Row],[Ship Date Fixed]])</f>
        <v>2012</v>
      </c>
      <c r="Q589" t="str">
        <f>TEXT(Europe_Sales_Records34[[#This Row],[Ship Date Fixed]],"MMM-YYYY")</f>
        <v>Jun-2012</v>
      </c>
      <c r="R589" t="s">
        <v>338</v>
      </c>
      <c r="S589" s="3">
        <f>Europe_Sales_Records34[[#This Row],[Ship Date Fixed]]-Europe_Sales_Records34[[#This Row],[Order Date Fixed]]</f>
        <v>39</v>
      </c>
      <c r="T589">
        <v>7656</v>
      </c>
      <c r="U589">
        <v>109.28</v>
      </c>
      <c r="V589">
        <v>35.840000000000003</v>
      </c>
      <c r="W589">
        <f>Europe_Sales_Records34[[#This Row],[Total Revenue]]/Europe_Sales_Records34[[#This Row],[Units Sold]]</f>
        <v>109.28</v>
      </c>
      <c r="X589">
        <v>836647.68</v>
      </c>
      <c r="Y589">
        <v>274391.03999999998</v>
      </c>
      <c r="Z589" s="4">
        <f>Europe_Sales_Records34[[#This Row],[Total Profit]]/Europe_Sales_Records34[[#This Row],[Total Revenue]]</f>
        <v>0.67203513909224011</v>
      </c>
      <c r="AA589">
        <v>562256.64000000001</v>
      </c>
    </row>
    <row r="590" spans="1:27" x14ac:dyDescent="0.3">
      <c r="A590" t="s">
        <v>14</v>
      </c>
      <c r="B590" t="s">
        <v>83</v>
      </c>
      <c r="C590" t="s">
        <v>46</v>
      </c>
      <c r="D590" t="s">
        <v>17</v>
      </c>
      <c r="E590" t="s">
        <v>18</v>
      </c>
      <c r="F590" t="s">
        <v>330</v>
      </c>
      <c r="G590" s="2">
        <f t="shared" si="18"/>
        <v>41720</v>
      </c>
      <c r="H590">
        <f>DAY(Europe_Sales_Records34[[#This Row],[Order Date Fixed]])</f>
        <v>22</v>
      </c>
      <c r="I590" t="str">
        <f>TEXT(Europe_Sales_Records34[[#This Row],[Order Date Fixed]],"MMM")</f>
        <v>Mar</v>
      </c>
      <c r="J590">
        <f>YEAR(Europe_Sales_Records34[[#This Row],[Order Date Fixed]])</f>
        <v>2014</v>
      </c>
      <c r="K590" t="str">
        <f>TEXT(Europe_Sales_Records34[[#This Row],[Order Date Fixed]],"MMM-YYYY")</f>
        <v>Mar-2014</v>
      </c>
      <c r="L590">
        <v>717833220</v>
      </c>
      <c r="M590" s="2">
        <f t="shared" si="19"/>
        <v>41732</v>
      </c>
      <c r="N590">
        <f>DAY(Europe_Sales_Records34[[#This Row],[Ship Date Fixed]])</f>
        <v>3</v>
      </c>
      <c r="O590" t="str">
        <f>TEXT(Europe_Sales_Records34[[#This Row],[Ship Date Fixed]],"MMM")</f>
        <v>Apr</v>
      </c>
      <c r="P590">
        <f>YEAR(Europe_Sales_Records34[[#This Row],[Ship Date Fixed]])</f>
        <v>2014</v>
      </c>
      <c r="Q590" t="str">
        <f>TEXT(Europe_Sales_Records34[[#This Row],[Ship Date Fixed]],"MMM-YYYY")</f>
        <v>Apr-2014</v>
      </c>
      <c r="R590" t="s">
        <v>1058</v>
      </c>
      <c r="S590" s="3">
        <f>Europe_Sales_Records34[[#This Row],[Ship Date Fixed]]-Europe_Sales_Records34[[#This Row],[Order Date Fixed]]</f>
        <v>12</v>
      </c>
      <c r="T590">
        <v>1657</v>
      </c>
      <c r="U590">
        <v>154.06</v>
      </c>
      <c r="V590">
        <v>90.93</v>
      </c>
      <c r="W590">
        <f>Europe_Sales_Records34[[#This Row],[Total Revenue]]/Europe_Sales_Records34[[#This Row],[Units Sold]]</f>
        <v>154.06</v>
      </c>
      <c r="X590">
        <v>255277.42</v>
      </c>
      <c r="Y590">
        <v>150671.01</v>
      </c>
      <c r="Z590" s="4">
        <f>Europe_Sales_Records34[[#This Row],[Total Profit]]/Europe_Sales_Records34[[#This Row],[Total Revenue]]</f>
        <v>0.40977541217707386</v>
      </c>
      <c r="AA590">
        <v>104606.41</v>
      </c>
    </row>
    <row r="591" spans="1:27" x14ac:dyDescent="0.3">
      <c r="A591" t="s">
        <v>14</v>
      </c>
      <c r="B591" t="s">
        <v>57</v>
      </c>
      <c r="C591" t="s">
        <v>46</v>
      </c>
      <c r="D591" t="s">
        <v>23</v>
      </c>
      <c r="E591" t="s">
        <v>54</v>
      </c>
      <c r="F591" t="s">
        <v>1059</v>
      </c>
      <c r="G591" s="2">
        <f t="shared" si="18"/>
        <v>41420</v>
      </c>
      <c r="H591">
        <f>DAY(Europe_Sales_Records34[[#This Row],[Order Date Fixed]])</f>
        <v>26</v>
      </c>
      <c r="I591" t="str">
        <f>TEXT(Europe_Sales_Records34[[#This Row],[Order Date Fixed]],"MMM")</f>
        <v>May</v>
      </c>
      <c r="J591">
        <f>YEAR(Europe_Sales_Records34[[#This Row],[Order Date Fixed]])</f>
        <v>2013</v>
      </c>
      <c r="K591" t="str">
        <f>TEXT(Europe_Sales_Records34[[#This Row],[Order Date Fixed]],"MMM-YYYY")</f>
        <v>May-2013</v>
      </c>
      <c r="L591">
        <v>682066285</v>
      </c>
      <c r="M591" s="2">
        <f t="shared" si="19"/>
        <v>41468</v>
      </c>
      <c r="N591">
        <f>DAY(Europe_Sales_Records34[[#This Row],[Ship Date Fixed]])</f>
        <v>13</v>
      </c>
      <c r="O591" t="str">
        <f>TEXT(Europe_Sales_Records34[[#This Row],[Ship Date Fixed]],"MMM")</f>
        <v>Jul</v>
      </c>
      <c r="P591">
        <f>YEAR(Europe_Sales_Records34[[#This Row],[Ship Date Fixed]])</f>
        <v>2013</v>
      </c>
      <c r="Q591" t="str">
        <f>TEXT(Europe_Sales_Records34[[#This Row],[Ship Date Fixed]],"MMM-YYYY")</f>
        <v>Jul-2013</v>
      </c>
      <c r="R591" t="s">
        <v>417</v>
      </c>
      <c r="S591" s="3">
        <f>Europe_Sales_Records34[[#This Row],[Ship Date Fixed]]-Europe_Sales_Records34[[#This Row],[Order Date Fixed]]</f>
        <v>48</v>
      </c>
      <c r="T591">
        <v>7426</v>
      </c>
      <c r="U591">
        <v>154.06</v>
      </c>
      <c r="V591">
        <v>90.93</v>
      </c>
      <c r="W591">
        <f>Europe_Sales_Records34[[#This Row],[Total Revenue]]/Europe_Sales_Records34[[#This Row],[Units Sold]]</f>
        <v>154.06</v>
      </c>
      <c r="X591">
        <v>1144049.56</v>
      </c>
      <c r="Y591">
        <v>675246.18</v>
      </c>
      <c r="Z591" s="4">
        <f>Europe_Sales_Records34[[#This Row],[Total Profit]]/Europe_Sales_Records34[[#This Row],[Total Revenue]]</f>
        <v>0.40977541217707386</v>
      </c>
      <c r="AA591">
        <v>468803.38</v>
      </c>
    </row>
    <row r="592" spans="1:27" x14ac:dyDescent="0.3">
      <c r="A592" t="s">
        <v>14</v>
      </c>
      <c r="B592" t="s">
        <v>183</v>
      </c>
      <c r="C592" t="s">
        <v>28</v>
      </c>
      <c r="D592" t="s">
        <v>23</v>
      </c>
      <c r="E592" t="s">
        <v>54</v>
      </c>
      <c r="F592" t="s">
        <v>1060</v>
      </c>
      <c r="G592" s="2">
        <f t="shared" si="18"/>
        <v>41298</v>
      </c>
      <c r="H592">
        <f>DAY(Europe_Sales_Records34[[#This Row],[Order Date Fixed]])</f>
        <v>24</v>
      </c>
      <c r="I592" t="str">
        <f>TEXT(Europe_Sales_Records34[[#This Row],[Order Date Fixed]],"MMM")</f>
        <v>Jan</v>
      </c>
      <c r="J592">
        <f>YEAR(Europe_Sales_Records34[[#This Row],[Order Date Fixed]])</f>
        <v>2013</v>
      </c>
      <c r="K592" t="str">
        <f>TEXT(Europe_Sales_Records34[[#This Row],[Order Date Fixed]],"MMM-YYYY")</f>
        <v>Jan-2013</v>
      </c>
      <c r="L592">
        <v>412215459</v>
      </c>
      <c r="M592" s="2">
        <f t="shared" si="19"/>
        <v>41305</v>
      </c>
      <c r="N592">
        <f>DAY(Europe_Sales_Records34[[#This Row],[Ship Date Fixed]])</f>
        <v>31</v>
      </c>
      <c r="O592" t="str">
        <f>TEXT(Europe_Sales_Records34[[#This Row],[Ship Date Fixed]],"MMM")</f>
        <v>Jan</v>
      </c>
      <c r="P592">
        <f>YEAR(Europe_Sales_Records34[[#This Row],[Ship Date Fixed]])</f>
        <v>2013</v>
      </c>
      <c r="Q592" t="str">
        <f>TEXT(Europe_Sales_Records34[[#This Row],[Ship Date Fixed]],"MMM-YYYY")</f>
        <v>Jan-2013</v>
      </c>
      <c r="R592" t="s">
        <v>212</v>
      </c>
      <c r="S592" s="3">
        <f>Europe_Sales_Records34[[#This Row],[Ship Date Fixed]]-Europe_Sales_Records34[[#This Row],[Order Date Fixed]]</f>
        <v>7</v>
      </c>
      <c r="T592">
        <v>2569</v>
      </c>
      <c r="U592">
        <v>205.7</v>
      </c>
      <c r="V592">
        <v>117.11</v>
      </c>
      <c r="W592">
        <f>Europe_Sales_Records34[[#This Row],[Total Revenue]]/Europe_Sales_Records34[[#This Row],[Units Sold]]</f>
        <v>205.70000000000002</v>
      </c>
      <c r="X592">
        <v>528443.30000000005</v>
      </c>
      <c r="Y592">
        <v>300855.59000000003</v>
      </c>
      <c r="Z592" s="4">
        <f>Europe_Sales_Records34[[#This Row],[Total Profit]]/Europe_Sales_Records34[[#This Row],[Total Revenue]]</f>
        <v>0.43067574137092851</v>
      </c>
      <c r="AA592">
        <v>227587.71</v>
      </c>
    </row>
    <row r="593" spans="1:27" x14ac:dyDescent="0.3">
      <c r="A593" t="s">
        <v>14</v>
      </c>
      <c r="B593" t="s">
        <v>21</v>
      </c>
      <c r="C593" t="s">
        <v>32</v>
      </c>
      <c r="D593" t="s">
        <v>17</v>
      </c>
      <c r="E593" t="s">
        <v>18</v>
      </c>
      <c r="F593" t="s">
        <v>133</v>
      </c>
      <c r="G593" s="2">
        <f t="shared" si="18"/>
        <v>40300</v>
      </c>
      <c r="H593">
        <f>DAY(Europe_Sales_Records34[[#This Row],[Order Date Fixed]])</f>
        <v>2</v>
      </c>
      <c r="I593" t="str">
        <f>TEXT(Europe_Sales_Records34[[#This Row],[Order Date Fixed]],"MMM")</f>
        <v>May</v>
      </c>
      <c r="J593">
        <f>YEAR(Europe_Sales_Records34[[#This Row],[Order Date Fixed]])</f>
        <v>2010</v>
      </c>
      <c r="K593" t="str">
        <f>TEXT(Europe_Sales_Records34[[#This Row],[Order Date Fixed]],"MMM-YYYY")</f>
        <v>May-2010</v>
      </c>
      <c r="L593">
        <v>152746713</v>
      </c>
      <c r="M593" s="2">
        <f t="shared" si="19"/>
        <v>40306</v>
      </c>
      <c r="N593">
        <f>DAY(Europe_Sales_Records34[[#This Row],[Ship Date Fixed]])</f>
        <v>8</v>
      </c>
      <c r="O593" t="str">
        <f>TEXT(Europe_Sales_Records34[[#This Row],[Ship Date Fixed]],"MMM")</f>
        <v>May</v>
      </c>
      <c r="P593">
        <f>YEAR(Europe_Sales_Records34[[#This Row],[Ship Date Fixed]])</f>
        <v>2010</v>
      </c>
      <c r="Q593" t="str">
        <f>TEXT(Europe_Sales_Records34[[#This Row],[Ship Date Fixed]],"MMM-YYYY")</f>
        <v>May-2010</v>
      </c>
      <c r="R593" t="s">
        <v>1061</v>
      </c>
      <c r="S593" s="3">
        <f>Europe_Sales_Records34[[#This Row],[Ship Date Fixed]]-Europe_Sales_Records34[[#This Row],[Order Date Fixed]]</f>
        <v>6</v>
      </c>
      <c r="T593">
        <v>2</v>
      </c>
      <c r="U593">
        <v>651.21</v>
      </c>
      <c r="V593">
        <v>524.96</v>
      </c>
      <c r="W593">
        <f>Europe_Sales_Records34[[#This Row],[Total Revenue]]/Europe_Sales_Records34[[#This Row],[Units Sold]]</f>
        <v>651.21</v>
      </c>
      <c r="X593">
        <v>1302.42</v>
      </c>
      <c r="Y593">
        <v>1049.92</v>
      </c>
      <c r="Z593" s="4">
        <f>Europe_Sales_Records34[[#This Row],[Total Profit]]/Europe_Sales_Records34[[#This Row],[Total Revenue]]</f>
        <v>0.19386987300563566</v>
      </c>
      <c r="AA593">
        <v>252.5</v>
      </c>
    </row>
    <row r="594" spans="1:27" x14ac:dyDescent="0.3">
      <c r="A594" t="s">
        <v>14</v>
      </c>
      <c r="B594" t="s">
        <v>185</v>
      </c>
      <c r="C594" t="s">
        <v>28</v>
      </c>
      <c r="D594" t="s">
        <v>23</v>
      </c>
      <c r="E594" t="s">
        <v>24</v>
      </c>
      <c r="F594" t="s">
        <v>204</v>
      </c>
      <c r="G594" s="2">
        <f t="shared" si="18"/>
        <v>41280</v>
      </c>
      <c r="H594">
        <f>DAY(Europe_Sales_Records34[[#This Row],[Order Date Fixed]])</f>
        <v>6</v>
      </c>
      <c r="I594" t="str">
        <f>TEXT(Europe_Sales_Records34[[#This Row],[Order Date Fixed]],"MMM")</f>
        <v>Jan</v>
      </c>
      <c r="J594">
        <f>YEAR(Europe_Sales_Records34[[#This Row],[Order Date Fixed]])</f>
        <v>2013</v>
      </c>
      <c r="K594" t="str">
        <f>TEXT(Europe_Sales_Records34[[#This Row],[Order Date Fixed]],"MMM-YYYY")</f>
        <v>Jan-2013</v>
      </c>
      <c r="L594">
        <v>715309798</v>
      </c>
      <c r="M594" s="2">
        <f t="shared" si="19"/>
        <v>41315</v>
      </c>
      <c r="N594">
        <f>DAY(Europe_Sales_Records34[[#This Row],[Ship Date Fixed]])</f>
        <v>10</v>
      </c>
      <c r="O594" t="str">
        <f>TEXT(Europe_Sales_Records34[[#This Row],[Ship Date Fixed]],"MMM")</f>
        <v>Feb</v>
      </c>
      <c r="P594">
        <f>YEAR(Europe_Sales_Records34[[#This Row],[Ship Date Fixed]])</f>
        <v>2013</v>
      </c>
      <c r="Q594" t="str">
        <f>TEXT(Europe_Sales_Records34[[#This Row],[Ship Date Fixed]],"MMM-YYYY")</f>
        <v>Feb-2013</v>
      </c>
      <c r="R594" t="s">
        <v>1062</v>
      </c>
      <c r="S594" s="3">
        <f>Europe_Sales_Records34[[#This Row],[Ship Date Fixed]]-Europe_Sales_Records34[[#This Row],[Order Date Fixed]]</f>
        <v>35</v>
      </c>
      <c r="T594">
        <v>4920</v>
      </c>
      <c r="U594">
        <v>205.7</v>
      </c>
      <c r="V594">
        <v>117.11</v>
      </c>
      <c r="W594">
        <f>Europe_Sales_Records34[[#This Row],[Total Revenue]]/Europe_Sales_Records34[[#This Row],[Units Sold]]</f>
        <v>205.7</v>
      </c>
      <c r="X594">
        <v>1012044</v>
      </c>
      <c r="Y594">
        <v>576181.19999999995</v>
      </c>
      <c r="Z594" s="4">
        <f>Europe_Sales_Records34[[#This Row],[Total Profit]]/Europe_Sales_Records34[[#This Row],[Total Revenue]]</f>
        <v>0.43067574137092851</v>
      </c>
      <c r="AA594">
        <v>435862.8</v>
      </c>
    </row>
    <row r="595" spans="1:27" x14ac:dyDescent="0.3">
      <c r="A595" t="s">
        <v>14</v>
      </c>
      <c r="B595" t="s">
        <v>264</v>
      </c>
      <c r="C595" t="s">
        <v>37</v>
      </c>
      <c r="D595" t="s">
        <v>23</v>
      </c>
      <c r="E595" t="s">
        <v>33</v>
      </c>
      <c r="F595" t="s">
        <v>1063</v>
      </c>
      <c r="G595" s="2">
        <f t="shared" si="18"/>
        <v>40391</v>
      </c>
      <c r="H595">
        <f>DAY(Europe_Sales_Records34[[#This Row],[Order Date Fixed]])</f>
        <v>1</v>
      </c>
      <c r="I595" t="str">
        <f>TEXT(Europe_Sales_Records34[[#This Row],[Order Date Fixed]],"MMM")</f>
        <v>Aug</v>
      </c>
      <c r="J595">
        <f>YEAR(Europe_Sales_Records34[[#This Row],[Order Date Fixed]])</f>
        <v>2010</v>
      </c>
      <c r="K595" t="str">
        <f>TEXT(Europe_Sales_Records34[[#This Row],[Order Date Fixed]],"MMM-YYYY")</f>
        <v>Aug-2010</v>
      </c>
      <c r="L595">
        <v>466517961</v>
      </c>
      <c r="M595" s="2">
        <f t="shared" si="19"/>
        <v>40428</v>
      </c>
      <c r="N595">
        <f>DAY(Europe_Sales_Records34[[#This Row],[Ship Date Fixed]])</f>
        <v>7</v>
      </c>
      <c r="O595" t="str">
        <f>TEXT(Europe_Sales_Records34[[#This Row],[Ship Date Fixed]],"MMM")</f>
        <v>Sep</v>
      </c>
      <c r="P595">
        <f>YEAR(Europe_Sales_Records34[[#This Row],[Ship Date Fixed]])</f>
        <v>2010</v>
      </c>
      <c r="Q595" t="str">
        <f>TEXT(Europe_Sales_Records34[[#This Row],[Ship Date Fixed]],"MMM-YYYY")</f>
        <v>Sep-2010</v>
      </c>
      <c r="R595" t="s">
        <v>120</v>
      </c>
      <c r="S595" s="3">
        <f>Europe_Sales_Records34[[#This Row],[Ship Date Fixed]]-Europe_Sales_Records34[[#This Row],[Order Date Fixed]]</f>
        <v>37</v>
      </c>
      <c r="T595">
        <v>1886</v>
      </c>
      <c r="U595">
        <v>9.33</v>
      </c>
      <c r="V595">
        <v>6.92</v>
      </c>
      <c r="W595">
        <f>Europe_Sales_Records34[[#This Row],[Total Revenue]]/Europe_Sales_Records34[[#This Row],[Units Sold]]</f>
        <v>9.33</v>
      </c>
      <c r="X595">
        <v>17596.38</v>
      </c>
      <c r="Y595">
        <v>13051.12</v>
      </c>
      <c r="Z595" s="4">
        <f>Europe_Sales_Records34[[#This Row],[Total Profit]]/Europe_Sales_Records34[[#This Row],[Total Revenue]]</f>
        <v>0.25830653804930331</v>
      </c>
      <c r="AA595">
        <v>4545.26</v>
      </c>
    </row>
    <row r="596" spans="1:27" x14ac:dyDescent="0.3">
      <c r="A596" t="s">
        <v>14</v>
      </c>
      <c r="B596" t="s">
        <v>80</v>
      </c>
      <c r="C596" t="s">
        <v>50</v>
      </c>
      <c r="D596" t="s">
        <v>17</v>
      </c>
      <c r="E596" t="s">
        <v>18</v>
      </c>
      <c r="F596" t="s">
        <v>1064</v>
      </c>
      <c r="G596" s="2">
        <f t="shared" si="18"/>
        <v>40748</v>
      </c>
      <c r="H596">
        <f>DAY(Europe_Sales_Records34[[#This Row],[Order Date Fixed]])</f>
        <v>24</v>
      </c>
      <c r="I596" t="str">
        <f>TEXT(Europe_Sales_Records34[[#This Row],[Order Date Fixed]],"MMM")</f>
        <v>Jul</v>
      </c>
      <c r="J596">
        <f>YEAR(Europe_Sales_Records34[[#This Row],[Order Date Fixed]])</f>
        <v>2011</v>
      </c>
      <c r="K596" t="str">
        <f>TEXT(Europe_Sales_Records34[[#This Row],[Order Date Fixed]],"MMM-YYYY")</f>
        <v>Jul-2011</v>
      </c>
      <c r="L596">
        <v>825065791</v>
      </c>
      <c r="M596" s="2">
        <f t="shared" si="19"/>
        <v>40783</v>
      </c>
      <c r="N596">
        <f>DAY(Europe_Sales_Records34[[#This Row],[Ship Date Fixed]])</f>
        <v>28</v>
      </c>
      <c r="O596" t="str">
        <f>TEXT(Europe_Sales_Records34[[#This Row],[Ship Date Fixed]],"MMM")</f>
        <v>Aug</v>
      </c>
      <c r="P596">
        <f>YEAR(Europe_Sales_Records34[[#This Row],[Ship Date Fixed]])</f>
        <v>2011</v>
      </c>
      <c r="Q596" t="str">
        <f>TEXT(Europe_Sales_Records34[[#This Row],[Ship Date Fixed]],"MMM-YYYY")</f>
        <v>Aug-2011</v>
      </c>
      <c r="R596" t="s">
        <v>1000</v>
      </c>
      <c r="S596" s="3">
        <f>Europe_Sales_Records34[[#This Row],[Ship Date Fixed]]-Europe_Sales_Records34[[#This Row],[Order Date Fixed]]</f>
        <v>35</v>
      </c>
      <c r="T596">
        <v>4157</v>
      </c>
      <c r="U596">
        <v>421.89</v>
      </c>
      <c r="V596">
        <v>364.69</v>
      </c>
      <c r="W596">
        <f>Europe_Sales_Records34[[#This Row],[Total Revenue]]/Europe_Sales_Records34[[#This Row],[Units Sold]]</f>
        <v>421.89</v>
      </c>
      <c r="X596">
        <v>1753796.73</v>
      </c>
      <c r="Y596">
        <v>1516016.33</v>
      </c>
      <c r="Z596" s="4">
        <f>Europe_Sales_Records34[[#This Row],[Total Profit]]/Europe_Sales_Records34[[#This Row],[Total Revenue]]</f>
        <v>0.13558036455000119</v>
      </c>
      <c r="AA596">
        <v>237780.4</v>
      </c>
    </row>
    <row r="597" spans="1:27" x14ac:dyDescent="0.3">
      <c r="A597" t="s">
        <v>14</v>
      </c>
      <c r="B597" t="s">
        <v>223</v>
      </c>
      <c r="C597" t="s">
        <v>32</v>
      </c>
      <c r="D597" t="s">
        <v>23</v>
      </c>
      <c r="E597" t="s">
        <v>33</v>
      </c>
      <c r="F597" t="s">
        <v>682</v>
      </c>
      <c r="G597" s="2">
        <f t="shared" si="18"/>
        <v>42053</v>
      </c>
      <c r="H597">
        <f>DAY(Europe_Sales_Records34[[#This Row],[Order Date Fixed]])</f>
        <v>18</v>
      </c>
      <c r="I597" t="str">
        <f>TEXT(Europe_Sales_Records34[[#This Row],[Order Date Fixed]],"MMM")</f>
        <v>Feb</v>
      </c>
      <c r="J597">
        <f>YEAR(Europe_Sales_Records34[[#This Row],[Order Date Fixed]])</f>
        <v>2015</v>
      </c>
      <c r="K597" t="str">
        <f>TEXT(Europe_Sales_Records34[[#This Row],[Order Date Fixed]],"MMM-YYYY")</f>
        <v>Feb-2015</v>
      </c>
      <c r="L597">
        <v>384976232</v>
      </c>
      <c r="M597" s="2">
        <f t="shared" si="19"/>
        <v>42097</v>
      </c>
      <c r="N597">
        <f>DAY(Europe_Sales_Records34[[#This Row],[Ship Date Fixed]])</f>
        <v>3</v>
      </c>
      <c r="O597" t="str">
        <f>TEXT(Europe_Sales_Records34[[#This Row],[Ship Date Fixed]],"MMM")</f>
        <v>Apr</v>
      </c>
      <c r="P597">
        <f>YEAR(Europe_Sales_Records34[[#This Row],[Ship Date Fixed]])</f>
        <v>2015</v>
      </c>
      <c r="Q597" t="str">
        <f>TEXT(Europe_Sales_Records34[[#This Row],[Ship Date Fixed]],"MMM-YYYY")</f>
        <v>Apr-2015</v>
      </c>
      <c r="R597" t="s">
        <v>628</v>
      </c>
      <c r="S597" s="3">
        <f>Europe_Sales_Records34[[#This Row],[Ship Date Fixed]]-Europe_Sales_Records34[[#This Row],[Order Date Fixed]]</f>
        <v>44</v>
      </c>
      <c r="T597">
        <v>1877</v>
      </c>
      <c r="U597">
        <v>651.21</v>
      </c>
      <c r="V597">
        <v>524.96</v>
      </c>
      <c r="W597">
        <f>Europe_Sales_Records34[[#This Row],[Total Revenue]]/Europe_Sales_Records34[[#This Row],[Units Sold]]</f>
        <v>651.20999999999992</v>
      </c>
      <c r="X597">
        <v>1222321.17</v>
      </c>
      <c r="Y597">
        <v>985349.92</v>
      </c>
      <c r="Z597" s="4">
        <f>Europe_Sales_Records34[[#This Row],[Total Profit]]/Europe_Sales_Records34[[#This Row],[Total Revenue]]</f>
        <v>0.19386987300563568</v>
      </c>
      <c r="AA597">
        <v>236971.25</v>
      </c>
    </row>
    <row r="598" spans="1:27" x14ac:dyDescent="0.3">
      <c r="A598" t="s">
        <v>14</v>
      </c>
      <c r="B598" t="s">
        <v>135</v>
      </c>
      <c r="C598" t="s">
        <v>32</v>
      </c>
      <c r="D598" t="s">
        <v>17</v>
      </c>
      <c r="E598" t="s">
        <v>18</v>
      </c>
      <c r="F598" t="s">
        <v>1065</v>
      </c>
      <c r="G598" s="2">
        <f t="shared" si="18"/>
        <v>42265</v>
      </c>
      <c r="H598">
        <f>DAY(Europe_Sales_Records34[[#This Row],[Order Date Fixed]])</f>
        <v>18</v>
      </c>
      <c r="I598" t="str">
        <f>TEXT(Europe_Sales_Records34[[#This Row],[Order Date Fixed]],"MMM")</f>
        <v>Sep</v>
      </c>
      <c r="J598">
        <f>YEAR(Europe_Sales_Records34[[#This Row],[Order Date Fixed]])</f>
        <v>2015</v>
      </c>
      <c r="K598" t="str">
        <f>TEXT(Europe_Sales_Records34[[#This Row],[Order Date Fixed]],"MMM-YYYY")</f>
        <v>Sep-2015</v>
      </c>
      <c r="L598">
        <v>467924726</v>
      </c>
      <c r="M598" s="2">
        <f t="shared" si="19"/>
        <v>42297</v>
      </c>
      <c r="N598">
        <f>DAY(Europe_Sales_Records34[[#This Row],[Ship Date Fixed]])</f>
        <v>20</v>
      </c>
      <c r="O598" t="str">
        <f>TEXT(Europe_Sales_Records34[[#This Row],[Ship Date Fixed]],"MMM")</f>
        <v>Oct</v>
      </c>
      <c r="P598">
        <f>YEAR(Europe_Sales_Records34[[#This Row],[Ship Date Fixed]])</f>
        <v>2015</v>
      </c>
      <c r="Q598" t="str">
        <f>TEXT(Europe_Sales_Records34[[#This Row],[Ship Date Fixed]],"MMM-YYYY")</f>
        <v>Oct-2015</v>
      </c>
      <c r="R598" t="s">
        <v>551</v>
      </c>
      <c r="S598" s="3">
        <f>Europe_Sales_Records34[[#This Row],[Ship Date Fixed]]-Europe_Sales_Records34[[#This Row],[Order Date Fixed]]</f>
        <v>32</v>
      </c>
      <c r="T598">
        <v>8179</v>
      </c>
      <c r="U598">
        <v>651.21</v>
      </c>
      <c r="V598">
        <v>524.96</v>
      </c>
      <c r="W598">
        <f>Europe_Sales_Records34[[#This Row],[Total Revenue]]/Europe_Sales_Records34[[#This Row],[Units Sold]]</f>
        <v>651.21</v>
      </c>
      <c r="X598">
        <v>5326246.59</v>
      </c>
      <c r="Y598">
        <v>4293647.84</v>
      </c>
      <c r="Z598" s="4">
        <f>Europe_Sales_Records34[[#This Row],[Total Profit]]/Europe_Sales_Records34[[#This Row],[Total Revenue]]</f>
        <v>0.19386987300563566</v>
      </c>
      <c r="AA598">
        <v>1032598.75</v>
      </c>
    </row>
    <row r="599" spans="1:27" x14ac:dyDescent="0.3">
      <c r="A599" t="s">
        <v>14</v>
      </c>
      <c r="B599" t="s">
        <v>183</v>
      </c>
      <c r="C599" t="s">
        <v>28</v>
      </c>
      <c r="D599" t="s">
        <v>17</v>
      </c>
      <c r="E599" t="s">
        <v>33</v>
      </c>
      <c r="F599" t="s">
        <v>1066</v>
      </c>
      <c r="G599" s="2">
        <f t="shared" si="18"/>
        <v>40839</v>
      </c>
      <c r="H599">
        <f>DAY(Europe_Sales_Records34[[#This Row],[Order Date Fixed]])</f>
        <v>23</v>
      </c>
      <c r="I599" t="str">
        <f>TEXT(Europe_Sales_Records34[[#This Row],[Order Date Fixed]],"MMM")</f>
        <v>Oct</v>
      </c>
      <c r="J599">
        <f>YEAR(Europe_Sales_Records34[[#This Row],[Order Date Fixed]])</f>
        <v>2011</v>
      </c>
      <c r="K599" t="str">
        <f>TEXT(Europe_Sales_Records34[[#This Row],[Order Date Fixed]],"MMM-YYYY")</f>
        <v>Oct-2011</v>
      </c>
      <c r="L599">
        <v>280477797</v>
      </c>
      <c r="M599" s="2">
        <f t="shared" si="19"/>
        <v>40840</v>
      </c>
      <c r="N599">
        <f>DAY(Europe_Sales_Records34[[#This Row],[Ship Date Fixed]])</f>
        <v>24</v>
      </c>
      <c r="O599" t="str">
        <f>TEXT(Europe_Sales_Records34[[#This Row],[Ship Date Fixed]],"MMM")</f>
        <v>Oct</v>
      </c>
      <c r="P599">
        <f>YEAR(Europe_Sales_Records34[[#This Row],[Ship Date Fixed]])</f>
        <v>2011</v>
      </c>
      <c r="Q599" t="str">
        <f>TEXT(Europe_Sales_Records34[[#This Row],[Ship Date Fixed]],"MMM-YYYY")</f>
        <v>Oct-2011</v>
      </c>
      <c r="R599" t="s">
        <v>1067</v>
      </c>
      <c r="S599" s="3">
        <f>Europe_Sales_Records34[[#This Row],[Ship Date Fixed]]-Europe_Sales_Records34[[#This Row],[Order Date Fixed]]</f>
        <v>1</v>
      </c>
      <c r="T599">
        <v>8468</v>
      </c>
      <c r="U599">
        <v>205.7</v>
      </c>
      <c r="V599">
        <v>117.11</v>
      </c>
      <c r="W599">
        <f>Europe_Sales_Records34[[#This Row],[Total Revenue]]/Europe_Sales_Records34[[#This Row],[Units Sold]]</f>
        <v>205.70000000000002</v>
      </c>
      <c r="X599">
        <v>1741867.6</v>
      </c>
      <c r="Y599">
        <v>991687.48</v>
      </c>
      <c r="Z599" s="4">
        <f>Europe_Sales_Records34[[#This Row],[Total Profit]]/Europe_Sales_Records34[[#This Row],[Total Revenue]]</f>
        <v>0.43067574137092851</v>
      </c>
      <c r="AA599">
        <v>750180.12</v>
      </c>
    </row>
    <row r="600" spans="1:27" x14ac:dyDescent="0.3">
      <c r="A600" t="s">
        <v>14</v>
      </c>
      <c r="B600" t="s">
        <v>31</v>
      </c>
      <c r="C600" t="s">
        <v>37</v>
      </c>
      <c r="D600" t="s">
        <v>23</v>
      </c>
      <c r="E600" t="s">
        <v>33</v>
      </c>
      <c r="F600" t="s">
        <v>1068</v>
      </c>
      <c r="G600" s="2">
        <f t="shared" si="18"/>
        <v>42441</v>
      </c>
      <c r="H600">
        <f>DAY(Europe_Sales_Records34[[#This Row],[Order Date Fixed]])</f>
        <v>12</v>
      </c>
      <c r="I600" t="str">
        <f>TEXT(Europe_Sales_Records34[[#This Row],[Order Date Fixed]],"MMM")</f>
        <v>Mar</v>
      </c>
      <c r="J600">
        <f>YEAR(Europe_Sales_Records34[[#This Row],[Order Date Fixed]])</f>
        <v>2016</v>
      </c>
      <c r="K600" t="str">
        <f>TEXT(Europe_Sales_Records34[[#This Row],[Order Date Fixed]],"MMM-YYYY")</f>
        <v>Mar-2016</v>
      </c>
      <c r="L600">
        <v>774698626</v>
      </c>
      <c r="M600" s="2">
        <f t="shared" si="19"/>
        <v>42467</v>
      </c>
      <c r="N600">
        <f>DAY(Europe_Sales_Records34[[#This Row],[Ship Date Fixed]])</f>
        <v>7</v>
      </c>
      <c r="O600" t="str">
        <f>TEXT(Europe_Sales_Records34[[#This Row],[Ship Date Fixed]],"MMM")</f>
        <v>Apr</v>
      </c>
      <c r="P600">
        <f>YEAR(Europe_Sales_Records34[[#This Row],[Ship Date Fixed]])</f>
        <v>2016</v>
      </c>
      <c r="Q600" t="str">
        <f>TEXT(Europe_Sales_Records34[[#This Row],[Ship Date Fixed]],"MMM-YYYY")</f>
        <v>Apr-2016</v>
      </c>
      <c r="R600" t="s">
        <v>1069</v>
      </c>
      <c r="S600" s="3">
        <f>Europe_Sales_Records34[[#This Row],[Ship Date Fixed]]-Europe_Sales_Records34[[#This Row],[Order Date Fixed]]</f>
        <v>26</v>
      </c>
      <c r="T600">
        <v>9394</v>
      </c>
      <c r="U600">
        <v>9.33</v>
      </c>
      <c r="V600">
        <v>6.92</v>
      </c>
      <c r="W600">
        <f>Europe_Sales_Records34[[#This Row],[Total Revenue]]/Europe_Sales_Records34[[#This Row],[Units Sold]]</f>
        <v>9.33</v>
      </c>
      <c r="X600">
        <v>87646.02</v>
      </c>
      <c r="Y600">
        <v>65006.48</v>
      </c>
      <c r="Z600" s="4">
        <f>Europe_Sales_Records34[[#This Row],[Total Profit]]/Europe_Sales_Records34[[#This Row],[Total Revenue]]</f>
        <v>0.25830653804930331</v>
      </c>
      <c r="AA600">
        <v>22639.54</v>
      </c>
    </row>
    <row r="601" spans="1:27" x14ac:dyDescent="0.3">
      <c r="A601" t="s">
        <v>14</v>
      </c>
      <c r="B601" t="s">
        <v>97</v>
      </c>
      <c r="C601" t="s">
        <v>28</v>
      </c>
      <c r="D601" t="s">
        <v>23</v>
      </c>
      <c r="E601" t="s">
        <v>24</v>
      </c>
      <c r="F601" t="s">
        <v>1070</v>
      </c>
      <c r="G601" s="2">
        <f t="shared" si="18"/>
        <v>40960</v>
      </c>
      <c r="H601">
        <f>DAY(Europe_Sales_Records34[[#This Row],[Order Date Fixed]])</f>
        <v>21</v>
      </c>
      <c r="I601" t="str">
        <f>TEXT(Europe_Sales_Records34[[#This Row],[Order Date Fixed]],"MMM")</f>
        <v>Feb</v>
      </c>
      <c r="J601">
        <f>YEAR(Europe_Sales_Records34[[#This Row],[Order Date Fixed]])</f>
        <v>2012</v>
      </c>
      <c r="K601" t="str">
        <f>TEXT(Europe_Sales_Records34[[#This Row],[Order Date Fixed]],"MMM-YYYY")</f>
        <v>Feb-2012</v>
      </c>
      <c r="L601">
        <v>652501904</v>
      </c>
      <c r="M601" s="2">
        <f t="shared" si="19"/>
        <v>40993</v>
      </c>
      <c r="N601">
        <f>DAY(Europe_Sales_Records34[[#This Row],[Ship Date Fixed]])</f>
        <v>25</v>
      </c>
      <c r="O601" t="str">
        <f>TEXT(Europe_Sales_Records34[[#This Row],[Ship Date Fixed]],"MMM")</f>
        <v>Mar</v>
      </c>
      <c r="P601">
        <f>YEAR(Europe_Sales_Records34[[#This Row],[Ship Date Fixed]])</f>
        <v>2012</v>
      </c>
      <c r="Q601" t="str">
        <f>TEXT(Europe_Sales_Records34[[#This Row],[Ship Date Fixed]],"MMM-YYYY")</f>
        <v>Mar-2012</v>
      </c>
      <c r="R601" t="s">
        <v>497</v>
      </c>
      <c r="S601" s="3">
        <f>Europe_Sales_Records34[[#This Row],[Ship Date Fixed]]-Europe_Sales_Records34[[#This Row],[Order Date Fixed]]</f>
        <v>33</v>
      </c>
      <c r="T601">
        <v>8668</v>
      </c>
      <c r="U601">
        <v>205.7</v>
      </c>
      <c r="V601">
        <v>117.11</v>
      </c>
      <c r="W601">
        <f>Europe_Sales_Records34[[#This Row],[Total Revenue]]/Europe_Sales_Records34[[#This Row],[Units Sold]]</f>
        <v>205.70000000000002</v>
      </c>
      <c r="X601">
        <v>1783007.6</v>
      </c>
      <c r="Y601">
        <v>1015109.48</v>
      </c>
      <c r="Z601" s="4">
        <f>Europe_Sales_Records34[[#This Row],[Total Profit]]/Europe_Sales_Records34[[#This Row],[Total Revenue]]</f>
        <v>0.43067574137092851</v>
      </c>
      <c r="AA601">
        <v>767898.12</v>
      </c>
    </row>
    <row r="602" spans="1:27" x14ac:dyDescent="0.3">
      <c r="A602" t="s">
        <v>14</v>
      </c>
      <c r="B602" t="s">
        <v>31</v>
      </c>
      <c r="C602" t="s">
        <v>71</v>
      </c>
      <c r="D602" t="s">
        <v>23</v>
      </c>
      <c r="E602" t="s">
        <v>24</v>
      </c>
      <c r="F602" t="s">
        <v>1071</v>
      </c>
      <c r="G602" s="2">
        <f t="shared" si="18"/>
        <v>42886</v>
      </c>
      <c r="H602">
        <f>DAY(Europe_Sales_Records34[[#This Row],[Order Date Fixed]])</f>
        <v>31</v>
      </c>
      <c r="I602" t="str">
        <f>TEXT(Europe_Sales_Records34[[#This Row],[Order Date Fixed]],"MMM")</f>
        <v>May</v>
      </c>
      <c r="J602">
        <f>YEAR(Europe_Sales_Records34[[#This Row],[Order Date Fixed]])</f>
        <v>2017</v>
      </c>
      <c r="K602" t="str">
        <f>TEXT(Europe_Sales_Records34[[#This Row],[Order Date Fixed]],"MMM-YYYY")</f>
        <v>May-2017</v>
      </c>
      <c r="L602">
        <v>688903129</v>
      </c>
      <c r="M602" s="2">
        <f t="shared" si="19"/>
        <v>42918</v>
      </c>
      <c r="N602">
        <f>DAY(Europe_Sales_Records34[[#This Row],[Ship Date Fixed]])</f>
        <v>2</v>
      </c>
      <c r="O602" t="str">
        <f>TEXT(Europe_Sales_Records34[[#This Row],[Ship Date Fixed]],"MMM")</f>
        <v>Jul</v>
      </c>
      <c r="P602">
        <f>YEAR(Europe_Sales_Records34[[#This Row],[Ship Date Fixed]])</f>
        <v>2017</v>
      </c>
      <c r="Q602" t="str">
        <f>TEXT(Europe_Sales_Records34[[#This Row],[Ship Date Fixed]],"MMM-YYYY")</f>
        <v>Jul-2017</v>
      </c>
      <c r="R602" t="s">
        <v>1072</v>
      </c>
      <c r="S602" s="3">
        <f>Europe_Sales_Records34[[#This Row],[Ship Date Fixed]]-Europe_Sales_Records34[[#This Row],[Order Date Fixed]]</f>
        <v>32</v>
      </c>
      <c r="T602">
        <v>600</v>
      </c>
      <c r="U602">
        <v>668.27</v>
      </c>
      <c r="V602">
        <v>502.54</v>
      </c>
      <c r="W602">
        <f>Europe_Sales_Records34[[#This Row],[Total Revenue]]/Europe_Sales_Records34[[#This Row],[Units Sold]]</f>
        <v>668.27</v>
      </c>
      <c r="X602">
        <v>400962</v>
      </c>
      <c r="Y602">
        <v>301524</v>
      </c>
      <c r="Z602" s="4">
        <f>Europe_Sales_Records34[[#This Row],[Total Profit]]/Europe_Sales_Records34[[#This Row],[Total Revenue]]</f>
        <v>0.24799856345489099</v>
      </c>
      <c r="AA602">
        <v>99438</v>
      </c>
    </row>
    <row r="603" spans="1:27" x14ac:dyDescent="0.3">
      <c r="A603" t="s">
        <v>14</v>
      </c>
      <c r="B603" t="s">
        <v>53</v>
      </c>
      <c r="C603" t="s">
        <v>102</v>
      </c>
      <c r="D603" t="s">
        <v>23</v>
      </c>
      <c r="E603" t="s">
        <v>24</v>
      </c>
      <c r="F603" t="s">
        <v>1073</v>
      </c>
      <c r="G603" s="2">
        <f t="shared" si="18"/>
        <v>41845</v>
      </c>
      <c r="H603">
        <f>DAY(Europe_Sales_Records34[[#This Row],[Order Date Fixed]])</f>
        <v>25</v>
      </c>
      <c r="I603" t="str">
        <f>TEXT(Europe_Sales_Records34[[#This Row],[Order Date Fixed]],"MMM")</f>
        <v>Jul</v>
      </c>
      <c r="J603">
        <f>YEAR(Europe_Sales_Records34[[#This Row],[Order Date Fixed]])</f>
        <v>2014</v>
      </c>
      <c r="K603" t="str">
        <f>TEXT(Europe_Sales_Records34[[#This Row],[Order Date Fixed]],"MMM-YYYY")</f>
        <v>Jul-2014</v>
      </c>
      <c r="L603">
        <v>195171105</v>
      </c>
      <c r="M603" s="2">
        <f t="shared" si="19"/>
        <v>41886</v>
      </c>
      <c r="N603">
        <f>DAY(Europe_Sales_Records34[[#This Row],[Ship Date Fixed]])</f>
        <v>4</v>
      </c>
      <c r="O603" t="str">
        <f>TEXT(Europe_Sales_Records34[[#This Row],[Ship Date Fixed]],"MMM")</f>
        <v>Sep</v>
      </c>
      <c r="P603">
        <f>YEAR(Europe_Sales_Records34[[#This Row],[Ship Date Fixed]])</f>
        <v>2014</v>
      </c>
      <c r="Q603" t="str">
        <f>TEXT(Europe_Sales_Records34[[#This Row],[Ship Date Fixed]],"MMM-YYYY")</f>
        <v>Sep-2014</v>
      </c>
      <c r="R603" t="s">
        <v>1074</v>
      </c>
      <c r="S603" s="3">
        <f>Europe_Sales_Records34[[#This Row],[Ship Date Fixed]]-Europe_Sales_Records34[[#This Row],[Order Date Fixed]]</f>
        <v>41</v>
      </c>
      <c r="T603">
        <v>4322</v>
      </c>
      <c r="U603">
        <v>81.73</v>
      </c>
      <c r="V603">
        <v>56.67</v>
      </c>
      <c r="W603">
        <f>Europe_Sales_Records34[[#This Row],[Total Revenue]]/Europe_Sales_Records34[[#This Row],[Units Sold]]</f>
        <v>81.73</v>
      </c>
      <c r="X603">
        <v>353237.06</v>
      </c>
      <c r="Y603">
        <v>244927.74</v>
      </c>
      <c r="Z603" s="4">
        <f>Europe_Sales_Records34[[#This Row],[Total Profit]]/Europe_Sales_Records34[[#This Row],[Total Revenue]]</f>
        <v>0.30661935641747218</v>
      </c>
      <c r="AA603">
        <v>108309.32</v>
      </c>
    </row>
    <row r="604" spans="1:27" x14ac:dyDescent="0.3">
      <c r="A604" t="s">
        <v>14</v>
      </c>
      <c r="B604" t="s">
        <v>257</v>
      </c>
      <c r="C604" t="s">
        <v>71</v>
      </c>
      <c r="D604" t="s">
        <v>17</v>
      </c>
      <c r="E604" t="s">
        <v>18</v>
      </c>
      <c r="F604" t="s">
        <v>624</v>
      </c>
      <c r="G604" s="2">
        <f t="shared" si="18"/>
        <v>40587</v>
      </c>
      <c r="H604">
        <f>DAY(Europe_Sales_Records34[[#This Row],[Order Date Fixed]])</f>
        <v>13</v>
      </c>
      <c r="I604" t="str">
        <f>TEXT(Europe_Sales_Records34[[#This Row],[Order Date Fixed]],"MMM")</f>
        <v>Feb</v>
      </c>
      <c r="J604">
        <f>YEAR(Europe_Sales_Records34[[#This Row],[Order Date Fixed]])</f>
        <v>2011</v>
      </c>
      <c r="K604" t="str">
        <f>TEXT(Europe_Sales_Records34[[#This Row],[Order Date Fixed]],"MMM-YYYY")</f>
        <v>Feb-2011</v>
      </c>
      <c r="L604">
        <v>128766906</v>
      </c>
      <c r="M604" s="2">
        <f t="shared" si="19"/>
        <v>40630</v>
      </c>
      <c r="N604">
        <f>DAY(Europe_Sales_Records34[[#This Row],[Ship Date Fixed]])</f>
        <v>28</v>
      </c>
      <c r="O604" t="str">
        <f>TEXT(Europe_Sales_Records34[[#This Row],[Ship Date Fixed]],"MMM")</f>
        <v>Mar</v>
      </c>
      <c r="P604">
        <f>YEAR(Europe_Sales_Records34[[#This Row],[Ship Date Fixed]])</f>
        <v>2011</v>
      </c>
      <c r="Q604" t="str">
        <f>TEXT(Europe_Sales_Records34[[#This Row],[Ship Date Fixed]],"MMM-YYYY")</f>
        <v>Mar-2011</v>
      </c>
      <c r="R604" t="s">
        <v>187</v>
      </c>
      <c r="S604" s="3">
        <f>Europe_Sales_Records34[[#This Row],[Ship Date Fixed]]-Europe_Sales_Records34[[#This Row],[Order Date Fixed]]</f>
        <v>43</v>
      </c>
      <c r="T604">
        <v>3844</v>
      </c>
      <c r="U604">
        <v>668.27</v>
      </c>
      <c r="V604">
        <v>502.54</v>
      </c>
      <c r="W604">
        <f>Europe_Sales_Records34[[#This Row],[Total Revenue]]/Europe_Sales_Records34[[#This Row],[Units Sold]]</f>
        <v>668.27</v>
      </c>
      <c r="X604">
        <v>2568829.88</v>
      </c>
      <c r="Y604">
        <v>1931763.76</v>
      </c>
      <c r="Z604" s="4">
        <f>Europe_Sales_Records34[[#This Row],[Total Profit]]/Europe_Sales_Records34[[#This Row],[Total Revenue]]</f>
        <v>0.24799856345489099</v>
      </c>
      <c r="AA604">
        <v>637066.12</v>
      </c>
    </row>
    <row r="605" spans="1:27" x14ac:dyDescent="0.3">
      <c r="A605" t="s">
        <v>14</v>
      </c>
      <c r="B605" t="s">
        <v>61</v>
      </c>
      <c r="C605" t="s">
        <v>46</v>
      </c>
      <c r="D605" t="s">
        <v>17</v>
      </c>
      <c r="E605" t="s">
        <v>33</v>
      </c>
      <c r="F605" t="s">
        <v>1075</v>
      </c>
      <c r="G605" s="2">
        <f t="shared" si="18"/>
        <v>42548</v>
      </c>
      <c r="H605">
        <f>DAY(Europe_Sales_Records34[[#This Row],[Order Date Fixed]])</f>
        <v>27</v>
      </c>
      <c r="I605" t="str">
        <f>TEXT(Europe_Sales_Records34[[#This Row],[Order Date Fixed]],"MMM")</f>
        <v>Jun</v>
      </c>
      <c r="J605">
        <f>YEAR(Europe_Sales_Records34[[#This Row],[Order Date Fixed]])</f>
        <v>2016</v>
      </c>
      <c r="K605" t="str">
        <f>TEXT(Europe_Sales_Records34[[#This Row],[Order Date Fixed]],"MMM-YYYY")</f>
        <v>Jun-2016</v>
      </c>
      <c r="L605">
        <v>361725556</v>
      </c>
      <c r="M605" s="2">
        <f t="shared" si="19"/>
        <v>42569</v>
      </c>
      <c r="N605">
        <f>DAY(Europe_Sales_Records34[[#This Row],[Ship Date Fixed]])</f>
        <v>18</v>
      </c>
      <c r="O605" t="str">
        <f>TEXT(Europe_Sales_Records34[[#This Row],[Ship Date Fixed]],"MMM")</f>
        <v>Jul</v>
      </c>
      <c r="P605">
        <f>YEAR(Europe_Sales_Records34[[#This Row],[Ship Date Fixed]])</f>
        <v>2016</v>
      </c>
      <c r="Q605" t="str">
        <f>TEXT(Europe_Sales_Records34[[#This Row],[Ship Date Fixed]],"MMM-YYYY")</f>
        <v>Jul-2016</v>
      </c>
      <c r="R605" t="s">
        <v>1076</v>
      </c>
      <c r="S605" s="3">
        <f>Europe_Sales_Records34[[#This Row],[Ship Date Fixed]]-Europe_Sales_Records34[[#This Row],[Order Date Fixed]]</f>
        <v>21</v>
      </c>
      <c r="T605">
        <v>1485</v>
      </c>
      <c r="U605">
        <v>154.06</v>
      </c>
      <c r="V605">
        <v>90.93</v>
      </c>
      <c r="W605">
        <f>Europe_Sales_Records34[[#This Row],[Total Revenue]]/Europe_Sales_Records34[[#This Row],[Units Sold]]</f>
        <v>154.06</v>
      </c>
      <c r="X605">
        <v>228779.1</v>
      </c>
      <c r="Y605">
        <v>135031.04999999999</v>
      </c>
      <c r="Z605" s="4">
        <f>Europe_Sales_Records34[[#This Row],[Total Profit]]/Europe_Sales_Records34[[#This Row],[Total Revenue]]</f>
        <v>0.40977541217707386</v>
      </c>
      <c r="AA605">
        <v>93748.05</v>
      </c>
    </row>
    <row r="606" spans="1:27" x14ac:dyDescent="0.3">
      <c r="A606" t="s">
        <v>14</v>
      </c>
      <c r="B606" t="s">
        <v>122</v>
      </c>
      <c r="C606" t="s">
        <v>102</v>
      </c>
      <c r="D606" t="s">
        <v>23</v>
      </c>
      <c r="E606" t="s">
        <v>18</v>
      </c>
      <c r="F606" t="s">
        <v>1077</v>
      </c>
      <c r="G606" s="2">
        <f t="shared" si="18"/>
        <v>42710</v>
      </c>
      <c r="H606">
        <f>DAY(Europe_Sales_Records34[[#This Row],[Order Date Fixed]])</f>
        <v>6</v>
      </c>
      <c r="I606" t="str">
        <f>TEXT(Europe_Sales_Records34[[#This Row],[Order Date Fixed]],"MMM")</f>
        <v>Dec</v>
      </c>
      <c r="J606">
        <f>YEAR(Europe_Sales_Records34[[#This Row],[Order Date Fixed]])</f>
        <v>2016</v>
      </c>
      <c r="K606" t="str">
        <f>TEXT(Europe_Sales_Records34[[#This Row],[Order Date Fixed]],"MMM-YYYY")</f>
        <v>Dec-2016</v>
      </c>
      <c r="L606">
        <v>789760196</v>
      </c>
      <c r="M606" s="2">
        <f t="shared" si="19"/>
        <v>42737</v>
      </c>
      <c r="N606">
        <f>DAY(Europe_Sales_Records34[[#This Row],[Ship Date Fixed]])</f>
        <v>2</v>
      </c>
      <c r="O606" t="str">
        <f>TEXT(Europe_Sales_Records34[[#This Row],[Ship Date Fixed]],"MMM")</f>
        <v>Jan</v>
      </c>
      <c r="P606">
        <f>YEAR(Europe_Sales_Records34[[#This Row],[Ship Date Fixed]])</f>
        <v>2017</v>
      </c>
      <c r="Q606" t="str">
        <f>TEXT(Europe_Sales_Records34[[#This Row],[Ship Date Fixed]],"MMM-YYYY")</f>
        <v>Jan-2017</v>
      </c>
      <c r="R606" t="s">
        <v>1078</v>
      </c>
      <c r="S606" s="3">
        <f>Europe_Sales_Records34[[#This Row],[Ship Date Fixed]]-Europe_Sales_Records34[[#This Row],[Order Date Fixed]]</f>
        <v>27</v>
      </c>
      <c r="T606">
        <v>6447</v>
      </c>
      <c r="U606">
        <v>81.73</v>
      </c>
      <c r="V606">
        <v>56.67</v>
      </c>
      <c r="W606">
        <f>Europe_Sales_Records34[[#This Row],[Total Revenue]]/Europe_Sales_Records34[[#This Row],[Units Sold]]</f>
        <v>81.73</v>
      </c>
      <c r="X606">
        <v>526913.31000000006</v>
      </c>
      <c r="Y606">
        <v>365351.49</v>
      </c>
      <c r="Z606" s="4">
        <f>Europe_Sales_Records34[[#This Row],[Total Profit]]/Europe_Sales_Records34[[#This Row],[Total Revenue]]</f>
        <v>0.30661935641747212</v>
      </c>
      <c r="AA606">
        <v>161561.82</v>
      </c>
    </row>
    <row r="607" spans="1:27" x14ac:dyDescent="0.3">
      <c r="A607" t="s">
        <v>14</v>
      </c>
      <c r="B607" t="s">
        <v>243</v>
      </c>
      <c r="C607" t="s">
        <v>75</v>
      </c>
      <c r="D607" t="s">
        <v>23</v>
      </c>
      <c r="E607" t="s">
        <v>18</v>
      </c>
      <c r="F607" t="s">
        <v>1079</v>
      </c>
      <c r="G607" s="2">
        <f t="shared" si="18"/>
        <v>41579</v>
      </c>
      <c r="H607">
        <f>DAY(Europe_Sales_Records34[[#This Row],[Order Date Fixed]])</f>
        <v>1</v>
      </c>
      <c r="I607" t="str">
        <f>TEXT(Europe_Sales_Records34[[#This Row],[Order Date Fixed]],"MMM")</f>
        <v>Nov</v>
      </c>
      <c r="J607">
        <f>YEAR(Europe_Sales_Records34[[#This Row],[Order Date Fixed]])</f>
        <v>2013</v>
      </c>
      <c r="K607" t="str">
        <f>TEXT(Europe_Sales_Records34[[#This Row],[Order Date Fixed]],"MMM-YYYY")</f>
        <v>Nov-2013</v>
      </c>
      <c r="L607">
        <v>327072703</v>
      </c>
      <c r="M607" s="2">
        <f t="shared" si="19"/>
        <v>41594</v>
      </c>
      <c r="N607">
        <f>DAY(Europe_Sales_Records34[[#This Row],[Ship Date Fixed]])</f>
        <v>16</v>
      </c>
      <c r="O607" t="str">
        <f>TEXT(Europe_Sales_Records34[[#This Row],[Ship Date Fixed]],"MMM")</f>
        <v>Nov</v>
      </c>
      <c r="P607">
        <f>YEAR(Europe_Sales_Records34[[#This Row],[Ship Date Fixed]])</f>
        <v>2013</v>
      </c>
      <c r="Q607" t="str">
        <f>TEXT(Europe_Sales_Records34[[#This Row],[Ship Date Fixed]],"MMM-YYYY")</f>
        <v>Nov-2013</v>
      </c>
      <c r="R607" t="s">
        <v>1080</v>
      </c>
      <c r="S607" s="3">
        <f>Europe_Sales_Records34[[#This Row],[Ship Date Fixed]]-Europe_Sales_Records34[[#This Row],[Order Date Fixed]]</f>
        <v>15</v>
      </c>
      <c r="T607">
        <v>6936</v>
      </c>
      <c r="U607">
        <v>437.2</v>
      </c>
      <c r="V607">
        <v>263.33</v>
      </c>
      <c r="W607">
        <f>Europe_Sales_Records34[[#This Row],[Total Revenue]]/Europe_Sales_Records34[[#This Row],[Units Sold]]</f>
        <v>437.20000000000005</v>
      </c>
      <c r="X607">
        <v>3032419.2</v>
      </c>
      <c r="Y607">
        <v>1826456.88</v>
      </c>
      <c r="Z607" s="4">
        <f>Europe_Sales_Records34[[#This Row],[Total Profit]]/Europe_Sales_Records34[[#This Row],[Total Revenue]]</f>
        <v>0.39768984446477584</v>
      </c>
      <c r="AA607">
        <v>1205962.32</v>
      </c>
    </row>
    <row r="608" spans="1:27" x14ac:dyDescent="0.3">
      <c r="A608" t="s">
        <v>14</v>
      </c>
      <c r="B608" t="s">
        <v>49</v>
      </c>
      <c r="C608" t="s">
        <v>46</v>
      </c>
      <c r="D608" t="s">
        <v>23</v>
      </c>
      <c r="E608" t="s">
        <v>54</v>
      </c>
      <c r="F608" t="s">
        <v>1081</v>
      </c>
      <c r="G608" s="2">
        <f t="shared" si="18"/>
        <v>41535</v>
      </c>
      <c r="H608">
        <f>DAY(Europe_Sales_Records34[[#This Row],[Order Date Fixed]])</f>
        <v>18</v>
      </c>
      <c r="I608" t="str">
        <f>TEXT(Europe_Sales_Records34[[#This Row],[Order Date Fixed]],"MMM")</f>
        <v>Sep</v>
      </c>
      <c r="J608">
        <f>YEAR(Europe_Sales_Records34[[#This Row],[Order Date Fixed]])</f>
        <v>2013</v>
      </c>
      <c r="K608" t="str">
        <f>TEXT(Europe_Sales_Records34[[#This Row],[Order Date Fixed]],"MMM-YYYY")</f>
        <v>Sep-2013</v>
      </c>
      <c r="L608">
        <v>130356919</v>
      </c>
      <c r="M608" s="2">
        <f t="shared" si="19"/>
        <v>41548</v>
      </c>
      <c r="N608">
        <f>DAY(Europe_Sales_Records34[[#This Row],[Ship Date Fixed]])</f>
        <v>1</v>
      </c>
      <c r="O608" t="str">
        <f>TEXT(Europe_Sales_Records34[[#This Row],[Ship Date Fixed]],"MMM")</f>
        <v>Oct</v>
      </c>
      <c r="P608">
        <f>YEAR(Europe_Sales_Records34[[#This Row],[Ship Date Fixed]])</f>
        <v>2013</v>
      </c>
      <c r="Q608" t="str">
        <f>TEXT(Europe_Sales_Records34[[#This Row],[Ship Date Fixed]],"MMM-YYYY")</f>
        <v>Oct-2013</v>
      </c>
      <c r="R608" t="s">
        <v>261</v>
      </c>
      <c r="S608" s="3">
        <f>Europe_Sales_Records34[[#This Row],[Ship Date Fixed]]-Europe_Sales_Records34[[#This Row],[Order Date Fixed]]</f>
        <v>13</v>
      </c>
      <c r="T608">
        <v>4364</v>
      </c>
      <c r="U608">
        <v>154.06</v>
      </c>
      <c r="V608">
        <v>90.93</v>
      </c>
      <c r="W608">
        <f>Europe_Sales_Records34[[#This Row],[Total Revenue]]/Europe_Sales_Records34[[#This Row],[Units Sold]]</f>
        <v>154.06</v>
      </c>
      <c r="X608">
        <v>672317.84</v>
      </c>
      <c r="Y608">
        <v>396818.52</v>
      </c>
      <c r="Z608" s="4">
        <f>Europe_Sales_Records34[[#This Row],[Total Profit]]/Europe_Sales_Records34[[#This Row],[Total Revenue]]</f>
        <v>0.40977541217707392</v>
      </c>
      <c r="AA608">
        <v>275499.32</v>
      </c>
    </row>
    <row r="609" spans="1:27" x14ac:dyDescent="0.3">
      <c r="A609" t="s">
        <v>14</v>
      </c>
      <c r="B609" t="s">
        <v>86</v>
      </c>
      <c r="C609" t="s">
        <v>28</v>
      </c>
      <c r="D609" t="s">
        <v>17</v>
      </c>
      <c r="E609" t="s">
        <v>54</v>
      </c>
      <c r="F609" t="s">
        <v>296</v>
      </c>
      <c r="G609" s="2">
        <f t="shared" si="18"/>
        <v>41310</v>
      </c>
      <c r="H609">
        <f>DAY(Europe_Sales_Records34[[#This Row],[Order Date Fixed]])</f>
        <v>5</v>
      </c>
      <c r="I609" t="str">
        <f>TEXT(Europe_Sales_Records34[[#This Row],[Order Date Fixed]],"MMM")</f>
        <v>Feb</v>
      </c>
      <c r="J609">
        <f>YEAR(Europe_Sales_Records34[[#This Row],[Order Date Fixed]])</f>
        <v>2013</v>
      </c>
      <c r="K609" t="str">
        <f>TEXT(Europe_Sales_Records34[[#This Row],[Order Date Fixed]],"MMM-YYYY")</f>
        <v>Feb-2013</v>
      </c>
      <c r="L609">
        <v>636360585</v>
      </c>
      <c r="M609" s="2">
        <f t="shared" si="19"/>
        <v>41341</v>
      </c>
      <c r="N609">
        <f>DAY(Europe_Sales_Records34[[#This Row],[Ship Date Fixed]])</f>
        <v>8</v>
      </c>
      <c r="O609" t="str">
        <f>TEXT(Europe_Sales_Records34[[#This Row],[Ship Date Fixed]],"MMM")</f>
        <v>Mar</v>
      </c>
      <c r="P609">
        <f>YEAR(Europe_Sales_Records34[[#This Row],[Ship Date Fixed]])</f>
        <v>2013</v>
      </c>
      <c r="Q609" t="str">
        <f>TEXT(Europe_Sales_Records34[[#This Row],[Ship Date Fixed]],"MMM-YYYY")</f>
        <v>Mar-2013</v>
      </c>
      <c r="R609" t="s">
        <v>1031</v>
      </c>
      <c r="S609" s="3">
        <f>Europe_Sales_Records34[[#This Row],[Ship Date Fixed]]-Europe_Sales_Records34[[#This Row],[Order Date Fixed]]</f>
        <v>31</v>
      </c>
      <c r="T609">
        <v>2093</v>
      </c>
      <c r="U609">
        <v>205.7</v>
      </c>
      <c r="V609">
        <v>117.11</v>
      </c>
      <c r="W609">
        <f>Europe_Sales_Records34[[#This Row],[Total Revenue]]/Europe_Sales_Records34[[#This Row],[Units Sold]]</f>
        <v>205.7</v>
      </c>
      <c r="X609">
        <v>430530.1</v>
      </c>
      <c r="Y609">
        <v>245111.23</v>
      </c>
      <c r="Z609" s="4">
        <f>Europe_Sales_Records34[[#This Row],[Total Profit]]/Europe_Sales_Records34[[#This Row],[Total Revenue]]</f>
        <v>0.43067574137092857</v>
      </c>
      <c r="AA609">
        <v>185418.87</v>
      </c>
    </row>
    <row r="610" spans="1:27" x14ac:dyDescent="0.3">
      <c r="A610" t="s">
        <v>14</v>
      </c>
      <c r="B610" t="s">
        <v>264</v>
      </c>
      <c r="C610" t="s">
        <v>16</v>
      </c>
      <c r="D610" t="s">
        <v>23</v>
      </c>
      <c r="E610" t="s">
        <v>24</v>
      </c>
      <c r="F610" t="s">
        <v>78</v>
      </c>
      <c r="G610" s="2">
        <f t="shared" si="18"/>
        <v>41114</v>
      </c>
      <c r="H610">
        <f>DAY(Europe_Sales_Records34[[#This Row],[Order Date Fixed]])</f>
        <v>24</v>
      </c>
      <c r="I610" t="str">
        <f>TEXT(Europe_Sales_Records34[[#This Row],[Order Date Fixed]],"MMM")</f>
        <v>Jul</v>
      </c>
      <c r="J610">
        <f>YEAR(Europe_Sales_Records34[[#This Row],[Order Date Fixed]])</f>
        <v>2012</v>
      </c>
      <c r="K610" t="str">
        <f>TEXT(Europe_Sales_Records34[[#This Row],[Order Date Fixed]],"MMM-YYYY")</f>
        <v>Jul-2012</v>
      </c>
      <c r="L610">
        <v>123938930</v>
      </c>
      <c r="M610" s="2">
        <f t="shared" si="19"/>
        <v>41123</v>
      </c>
      <c r="N610">
        <f>DAY(Europe_Sales_Records34[[#This Row],[Ship Date Fixed]])</f>
        <v>2</v>
      </c>
      <c r="O610" t="str">
        <f>TEXT(Europe_Sales_Records34[[#This Row],[Ship Date Fixed]],"MMM")</f>
        <v>Aug</v>
      </c>
      <c r="P610">
        <f>YEAR(Europe_Sales_Records34[[#This Row],[Ship Date Fixed]])</f>
        <v>2012</v>
      </c>
      <c r="Q610" t="str">
        <f>TEXT(Europe_Sales_Records34[[#This Row],[Ship Date Fixed]],"MMM-YYYY")</f>
        <v>Aug-2012</v>
      </c>
      <c r="R610" t="s">
        <v>969</v>
      </c>
      <c r="S610" s="3">
        <f>Europe_Sales_Records34[[#This Row],[Ship Date Fixed]]-Europe_Sales_Records34[[#This Row],[Order Date Fixed]]</f>
        <v>9</v>
      </c>
      <c r="T610">
        <v>5138</v>
      </c>
      <c r="U610">
        <v>47.45</v>
      </c>
      <c r="V610">
        <v>31.79</v>
      </c>
      <c r="W610">
        <f>Europe_Sales_Records34[[#This Row],[Total Revenue]]/Europe_Sales_Records34[[#This Row],[Units Sold]]</f>
        <v>47.45</v>
      </c>
      <c r="X610">
        <v>243798.1</v>
      </c>
      <c r="Y610">
        <v>163337.01999999999</v>
      </c>
      <c r="Z610" s="4">
        <f>Europe_Sales_Records34[[#This Row],[Total Profit]]/Europe_Sales_Records34[[#This Row],[Total Revenue]]</f>
        <v>0.33003161222339306</v>
      </c>
      <c r="AA610">
        <v>80461.08</v>
      </c>
    </row>
    <row r="611" spans="1:27" x14ac:dyDescent="0.3">
      <c r="A611" t="s">
        <v>14</v>
      </c>
      <c r="B611" t="s">
        <v>132</v>
      </c>
      <c r="C611" t="s">
        <v>32</v>
      </c>
      <c r="D611" t="s">
        <v>17</v>
      </c>
      <c r="E611" t="s">
        <v>18</v>
      </c>
      <c r="F611" t="s">
        <v>690</v>
      </c>
      <c r="G611" s="2">
        <f t="shared" si="18"/>
        <v>41846</v>
      </c>
      <c r="H611">
        <f>DAY(Europe_Sales_Records34[[#This Row],[Order Date Fixed]])</f>
        <v>26</v>
      </c>
      <c r="I611" t="str">
        <f>TEXT(Europe_Sales_Records34[[#This Row],[Order Date Fixed]],"MMM")</f>
        <v>Jul</v>
      </c>
      <c r="J611">
        <f>YEAR(Europe_Sales_Records34[[#This Row],[Order Date Fixed]])</f>
        <v>2014</v>
      </c>
      <c r="K611" t="str">
        <f>TEXT(Europe_Sales_Records34[[#This Row],[Order Date Fixed]],"MMM-YYYY")</f>
        <v>Jul-2014</v>
      </c>
      <c r="L611">
        <v>770821654</v>
      </c>
      <c r="M611" s="2">
        <f t="shared" si="19"/>
        <v>41870</v>
      </c>
      <c r="N611">
        <f>DAY(Europe_Sales_Records34[[#This Row],[Ship Date Fixed]])</f>
        <v>19</v>
      </c>
      <c r="O611" t="str">
        <f>TEXT(Europe_Sales_Records34[[#This Row],[Ship Date Fixed]],"MMM")</f>
        <v>Aug</v>
      </c>
      <c r="P611">
        <f>YEAR(Europe_Sales_Records34[[#This Row],[Ship Date Fixed]])</f>
        <v>2014</v>
      </c>
      <c r="Q611" t="str">
        <f>TEXT(Europe_Sales_Records34[[#This Row],[Ship Date Fixed]],"MMM-YYYY")</f>
        <v>Aug-2014</v>
      </c>
      <c r="R611" t="s">
        <v>1082</v>
      </c>
      <c r="S611" s="3">
        <f>Europe_Sales_Records34[[#This Row],[Ship Date Fixed]]-Europe_Sales_Records34[[#This Row],[Order Date Fixed]]</f>
        <v>24</v>
      </c>
      <c r="T611">
        <v>2112</v>
      </c>
      <c r="U611">
        <v>651.21</v>
      </c>
      <c r="V611">
        <v>524.96</v>
      </c>
      <c r="W611">
        <f>Europe_Sales_Records34[[#This Row],[Total Revenue]]/Europe_Sales_Records34[[#This Row],[Units Sold]]</f>
        <v>651.21</v>
      </c>
      <c r="X611">
        <v>1375355.52</v>
      </c>
      <c r="Y611">
        <v>1108715.52</v>
      </c>
      <c r="Z611" s="4">
        <f>Europe_Sales_Records34[[#This Row],[Total Profit]]/Europe_Sales_Records34[[#This Row],[Total Revenue]]</f>
        <v>0.19386987300563566</v>
      </c>
      <c r="AA611">
        <v>266640</v>
      </c>
    </row>
    <row r="612" spans="1:27" x14ac:dyDescent="0.3">
      <c r="A612" t="s">
        <v>14</v>
      </c>
      <c r="B612" t="s">
        <v>94</v>
      </c>
      <c r="C612" t="s">
        <v>75</v>
      </c>
      <c r="D612" t="s">
        <v>23</v>
      </c>
      <c r="E612" t="s">
        <v>24</v>
      </c>
      <c r="F612" t="s">
        <v>740</v>
      </c>
      <c r="G612" s="2">
        <f t="shared" si="18"/>
        <v>41257</v>
      </c>
      <c r="H612">
        <f>DAY(Europe_Sales_Records34[[#This Row],[Order Date Fixed]])</f>
        <v>14</v>
      </c>
      <c r="I612" t="str">
        <f>TEXT(Europe_Sales_Records34[[#This Row],[Order Date Fixed]],"MMM")</f>
        <v>Dec</v>
      </c>
      <c r="J612">
        <f>YEAR(Europe_Sales_Records34[[#This Row],[Order Date Fixed]])</f>
        <v>2012</v>
      </c>
      <c r="K612" t="str">
        <f>TEXT(Europe_Sales_Records34[[#This Row],[Order Date Fixed]],"MMM-YYYY")</f>
        <v>Dec-2012</v>
      </c>
      <c r="L612">
        <v>692952191</v>
      </c>
      <c r="M612" s="2">
        <f t="shared" si="19"/>
        <v>41278</v>
      </c>
      <c r="N612">
        <f>DAY(Europe_Sales_Records34[[#This Row],[Ship Date Fixed]])</f>
        <v>4</v>
      </c>
      <c r="O612" t="str">
        <f>TEXT(Europe_Sales_Records34[[#This Row],[Ship Date Fixed]],"MMM")</f>
        <v>Jan</v>
      </c>
      <c r="P612">
        <f>YEAR(Europe_Sales_Records34[[#This Row],[Ship Date Fixed]])</f>
        <v>2013</v>
      </c>
      <c r="Q612" t="str">
        <f>TEXT(Europe_Sales_Records34[[#This Row],[Ship Date Fixed]],"MMM-YYYY")</f>
        <v>Jan-2013</v>
      </c>
      <c r="R612" t="s">
        <v>1083</v>
      </c>
      <c r="S612" s="3">
        <f>Europe_Sales_Records34[[#This Row],[Ship Date Fixed]]-Europe_Sales_Records34[[#This Row],[Order Date Fixed]]</f>
        <v>21</v>
      </c>
      <c r="T612">
        <v>8807</v>
      </c>
      <c r="U612">
        <v>437.2</v>
      </c>
      <c r="V612">
        <v>263.33</v>
      </c>
      <c r="W612">
        <f>Europe_Sales_Records34[[#This Row],[Total Revenue]]/Europe_Sales_Records34[[#This Row],[Units Sold]]</f>
        <v>437.2</v>
      </c>
      <c r="X612">
        <v>3850420.4</v>
      </c>
      <c r="Y612">
        <v>2319147.31</v>
      </c>
      <c r="Z612" s="4">
        <f>Europe_Sales_Records34[[#This Row],[Total Profit]]/Europe_Sales_Records34[[#This Row],[Total Revenue]]</f>
        <v>0.3976898444647759</v>
      </c>
      <c r="AA612">
        <v>1531273.09</v>
      </c>
    </row>
    <row r="613" spans="1:27" x14ac:dyDescent="0.3">
      <c r="A613" t="s">
        <v>14</v>
      </c>
      <c r="B613" t="s">
        <v>74</v>
      </c>
      <c r="C613" t="s">
        <v>16</v>
      </c>
      <c r="D613" t="s">
        <v>17</v>
      </c>
      <c r="E613" t="s">
        <v>33</v>
      </c>
      <c r="F613" t="s">
        <v>838</v>
      </c>
      <c r="G613" s="2">
        <f t="shared" si="18"/>
        <v>41524</v>
      </c>
      <c r="H613">
        <f>DAY(Europe_Sales_Records34[[#This Row],[Order Date Fixed]])</f>
        <v>7</v>
      </c>
      <c r="I613" t="str">
        <f>TEXT(Europe_Sales_Records34[[#This Row],[Order Date Fixed]],"MMM")</f>
        <v>Sep</v>
      </c>
      <c r="J613">
        <f>YEAR(Europe_Sales_Records34[[#This Row],[Order Date Fixed]])</f>
        <v>2013</v>
      </c>
      <c r="K613" t="str">
        <f>TEXT(Europe_Sales_Records34[[#This Row],[Order Date Fixed]],"MMM-YYYY")</f>
        <v>Sep-2013</v>
      </c>
      <c r="L613">
        <v>947507131</v>
      </c>
      <c r="M613" s="2">
        <f t="shared" si="19"/>
        <v>41567</v>
      </c>
      <c r="N613">
        <f>DAY(Europe_Sales_Records34[[#This Row],[Ship Date Fixed]])</f>
        <v>20</v>
      </c>
      <c r="O613" t="str">
        <f>TEXT(Europe_Sales_Records34[[#This Row],[Ship Date Fixed]],"MMM")</f>
        <v>Oct</v>
      </c>
      <c r="P613">
        <f>YEAR(Europe_Sales_Records34[[#This Row],[Ship Date Fixed]])</f>
        <v>2013</v>
      </c>
      <c r="Q613" t="str">
        <f>TEXT(Europe_Sales_Records34[[#This Row],[Ship Date Fixed]],"MMM-YYYY")</f>
        <v>Oct-2013</v>
      </c>
      <c r="R613" t="s">
        <v>1084</v>
      </c>
      <c r="S613" s="3">
        <f>Europe_Sales_Records34[[#This Row],[Ship Date Fixed]]-Europe_Sales_Records34[[#This Row],[Order Date Fixed]]</f>
        <v>43</v>
      </c>
      <c r="T613">
        <v>7271</v>
      </c>
      <c r="U613">
        <v>47.45</v>
      </c>
      <c r="V613">
        <v>31.79</v>
      </c>
      <c r="W613">
        <f>Europe_Sales_Records34[[#This Row],[Total Revenue]]/Europe_Sales_Records34[[#This Row],[Units Sold]]</f>
        <v>47.45</v>
      </c>
      <c r="X613">
        <v>345008.95</v>
      </c>
      <c r="Y613">
        <v>231145.09</v>
      </c>
      <c r="Z613" s="4">
        <f>Europe_Sales_Records34[[#This Row],[Total Profit]]/Europe_Sales_Records34[[#This Row],[Total Revenue]]</f>
        <v>0.33003161222339306</v>
      </c>
      <c r="AA613">
        <v>113863.86</v>
      </c>
    </row>
    <row r="614" spans="1:27" x14ac:dyDescent="0.3">
      <c r="A614" t="s">
        <v>14</v>
      </c>
      <c r="B614" t="s">
        <v>271</v>
      </c>
      <c r="C614" t="s">
        <v>102</v>
      </c>
      <c r="D614" t="s">
        <v>17</v>
      </c>
      <c r="E614" t="s">
        <v>33</v>
      </c>
      <c r="F614" t="s">
        <v>694</v>
      </c>
      <c r="G614" s="2">
        <f t="shared" si="18"/>
        <v>42390</v>
      </c>
      <c r="H614">
        <f>DAY(Europe_Sales_Records34[[#This Row],[Order Date Fixed]])</f>
        <v>21</v>
      </c>
      <c r="I614" t="str">
        <f>TEXT(Europe_Sales_Records34[[#This Row],[Order Date Fixed]],"MMM")</f>
        <v>Jan</v>
      </c>
      <c r="J614">
        <f>YEAR(Europe_Sales_Records34[[#This Row],[Order Date Fixed]])</f>
        <v>2016</v>
      </c>
      <c r="K614" t="str">
        <f>TEXT(Europe_Sales_Records34[[#This Row],[Order Date Fixed]],"MMM-YYYY")</f>
        <v>Jan-2016</v>
      </c>
      <c r="L614">
        <v>396462953</v>
      </c>
      <c r="M614" s="2">
        <f t="shared" si="19"/>
        <v>42426</v>
      </c>
      <c r="N614">
        <f>DAY(Europe_Sales_Records34[[#This Row],[Ship Date Fixed]])</f>
        <v>26</v>
      </c>
      <c r="O614" t="str">
        <f>TEXT(Europe_Sales_Records34[[#This Row],[Ship Date Fixed]],"MMM")</f>
        <v>Feb</v>
      </c>
      <c r="P614">
        <f>YEAR(Europe_Sales_Records34[[#This Row],[Ship Date Fixed]])</f>
        <v>2016</v>
      </c>
      <c r="Q614" t="str">
        <f>TEXT(Europe_Sales_Records34[[#This Row],[Ship Date Fixed]],"MMM-YYYY")</f>
        <v>Feb-2016</v>
      </c>
      <c r="R614" t="s">
        <v>1085</v>
      </c>
      <c r="S614" s="3">
        <f>Europe_Sales_Records34[[#This Row],[Ship Date Fixed]]-Europe_Sales_Records34[[#This Row],[Order Date Fixed]]</f>
        <v>36</v>
      </c>
      <c r="T614">
        <v>1053</v>
      </c>
      <c r="U614">
        <v>81.73</v>
      </c>
      <c r="V614">
        <v>56.67</v>
      </c>
      <c r="W614">
        <f>Europe_Sales_Records34[[#This Row],[Total Revenue]]/Europe_Sales_Records34[[#This Row],[Units Sold]]</f>
        <v>81.73</v>
      </c>
      <c r="X614">
        <v>86061.69</v>
      </c>
      <c r="Y614">
        <v>59673.51</v>
      </c>
      <c r="Z614" s="4">
        <f>Europe_Sales_Records34[[#This Row],[Total Profit]]/Europe_Sales_Records34[[#This Row],[Total Revenue]]</f>
        <v>0.30661935641747218</v>
      </c>
      <c r="AA614">
        <v>26388.18</v>
      </c>
    </row>
    <row r="615" spans="1:27" x14ac:dyDescent="0.3">
      <c r="A615" t="s">
        <v>14</v>
      </c>
      <c r="B615" t="s">
        <v>70</v>
      </c>
      <c r="C615" t="s">
        <v>16</v>
      </c>
      <c r="D615" t="s">
        <v>17</v>
      </c>
      <c r="E615" t="s">
        <v>24</v>
      </c>
      <c r="F615" t="s">
        <v>1086</v>
      </c>
      <c r="G615" s="2">
        <f t="shared" si="18"/>
        <v>40785</v>
      </c>
      <c r="H615">
        <f>DAY(Europe_Sales_Records34[[#This Row],[Order Date Fixed]])</f>
        <v>30</v>
      </c>
      <c r="I615" t="str">
        <f>TEXT(Europe_Sales_Records34[[#This Row],[Order Date Fixed]],"MMM")</f>
        <v>Aug</v>
      </c>
      <c r="J615">
        <f>YEAR(Europe_Sales_Records34[[#This Row],[Order Date Fixed]])</f>
        <v>2011</v>
      </c>
      <c r="K615" t="str">
        <f>TEXT(Europe_Sales_Records34[[#This Row],[Order Date Fixed]],"MMM-YYYY")</f>
        <v>Aug-2011</v>
      </c>
      <c r="L615">
        <v>162791907</v>
      </c>
      <c r="M615" s="2">
        <f t="shared" si="19"/>
        <v>40835</v>
      </c>
      <c r="N615">
        <f>DAY(Europe_Sales_Records34[[#This Row],[Ship Date Fixed]])</f>
        <v>19</v>
      </c>
      <c r="O615" t="str">
        <f>TEXT(Europe_Sales_Records34[[#This Row],[Ship Date Fixed]],"MMM")</f>
        <v>Oct</v>
      </c>
      <c r="P615">
        <f>YEAR(Europe_Sales_Records34[[#This Row],[Ship Date Fixed]])</f>
        <v>2011</v>
      </c>
      <c r="Q615" t="str">
        <f>TEXT(Europe_Sales_Records34[[#This Row],[Ship Date Fixed]],"MMM-YYYY")</f>
        <v>Oct-2011</v>
      </c>
      <c r="R615" t="s">
        <v>327</v>
      </c>
      <c r="S615" s="3">
        <f>Europe_Sales_Records34[[#This Row],[Ship Date Fixed]]-Europe_Sales_Records34[[#This Row],[Order Date Fixed]]</f>
        <v>50</v>
      </c>
      <c r="T615">
        <v>2598</v>
      </c>
      <c r="U615">
        <v>47.45</v>
      </c>
      <c r="V615">
        <v>31.79</v>
      </c>
      <c r="W615">
        <f>Europe_Sales_Records34[[#This Row],[Total Revenue]]/Europe_Sales_Records34[[#This Row],[Units Sold]]</f>
        <v>47.45</v>
      </c>
      <c r="X615">
        <v>123275.1</v>
      </c>
      <c r="Y615">
        <v>82590.42</v>
      </c>
      <c r="Z615" s="4">
        <f>Europe_Sales_Records34[[#This Row],[Total Profit]]/Europe_Sales_Records34[[#This Row],[Total Revenue]]</f>
        <v>0.33003161222339306</v>
      </c>
      <c r="AA615">
        <v>40684.68</v>
      </c>
    </row>
    <row r="616" spans="1:27" x14ac:dyDescent="0.3">
      <c r="A616" t="s">
        <v>14</v>
      </c>
      <c r="B616" t="s">
        <v>45</v>
      </c>
      <c r="C616" t="s">
        <v>75</v>
      </c>
      <c r="D616" t="s">
        <v>23</v>
      </c>
      <c r="E616" t="s">
        <v>24</v>
      </c>
      <c r="F616" t="s">
        <v>1087</v>
      </c>
      <c r="G616" s="2">
        <f t="shared" si="18"/>
        <v>42761</v>
      </c>
      <c r="H616">
        <f>DAY(Europe_Sales_Records34[[#This Row],[Order Date Fixed]])</f>
        <v>26</v>
      </c>
      <c r="I616" t="str">
        <f>TEXT(Europe_Sales_Records34[[#This Row],[Order Date Fixed]],"MMM")</f>
        <v>Jan</v>
      </c>
      <c r="J616">
        <f>YEAR(Europe_Sales_Records34[[#This Row],[Order Date Fixed]])</f>
        <v>2017</v>
      </c>
      <c r="K616" t="str">
        <f>TEXT(Europe_Sales_Records34[[#This Row],[Order Date Fixed]],"MMM-YYYY")</f>
        <v>Jan-2017</v>
      </c>
      <c r="L616">
        <v>835341870</v>
      </c>
      <c r="M616" s="2">
        <f t="shared" si="19"/>
        <v>42790</v>
      </c>
      <c r="N616">
        <f>DAY(Europe_Sales_Records34[[#This Row],[Ship Date Fixed]])</f>
        <v>24</v>
      </c>
      <c r="O616" t="str">
        <f>TEXT(Europe_Sales_Records34[[#This Row],[Ship Date Fixed]],"MMM")</f>
        <v>Feb</v>
      </c>
      <c r="P616">
        <f>YEAR(Europe_Sales_Records34[[#This Row],[Ship Date Fixed]])</f>
        <v>2017</v>
      </c>
      <c r="Q616" t="str">
        <f>TEXT(Europe_Sales_Records34[[#This Row],[Ship Date Fixed]],"MMM-YYYY")</f>
        <v>Feb-2017</v>
      </c>
      <c r="R616" t="s">
        <v>1088</v>
      </c>
      <c r="S616" s="3">
        <f>Europe_Sales_Records34[[#This Row],[Ship Date Fixed]]-Europe_Sales_Records34[[#This Row],[Order Date Fixed]]</f>
        <v>29</v>
      </c>
      <c r="T616">
        <v>5077</v>
      </c>
      <c r="U616">
        <v>437.2</v>
      </c>
      <c r="V616">
        <v>263.33</v>
      </c>
      <c r="W616">
        <f>Europe_Sales_Records34[[#This Row],[Total Revenue]]/Europe_Sales_Records34[[#This Row],[Units Sold]]</f>
        <v>437.2</v>
      </c>
      <c r="X616">
        <v>2219664.4</v>
      </c>
      <c r="Y616">
        <v>1336926.4099999999</v>
      </c>
      <c r="Z616" s="4">
        <f>Europe_Sales_Records34[[#This Row],[Total Profit]]/Europe_Sales_Records34[[#This Row],[Total Revenue]]</f>
        <v>0.39768984446477584</v>
      </c>
      <c r="AA616">
        <v>882737.99</v>
      </c>
    </row>
    <row r="617" spans="1:27" x14ac:dyDescent="0.3">
      <c r="A617" t="s">
        <v>14</v>
      </c>
      <c r="B617" t="s">
        <v>115</v>
      </c>
      <c r="C617" t="s">
        <v>71</v>
      </c>
      <c r="D617" t="s">
        <v>17</v>
      </c>
      <c r="E617" t="s">
        <v>18</v>
      </c>
      <c r="F617" t="s">
        <v>1089</v>
      </c>
      <c r="G617" s="2">
        <f t="shared" si="18"/>
        <v>41393</v>
      </c>
      <c r="H617">
        <f>DAY(Europe_Sales_Records34[[#This Row],[Order Date Fixed]])</f>
        <v>29</v>
      </c>
      <c r="I617" t="str">
        <f>TEXT(Europe_Sales_Records34[[#This Row],[Order Date Fixed]],"MMM")</f>
        <v>Apr</v>
      </c>
      <c r="J617">
        <f>YEAR(Europe_Sales_Records34[[#This Row],[Order Date Fixed]])</f>
        <v>2013</v>
      </c>
      <c r="K617" t="str">
        <f>TEXT(Europe_Sales_Records34[[#This Row],[Order Date Fixed]],"MMM-YYYY")</f>
        <v>Apr-2013</v>
      </c>
      <c r="L617">
        <v>149274003</v>
      </c>
      <c r="M617" s="2">
        <f t="shared" si="19"/>
        <v>41423</v>
      </c>
      <c r="N617">
        <f>DAY(Europe_Sales_Records34[[#This Row],[Ship Date Fixed]])</f>
        <v>29</v>
      </c>
      <c r="O617" t="str">
        <f>TEXT(Europe_Sales_Records34[[#This Row],[Ship Date Fixed]],"MMM")</f>
        <v>May</v>
      </c>
      <c r="P617">
        <f>YEAR(Europe_Sales_Records34[[#This Row],[Ship Date Fixed]])</f>
        <v>2013</v>
      </c>
      <c r="Q617" t="str">
        <f>TEXT(Europe_Sales_Records34[[#This Row],[Ship Date Fixed]],"MMM-YYYY")</f>
        <v>May-2013</v>
      </c>
      <c r="R617" t="s">
        <v>1090</v>
      </c>
      <c r="S617" s="3">
        <f>Europe_Sales_Records34[[#This Row],[Ship Date Fixed]]-Europe_Sales_Records34[[#This Row],[Order Date Fixed]]</f>
        <v>30</v>
      </c>
      <c r="T617">
        <v>2350</v>
      </c>
      <c r="U617">
        <v>668.27</v>
      </c>
      <c r="V617">
        <v>502.54</v>
      </c>
      <c r="W617">
        <f>Europe_Sales_Records34[[#This Row],[Total Revenue]]/Europe_Sales_Records34[[#This Row],[Units Sold]]</f>
        <v>668.27</v>
      </c>
      <c r="X617">
        <v>1570434.5</v>
      </c>
      <c r="Y617">
        <v>1180969</v>
      </c>
      <c r="Z617" s="4">
        <f>Europe_Sales_Records34[[#This Row],[Total Profit]]/Europe_Sales_Records34[[#This Row],[Total Revenue]]</f>
        <v>0.24799856345489099</v>
      </c>
      <c r="AA617">
        <v>389465.5</v>
      </c>
    </row>
    <row r="618" spans="1:27" x14ac:dyDescent="0.3">
      <c r="A618" t="s">
        <v>14</v>
      </c>
      <c r="B618" t="s">
        <v>36</v>
      </c>
      <c r="C618" t="s">
        <v>75</v>
      </c>
      <c r="D618" t="s">
        <v>17</v>
      </c>
      <c r="E618" t="s">
        <v>18</v>
      </c>
      <c r="F618" t="s">
        <v>1091</v>
      </c>
      <c r="G618" s="2">
        <f t="shared" si="18"/>
        <v>42739</v>
      </c>
      <c r="H618">
        <f>DAY(Europe_Sales_Records34[[#This Row],[Order Date Fixed]])</f>
        <v>4</v>
      </c>
      <c r="I618" t="str">
        <f>TEXT(Europe_Sales_Records34[[#This Row],[Order Date Fixed]],"MMM")</f>
        <v>Jan</v>
      </c>
      <c r="J618">
        <f>YEAR(Europe_Sales_Records34[[#This Row],[Order Date Fixed]])</f>
        <v>2017</v>
      </c>
      <c r="K618" t="str">
        <f>TEXT(Europe_Sales_Records34[[#This Row],[Order Date Fixed]],"MMM-YYYY")</f>
        <v>Jan-2017</v>
      </c>
      <c r="L618">
        <v>311956632</v>
      </c>
      <c r="M618" s="2">
        <f t="shared" si="19"/>
        <v>42745</v>
      </c>
      <c r="N618">
        <f>DAY(Europe_Sales_Records34[[#This Row],[Ship Date Fixed]])</f>
        <v>10</v>
      </c>
      <c r="O618" t="str">
        <f>TEXT(Europe_Sales_Records34[[#This Row],[Ship Date Fixed]],"MMM")</f>
        <v>Jan</v>
      </c>
      <c r="P618">
        <f>YEAR(Europe_Sales_Records34[[#This Row],[Ship Date Fixed]])</f>
        <v>2017</v>
      </c>
      <c r="Q618" t="str">
        <f>TEXT(Europe_Sales_Records34[[#This Row],[Ship Date Fixed]],"MMM-YYYY")</f>
        <v>Jan-2017</v>
      </c>
      <c r="R618" t="s">
        <v>630</v>
      </c>
      <c r="S618" s="3">
        <f>Europe_Sales_Records34[[#This Row],[Ship Date Fixed]]-Europe_Sales_Records34[[#This Row],[Order Date Fixed]]</f>
        <v>6</v>
      </c>
      <c r="T618">
        <v>3755</v>
      </c>
      <c r="U618">
        <v>437.2</v>
      </c>
      <c r="V618">
        <v>263.33</v>
      </c>
      <c r="W618">
        <f>Europe_Sales_Records34[[#This Row],[Total Revenue]]/Europe_Sales_Records34[[#This Row],[Units Sold]]</f>
        <v>437.2</v>
      </c>
      <c r="X618">
        <v>1641686</v>
      </c>
      <c r="Y618">
        <v>988804.15</v>
      </c>
      <c r="Z618" s="4">
        <f>Europe_Sales_Records34[[#This Row],[Total Profit]]/Europe_Sales_Records34[[#This Row],[Total Revenue]]</f>
        <v>0.39768984446477584</v>
      </c>
      <c r="AA618">
        <v>652881.85</v>
      </c>
    </row>
    <row r="619" spans="1:27" x14ac:dyDescent="0.3">
      <c r="A619" t="s">
        <v>14</v>
      </c>
      <c r="B619" t="s">
        <v>74</v>
      </c>
      <c r="C619" t="s">
        <v>64</v>
      </c>
      <c r="D619" t="s">
        <v>17</v>
      </c>
      <c r="E619" t="s">
        <v>33</v>
      </c>
      <c r="F619" t="s">
        <v>1092</v>
      </c>
      <c r="G619" s="2">
        <f t="shared" si="18"/>
        <v>41764</v>
      </c>
      <c r="H619">
        <f>DAY(Europe_Sales_Records34[[#This Row],[Order Date Fixed]])</f>
        <v>5</v>
      </c>
      <c r="I619" t="str">
        <f>TEXT(Europe_Sales_Records34[[#This Row],[Order Date Fixed]],"MMM")</f>
        <v>May</v>
      </c>
      <c r="J619">
        <f>YEAR(Europe_Sales_Records34[[#This Row],[Order Date Fixed]])</f>
        <v>2014</v>
      </c>
      <c r="K619" t="str">
        <f>TEXT(Europe_Sales_Records34[[#This Row],[Order Date Fixed]],"MMM-YYYY")</f>
        <v>May-2014</v>
      </c>
      <c r="L619">
        <v>920688903</v>
      </c>
      <c r="M619" s="2">
        <f t="shared" si="19"/>
        <v>41802</v>
      </c>
      <c r="N619">
        <f>DAY(Europe_Sales_Records34[[#This Row],[Ship Date Fixed]])</f>
        <v>12</v>
      </c>
      <c r="O619" t="str">
        <f>TEXT(Europe_Sales_Records34[[#This Row],[Ship Date Fixed]],"MMM")</f>
        <v>Jun</v>
      </c>
      <c r="P619">
        <f>YEAR(Europe_Sales_Records34[[#This Row],[Ship Date Fixed]])</f>
        <v>2014</v>
      </c>
      <c r="Q619" t="str">
        <f>TEXT(Europe_Sales_Records34[[#This Row],[Ship Date Fixed]],"MMM-YYYY")</f>
        <v>Jun-2014</v>
      </c>
      <c r="R619" t="s">
        <v>1093</v>
      </c>
      <c r="S619" s="3">
        <f>Europe_Sales_Records34[[#This Row],[Ship Date Fixed]]-Europe_Sales_Records34[[#This Row],[Order Date Fixed]]</f>
        <v>38</v>
      </c>
      <c r="T619">
        <v>1161</v>
      </c>
      <c r="U619">
        <v>255.28</v>
      </c>
      <c r="V619">
        <v>159.41999999999999</v>
      </c>
      <c r="W619">
        <f>Europe_Sales_Records34[[#This Row],[Total Revenue]]/Europe_Sales_Records34[[#This Row],[Units Sold]]</f>
        <v>255.28</v>
      </c>
      <c r="X619">
        <v>296380.08</v>
      </c>
      <c r="Y619">
        <v>185086.62</v>
      </c>
      <c r="Z619" s="4">
        <f>Europe_Sales_Records34[[#This Row],[Total Profit]]/Europe_Sales_Records34[[#This Row],[Total Revenue]]</f>
        <v>0.37550924475086178</v>
      </c>
      <c r="AA619">
        <v>111293.46</v>
      </c>
    </row>
    <row r="620" spans="1:27" x14ac:dyDescent="0.3">
      <c r="A620" t="s">
        <v>14</v>
      </c>
      <c r="B620" t="s">
        <v>61</v>
      </c>
      <c r="C620" t="s">
        <v>102</v>
      </c>
      <c r="D620" t="s">
        <v>23</v>
      </c>
      <c r="E620" t="s">
        <v>33</v>
      </c>
      <c r="F620" t="s">
        <v>640</v>
      </c>
      <c r="G620" s="2">
        <f t="shared" si="18"/>
        <v>40446</v>
      </c>
      <c r="H620">
        <f>DAY(Europe_Sales_Records34[[#This Row],[Order Date Fixed]])</f>
        <v>25</v>
      </c>
      <c r="I620" t="str">
        <f>TEXT(Europe_Sales_Records34[[#This Row],[Order Date Fixed]],"MMM")</f>
        <v>Sep</v>
      </c>
      <c r="J620">
        <f>YEAR(Europe_Sales_Records34[[#This Row],[Order Date Fixed]])</f>
        <v>2010</v>
      </c>
      <c r="K620" t="str">
        <f>TEXT(Europe_Sales_Records34[[#This Row],[Order Date Fixed]],"MMM-YYYY")</f>
        <v>Sep-2010</v>
      </c>
      <c r="L620">
        <v>434485948</v>
      </c>
      <c r="M620" s="2">
        <f t="shared" si="19"/>
        <v>40485</v>
      </c>
      <c r="N620">
        <f>DAY(Europe_Sales_Records34[[#This Row],[Ship Date Fixed]])</f>
        <v>3</v>
      </c>
      <c r="O620" t="str">
        <f>TEXT(Europe_Sales_Records34[[#This Row],[Ship Date Fixed]],"MMM")</f>
        <v>Nov</v>
      </c>
      <c r="P620">
        <f>YEAR(Europe_Sales_Records34[[#This Row],[Ship Date Fixed]])</f>
        <v>2010</v>
      </c>
      <c r="Q620" t="str">
        <f>TEXT(Europe_Sales_Records34[[#This Row],[Ship Date Fixed]],"MMM-YYYY")</f>
        <v>Nov-2010</v>
      </c>
      <c r="R620" t="s">
        <v>480</v>
      </c>
      <c r="S620" s="3">
        <f>Europe_Sales_Records34[[#This Row],[Ship Date Fixed]]-Europe_Sales_Records34[[#This Row],[Order Date Fixed]]</f>
        <v>39</v>
      </c>
      <c r="T620">
        <v>2902</v>
      </c>
      <c r="U620">
        <v>81.73</v>
      </c>
      <c r="V620">
        <v>56.67</v>
      </c>
      <c r="W620">
        <f>Europe_Sales_Records34[[#This Row],[Total Revenue]]/Europe_Sales_Records34[[#This Row],[Units Sold]]</f>
        <v>81.73</v>
      </c>
      <c r="X620">
        <v>237180.46</v>
      </c>
      <c r="Y620">
        <v>164456.34</v>
      </c>
      <c r="Z620" s="4">
        <f>Europe_Sales_Records34[[#This Row],[Total Profit]]/Europe_Sales_Records34[[#This Row],[Total Revenue]]</f>
        <v>0.30661935641747218</v>
      </c>
      <c r="AA620">
        <v>72724.12</v>
      </c>
    </row>
    <row r="621" spans="1:27" x14ac:dyDescent="0.3">
      <c r="A621" t="s">
        <v>14</v>
      </c>
      <c r="B621" t="s">
        <v>36</v>
      </c>
      <c r="C621" t="s">
        <v>64</v>
      </c>
      <c r="D621" t="s">
        <v>17</v>
      </c>
      <c r="E621" t="s">
        <v>54</v>
      </c>
      <c r="F621" t="s">
        <v>935</v>
      </c>
      <c r="G621" s="2">
        <f t="shared" si="18"/>
        <v>41781</v>
      </c>
      <c r="H621">
        <f>DAY(Europe_Sales_Records34[[#This Row],[Order Date Fixed]])</f>
        <v>22</v>
      </c>
      <c r="I621" t="str">
        <f>TEXT(Europe_Sales_Records34[[#This Row],[Order Date Fixed]],"MMM")</f>
        <v>May</v>
      </c>
      <c r="J621">
        <f>YEAR(Europe_Sales_Records34[[#This Row],[Order Date Fixed]])</f>
        <v>2014</v>
      </c>
      <c r="K621" t="str">
        <f>TEXT(Europe_Sales_Records34[[#This Row],[Order Date Fixed]],"MMM-YYYY")</f>
        <v>May-2014</v>
      </c>
      <c r="L621">
        <v>316466176</v>
      </c>
      <c r="M621" s="2">
        <f t="shared" si="19"/>
        <v>41792</v>
      </c>
      <c r="N621">
        <f>DAY(Europe_Sales_Records34[[#This Row],[Ship Date Fixed]])</f>
        <v>2</v>
      </c>
      <c r="O621" t="str">
        <f>TEXT(Europe_Sales_Records34[[#This Row],[Ship Date Fixed]],"MMM")</f>
        <v>Jun</v>
      </c>
      <c r="P621">
        <f>YEAR(Europe_Sales_Records34[[#This Row],[Ship Date Fixed]])</f>
        <v>2014</v>
      </c>
      <c r="Q621" t="str">
        <f>TEXT(Europe_Sales_Records34[[#This Row],[Ship Date Fixed]],"MMM-YYYY")</f>
        <v>Jun-2014</v>
      </c>
      <c r="R621" t="s">
        <v>1094</v>
      </c>
      <c r="S621" s="3">
        <f>Europe_Sales_Records34[[#This Row],[Ship Date Fixed]]-Europe_Sales_Records34[[#This Row],[Order Date Fixed]]</f>
        <v>11</v>
      </c>
      <c r="T621">
        <v>8229</v>
      </c>
      <c r="U621">
        <v>255.28</v>
      </c>
      <c r="V621">
        <v>159.41999999999999</v>
      </c>
      <c r="W621">
        <f>Europe_Sales_Records34[[#This Row],[Total Revenue]]/Europe_Sales_Records34[[#This Row],[Units Sold]]</f>
        <v>255.28</v>
      </c>
      <c r="X621">
        <v>2100699.12</v>
      </c>
      <c r="Y621">
        <v>1311867.18</v>
      </c>
      <c r="Z621" s="4">
        <f>Europe_Sales_Records34[[#This Row],[Total Profit]]/Europe_Sales_Records34[[#This Row],[Total Revenue]]</f>
        <v>0.37550924475086173</v>
      </c>
      <c r="AA621">
        <v>788831.94</v>
      </c>
    </row>
    <row r="622" spans="1:27" x14ac:dyDescent="0.3">
      <c r="A622" t="s">
        <v>14</v>
      </c>
      <c r="B622" t="s">
        <v>132</v>
      </c>
      <c r="C622" t="s">
        <v>71</v>
      </c>
      <c r="D622" t="s">
        <v>23</v>
      </c>
      <c r="E622" t="s">
        <v>24</v>
      </c>
      <c r="F622" t="s">
        <v>1095</v>
      </c>
      <c r="G622" s="2">
        <f t="shared" si="18"/>
        <v>41838</v>
      </c>
      <c r="H622">
        <f>DAY(Europe_Sales_Records34[[#This Row],[Order Date Fixed]])</f>
        <v>18</v>
      </c>
      <c r="I622" t="str">
        <f>TEXT(Europe_Sales_Records34[[#This Row],[Order Date Fixed]],"MMM")</f>
        <v>Jul</v>
      </c>
      <c r="J622">
        <f>YEAR(Europe_Sales_Records34[[#This Row],[Order Date Fixed]])</f>
        <v>2014</v>
      </c>
      <c r="K622" t="str">
        <f>TEXT(Europe_Sales_Records34[[#This Row],[Order Date Fixed]],"MMM-YYYY")</f>
        <v>Jul-2014</v>
      </c>
      <c r="L622">
        <v>101025998</v>
      </c>
      <c r="M622" s="2">
        <f t="shared" si="19"/>
        <v>41862</v>
      </c>
      <c r="N622">
        <f>DAY(Europe_Sales_Records34[[#This Row],[Ship Date Fixed]])</f>
        <v>11</v>
      </c>
      <c r="O622" t="str">
        <f>TEXT(Europe_Sales_Records34[[#This Row],[Ship Date Fixed]],"MMM")</f>
        <v>Aug</v>
      </c>
      <c r="P622">
        <f>YEAR(Europe_Sales_Records34[[#This Row],[Ship Date Fixed]])</f>
        <v>2014</v>
      </c>
      <c r="Q622" t="str">
        <f>TEXT(Europe_Sales_Records34[[#This Row],[Ship Date Fixed]],"MMM-YYYY")</f>
        <v>Aug-2014</v>
      </c>
      <c r="R622" t="s">
        <v>1096</v>
      </c>
      <c r="S622" s="3">
        <f>Europe_Sales_Records34[[#This Row],[Ship Date Fixed]]-Europe_Sales_Records34[[#This Row],[Order Date Fixed]]</f>
        <v>24</v>
      </c>
      <c r="T622">
        <v>4693</v>
      </c>
      <c r="U622">
        <v>668.27</v>
      </c>
      <c r="V622">
        <v>502.54</v>
      </c>
      <c r="W622">
        <f>Europe_Sales_Records34[[#This Row],[Total Revenue]]/Europe_Sales_Records34[[#This Row],[Units Sold]]</f>
        <v>668.27</v>
      </c>
      <c r="X622">
        <v>3136191.11</v>
      </c>
      <c r="Y622">
        <v>2358420.2200000002</v>
      </c>
      <c r="Z622" s="4">
        <f>Europe_Sales_Records34[[#This Row],[Total Profit]]/Europe_Sales_Records34[[#This Row],[Total Revenue]]</f>
        <v>0.24799856345489099</v>
      </c>
      <c r="AA622">
        <v>777770.89</v>
      </c>
    </row>
    <row r="623" spans="1:27" x14ac:dyDescent="0.3">
      <c r="A623" t="s">
        <v>14</v>
      </c>
      <c r="B623" t="s">
        <v>45</v>
      </c>
      <c r="C623" t="s">
        <v>102</v>
      </c>
      <c r="D623" t="s">
        <v>17</v>
      </c>
      <c r="E623" t="s">
        <v>54</v>
      </c>
      <c r="F623" t="s">
        <v>1097</v>
      </c>
      <c r="G623" s="2">
        <f t="shared" si="18"/>
        <v>42272</v>
      </c>
      <c r="H623">
        <f>DAY(Europe_Sales_Records34[[#This Row],[Order Date Fixed]])</f>
        <v>25</v>
      </c>
      <c r="I623" t="str">
        <f>TEXT(Europe_Sales_Records34[[#This Row],[Order Date Fixed]],"MMM")</f>
        <v>Sep</v>
      </c>
      <c r="J623">
        <f>YEAR(Europe_Sales_Records34[[#This Row],[Order Date Fixed]])</f>
        <v>2015</v>
      </c>
      <c r="K623" t="str">
        <f>TEXT(Europe_Sales_Records34[[#This Row],[Order Date Fixed]],"MMM-YYYY")</f>
        <v>Sep-2015</v>
      </c>
      <c r="L623">
        <v>547625386</v>
      </c>
      <c r="M623" s="2">
        <f t="shared" si="19"/>
        <v>42276</v>
      </c>
      <c r="N623">
        <f>DAY(Europe_Sales_Records34[[#This Row],[Ship Date Fixed]])</f>
        <v>29</v>
      </c>
      <c r="O623" t="str">
        <f>TEXT(Europe_Sales_Records34[[#This Row],[Ship Date Fixed]],"MMM")</f>
        <v>Sep</v>
      </c>
      <c r="P623">
        <f>YEAR(Europe_Sales_Records34[[#This Row],[Ship Date Fixed]])</f>
        <v>2015</v>
      </c>
      <c r="Q623" t="str">
        <f>TEXT(Europe_Sales_Records34[[#This Row],[Ship Date Fixed]],"MMM-YYYY")</f>
        <v>Sep-2015</v>
      </c>
      <c r="R623" t="s">
        <v>698</v>
      </c>
      <c r="S623" s="3">
        <f>Europe_Sales_Records34[[#This Row],[Ship Date Fixed]]-Europe_Sales_Records34[[#This Row],[Order Date Fixed]]</f>
        <v>4</v>
      </c>
      <c r="T623">
        <v>3376</v>
      </c>
      <c r="U623">
        <v>81.73</v>
      </c>
      <c r="V623">
        <v>56.67</v>
      </c>
      <c r="W623">
        <f>Europe_Sales_Records34[[#This Row],[Total Revenue]]/Europe_Sales_Records34[[#This Row],[Units Sold]]</f>
        <v>81.72999999999999</v>
      </c>
      <c r="X623">
        <v>275920.48</v>
      </c>
      <c r="Y623">
        <v>191317.92</v>
      </c>
      <c r="Z623" s="4">
        <f>Europe_Sales_Records34[[#This Row],[Total Profit]]/Europe_Sales_Records34[[#This Row],[Total Revenue]]</f>
        <v>0.30661935641747218</v>
      </c>
      <c r="AA623">
        <v>84602.559999999998</v>
      </c>
    </row>
    <row r="624" spans="1:27" x14ac:dyDescent="0.3">
      <c r="A624" t="s">
        <v>14</v>
      </c>
      <c r="B624" t="s">
        <v>40</v>
      </c>
      <c r="C624" t="s">
        <v>37</v>
      </c>
      <c r="D624" t="s">
        <v>23</v>
      </c>
      <c r="E624" t="s">
        <v>54</v>
      </c>
      <c r="F624" t="s">
        <v>1098</v>
      </c>
      <c r="G624" s="2">
        <f t="shared" si="18"/>
        <v>42400</v>
      </c>
      <c r="H624">
        <f>DAY(Europe_Sales_Records34[[#This Row],[Order Date Fixed]])</f>
        <v>31</v>
      </c>
      <c r="I624" t="str">
        <f>TEXT(Europe_Sales_Records34[[#This Row],[Order Date Fixed]],"MMM")</f>
        <v>Jan</v>
      </c>
      <c r="J624">
        <f>YEAR(Europe_Sales_Records34[[#This Row],[Order Date Fixed]])</f>
        <v>2016</v>
      </c>
      <c r="K624" t="str">
        <f>TEXT(Europe_Sales_Records34[[#This Row],[Order Date Fixed]],"MMM-YYYY")</f>
        <v>Jan-2016</v>
      </c>
      <c r="L624">
        <v>394456660</v>
      </c>
      <c r="M624" s="2">
        <f t="shared" si="19"/>
        <v>42409</v>
      </c>
      <c r="N624">
        <f>DAY(Europe_Sales_Records34[[#This Row],[Ship Date Fixed]])</f>
        <v>9</v>
      </c>
      <c r="O624" t="str">
        <f>TEXT(Europe_Sales_Records34[[#This Row],[Ship Date Fixed]],"MMM")</f>
        <v>Feb</v>
      </c>
      <c r="P624">
        <f>YEAR(Europe_Sales_Records34[[#This Row],[Ship Date Fixed]])</f>
        <v>2016</v>
      </c>
      <c r="Q624" t="str">
        <f>TEXT(Europe_Sales_Records34[[#This Row],[Ship Date Fixed]],"MMM-YYYY")</f>
        <v>Feb-2016</v>
      </c>
      <c r="R624" t="s">
        <v>1099</v>
      </c>
      <c r="S624" s="3">
        <f>Europe_Sales_Records34[[#This Row],[Ship Date Fixed]]-Europe_Sales_Records34[[#This Row],[Order Date Fixed]]</f>
        <v>9</v>
      </c>
      <c r="T624">
        <v>7346</v>
      </c>
      <c r="U624">
        <v>9.33</v>
      </c>
      <c r="V624">
        <v>6.92</v>
      </c>
      <c r="W624">
        <f>Europe_Sales_Records34[[#This Row],[Total Revenue]]/Europe_Sales_Records34[[#This Row],[Units Sold]]</f>
        <v>9.3299999999999983</v>
      </c>
      <c r="X624">
        <v>68538.179999999993</v>
      </c>
      <c r="Y624">
        <v>50834.32</v>
      </c>
      <c r="Z624" s="4">
        <f>Europe_Sales_Records34[[#This Row],[Total Profit]]/Europe_Sales_Records34[[#This Row],[Total Revenue]]</f>
        <v>0.25830653804930337</v>
      </c>
      <c r="AA624">
        <v>17703.86</v>
      </c>
    </row>
    <row r="625" spans="1:27" x14ac:dyDescent="0.3">
      <c r="A625" t="s">
        <v>14</v>
      </c>
      <c r="B625" t="s">
        <v>132</v>
      </c>
      <c r="C625" t="s">
        <v>64</v>
      </c>
      <c r="D625" t="s">
        <v>23</v>
      </c>
      <c r="E625" t="s">
        <v>24</v>
      </c>
      <c r="F625" t="s">
        <v>1100</v>
      </c>
      <c r="G625" s="2">
        <f t="shared" si="18"/>
        <v>41640</v>
      </c>
      <c r="H625">
        <f>DAY(Europe_Sales_Records34[[#This Row],[Order Date Fixed]])</f>
        <v>1</v>
      </c>
      <c r="I625" t="str">
        <f>TEXT(Europe_Sales_Records34[[#This Row],[Order Date Fixed]],"MMM")</f>
        <v>Jan</v>
      </c>
      <c r="J625">
        <f>YEAR(Europe_Sales_Records34[[#This Row],[Order Date Fixed]])</f>
        <v>2014</v>
      </c>
      <c r="K625" t="str">
        <f>TEXT(Europe_Sales_Records34[[#This Row],[Order Date Fixed]],"MMM-YYYY")</f>
        <v>Jan-2014</v>
      </c>
      <c r="L625">
        <v>104548490</v>
      </c>
      <c r="M625" s="2">
        <f t="shared" si="19"/>
        <v>41644</v>
      </c>
      <c r="N625">
        <f>DAY(Europe_Sales_Records34[[#This Row],[Ship Date Fixed]])</f>
        <v>5</v>
      </c>
      <c r="O625" t="str">
        <f>TEXT(Europe_Sales_Records34[[#This Row],[Ship Date Fixed]],"MMM")</f>
        <v>Jan</v>
      </c>
      <c r="P625">
        <f>YEAR(Europe_Sales_Records34[[#This Row],[Ship Date Fixed]])</f>
        <v>2014</v>
      </c>
      <c r="Q625" t="str">
        <f>TEXT(Europe_Sales_Records34[[#This Row],[Ship Date Fixed]],"MMM-YYYY")</f>
        <v>Jan-2014</v>
      </c>
      <c r="R625" t="s">
        <v>210</v>
      </c>
      <c r="S625" s="3">
        <f>Europe_Sales_Records34[[#This Row],[Ship Date Fixed]]-Europe_Sales_Records34[[#This Row],[Order Date Fixed]]</f>
        <v>4</v>
      </c>
      <c r="T625">
        <v>7076</v>
      </c>
      <c r="U625">
        <v>255.28</v>
      </c>
      <c r="V625">
        <v>159.41999999999999</v>
      </c>
      <c r="W625">
        <f>Europe_Sales_Records34[[#This Row],[Total Revenue]]/Europe_Sales_Records34[[#This Row],[Units Sold]]</f>
        <v>255.28</v>
      </c>
      <c r="X625">
        <v>1806361.28</v>
      </c>
      <c r="Y625">
        <v>1128055.92</v>
      </c>
      <c r="Z625" s="4">
        <f>Europe_Sales_Records34[[#This Row],[Total Profit]]/Europe_Sales_Records34[[#This Row],[Total Revenue]]</f>
        <v>0.37550924475086178</v>
      </c>
      <c r="AA625">
        <v>678305.36</v>
      </c>
    </row>
    <row r="626" spans="1:27" x14ac:dyDescent="0.3">
      <c r="A626" t="s">
        <v>14</v>
      </c>
      <c r="B626" t="s">
        <v>183</v>
      </c>
      <c r="C626" t="s">
        <v>28</v>
      </c>
      <c r="D626" t="s">
        <v>23</v>
      </c>
      <c r="E626" t="s">
        <v>24</v>
      </c>
      <c r="F626" t="s">
        <v>1101</v>
      </c>
      <c r="G626" s="2">
        <f t="shared" si="18"/>
        <v>40188</v>
      </c>
      <c r="H626">
        <f>DAY(Europe_Sales_Records34[[#This Row],[Order Date Fixed]])</f>
        <v>10</v>
      </c>
      <c r="I626" t="str">
        <f>TEXT(Europe_Sales_Records34[[#This Row],[Order Date Fixed]],"MMM")</f>
        <v>Jan</v>
      </c>
      <c r="J626">
        <f>YEAR(Europe_Sales_Records34[[#This Row],[Order Date Fixed]])</f>
        <v>2010</v>
      </c>
      <c r="K626" t="str">
        <f>TEXT(Europe_Sales_Records34[[#This Row],[Order Date Fixed]],"MMM-YYYY")</f>
        <v>Jan-2010</v>
      </c>
      <c r="L626">
        <v>687374913</v>
      </c>
      <c r="M626" s="2">
        <f t="shared" si="19"/>
        <v>40235</v>
      </c>
      <c r="N626">
        <f>DAY(Europe_Sales_Records34[[#This Row],[Ship Date Fixed]])</f>
        <v>26</v>
      </c>
      <c r="O626" t="str">
        <f>TEXT(Europe_Sales_Records34[[#This Row],[Ship Date Fixed]],"MMM")</f>
        <v>Feb</v>
      </c>
      <c r="P626">
        <f>YEAR(Europe_Sales_Records34[[#This Row],[Ship Date Fixed]])</f>
        <v>2010</v>
      </c>
      <c r="Q626" t="str">
        <f>TEXT(Europe_Sales_Records34[[#This Row],[Ship Date Fixed]],"MMM-YYYY")</f>
        <v>Feb-2010</v>
      </c>
      <c r="R626" t="s">
        <v>1102</v>
      </c>
      <c r="S626" s="3">
        <f>Europe_Sales_Records34[[#This Row],[Ship Date Fixed]]-Europe_Sales_Records34[[#This Row],[Order Date Fixed]]</f>
        <v>47</v>
      </c>
      <c r="T626">
        <v>8367</v>
      </c>
      <c r="U626">
        <v>205.7</v>
      </c>
      <c r="V626">
        <v>117.11</v>
      </c>
      <c r="W626">
        <f>Europe_Sales_Records34[[#This Row],[Total Revenue]]/Europe_Sales_Records34[[#This Row],[Units Sold]]</f>
        <v>205.7</v>
      </c>
      <c r="X626">
        <v>1721091.9</v>
      </c>
      <c r="Y626">
        <v>979859.37</v>
      </c>
      <c r="Z626" s="4">
        <f>Europe_Sales_Records34[[#This Row],[Total Profit]]/Europe_Sales_Records34[[#This Row],[Total Revenue]]</f>
        <v>0.43067574137092857</v>
      </c>
      <c r="AA626">
        <v>741232.53</v>
      </c>
    </row>
    <row r="627" spans="1:27" x14ac:dyDescent="0.3">
      <c r="A627" t="s">
        <v>14</v>
      </c>
      <c r="B627" t="s">
        <v>183</v>
      </c>
      <c r="C627" t="s">
        <v>46</v>
      </c>
      <c r="D627" t="s">
        <v>23</v>
      </c>
      <c r="E627" t="s">
        <v>24</v>
      </c>
      <c r="F627" t="s">
        <v>1103</v>
      </c>
      <c r="G627" s="2">
        <f t="shared" si="18"/>
        <v>41186</v>
      </c>
      <c r="H627">
        <f>DAY(Europe_Sales_Records34[[#This Row],[Order Date Fixed]])</f>
        <v>4</v>
      </c>
      <c r="I627" t="str">
        <f>TEXT(Europe_Sales_Records34[[#This Row],[Order Date Fixed]],"MMM")</f>
        <v>Oct</v>
      </c>
      <c r="J627">
        <f>YEAR(Europe_Sales_Records34[[#This Row],[Order Date Fixed]])</f>
        <v>2012</v>
      </c>
      <c r="K627" t="str">
        <f>TEXT(Europe_Sales_Records34[[#This Row],[Order Date Fixed]],"MMM-YYYY")</f>
        <v>Oct-2012</v>
      </c>
      <c r="L627">
        <v>921693980</v>
      </c>
      <c r="M627" s="2">
        <f t="shared" si="19"/>
        <v>41217</v>
      </c>
      <c r="N627">
        <f>DAY(Europe_Sales_Records34[[#This Row],[Ship Date Fixed]])</f>
        <v>4</v>
      </c>
      <c r="O627" t="str">
        <f>TEXT(Europe_Sales_Records34[[#This Row],[Ship Date Fixed]],"MMM")</f>
        <v>Nov</v>
      </c>
      <c r="P627">
        <f>YEAR(Europe_Sales_Records34[[#This Row],[Ship Date Fixed]])</f>
        <v>2012</v>
      </c>
      <c r="Q627" t="str">
        <f>TEXT(Europe_Sales_Records34[[#This Row],[Ship Date Fixed]],"MMM-YYYY")</f>
        <v>Nov-2012</v>
      </c>
      <c r="R627" t="s">
        <v>310</v>
      </c>
      <c r="S627" s="3">
        <f>Europe_Sales_Records34[[#This Row],[Ship Date Fixed]]-Europe_Sales_Records34[[#This Row],[Order Date Fixed]]</f>
        <v>31</v>
      </c>
      <c r="T627">
        <v>8586</v>
      </c>
      <c r="U627">
        <v>154.06</v>
      </c>
      <c r="V627">
        <v>90.93</v>
      </c>
      <c r="W627">
        <f>Europe_Sales_Records34[[#This Row],[Total Revenue]]/Europe_Sales_Records34[[#This Row],[Units Sold]]</f>
        <v>154.06</v>
      </c>
      <c r="X627">
        <v>1322759.1599999999</v>
      </c>
      <c r="Y627">
        <v>780724.98</v>
      </c>
      <c r="Z627" s="4">
        <f>Europe_Sales_Records34[[#This Row],[Total Profit]]/Europe_Sales_Records34[[#This Row],[Total Revenue]]</f>
        <v>0.40977541217707392</v>
      </c>
      <c r="AA627">
        <v>542034.18000000005</v>
      </c>
    </row>
    <row r="628" spans="1:27" x14ac:dyDescent="0.3">
      <c r="A628" t="s">
        <v>14</v>
      </c>
      <c r="B628" t="s">
        <v>40</v>
      </c>
      <c r="C628" t="s">
        <v>71</v>
      </c>
      <c r="D628" t="s">
        <v>23</v>
      </c>
      <c r="E628" t="s">
        <v>33</v>
      </c>
      <c r="F628" t="s">
        <v>1104</v>
      </c>
      <c r="G628" s="2">
        <f t="shared" si="18"/>
        <v>41150</v>
      </c>
      <c r="H628">
        <f>DAY(Europe_Sales_Records34[[#This Row],[Order Date Fixed]])</f>
        <v>29</v>
      </c>
      <c r="I628" t="str">
        <f>TEXT(Europe_Sales_Records34[[#This Row],[Order Date Fixed]],"MMM")</f>
        <v>Aug</v>
      </c>
      <c r="J628">
        <f>YEAR(Europe_Sales_Records34[[#This Row],[Order Date Fixed]])</f>
        <v>2012</v>
      </c>
      <c r="K628" t="str">
        <f>TEXT(Europe_Sales_Records34[[#This Row],[Order Date Fixed]],"MMM-YYYY")</f>
        <v>Aug-2012</v>
      </c>
      <c r="L628">
        <v>829356467</v>
      </c>
      <c r="M628" s="2">
        <f t="shared" si="19"/>
        <v>41168</v>
      </c>
      <c r="N628">
        <f>DAY(Europe_Sales_Records34[[#This Row],[Ship Date Fixed]])</f>
        <v>16</v>
      </c>
      <c r="O628" t="str">
        <f>TEXT(Europe_Sales_Records34[[#This Row],[Ship Date Fixed]],"MMM")</f>
        <v>Sep</v>
      </c>
      <c r="P628">
        <f>YEAR(Europe_Sales_Records34[[#This Row],[Ship Date Fixed]])</f>
        <v>2012</v>
      </c>
      <c r="Q628" t="str">
        <f>TEXT(Europe_Sales_Records34[[#This Row],[Ship Date Fixed]],"MMM-YYYY")</f>
        <v>Sep-2012</v>
      </c>
      <c r="R628" t="s">
        <v>177</v>
      </c>
      <c r="S628" s="3">
        <f>Europe_Sales_Records34[[#This Row],[Ship Date Fixed]]-Europe_Sales_Records34[[#This Row],[Order Date Fixed]]</f>
        <v>18</v>
      </c>
      <c r="T628">
        <v>3864</v>
      </c>
      <c r="U628">
        <v>668.27</v>
      </c>
      <c r="V628">
        <v>502.54</v>
      </c>
      <c r="W628">
        <f>Europe_Sales_Records34[[#This Row],[Total Revenue]]/Europe_Sales_Records34[[#This Row],[Units Sold]]</f>
        <v>668.27</v>
      </c>
      <c r="X628">
        <v>2582195.2799999998</v>
      </c>
      <c r="Y628">
        <v>1941814.56</v>
      </c>
      <c r="Z628" s="4">
        <f>Europe_Sales_Records34[[#This Row],[Total Profit]]/Europe_Sales_Records34[[#This Row],[Total Revenue]]</f>
        <v>0.24799856345489099</v>
      </c>
      <c r="AA628">
        <v>640380.72</v>
      </c>
    </row>
    <row r="629" spans="1:27" x14ac:dyDescent="0.3">
      <c r="A629" t="s">
        <v>14</v>
      </c>
      <c r="B629" t="s">
        <v>15</v>
      </c>
      <c r="C629" t="s">
        <v>28</v>
      </c>
      <c r="D629" t="s">
        <v>17</v>
      </c>
      <c r="E629" t="s">
        <v>18</v>
      </c>
      <c r="F629" t="s">
        <v>1105</v>
      </c>
      <c r="G629" s="2">
        <f t="shared" si="18"/>
        <v>42144</v>
      </c>
      <c r="H629">
        <f>DAY(Europe_Sales_Records34[[#This Row],[Order Date Fixed]])</f>
        <v>20</v>
      </c>
      <c r="I629" t="str">
        <f>TEXT(Europe_Sales_Records34[[#This Row],[Order Date Fixed]],"MMM")</f>
        <v>May</v>
      </c>
      <c r="J629">
        <f>YEAR(Europe_Sales_Records34[[#This Row],[Order Date Fixed]])</f>
        <v>2015</v>
      </c>
      <c r="K629" t="str">
        <f>TEXT(Europe_Sales_Records34[[#This Row],[Order Date Fixed]],"MMM-YYYY")</f>
        <v>May-2015</v>
      </c>
      <c r="L629">
        <v>322524106</v>
      </c>
      <c r="M629" s="2">
        <f t="shared" si="19"/>
        <v>42144</v>
      </c>
      <c r="N629">
        <f>DAY(Europe_Sales_Records34[[#This Row],[Ship Date Fixed]])</f>
        <v>20</v>
      </c>
      <c r="O629" t="str">
        <f>TEXT(Europe_Sales_Records34[[#This Row],[Ship Date Fixed]],"MMM")</f>
        <v>May</v>
      </c>
      <c r="P629">
        <f>YEAR(Europe_Sales_Records34[[#This Row],[Ship Date Fixed]])</f>
        <v>2015</v>
      </c>
      <c r="Q629" t="str">
        <f>TEXT(Europe_Sales_Records34[[#This Row],[Ship Date Fixed]],"MMM-YYYY")</f>
        <v>May-2015</v>
      </c>
      <c r="R629" t="s">
        <v>1105</v>
      </c>
      <c r="S629" s="3">
        <f>Europe_Sales_Records34[[#This Row],[Ship Date Fixed]]-Europe_Sales_Records34[[#This Row],[Order Date Fixed]]</f>
        <v>0</v>
      </c>
      <c r="T629">
        <v>905</v>
      </c>
      <c r="U629">
        <v>205.7</v>
      </c>
      <c r="V629">
        <v>117.11</v>
      </c>
      <c r="W629">
        <f>Europe_Sales_Records34[[#This Row],[Total Revenue]]/Europe_Sales_Records34[[#This Row],[Units Sold]]</f>
        <v>205.7</v>
      </c>
      <c r="X629">
        <v>186158.5</v>
      </c>
      <c r="Y629">
        <v>105984.55</v>
      </c>
      <c r="Z629" s="4">
        <f>Europe_Sales_Records34[[#This Row],[Total Profit]]/Europe_Sales_Records34[[#This Row],[Total Revenue]]</f>
        <v>0.43067574137092851</v>
      </c>
      <c r="AA629">
        <v>80173.95</v>
      </c>
    </row>
    <row r="630" spans="1:27" x14ac:dyDescent="0.3">
      <c r="A630" t="s">
        <v>14</v>
      </c>
      <c r="B630" t="s">
        <v>86</v>
      </c>
      <c r="C630" t="s">
        <v>28</v>
      </c>
      <c r="D630" t="s">
        <v>17</v>
      </c>
      <c r="E630" t="s">
        <v>24</v>
      </c>
      <c r="F630" t="s">
        <v>1106</v>
      </c>
      <c r="G630" s="2">
        <f t="shared" si="18"/>
        <v>41896</v>
      </c>
      <c r="H630">
        <f>DAY(Europe_Sales_Records34[[#This Row],[Order Date Fixed]])</f>
        <v>14</v>
      </c>
      <c r="I630" t="str">
        <f>TEXT(Europe_Sales_Records34[[#This Row],[Order Date Fixed]],"MMM")</f>
        <v>Sep</v>
      </c>
      <c r="J630">
        <f>YEAR(Europe_Sales_Records34[[#This Row],[Order Date Fixed]])</f>
        <v>2014</v>
      </c>
      <c r="K630" t="str">
        <f>TEXT(Europe_Sales_Records34[[#This Row],[Order Date Fixed]],"MMM-YYYY")</f>
        <v>Sep-2014</v>
      </c>
      <c r="L630">
        <v>897638213</v>
      </c>
      <c r="M630" s="2">
        <f t="shared" si="19"/>
        <v>41920</v>
      </c>
      <c r="N630">
        <f>DAY(Europe_Sales_Records34[[#This Row],[Ship Date Fixed]])</f>
        <v>8</v>
      </c>
      <c r="O630" t="str">
        <f>TEXT(Europe_Sales_Records34[[#This Row],[Ship Date Fixed]],"MMM")</f>
        <v>Oct</v>
      </c>
      <c r="P630">
        <f>YEAR(Europe_Sales_Records34[[#This Row],[Ship Date Fixed]])</f>
        <v>2014</v>
      </c>
      <c r="Q630" t="str">
        <f>TEXT(Europe_Sales_Records34[[#This Row],[Ship Date Fixed]],"MMM-YYYY")</f>
        <v>Oct-2014</v>
      </c>
      <c r="R630" t="s">
        <v>116</v>
      </c>
      <c r="S630" s="3">
        <f>Europe_Sales_Records34[[#This Row],[Ship Date Fixed]]-Europe_Sales_Records34[[#This Row],[Order Date Fixed]]</f>
        <v>24</v>
      </c>
      <c r="T630">
        <v>9950</v>
      </c>
      <c r="U630">
        <v>205.7</v>
      </c>
      <c r="V630">
        <v>117.11</v>
      </c>
      <c r="W630">
        <f>Europe_Sales_Records34[[#This Row],[Total Revenue]]/Europe_Sales_Records34[[#This Row],[Units Sold]]</f>
        <v>205.7</v>
      </c>
      <c r="X630">
        <v>2046715</v>
      </c>
      <c r="Y630">
        <v>1165244.5</v>
      </c>
      <c r="Z630" s="4">
        <f>Europe_Sales_Records34[[#This Row],[Total Profit]]/Europe_Sales_Records34[[#This Row],[Total Revenue]]</f>
        <v>0.43067574137092851</v>
      </c>
      <c r="AA630">
        <v>881470.5</v>
      </c>
    </row>
    <row r="631" spans="1:27" x14ac:dyDescent="0.3">
      <c r="A631" t="s">
        <v>14</v>
      </c>
      <c r="B631" t="s">
        <v>185</v>
      </c>
      <c r="C631" t="s">
        <v>64</v>
      </c>
      <c r="D631" t="s">
        <v>17</v>
      </c>
      <c r="E631" t="s">
        <v>33</v>
      </c>
      <c r="F631" t="s">
        <v>764</v>
      </c>
      <c r="G631" s="2">
        <f t="shared" si="18"/>
        <v>42817</v>
      </c>
      <c r="H631">
        <f>DAY(Europe_Sales_Records34[[#This Row],[Order Date Fixed]])</f>
        <v>23</v>
      </c>
      <c r="I631" t="str">
        <f>TEXT(Europe_Sales_Records34[[#This Row],[Order Date Fixed]],"MMM")</f>
        <v>Mar</v>
      </c>
      <c r="J631">
        <f>YEAR(Europe_Sales_Records34[[#This Row],[Order Date Fixed]])</f>
        <v>2017</v>
      </c>
      <c r="K631" t="str">
        <f>TEXT(Europe_Sales_Records34[[#This Row],[Order Date Fixed]],"MMM-YYYY")</f>
        <v>Mar-2017</v>
      </c>
      <c r="L631">
        <v>480652987</v>
      </c>
      <c r="M631" s="2">
        <f t="shared" si="19"/>
        <v>42830</v>
      </c>
      <c r="N631">
        <f>DAY(Europe_Sales_Records34[[#This Row],[Ship Date Fixed]])</f>
        <v>5</v>
      </c>
      <c r="O631" t="str">
        <f>TEXT(Europe_Sales_Records34[[#This Row],[Ship Date Fixed]],"MMM")</f>
        <v>Apr</v>
      </c>
      <c r="P631">
        <f>YEAR(Europe_Sales_Records34[[#This Row],[Ship Date Fixed]])</f>
        <v>2017</v>
      </c>
      <c r="Q631" t="str">
        <f>TEXT(Europe_Sales_Records34[[#This Row],[Ship Date Fixed]],"MMM-YYYY")</f>
        <v>Apr-2017</v>
      </c>
      <c r="R631" t="s">
        <v>1107</v>
      </c>
      <c r="S631" s="3">
        <f>Europe_Sales_Records34[[#This Row],[Ship Date Fixed]]-Europe_Sales_Records34[[#This Row],[Order Date Fixed]]</f>
        <v>13</v>
      </c>
      <c r="T631">
        <v>4755</v>
      </c>
      <c r="U631">
        <v>255.28</v>
      </c>
      <c r="V631">
        <v>159.41999999999999</v>
      </c>
      <c r="W631">
        <f>Europe_Sales_Records34[[#This Row],[Total Revenue]]/Europe_Sales_Records34[[#This Row],[Units Sold]]</f>
        <v>255.27999999999997</v>
      </c>
      <c r="X631">
        <v>1213856.3999999999</v>
      </c>
      <c r="Y631">
        <v>758042.1</v>
      </c>
      <c r="Z631" s="4">
        <f>Europe_Sales_Records34[[#This Row],[Total Profit]]/Europe_Sales_Records34[[#This Row],[Total Revenue]]</f>
        <v>0.37550924475086184</v>
      </c>
      <c r="AA631">
        <v>455814.3</v>
      </c>
    </row>
    <row r="632" spans="1:27" x14ac:dyDescent="0.3">
      <c r="A632" t="s">
        <v>14</v>
      </c>
      <c r="B632" t="s">
        <v>163</v>
      </c>
      <c r="C632" t="s">
        <v>32</v>
      </c>
      <c r="D632" t="s">
        <v>23</v>
      </c>
      <c r="E632" t="s">
        <v>18</v>
      </c>
      <c r="F632" t="s">
        <v>1108</v>
      </c>
      <c r="G632" s="2">
        <f t="shared" si="18"/>
        <v>40349</v>
      </c>
      <c r="H632">
        <f>DAY(Europe_Sales_Records34[[#This Row],[Order Date Fixed]])</f>
        <v>20</v>
      </c>
      <c r="I632" t="str">
        <f>TEXT(Europe_Sales_Records34[[#This Row],[Order Date Fixed]],"MMM")</f>
        <v>Jun</v>
      </c>
      <c r="J632">
        <f>YEAR(Europe_Sales_Records34[[#This Row],[Order Date Fixed]])</f>
        <v>2010</v>
      </c>
      <c r="K632" t="str">
        <f>TEXT(Europe_Sales_Records34[[#This Row],[Order Date Fixed]],"MMM-YYYY")</f>
        <v>Jun-2010</v>
      </c>
      <c r="L632">
        <v>340213811</v>
      </c>
      <c r="M632" s="2">
        <f t="shared" si="19"/>
        <v>40385</v>
      </c>
      <c r="N632">
        <f>DAY(Europe_Sales_Records34[[#This Row],[Ship Date Fixed]])</f>
        <v>26</v>
      </c>
      <c r="O632" t="str">
        <f>TEXT(Europe_Sales_Records34[[#This Row],[Ship Date Fixed]],"MMM")</f>
        <v>Jul</v>
      </c>
      <c r="P632">
        <f>YEAR(Europe_Sales_Records34[[#This Row],[Ship Date Fixed]])</f>
        <v>2010</v>
      </c>
      <c r="Q632" t="str">
        <f>TEXT(Europe_Sales_Records34[[#This Row],[Ship Date Fixed]],"MMM-YYYY")</f>
        <v>Jul-2010</v>
      </c>
      <c r="R632" t="s">
        <v>1109</v>
      </c>
      <c r="S632" s="3">
        <f>Europe_Sales_Records34[[#This Row],[Ship Date Fixed]]-Europe_Sales_Records34[[#This Row],[Order Date Fixed]]</f>
        <v>36</v>
      </c>
      <c r="T632">
        <v>5682</v>
      </c>
      <c r="U632">
        <v>651.21</v>
      </c>
      <c r="V632">
        <v>524.96</v>
      </c>
      <c r="W632">
        <f>Europe_Sales_Records34[[#This Row],[Total Revenue]]/Europe_Sales_Records34[[#This Row],[Units Sold]]</f>
        <v>651.21</v>
      </c>
      <c r="X632">
        <v>3700175.22</v>
      </c>
      <c r="Y632">
        <v>2982822.72</v>
      </c>
      <c r="Z632" s="4">
        <f>Europe_Sales_Records34[[#This Row],[Total Profit]]/Europe_Sales_Records34[[#This Row],[Total Revenue]]</f>
        <v>0.19386987300563566</v>
      </c>
      <c r="AA632">
        <v>717352.5</v>
      </c>
    </row>
    <row r="633" spans="1:27" x14ac:dyDescent="0.3">
      <c r="A633" t="s">
        <v>14</v>
      </c>
      <c r="B633" t="s">
        <v>223</v>
      </c>
      <c r="C633" t="s">
        <v>64</v>
      </c>
      <c r="D633" t="s">
        <v>23</v>
      </c>
      <c r="E633" t="s">
        <v>54</v>
      </c>
      <c r="F633" t="s">
        <v>1110</v>
      </c>
      <c r="G633" s="2">
        <f t="shared" si="18"/>
        <v>41353</v>
      </c>
      <c r="H633">
        <f>DAY(Europe_Sales_Records34[[#This Row],[Order Date Fixed]])</f>
        <v>20</v>
      </c>
      <c r="I633" t="str">
        <f>TEXT(Europe_Sales_Records34[[#This Row],[Order Date Fixed]],"MMM")</f>
        <v>Mar</v>
      </c>
      <c r="J633">
        <f>YEAR(Europe_Sales_Records34[[#This Row],[Order Date Fixed]])</f>
        <v>2013</v>
      </c>
      <c r="K633" t="str">
        <f>TEXT(Europe_Sales_Records34[[#This Row],[Order Date Fixed]],"MMM-YYYY")</f>
        <v>Mar-2013</v>
      </c>
      <c r="L633">
        <v>826936471</v>
      </c>
      <c r="M633" s="2">
        <f t="shared" si="19"/>
        <v>41363</v>
      </c>
      <c r="N633">
        <f>DAY(Europe_Sales_Records34[[#This Row],[Ship Date Fixed]])</f>
        <v>30</v>
      </c>
      <c r="O633" t="str">
        <f>TEXT(Europe_Sales_Records34[[#This Row],[Ship Date Fixed]],"MMM")</f>
        <v>Mar</v>
      </c>
      <c r="P633">
        <f>YEAR(Europe_Sales_Records34[[#This Row],[Ship Date Fixed]])</f>
        <v>2013</v>
      </c>
      <c r="Q633" t="str">
        <f>TEXT(Europe_Sales_Records34[[#This Row],[Ship Date Fixed]],"MMM-YYYY")</f>
        <v>Mar-2013</v>
      </c>
      <c r="R633" t="s">
        <v>835</v>
      </c>
      <c r="S633" s="3">
        <f>Europe_Sales_Records34[[#This Row],[Ship Date Fixed]]-Europe_Sales_Records34[[#This Row],[Order Date Fixed]]</f>
        <v>10</v>
      </c>
      <c r="T633">
        <v>7733</v>
      </c>
      <c r="U633">
        <v>255.28</v>
      </c>
      <c r="V633">
        <v>159.41999999999999</v>
      </c>
      <c r="W633">
        <f>Europe_Sales_Records34[[#This Row],[Total Revenue]]/Europe_Sales_Records34[[#This Row],[Units Sold]]</f>
        <v>255.28</v>
      </c>
      <c r="X633">
        <v>1974080.24</v>
      </c>
      <c r="Y633">
        <v>1232794.8600000001</v>
      </c>
      <c r="Z633" s="4">
        <f>Europe_Sales_Records34[[#This Row],[Total Profit]]/Europe_Sales_Records34[[#This Row],[Total Revenue]]</f>
        <v>0.37550924475086178</v>
      </c>
      <c r="AA633">
        <v>741285.38</v>
      </c>
    </row>
    <row r="634" spans="1:27" x14ac:dyDescent="0.3">
      <c r="A634" t="s">
        <v>14</v>
      </c>
      <c r="B634" t="s">
        <v>115</v>
      </c>
      <c r="C634" t="s">
        <v>75</v>
      </c>
      <c r="D634" t="s">
        <v>23</v>
      </c>
      <c r="E634" t="s">
        <v>54</v>
      </c>
      <c r="F634" t="s">
        <v>1111</v>
      </c>
      <c r="G634" s="2">
        <f t="shared" si="18"/>
        <v>42138</v>
      </c>
      <c r="H634">
        <f>DAY(Europe_Sales_Records34[[#This Row],[Order Date Fixed]])</f>
        <v>14</v>
      </c>
      <c r="I634" t="str">
        <f>TEXT(Europe_Sales_Records34[[#This Row],[Order Date Fixed]],"MMM")</f>
        <v>May</v>
      </c>
      <c r="J634">
        <f>YEAR(Europe_Sales_Records34[[#This Row],[Order Date Fixed]])</f>
        <v>2015</v>
      </c>
      <c r="K634" t="str">
        <f>TEXT(Europe_Sales_Records34[[#This Row],[Order Date Fixed]],"MMM-YYYY")</f>
        <v>May-2015</v>
      </c>
      <c r="L634">
        <v>477633464</v>
      </c>
      <c r="M634" s="2">
        <f t="shared" si="19"/>
        <v>42162</v>
      </c>
      <c r="N634">
        <f>DAY(Europe_Sales_Records34[[#This Row],[Ship Date Fixed]])</f>
        <v>7</v>
      </c>
      <c r="O634" t="str">
        <f>TEXT(Europe_Sales_Records34[[#This Row],[Ship Date Fixed]],"MMM")</f>
        <v>Jun</v>
      </c>
      <c r="P634">
        <f>YEAR(Europe_Sales_Records34[[#This Row],[Ship Date Fixed]])</f>
        <v>2015</v>
      </c>
      <c r="Q634" t="str">
        <f>TEXT(Europe_Sales_Records34[[#This Row],[Ship Date Fixed]],"MMM-YYYY")</f>
        <v>Jun-2015</v>
      </c>
      <c r="R634" t="s">
        <v>1112</v>
      </c>
      <c r="S634" s="3">
        <f>Europe_Sales_Records34[[#This Row],[Ship Date Fixed]]-Europe_Sales_Records34[[#This Row],[Order Date Fixed]]</f>
        <v>24</v>
      </c>
      <c r="T634">
        <v>1211</v>
      </c>
      <c r="U634">
        <v>437.2</v>
      </c>
      <c r="V634">
        <v>263.33</v>
      </c>
      <c r="W634">
        <f>Europe_Sales_Records34[[#This Row],[Total Revenue]]/Europe_Sales_Records34[[#This Row],[Units Sold]]</f>
        <v>437.2</v>
      </c>
      <c r="X634">
        <v>529449.19999999995</v>
      </c>
      <c r="Y634">
        <v>318892.63</v>
      </c>
      <c r="Z634" s="4">
        <f>Europe_Sales_Records34[[#This Row],[Total Profit]]/Europe_Sales_Records34[[#This Row],[Total Revenue]]</f>
        <v>0.3976898444647759</v>
      </c>
      <c r="AA634">
        <v>210556.57</v>
      </c>
    </row>
    <row r="635" spans="1:27" x14ac:dyDescent="0.3">
      <c r="A635" t="s">
        <v>14</v>
      </c>
      <c r="B635" t="s">
        <v>80</v>
      </c>
      <c r="C635" t="s">
        <v>50</v>
      </c>
      <c r="D635" t="s">
        <v>23</v>
      </c>
      <c r="E635" t="s">
        <v>33</v>
      </c>
      <c r="F635" t="s">
        <v>1113</v>
      </c>
      <c r="G635" s="2">
        <f t="shared" si="18"/>
        <v>41968</v>
      </c>
      <c r="H635">
        <f>DAY(Europe_Sales_Records34[[#This Row],[Order Date Fixed]])</f>
        <v>25</v>
      </c>
      <c r="I635" t="str">
        <f>TEXT(Europe_Sales_Records34[[#This Row],[Order Date Fixed]],"MMM")</f>
        <v>Nov</v>
      </c>
      <c r="J635">
        <f>YEAR(Europe_Sales_Records34[[#This Row],[Order Date Fixed]])</f>
        <v>2014</v>
      </c>
      <c r="K635" t="str">
        <f>TEXT(Europe_Sales_Records34[[#This Row],[Order Date Fixed]],"MMM-YYYY")</f>
        <v>Nov-2014</v>
      </c>
      <c r="L635">
        <v>849431836</v>
      </c>
      <c r="M635" s="2">
        <f t="shared" si="19"/>
        <v>41971</v>
      </c>
      <c r="N635">
        <f>DAY(Europe_Sales_Records34[[#This Row],[Ship Date Fixed]])</f>
        <v>28</v>
      </c>
      <c r="O635" t="str">
        <f>TEXT(Europe_Sales_Records34[[#This Row],[Ship Date Fixed]],"MMM")</f>
        <v>Nov</v>
      </c>
      <c r="P635">
        <f>YEAR(Europe_Sales_Records34[[#This Row],[Ship Date Fixed]])</f>
        <v>2014</v>
      </c>
      <c r="Q635" t="str">
        <f>TEXT(Europe_Sales_Records34[[#This Row],[Ship Date Fixed]],"MMM-YYYY")</f>
        <v>Nov-2014</v>
      </c>
      <c r="R635" t="s">
        <v>1114</v>
      </c>
      <c r="S635" s="3">
        <f>Europe_Sales_Records34[[#This Row],[Ship Date Fixed]]-Europe_Sales_Records34[[#This Row],[Order Date Fixed]]</f>
        <v>3</v>
      </c>
      <c r="T635">
        <v>4611</v>
      </c>
      <c r="U635">
        <v>421.89</v>
      </c>
      <c r="V635">
        <v>364.69</v>
      </c>
      <c r="W635">
        <f>Europe_Sales_Records34[[#This Row],[Total Revenue]]/Europe_Sales_Records34[[#This Row],[Units Sold]]</f>
        <v>421.89</v>
      </c>
      <c r="X635">
        <v>1945334.79</v>
      </c>
      <c r="Y635">
        <v>1681585.59</v>
      </c>
      <c r="Z635" s="4">
        <f>Europe_Sales_Records34[[#This Row],[Total Profit]]/Europe_Sales_Records34[[#This Row],[Total Revenue]]</f>
        <v>0.13558036455000119</v>
      </c>
      <c r="AA635">
        <v>263749.2</v>
      </c>
    </row>
    <row r="636" spans="1:27" x14ac:dyDescent="0.3">
      <c r="A636" t="s">
        <v>14</v>
      </c>
      <c r="B636" t="s">
        <v>94</v>
      </c>
      <c r="C636" t="s">
        <v>64</v>
      </c>
      <c r="D636" t="s">
        <v>23</v>
      </c>
      <c r="E636" t="s">
        <v>54</v>
      </c>
      <c r="F636" t="s">
        <v>283</v>
      </c>
      <c r="G636" s="2">
        <f t="shared" si="18"/>
        <v>41098</v>
      </c>
      <c r="H636">
        <f>DAY(Europe_Sales_Records34[[#This Row],[Order Date Fixed]])</f>
        <v>8</v>
      </c>
      <c r="I636" t="str">
        <f>TEXT(Europe_Sales_Records34[[#This Row],[Order Date Fixed]],"MMM")</f>
        <v>Jul</v>
      </c>
      <c r="J636">
        <f>YEAR(Europe_Sales_Records34[[#This Row],[Order Date Fixed]])</f>
        <v>2012</v>
      </c>
      <c r="K636" t="str">
        <f>TEXT(Europe_Sales_Records34[[#This Row],[Order Date Fixed]],"MMM-YYYY")</f>
        <v>Jul-2012</v>
      </c>
      <c r="L636">
        <v>844307315</v>
      </c>
      <c r="M636" s="2">
        <f t="shared" si="19"/>
        <v>41119</v>
      </c>
      <c r="N636">
        <f>DAY(Europe_Sales_Records34[[#This Row],[Ship Date Fixed]])</f>
        <v>29</v>
      </c>
      <c r="O636" t="str">
        <f>TEXT(Europe_Sales_Records34[[#This Row],[Ship Date Fixed]],"MMM")</f>
        <v>Jul</v>
      </c>
      <c r="P636">
        <f>YEAR(Europe_Sales_Records34[[#This Row],[Ship Date Fixed]])</f>
        <v>2012</v>
      </c>
      <c r="Q636" t="str">
        <f>TEXT(Europe_Sales_Records34[[#This Row],[Ship Date Fixed]],"MMM-YYYY")</f>
        <v>Jul-2012</v>
      </c>
      <c r="R636" t="s">
        <v>1115</v>
      </c>
      <c r="S636" s="3">
        <f>Europe_Sales_Records34[[#This Row],[Ship Date Fixed]]-Europe_Sales_Records34[[#This Row],[Order Date Fixed]]</f>
        <v>21</v>
      </c>
      <c r="T636">
        <v>8152</v>
      </c>
      <c r="U636">
        <v>255.28</v>
      </c>
      <c r="V636">
        <v>159.41999999999999</v>
      </c>
      <c r="W636">
        <f>Europe_Sales_Records34[[#This Row],[Total Revenue]]/Europe_Sales_Records34[[#This Row],[Units Sold]]</f>
        <v>255.28</v>
      </c>
      <c r="X636">
        <v>2081042.56</v>
      </c>
      <c r="Y636">
        <v>1299591.8400000001</v>
      </c>
      <c r="Z636" s="4">
        <f>Europe_Sales_Records34[[#This Row],[Total Profit]]/Europe_Sales_Records34[[#This Row],[Total Revenue]]</f>
        <v>0.37550924475086178</v>
      </c>
      <c r="AA636">
        <v>781450.72</v>
      </c>
    </row>
    <row r="637" spans="1:27" x14ac:dyDescent="0.3">
      <c r="A637" t="s">
        <v>14</v>
      </c>
      <c r="B637" t="s">
        <v>53</v>
      </c>
      <c r="C637" t="s">
        <v>58</v>
      </c>
      <c r="D637" t="s">
        <v>23</v>
      </c>
      <c r="E637" t="s">
        <v>54</v>
      </c>
      <c r="F637" t="s">
        <v>963</v>
      </c>
      <c r="G637" s="2">
        <f t="shared" si="18"/>
        <v>42906</v>
      </c>
      <c r="H637">
        <f>DAY(Europe_Sales_Records34[[#This Row],[Order Date Fixed]])</f>
        <v>20</v>
      </c>
      <c r="I637" t="str">
        <f>TEXT(Europe_Sales_Records34[[#This Row],[Order Date Fixed]],"MMM")</f>
        <v>Jun</v>
      </c>
      <c r="J637">
        <f>YEAR(Europe_Sales_Records34[[#This Row],[Order Date Fixed]])</f>
        <v>2017</v>
      </c>
      <c r="K637" t="str">
        <f>TEXT(Europe_Sales_Records34[[#This Row],[Order Date Fixed]],"MMM-YYYY")</f>
        <v>Jun-2017</v>
      </c>
      <c r="L637">
        <v>414579665</v>
      </c>
      <c r="M637" s="2">
        <f t="shared" si="19"/>
        <v>42926</v>
      </c>
      <c r="N637">
        <f>DAY(Europe_Sales_Records34[[#This Row],[Ship Date Fixed]])</f>
        <v>10</v>
      </c>
      <c r="O637" t="str">
        <f>TEXT(Europe_Sales_Records34[[#This Row],[Ship Date Fixed]],"MMM")</f>
        <v>Jul</v>
      </c>
      <c r="P637">
        <f>YEAR(Europe_Sales_Records34[[#This Row],[Ship Date Fixed]])</f>
        <v>2017</v>
      </c>
      <c r="Q637" t="str">
        <f>TEXT(Europe_Sales_Records34[[#This Row],[Ship Date Fixed]],"MMM-YYYY")</f>
        <v>Jul-2017</v>
      </c>
      <c r="R637" t="s">
        <v>72</v>
      </c>
      <c r="S637" s="3">
        <f>Europe_Sales_Records34[[#This Row],[Ship Date Fixed]]-Europe_Sales_Records34[[#This Row],[Order Date Fixed]]</f>
        <v>20</v>
      </c>
      <c r="T637">
        <v>2191</v>
      </c>
      <c r="U637">
        <v>152.58000000000001</v>
      </c>
      <c r="V637">
        <v>97.44</v>
      </c>
      <c r="W637">
        <f>Europe_Sales_Records34[[#This Row],[Total Revenue]]/Europe_Sales_Records34[[#This Row],[Units Sold]]</f>
        <v>152.58000000000001</v>
      </c>
      <c r="X637">
        <v>334302.78000000003</v>
      </c>
      <c r="Y637">
        <v>213491.04</v>
      </c>
      <c r="Z637" s="4">
        <f>Europe_Sales_Records34[[#This Row],[Total Profit]]/Europe_Sales_Records34[[#This Row],[Total Revenue]]</f>
        <v>0.36138419189933146</v>
      </c>
      <c r="AA637">
        <v>120811.74</v>
      </c>
    </row>
    <row r="638" spans="1:27" x14ac:dyDescent="0.3">
      <c r="A638" t="s">
        <v>14</v>
      </c>
      <c r="B638" t="s">
        <v>49</v>
      </c>
      <c r="C638" t="s">
        <v>28</v>
      </c>
      <c r="D638" t="s">
        <v>17</v>
      </c>
      <c r="E638" t="s">
        <v>24</v>
      </c>
      <c r="F638" t="s">
        <v>1116</v>
      </c>
      <c r="G638" s="2">
        <f t="shared" si="18"/>
        <v>42295</v>
      </c>
      <c r="H638">
        <f>DAY(Europe_Sales_Records34[[#This Row],[Order Date Fixed]])</f>
        <v>18</v>
      </c>
      <c r="I638" t="str">
        <f>TEXT(Europe_Sales_Records34[[#This Row],[Order Date Fixed]],"MMM")</f>
        <v>Oct</v>
      </c>
      <c r="J638">
        <f>YEAR(Europe_Sales_Records34[[#This Row],[Order Date Fixed]])</f>
        <v>2015</v>
      </c>
      <c r="K638" t="str">
        <f>TEXT(Europe_Sales_Records34[[#This Row],[Order Date Fixed]],"MMM-YYYY")</f>
        <v>Oct-2015</v>
      </c>
      <c r="L638">
        <v>569864976</v>
      </c>
      <c r="M638" s="2">
        <f t="shared" si="19"/>
        <v>42338</v>
      </c>
      <c r="N638">
        <f>DAY(Europe_Sales_Records34[[#This Row],[Ship Date Fixed]])</f>
        <v>30</v>
      </c>
      <c r="O638" t="str">
        <f>TEXT(Europe_Sales_Records34[[#This Row],[Ship Date Fixed]],"MMM")</f>
        <v>Nov</v>
      </c>
      <c r="P638">
        <f>YEAR(Europe_Sales_Records34[[#This Row],[Ship Date Fixed]])</f>
        <v>2015</v>
      </c>
      <c r="Q638" t="str">
        <f>TEXT(Europe_Sales_Records34[[#This Row],[Ship Date Fixed]],"MMM-YYYY")</f>
        <v>Nov-2015</v>
      </c>
      <c r="R638" t="s">
        <v>1117</v>
      </c>
      <c r="S638" s="3">
        <f>Europe_Sales_Records34[[#This Row],[Ship Date Fixed]]-Europe_Sales_Records34[[#This Row],[Order Date Fixed]]</f>
        <v>43</v>
      </c>
      <c r="T638">
        <v>4565</v>
      </c>
      <c r="U638">
        <v>205.7</v>
      </c>
      <c r="V638">
        <v>117.11</v>
      </c>
      <c r="W638">
        <f>Europe_Sales_Records34[[#This Row],[Total Revenue]]/Europe_Sales_Records34[[#This Row],[Units Sold]]</f>
        <v>205.7</v>
      </c>
      <c r="X638">
        <v>939020.5</v>
      </c>
      <c r="Y638">
        <v>534607.15</v>
      </c>
      <c r="Z638" s="4">
        <f>Europe_Sales_Records34[[#This Row],[Total Profit]]/Europe_Sales_Records34[[#This Row],[Total Revenue]]</f>
        <v>0.43067574137092851</v>
      </c>
      <c r="AA638">
        <v>404413.35</v>
      </c>
    </row>
    <row r="639" spans="1:27" x14ac:dyDescent="0.3">
      <c r="A639" t="s">
        <v>14</v>
      </c>
      <c r="B639" t="s">
        <v>94</v>
      </c>
      <c r="C639" t="s">
        <v>22</v>
      </c>
      <c r="D639" t="s">
        <v>23</v>
      </c>
      <c r="E639" t="s">
        <v>33</v>
      </c>
      <c r="F639" t="s">
        <v>1118</v>
      </c>
      <c r="G639" s="2">
        <f t="shared" si="18"/>
        <v>42792</v>
      </c>
      <c r="H639">
        <f>DAY(Europe_Sales_Records34[[#This Row],[Order Date Fixed]])</f>
        <v>26</v>
      </c>
      <c r="I639" t="str">
        <f>TEXT(Europe_Sales_Records34[[#This Row],[Order Date Fixed]],"MMM")</f>
        <v>Feb</v>
      </c>
      <c r="J639">
        <f>YEAR(Europe_Sales_Records34[[#This Row],[Order Date Fixed]])</f>
        <v>2017</v>
      </c>
      <c r="K639" t="str">
        <f>TEXT(Europe_Sales_Records34[[#This Row],[Order Date Fixed]],"MMM-YYYY")</f>
        <v>Feb-2017</v>
      </c>
      <c r="L639">
        <v>783116900</v>
      </c>
      <c r="M639" s="2">
        <f t="shared" si="19"/>
        <v>42808</v>
      </c>
      <c r="N639">
        <f>DAY(Europe_Sales_Records34[[#This Row],[Ship Date Fixed]])</f>
        <v>14</v>
      </c>
      <c r="O639" t="str">
        <f>TEXT(Europe_Sales_Records34[[#This Row],[Ship Date Fixed]],"MMM")</f>
        <v>Mar</v>
      </c>
      <c r="P639">
        <f>YEAR(Europe_Sales_Records34[[#This Row],[Ship Date Fixed]])</f>
        <v>2017</v>
      </c>
      <c r="Q639" t="str">
        <f>TEXT(Europe_Sales_Records34[[#This Row],[Ship Date Fixed]],"MMM-YYYY")</f>
        <v>Mar-2017</v>
      </c>
      <c r="R639" t="s">
        <v>1119</v>
      </c>
      <c r="S639" s="3">
        <f>Europe_Sales_Records34[[#This Row],[Ship Date Fixed]]-Europe_Sales_Records34[[#This Row],[Order Date Fixed]]</f>
        <v>16</v>
      </c>
      <c r="T639">
        <v>548</v>
      </c>
      <c r="U639">
        <v>109.28</v>
      </c>
      <c r="V639">
        <v>35.840000000000003</v>
      </c>
      <c r="W639">
        <f>Europe_Sales_Records34[[#This Row],[Total Revenue]]/Europe_Sales_Records34[[#This Row],[Units Sold]]</f>
        <v>109.28</v>
      </c>
      <c r="X639">
        <v>59885.440000000002</v>
      </c>
      <c r="Y639">
        <v>19640.32</v>
      </c>
      <c r="Z639" s="4">
        <f>Europe_Sales_Records34[[#This Row],[Total Profit]]/Europe_Sales_Records34[[#This Row],[Total Revenue]]</f>
        <v>0.67203513909224011</v>
      </c>
      <c r="AA639">
        <v>40245.120000000003</v>
      </c>
    </row>
    <row r="640" spans="1:27" x14ac:dyDescent="0.3">
      <c r="A640" t="s">
        <v>14</v>
      </c>
      <c r="B640" t="s">
        <v>220</v>
      </c>
      <c r="C640" t="s">
        <v>75</v>
      </c>
      <c r="D640" t="s">
        <v>23</v>
      </c>
      <c r="E640" t="s">
        <v>33</v>
      </c>
      <c r="F640" t="s">
        <v>1085</v>
      </c>
      <c r="G640" s="2">
        <f t="shared" si="18"/>
        <v>42426</v>
      </c>
      <c r="H640">
        <f>DAY(Europe_Sales_Records34[[#This Row],[Order Date Fixed]])</f>
        <v>26</v>
      </c>
      <c r="I640" t="str">
        <f>TEXT(Europe_Sales_Records34[[#This Row],[Order Date Fixed]],"MMM")</f>
        <v>Feb</v>
      </c>
      <c r="J640">
        <f>YEAR(Europe_Sales_Records34[[#This Row],[Order Date Fixed]])</f>
        <v>2016</v>
      </c>
      <c r="K640" t="str">
        <f>TEXT(Europe_Sales_Records34[[#This Row],[Order Date Fixed]],"MMM-YYYY")</f>
        <v>Feb-2016</v>
      </c>
      <c r="L640">
        <v>727821767</v>
      </c>
      <c r="M640" s="2">
        <f t="shared" si="19"/>
        <v>42445</v>
      </c>
      <c r="N640">
        <f>DAY(Europe_Sales_Records34[[#This Row],[Ship Date Fixed]])</f>
        <v>16</v>
      </c>
      <c r="O640" t="str">
        <f>TEXT(Europe_Sales_Records34[[#This Row],[Ship Date Fixed]],"MMM")</f>
        <v>Mar</v>
      </c>
      <c r="P640">
        <f>YEAR(Europe_Sales_Records34[[#This Row],[Ship Date Fixed]])</f>
        <v>2016</v>
      </c>
      <c r="Q640" t="str">
        <f>TEXT(Europe_Sales_Records34[[#This Row],[Ship Date Fixed]],"MMM-YYYY")</f>
        <v>Mar-2016</v>
      </c>
      <c r="R640" t="s">
        <v>1120</v>
      </c>
      <c r="S640" s="3">
        <f>Europe_Sales_Records34[[#This Row],[Ship Date Fixed]]-Europe_Sales_Records34[[#This Row],[Order Date Fixed]]</f>
        <v>19</v>
      </c>
      <c r="T640">
        <v>7489</v>
      </c>
      <c r="U640">
        <v>437.2</v>
      </c>
      <c r="V640">
        <v>263.33</v>
      </c>
      <c r="W640">
        <f>Europe_Sales_Records34[[#This Row],[Total Revenue]]/Europe_Sales_Records34[[#This Row],[Units Sold]]</f>
        <v>437.2</v>
      </c>
      <c r="X640">
        <v>3274190.8</v>
      </c>
      <c r="Y640">
        <v>1972078.37</v>
      </c>
      <c r="Z640" s="4">
        <f>Europe_Sales_Records34[[#This Row],[Total Profit]]/Europe_Sales_Records34[[#This Row],[Total Revenue]]</f>
        <v>0.39768984446477584</v>
      </c>
      <c r="AA640">
        <v>1302112.43</v>
      </c>
    </row>
    <row r="641" spans="1:27" x14ac:dyDescent="0.3">
      <c r="A641" t="s">
        <v>14</v>
      </c>
      <c r="B641" t="s">
        <v>364</v>
      </c>
      <c r="C641" t="s">
        <v>50</v>
      </c>
      <c r="D641" t="s">
        <v>17</v>
      </c>
      <c r="E641" t="s">
        <v>18</v>
      </c>
      <c r="F641" t="s">
        <v>1121</v>
      </c>
      <c r="G641" s="2">
        <f t="shared" si="18"/>
        <v>40983</v>
      </c>
      <c r="H641">
        <f>DAY(Europe_Sales_Records34[[#This Row],[Order Date Fixed]])</f>
        <v>15</v>
      </c>
      <c r="I641" t="str">
        <f>TEXT(Europe_Sales_Records34[[#This Row],[Order Date Fixed]],"MMM")</f>
        <v>Mar</v>
      </c>
      <c r="J641">
        <f>YEAR(Europe_Sales_Records34[[#This Row],[Order Date Fixed]])</f>
        <v>2012</v>
      </c>
      <c r="K641" t="str">
        <f>TEXT(Europe_Sales_Records34[[#This Row],[Order Date Fixed]],"MMM-YYYY")</f>
        <v>Mar-2012</v>
      </c>
      <c r="L641">
        <v>631172120</v>
      </c>
      <c r="M641" s="2">
        <f t="shared" si="19"/>
        <v>41019</v>
      </c>
      <c r="N641">
        <f>DAY(Europe_Sales_Records34[[#This Row],[Ship Date Fixed]])</f>
        <v>20</v>
      </c>
      <c r="O641" t="str">
        <f>TEXT(Europe_Sales_Records34[[#This Row],[Ship Date Fixed]],"MMM")</f>
        <v>Apr</v>
      </c>
      <c r="P641">
        <f>YEAR(Europe_Sales_Records34[[#This Row],[Ship Date Fixed]])</f>
        <v>2012</v>
      </c>
      <c r="Q641" t="str">
        <f>TEXT(Europe_Sales_Records34[[#This Row],[Ship Date Fixed]],"MMM-YYYY")</f>
        <v>Apr-2012</v>
      </c>
      <c r="R641" t="s">
        <v>1122</v>
      </c>
      <c r="S641" s="3">
        <f>Europe_Sales_Records34[[#This Row],[Ship Date Fixed]]-Europe_Sales_Records34[[#This Row],[Order Date Fixed]]</f>
        <v>36</v>
      </c>
      <c r="T641">
        <v>6711</v>
      </c>
      <c r="U641">
        <v>421.89</v>
      </c>
      <c r="V641">
        <v>364.69</v>
      </c>
      <c r="W641">
        <f>Europe_Sales_Records34[[#This Row],[Total Revenue]]/Europe_Sales_Records34[[#This Row],[Units Sold]]</f>
        <v>421.89</v>
      </c>
      <c r="X641">
        <v>2831303.79</v>
      </c>
      <c r="Y641">
        <v>2447434.59</v>
      </c>
      <c r="Z641" s="4">
        <f>Europe_Sales_Records34[[#This Row],[Total Profit]]/Europe_Sales_Records34[[#This Row],[Total Revenue]]</f>
        <v>0.13558036455000119</v>
      </c>
      <c r="AA641">
        <v>383869.2</v>
      </c>
    </row>
    <row r="642" spans="1:27" x14ac:dyDescent="0.3">
      <c r="A642" t="s">
        <v>14</v>
      </c>
      <c r="B642" t="s">
        <v>61</v>
      </c>
      <c r="C642" t="s">
        <v>32</v>
      </c>
      <c r="D642" t="s">
        <v>17</v>
      </c>
      <c r="E642" t="s">
        <v>24</v>
      </c>
      <c r="F642" t="s">
        <v>406</v>
      </c>
      <c r="G642" s="2">
        <f t="shared" ref="G642:G705" si="20">DATE(
  RIGHT(F642,4),
  LEFT(F642,FIND("/",F642)-1),
  MID(F642,FIND("/",F642)+1, FIND("/",F642,FIND("/",F642)+1)-FIND("/",F642)-1)
)</f>
        <v>42501</v>
      </c>
      <c r="H642">
        <f>DAY(Europe_Sales_Records34[[#This Row],[Order Date Fixed]])</f>
        <v>11</v>
      </c>
      <c r="I642" t="str">
        <f>TEXT(Europe_Sales_Records34[[#This Row],[Order Date Fixed]],"MMM")</f>
        <v>May</v>
      </c>
      <c r="J642">
        <f>YEAR(Europe_Sales_Records34[[#This Row],[Order Date Fixed]])</f>
        <v>2016</v>
      </c>
      <c r="K642" t="str">
        <f>TEXT(Europe_Sales_Records34[[#This Row],[Order Date Fixed]],"MMM-YYYY")</f>
        <v>May-2016</v>
      </c>
      <c r="L642">
        <v>859914767</v>
      </c>
      <c r="M642" s="2">
        <f t="shared" ref="M642:M705" si="21">DATE(
  RIGHT(R642,4),
  LEFT(R642,FIND("/",R642)-1),
  MID(
      R642,
      FIND("/",R642)+1,
      FIND("/",R642,FIND("/",R642)+1)-FIND("/",R642)-1
     )
)</f>
        <v>42539</v>
      </c>
      <c r="N642">
        <f>DAY(Europe_Sales_Records34[[#This Row],[Ship Date Fixed]])</f>
        <v>18</v>
      </c>
      <c r="O642" t="str">
        <f>TEXT(Europe_Sales_Records34[[#This Row],[Ship Date Fixed]],"MMM")</f>
        <v>Jun</v>
      </c>
      <c r="P642">
        <f>YEAR(Europe_Sales_Records34[[#This Row],[Ship Date Fixed]])</f>
        <v>2016</v>
      </c>
      <c r="Q642" t="str">
        <f>TEXT(Europe_Sales_Records34[[#This Row],[Ship Date Fixed]],"MMM-YYYY")</f>
        <v>Jun-2016</v>
      </c>
      <c r="R642" t="s">
        <v>1123</v>
      </c>
      <c r="S642" s="3">
        <f>Europe_Sales_Records34[[#This Row],[Ship Date Fixed]]-Europe_Sales_Records34[[#This Row],[Order Date Fixed]]</f>
        <v>38</v>
      </c>
      <c r="T642">
        <v>6744</v>
      </c>
      <c r="U642">
        <v>651.21</v>
      </c>
      <c r="V642">
        <v>524.96</v>
      </c>
      <c r="W642">
        <f>Europe_Sales_Records34[[#This Row],[Total Revenue]]/Europe_Sales_Records34[[#This Row],[Units Sold]]</f>
        <v>651.21</v>
      </c>
      <c r="X642">
        <v>4391760.24</v>
      </c>
      <c r="Y642">
        <v>3540330.24</v>
      </c>
      <c r="Z642" s="4">
        <f>Europe_Sales_Records34[[#This Row],[Total Profit]]/Europe_Sales_Records34[[#This Row],[Total Revenue]]</f>
        <v>0.19386987300563566</v>
      </c>
      <c r="AA642">
        <v>851430</v>
      </c>
    </row>
    <row r="643" spans="1:27" x14ac:dyDescent="0.3">
      <c r="A643" t="s">
        <v>14</v>
      </c>
      <c r="B643" t="s">
        <v>220</v>
      </c>
      <c r="C643" t="s">
        <v>58</v>
      </c>
      <c r="D643" t="s">
        <v>23</v>
      </c>
      <c r="E643" t="s">
        <v>33</v>
      </c>
      <c r="F643" t="s">
        <v>1124</v>
      </c>
      <c r="G643" s="2">
        <f t="shared" si="20"/>
        <v>40578</v>
      </c>
      <c r="H643">
        <f>DAY(Europe_Sales_Records34[[#This Row],[Order Date Fixed]])</f>
        <v>4</v>
      </c>
      <c r="I643" t="str">
        <f>TEXT(Europe_Sales_Records34[[#This Row],[Order Date Fixed]],"MMM")</f>
        <v>Feb</v>
      </c>
      <c r="J643">
        <f>YEAR(Europe_Sales_Records34[[#This Row],[Order Date Fixed]])</f>
        <v>2011</v>
      </c>
      <c r="K643" t="str">
        <f>TEXT(Europe_Sales_Records34[[#This Row],[Order Date Fixed]],"MMM-YYYY")</f>
        <v>Feb-2011</v>
      </c>
      <c r="L643">
        <v>575479590</v>
      </c>
      <c r="M643" s="2">
        <f t="shared" si="21"/>
        <v>40624</v>
      </c>
      <c r="N643">
        <f>DAY(Europe_Sales_Records34[[#This Row],[Ship Date Fixed]])</f>
        <v>22</v>
      </c>
      <c r="O643" t="str">
        <f>TEXT(Europe_Sales_Records34[[#This Row],[Ship Date Fixed]],"MMM")</f>
        <v>Mar</v>
      </c>
      <c r="P643">
        <f>YEAR(Europe_Sales_Records34[[#This Row],[Ship Date Fixed]])</f>
        <v>2011</v>
      </c>
      <c r="Q643" t="str">
        <f>TEXT(Europe_Sales_Records34[[#This Row],[Ship Date Fixed]],"MMM-YYYY")</f>
        <v>Mar-2011</v>
      </c>
      <c r="R643" t="s">
        <v>1125</v>
      </c>
      <c r="S643" s="3">
        <f>Europe_Sales_Records34[[#This Row],[Ship Date Fixed]]-Europe_Sales_Records34[[#This Row],[Order Date Fixed]]</f>
        <v>46</v>
      </c>
      <c r="T643">
        <v>6054</v>
      </c>
      <c r="U643">
        <v>152.58000000000001</v>
      </c>
      <c r="V643">
        <v>97.44</v>
      </c>
      <c r="W643">
        <f>Europe_Sales_Records34[[#This Row],[Total Revenue]]/Europe_Sales_Records34[[#This Row],[Units Sold]]</f>
        <v>152.57999999999998</v>
      </c>
      <c r="X643">
        <v>923719.32</v>
      </c>
      <c r="Y643">
        <v>589901.76</v>
      </c>
      <c r="Z643" s="4">
        <f>Europe_Sales_Records34[[#This Row],[Total Profit]]/Europe_Sales_Records34[[#This Row],[Total Revenue]]</f>
        <v>0.36138419189933152</v>
      </c>
      <c r="AA643">
        <v>333817.56</v>
      </c>
    </row>
    <row r="644" spans="1:27" x14ac:dyDescent="0.3">
      <c r="A644" t="s">
        <v>14</v>
      </c>
      <c r="B644" t="s">
        <v>166</v>
      </c>
      <c r="C644" t="s">
        <v>58</v>
      </c>
      <c r="D644" t="s">
        <v>17</v>
      </c>
      <c r="E644" t="s">
        <v>24</v>
      </c>
      <c r="F644" t="s">
        <v>830</v>
      </c>
      <c r="G644" s="2">
        <f t="shared" si="20"/>
        <v>42785</v>
      </c>
      <c r="H644">
        <f>DAY(Europe_Sales_Records34[[#This Row],[Order Date Fixed]])</f>
        <v>19</v>
      </c>
      <c r="I644" t="str">
        <f>TEXT(Europe_Sales_Records34[[#This Row],[Order Date Fixed]],"MMM")</f>
        <v>Feb</v>
      </c>
      <c r="J644">
        <f>YEAR(Europe_Sales_Records34[[#This Row],[Order Date Fixed]])</f>
        <v>2017</v>
      </c>
      <c r="K644" t="str">
        <f>TEXT(Europe_Sales_Records34[[#This Row],[Order Date Fixed]],"MMM-YYYY")</f>
        <v>Feb-2017</v>
      </c>
      <c r="L644">
        <v>352342545</v>
      </c>
      <c r="M644" s="2">
        <f t="shared" si="21"/>
        <v>42821</v>
      </c>
      <c r="N644">
        <f>DAY(Europe_Sales_Records34[[#This Row],[Ship Date Fixed]])</f>
        <v>27</v>
      </c>
      <c r="O644" t="str">
        <f>TEXT(Europe_Sales_Records34[[#This Row],[Ship Date Fixed]],"MMM")</f>
        <v>Mar</v>
      </c>
      <c r="P644">
        <f>YEAR(Europe_Sales_Records34[[#This Row],[Ship Date Fixed]])</f>
        <v>2017</v>
      </c>
      <c r="Q644" t="str">
        <f>TEXT(Europe_Sales_Records34[[#This Row],[Ship Date Fixed]],"MMM-YYYY")</f>
        <v>Mar-2017</v>
      </c>
      <c r="R644" t="s">
        <v>126</v>
      </c>
      <c r="S644" s="3">
        <f>Europe_Sales_Records34[[#This Row],[Ship Date Fixed]]-Europe_Sales_Records34[[#This Row],[Order Date Fixed]]</f>
        <v>36</v>
      </c>
      <c r="T644">
        <v>4844</v>
      </c>
      <c r="U644">
        <v>152.58000000000001</v>
      </c>
      <c r="V644">
        <v>97.44</v>
      </c>
      <c r="W644">
        <f>Europe_Sales_Records34[[#This Row],[Total Revenue]]/Europe_Sales_Records34[[#This Row],[Units Sold]]</f>
        <v>152.58000000000001</v>
      </c>
      <c r="X644">
        <v>739097.52</v>
      </c>
      <c r="Y644">
        <v>471999.36</v>
      </c>
      <c r="Z644" s="4">
        <f>Europe_Sales_Records34[[#This Row],[Total Profit]]/Europe_Sales_Records34[[#This Row],[Total Revenue]]</f>
        <v>0.36138419189933146</v>
      </c>
      <c r="AA644">
        <v>267098.15999999997</v>
      </c>
    </row>
    <row r="645" spans="1:27" x14ac:dyDescent="0.3">
      <c r="A645" t="s">
        <v>14</v>
      </c>
      <c r="B645" t="s">
        <v>97</v>
      </c>
      <c r="C645" t="s">
        <v>28</v>
      </c>
      <c r="D645" t="s">
        <v>23</v>
      </c>
      <c r="E645" t="s">
        <v>54</v>
      </c>
      <c r="F645" t="s">
        <v>390</v>
      </c>
      <c r="G645" s="2">
        <f t="shared" si="20"/>
        <v>41112</v>
      </c>
      <c r="H645">
        <f>DAY(Europe_Sales_Records34[[#This Row],[Order Date Fixed]])</f>
        <v>22</v>
      </c>
      <c r="I645" t="str">
        <f>TEXT(Europe_Sales_Records34[[#This Row],[Order Date Fixed]],"MMM")</f>
        <v>Jul</v>
      </c>
      <c r="J645">
        <f>YEAR(Europe_Sales_Records34[[#This Row],[Order Date Fixed]])</f>
        <v>2012</v>
      </c>
      <c r="K645" t="str">
        <f>TEXT(Europe_Sales_Records34[[#This Row],[Order Date Fixed]],"MMM-YYYY")</f>
        <v>Jul-2012</v>
      </c>
      <c r="L645">
        <v>972419059</v>
      </c>
      <c r="M645" s="2">
        <f t="shared" si="21"/>
        <v>41138</v>
      </c>
      <c r="N645">
        <f>DAY(Europe_Sales_Records34[[#This Row],[Ship Date Fixed]])</f>
        <v>17</v>
      </c>
      <c r="O645" t="str">
        <f>TEXT(Europe_Sales_Records34[[#This Row],[Ship Date Fixed]],"MMM")</f>
        <v>Aug</v>
      </c>
      <c r="P645">
        <f>YEAR(Europe_Sales_Records34[[#This Row],[Ship Date Fixed]])</f>
        <v>2012</v>
      </c>
      <c r="Q645" t="str">
        <f>TEXT(Europe_Sales_Records34[[#This Row],[Ship Date Fixed]],"MMM-YYYY")</f>
        <v>Aug-2012</v>
      </c>
      <c r="R645" t="s">
        <v>1126</v>
      </c>
      <c r="S645" s="3">
        <f>Europe_Sales_Records34[[#This Row],[Ship Date Fixed]]-Europe_Sales_Records34[[#This Row],[Order Date Fixed]]</f>
        <v>26</v>
      </c>
      <c r="T645">
        <v>9264</v>
      </c>
      <c r="U645">
        <v>205.7</v>
      </c>
      <c r="V645">
        <v>117.11</v>
      </c>
      <c r="W645">
        <f>Europe_Sales_Records34[[#This Row],[Total Revenue]]/Europe_Sales_Records34[[#This Row],[Units Sold]]</f>
        <v>205.70000000000002</v>
      </c>
      <c r="X645">
        <v>1905604.8</v>
      </c>
      <c r="Y645">
        <v>1084907.04</v>
      </c>
      <c r="Z645" s="4">
        <f>Europe_Sales_Records34[[#This Row],[Total Profit]]/Europe_Sales_Records34[[#This Row],[Total Revenue]]</f>
        <v>0.43067574137092851</v>
      </c>
      <c r="AA645">
        <v>820697.76</v>
      </c>
    </row>
    <row r="646" spans="1:27" x14ac:dyDescent="0.3">
      <c r="A646" t="s">
        <v>14</v>
      </c>
      <c r="B646" t="s">
        <v>166</v>
      </c>
      <c r="C646" t="s">
        <v>50</v>
      </c>
      <c r="D646" t="s">
        <v>17</v>
      </c>
      <c r="E646" t="s">
        <v>24</v>
      </c>
      <c r="F646" t="s">
        <v>199</v>
      </c>
      <c r="G646" s="2">
        <f t="shared" si="20"/>
        <v>41779</v>
      </c>
      <c r="H646">
        <f>DAY(Europe_Sales_Records34[[#This Row],[Order Date Fixed]])</f>
        <v>20</v>
      </c>
      <c r="I646" t="str">
        <f>TEXT(Europe_Sales_Records34[[#This Row],[Order Date Fixed]],"MMM")</f>
        <v>May</v>
      </c>
      <c r="J646">
        <f>YEAR(Europe_Sales_Records34[[#This Row],[Order Date Fixed]])</f>
        <v>2014</v>
      </c>
      <c r="K646" t="str">
        <f>TEXT(Europe_Sales_Records34[[#This Row],[Order Date Fixed]],"MMM-YYYY")</f>
        <v>May-2014</v>
      </c>
      <c r="L646">
        <v>217165648</v>
      </c>
      <c r="M646" s="2">
        <f t="shared" si="21"/>
        <v>41798</v>
      </c>
      <c r="N646">
        <f>DAY(Europe_Sales_Records34[[#This Row],[Ship Date Fixed]])</f>
        <v>8</v>
      </c>
      <c r="O646" t="str">
        <f>TEXT(Europe_Sales_Records34[[#This Row],[Ship Date Fixed]],"MMM")</f>
        <v>Jun</v>
      </c>
      <c r="P646">
        <f>YEAR(Europe_Sales_Records34[[#This Row],[Ship Date Fixed]])</f>
        <v>2014</v>
      </c>
      <c r="Q646" t="str">
        <f>TEXT(Europe_Sales_Records34[[#This Row],[Ship Date Fixed]],"MMM-YYYY")</f>
        <v>Jun-2014</v>
      </c>
      <c r="R646" t="s">
        <v>111</v>
      </c>
      <c r="S646" s="3">
        <f>Europe_Sales_Records34[[#This Row],[Ship Date Fixed]]-Europe_Sales_Records34[[#This Row],[Order Date Fixed]]</f>
        <v>19</v>
      </c>
      <c r="T646">
        <v>2996</v>
      </c>
      <c r="U646">
        <v>421.89</v>
      </c>
      <c r="V646">
        <v>364.69</v>
      </c>
      <c r="W646">
        <f>Europe_Sales_Records34[[#This Row],[Total Revenue]]/Europe_Sales_Records34[[#This Row],[Units Sold]]</f>
        <v>421.89</v>
      </c>
      <c r="X646">
        <v>1263982.44</v>
      </c>
      <c r="Y646">
        <v>1092611.24</v>
      </c>
      <c r="Z646" s="4">
        <f>Europe_Sales_Records34[[#This Row],[Total Profit]]/Europe_Sales_Records34[[#This Row],[Total Revenue]]</f>
        <v>0.13558036455000119</v>
      </c>
      <c r="AA646">
        <v>171371.2</v>
      </c>
    </row>
    <row r="647" spans="1:27" x14ac:dyDescent="0.3">
      <c r="A647" t="s">
        <v>14</v>
      </c>
      <c r="B647" t="s">
        <v>127</v>
      </c>
      <c r="C647" t="s">
        <v>64</v>
      </c>
      <c r="D647" t="s">
        <v>23</v>
      </c>
      <c r="E647" t="s">
        <v>33</v>
      </c>
      <c r="F647" t="s">
        <v>371</v>
      </c>
      <c r="G647" s="2">
        <f t="shared" si="20"/>
        <v>42619</v>
      </c>
      <c r="H647">
        <f>DAY(Europe_Sales_Records34[[#This Row],[Order Date Fixed]])</f>
        <v>6</v>
      </c>
      <c r="I647" t="str">
        <f>TEXT(Europe_Sales_Records34[[#This Row],[Order Date Fixed]],"MMM")</f>
        <v>Sep</v>
      </c>
      <c r="J647">
        <f>YEAR(Europe_Sales_Records34[[#This Row],[Order Date Fixed]])</f>
        <v>2016</v>
      </c>
      <c r="K647" t="str">
        <f>TEXT(Europe_Sales_Records34[[#This Row],[Order Date Fixed]],"MMM-YYYY")</f>
        <v>Sep-2016</v>
      </c>
      <c r="L647">
        <v>764837539</v>
      </c>
      <c r="M647" s="2">
        <f t="shared" si="21"/>
        <v>42619</v>
      </c>
      <c r="N647">
        <f>DAY(Europe_Sales_Records34[[#This Row],[Ship Date Fixed]])</f>
        <v>6</v>
      </c>
      <c r="O647" t="str">
        <f>TEXT(Europe_Sales_Records34[[#This Row],[Ship Date Fixed]],"MMM")</f>
        <v>Sep</v>
      </c>
      <c r="P647">
        <f>YEAR(Europe_Sales_Records34[[#This Row],[Ship Date Fixed]])</f>
        <v>2016</v>
      </c>
      <c r="Q647" t="str">
        <f>TEXT(Europe_Sales_Records34[[#This Row],[Ship Date Fixed]],"MMM-YYYY")</f>
        <v>Sep-2016</v>
      </c>
      <c r="R647" t="s">
        <v>371</v>
      </c>
      <c r="S647" s="3">
        <f>Europe_Sales_Records34[[#This Row],[Ship Date Fixed]]-Europe_Sales_Records34[[#This Row],[Order Date Fixed]]</f>
        <v>0</v>
      </c>
      <c r="T647">
        <v>1279</v>
      </c>
      <c r="U647">
        <v>255.28</v>
      </c>
      <c r="V647">
        <v>159.41999999999999</v>
      </c>
      <c r="W647">
        <f>Europe_Sales_Records34[[#This Row],[Total Revenue]]/Europe_Sales_Records34[[#This Row],[Units Sold]]</f>
        <v>255.28</v>
      </c>
      <c r="X647">
        <v>326503.12</v>
      </c>
      <c r="Y647">
        <v>203898.18</v>
      </c>
      <c r="Z647" s="4">
        <f>Europe_Sales_Records34[[#This Row],[Total Profit]]/Europe_Sales_Records34[[#This Row],[Total Revenue]]</f>
        <v>0.37550924475086184</v>
      </c>
      <c r="AA647">
        <v>122604.94</v>
      </c>
    </row>
    <row r="648" spans="1:27" x14ac:dyDescent="0.3">
      <c r="A648" t="s">
        <v>14</v>
      </c>
      <c r="B648" t="s">
        <v>80</v>
      </c>
      <c r="C648" t="s">
        <v>37</v>
      </c>
      <c r="D648" t="s">
        <v>17</v>
      </c>
      <c r="E648" t="s">
        <v>54</v>
      </c>
      <c r="F648" t="s">
        <v>1127</v>
      </c>
      <c r="G648" s="2">
        <f t="shared" si="20"/>
        <v>42813</v>
      </c>
      <c r="H648">
        <f>DAY(Europe_Sales_Records34[[#This Row],[Order Date Fixed]])</f>
        <v>19</v>
      </c>
      <c r="I648" t="str">
        <f>TEXT(Europe_Sales_Records34[[#This Row],[Order Date Fixed]],"MMM")</f>
        <v>Mar</v>
      </c>
      <c r="J648">
        <f>YEAR(Europe_Sales_Records34[[#This Row],[Order Date Fixed]])</f>
        <v>2017</v>
      </c>
      <c r="K648" t="str">
        <f>TEXT(Europe_Sales_Records34[[#This Row],[Order Date Fixed]],"MMM-YYYY")</f>
        <v>Mar-2017</v>
      </c>
      <c r="L648">
        <v>870218312</v>
      </c>
      <c r="M648" s="2">
        <f t="shared" si="21"/>
        <v>42821</v>
      </c>
      <c r="N648">
        <f>DAY(Europe_Sales_Records34[[#This Row],[Ship Date Fixed]])</f>
        <v>27</v>
      </c>
      <c r="O648" t="str">
        <f>TEXT(Europe_Sales_Records34[[#This Row],[Ship Date Fixed]],"MMM")</f>
        <v>Mar</v>
      </c>
      <c r="P648">
        <f>YEAR(Europe_Sales_Records34[[#This Row],[Ship Date Fixed]])</f>
        <v>2017</v>
      </c>
      <c r="Q648" t="str">
        <f>TEXT(Europe_Sales_Records34[[#This Row],[Ship Date Fixed]],"MMM-YYYY")</f>
        <v>Mar-2017</v>
      </c>
      <c r="R648" t="s">
        <v>126</v>
      </c>
      <c r="S648" s="3">
        <f>Europe_Sales_Records34[[#This Row],[Ship Date Fixed]]-Europe_Sales_Records34[[#This Row],[Order Date Fixed]]</f>
        <v>8</v>
      </c>
      <c r="T648">
        <v>5792</v>
      </c>
      <c r="U648">
        <v>9.33</v>
      </c>
      <c r="V648">
        <v>6.92</v>
      </c>
      <c r="W648">
        <f>Europe_Sales_Records34[[#This Row],[Total Revenue]]/Europe_Sales_Records34[[#This Row],[Units Sold]]</f>
        <v>9.33</v>
      </c>
      <c r="X648">
        <v>54039.360000000001</v>
      </c>
      <c r="Y648">
        <v>40080.639999999999</v>
      </c>
      <c r="Z648" s="4">
        <f>Europe_Sales_Records34[[#This Row],[Total Profit]]/Europe_Sales_Records34[[#This Row],[Total Revenue]]</f>
        <v>0.25830653804930331</v>
      </c>
      <c r="AA648">
        <v>13958.72</v>
      </c>
    </row>
    <row r="649" spans="1:27" x14ac:dyDescent="0.3">
      <c r="A649" t="s">
        <v>14</v>
      </c>
      <c r="B649" t="s">
        <v>166</v>
      </c>
      <c r="C649" t="s">
        <v>32</v>
      </c>
      <c r="D649" t="s">
        <v>23</v>
      </c>
      <c r="E649" t="s">
        <v>33</v>
      </c>
      <c r="F649" t="s">
        <v>1072</v>
      </c>
      <c r="G649" s="2">
        <f t="shared" si="20"/>
        <v>42918</v>
      </c>
      <c r="H649">
        <f>DAY(Europe_Sales_Records34[[#This Row],[Order Date Fixed]])</f>
        <v>2</v>
      </c>
      <c r="I649" t="str">
        <f>TEXT(Europe_Sales_Records34[[#This Row],[Order Date Fixed]],"MMM")</f>
        <v>Jul</v>
      </c>
      <c r="J649">
        <f>YEAR(Europe_Sales_Records34[[#This Row],[Order Date Fixed]])</f>
        <v>2017</v>
      </c>
      <c r="K649" t="str">
        <f>TEXT(Europe_Sales_Records34[[#This Row],[Order Date Fixed]],"MMM-YYYY")</f>
        <v>Jul-2017</v>
      </c>
      <c r="L649">
        <v>513802516</v>
      </c>
      <c r="M649" s="2">
        <f t="shared" si="21"/>
        <v>42954</v>
      </c>
      <c r="N649">
        <f>DAY(Europe_Sales_Records34[[#This Row],[Ship Date Fixed]])</f>
        <v>7</v>
      </c>
      <c r="O649" t="str">
        <f>TEXT(Europe_Sales_Records34[[#This Row],[Ship Date Fixed]],"MMM")</f>
        <v>Aug</v>
      </c>
      <c r="P649">
        <f>YEAR(Europe_Sales_Records34[[#This Row],[Ship Date Fixed]])</f>
        <v>2017</v>
      </c>
      <c r="Q649" t="str">
        <f>TEXT(Europe_Sales_Records34[[#This Row],[Ship Date Fixed]],"MMM-YYYY")</f>
        <v>Aug-2017</v>
      </c>
      <c r="R649" t="s">
        <v>1128</v>
      </c>
      <c r="S649" s="3">
        <f>Europe_Sales_Records34[[#This Row],[Ship Date Fixed]]-Europe_Sales_Records34[[#This Row],[Order Date Fixed]]</f>
        <v>36</v>
      </c>
      <c r="T649">
        <v>4437</v>
      </c>
      <c r="U649">
        <v>651.21</v>
      </c>
      <c r="V649">
        <v>524.96</v>
      </c>
      <c r="W649">
        <f>Europe_Sales_Records34[[#This Row],[Total Revenue]]/Europe_Sales_Records34[[#This Row],[Units Sold]]</f>
        <v>651.21</v>
      </c>
      <c r="X649">
        <v>2889418.77</v>
      </c>
      <c r="Y649">
        <v>2329247.52</v>
      </c>
      <c r="Z649" s="4">
        <f>Europe_Sales_Records34[[#This Row],[Total Profit]]/Europe_Sales_Records34[[#This Row],[Total Revenue]]</f>
        <v>0.19386987300563566</v>
      </c>
      <c r="AA649">
        <v>560171.25</v>
      </c>
    </row>
    <row r="650" spans="1:27" x14ac:dyDescent="0.3">
      <c r="A650" t="s">
        <v>14</v>
      </c>
      <c r="B650" t="s">
        <v>243</v>
      </c>
      <c r="C650" t="s">
        <v>16</v>
      </c>
      <c r="D650" t="s">
        <v>23</v>
      </c>
      <c r="E650" t="s">
        <v>24</v>
      </c>
      <c r="F650" t="s">
        <v>1071</v>
      </c>
      <c r="G650" s="2">
        <f t="shared" si="20"/>
        <v>42886</v>
      </c>
      <c r="H650">
        <f>DAY(Europe_Sales_Records34[[#This Row],[Order Date Fixed]])</f>
        <v>31</v>
      </c>
      <c r="I650" t="str">
        <f>TEXT(Europe_Sales_Records34[[#This Row],[Order Date Fixed]],"MMM")</f>
        <v>May</v>
      </c>
      <c r="J650">
        <f>YEAR(Europe_Sales_Records34[[#This Row],[Order Date Fixed]])</f>
        <v>2017</v>
      </c>
      <c r="K650" t="str">
        <f>TEXT(Europe_Sales_Records34[[#This Row],[Order Date Fixed]],"MMM-YYYY")</f>
        <v>May-2017</v>
      </c>
      <c r="L650">
        <v>638957822</v>
      </c>
      <c r="M650" s="2">
        <f t="shared" si="21"/>
        <v>42910</v>
      </c>
      <c r="N650">
        <f>DAY(Europe_Sales_Records34[[#This Row],[Ship Date Fixed]])</f>
        <v>24</v>
      </c>
      <c r="O650" t="str">
        <f>TEXT(Europe_Sales_Records34[[#This Row],[Ship Date Fixed]],"MMM")</f>
        <v>Jun</v>
      </c>
      <c r="P650">
        <f>YEAR(Europe_Sales_Records34[[#This Row],[Ship Date Fixed]])</f>
        <v>2017</v>
      </c>
      <c r="Q650" t="str">
        <f>TEXT(Europe_Sales_Records34[[#This Row],[Ship Date Fixed]],"MMM-YYYY")</f>
        <v>Jun-2017</v>
      </c>
      <c r="R650" t="s">
        <v>1021</v>
      </c>
      <c r="S650" s="3">
        <f>Europe_Sales_Records34[[#This Row],[Ship Date Fixed]]-Europe_Sales_Records34[[#This Row],[Order Date Fixed]]</f>
        <v>24</v>
      </c>
      <c r="T650">
        <v>673</v>
      </c>
      <c r="U650">
        <v>47.45</v>
      </c>
      <c r="V650">
        <v>31.79</v>
      </c>
      <c r="W650">
        <f>Europe_Sales_Records34[[#This Row],[Total Revenue]]/Europe_Sales_Records34[[#This Row],[Units Sold]]</f>
        <v>47.449999999999996</v>
      </c>
      <c r="X650">
        <v>31933.85</v>
      </c>
      <c r="Y650">
        <v>21394.67</v>
      </c>
      <c r="Z650" s="4">
        <f>Europe_Sales_Records34[[#This Row],[Total Profit]]/Europe_Sales_Records34[[#This Row],[Total Revenue]]</f>
        <v>0.33003161222339306</v>
      </c>
      <c r="AA650">
        <v>10539.18</v>
      </c>
    </row>
    <row r="651" spans="1:27" x14ac:dyDescent="0.3">
      <c r="A651" t="s">
        <v>14</v>
      </c>
      <c r="B651" t="s">
        <v>31</v>
      </c>
      <c r="C651" t="s">
        <v>64</v>
      </c>
      <c r="D651" t="s">
        <v>23</v>
      </c>
      <c r="E651" t="s">
        <v>54</v>
      </c>
      <c r="F651" t="s">
        <v>430</v>
      </c>
      <c r="G651" s="2">
        <f t="shared" si="20"/>
        <v>41992</v>
      </c>
      <c r="H651">
        <f>DAY(Europe_Sales_Records34[[#This Row],[Order Date Fixed]])</f>
        <v>19</v>
      </c>
      <c r="I651" t="str">
        <f>TEXT(Europe_Sales_Records34[[#This Row],[Order Date Fixed]],"MMM")</f>
        <v>Dec</v>
      </c>
      <c r="J651">
        <f>YEAR(Europe_Sales_Records34[[#This Row],[Order Date Fixed]])</f>
        <v>2014</v>
      </c>
      <c r="K651" t="str">
        <f>TEXT(Europe_Sales_Records34[[#This Row],[Order Date Fixed]],"MMM-YYYY")</f>
        <v>Dec-2014</v>
      </c>
      <c r="L651">
        <v>944247710</v>
      </c>
      <c r="M651" s="2">
        <f t="shared" si="21"/>
        <v>42035</v>
      </c>
      <c r="N651">
        <f>DAY(Europe_Sales_Records34[[#This Row],[Ship Date Fixed]])</f>
        <v>31</v>
      </c>
      <c r="O651" t="str">
        <f>TEXT(Europe_Sales_Records34[[#This Row],[Ship Date Fixed]],"MMM")</f>
        <v>Jan</v>
      </c>
      <c r="P651">
        <f>YEAR(Europe_Sales_Records34[[#This Row],[Ship Date Fixed]])</f>
        <v>2015</v>
      </c>
      <c r="Q651" t="str">
        <f>TEXT(Europe_Sales_Records34[[#This Row],[Ship Date Fixed]],"MMM-YYYY")</f>
        <v>Jan-2015</v>
      </c>
      <c r="R651" t="s">
        <v>1129</v>
      </c>
      <c r="S651" s="3">
        <f>Europe_Sales_Records34[[#This Row],[Ship Date Fixed]]-Europe_Sales_Records34[[#This Row],[Order Date Fixed]]</f>
        <v>43</v>
      </c>
      <c r="T651">
        <v>2736</v>
      </c>
      <c r="U651">
        <v>255.28</v>
      </c>
      <c r="V651">
        <v>159.41999999999999</v>
      </c>
      <c r="W651">
        <f>Europe_Sales_Records34[[#This Row],[Total Revenue]]/Europe_Sales_Records34[[#This Row],[Units Sold]]</f>
        <v>255.27999999999997</v>
      </c>
      <c r="X651">
        <v>698446.08</v>
      </c>
      <c r="Y651">
        <v>436173.12</v>
      </c>
      <c r="Z651" s="4">
        <f>Europe_Sales_Records34[[#This Row],[Total Profit]]/Europe_Sales_Records34[[#This Row],[Total Revenue]]</f>
        <v>0.37550924475086184</v>
      </c>
      <c r="AA651">
        <v>262272.96000000002</v>
      </c>
    </row>
    <row r="652" spans="1:27" x14ac:dyDescent="0.3">
      <c r="A652" t="s">
        <v>14</v>
      </c>
      <c r="B652" t="s">
        <v>67</v>
      </c>
      <c r="C652" t="s">
        <v>64</v>
      </c>
      <c r="D652" t="s">
        <v>17</v>
      </c>
      <c r="E652" t="s">
        <v>54</v>
      </c>
      <c r="F652" t="s">
        <v>1130</v>
      </c>
      <c r="G652" s="2">
        <f t="shared" si="20"/>
        <v>41349</v>
      </c>
      <c r="H652">
        <f>DAY(Europe_Sales_Records34[[#This Row],[Order Date Fixed]])</f>
        <v>16</v>
      </c>
      <c r="I652" t="str">
        <f>TEXT(Europe_Sales_Records34[[#This Row],[Order Date Fixed]],"MMM")</f>
        <v>Mar</v>
      </c>
      <c r="J652">
        <f>YEAR(Europe_Sales_Records34[[#This Row],[Order Date Fixed]])</f>
        <v>2013</v>
      </c>
      <c r="K652" t="str">
        <f>TEXT(Europe_Sales_Records34[[#This Row],[Order Date Fixed]],"MMM-YYYY")</f>
        <v>Mar-2013</v>
      </c>
      <c r="L652">
        <v>694771802</v>
      </c>
      <c r="M652" s="2">
        <f t="shared" si="21"/>
        <v>41354</v>
      </c>
      <c r="N652">
        <f>DAY(Europe_Sales_Records34[[#This Row],[Ship Date Fixed]])</f>
        <v>21</v>
      </c>
      <c r="O652" t="str">
        <f>TEXT(Europe_Sales_Records34[[#This Row],[Ship Date Fixed]],"MMM")</f>
        <v>Mar</v>
      </c>
      <c r="P652">
        <f>YEAR(Europe_Sales_Records34[[#This Row],[Ship Date Fixed]])</f>
        <v>2013</v>
      </c>
      <c r="Q652" t="str">
        <f>TEXT(Europe_Sales_Records34[[#This Row],[Ship Date Fixed]],"MMM-YYYY")</f>
        <v>Mar-2013</v>
      </c>
      <c r="R652" t="s">
        <v>131</v>
      </c>
      <c r="S652" s="3">
        <f>Europe_Sales_Records34[[#This Row],[Ship Date Fixed]]-Europe_Sales_Records34[[#This Row],[Order Date Fixed]]</f>
        <v>5</v>
      </c>
      <c r="T652">
        <v>7270</v>
      </c>
      <c r="U652">
        <v>255.28</v>
      </c>
      <c r="V652">
        <v>159.41999999999999</v>
      </c>
      <c r="W652">
        <f>Europe_Sales_Records34[[#This Row],[Total Revenue]]/Europe_Sales_Records34[[#This Row],[Units Sold]]</f>
        <v>255.28</v>
      </c>
      <c r="X652">
        <v>1855885.6</v>
      </c>
      <c r="Y652">
        <v>1158983.3999999999</v>
      </c>
      <c r="Z652" s="4">
        <f>Europe_Sales_Records34[[#This Row],[Total Profit]]/Europe_Sales_Records34[[#This Row],[Total Revenue]]</f>
        <v>0.37550924475086178</v>
      </c>
      <c r="AA652">
        <v>696902.2</v>
      </c>
    </row>
    <row r="653" spans="1:27" x14ac:dyDescent="0.3">
      <c r="A653" t="s">
        <v>14</v>
      </c>
      <c r="B653" t="s">
        <v>21</v>
      </c>
      <c r="C653" t="s">
        <v>58</v>
      </c>
      <c r="D653" t="s">
        <v>17</v>
      </c>
      <c r="E653" t="s">
        <v>18</v>
      </c>
      <c r="F653" t="s">
        <v>988</v>
      </c>
      <c r="G653" s="2">
        <f t="shared" si="20"/>
        <v>40999</v>
      </c>
      <c r="H653">
        <f>DAY(Europe_Sales_Records34[[#This Row],[Order Date Fixed]])</f>
        <v>31</v>
      </c>
      <c r="I653" t="str">
        <f>TEXT(Europe_Sales_Records34[[#This Row],[Order Date Fixed]],"MMM")</f>
        <v>Mar</v>
      </c>
      <c r="J653">
        <f>YEAR(Europe_Sales_Records34[[#This Row],[Order Date Fixed]])</f>
        <v>2012</v>
      </c>
      <c r="K653" t="str">
        <f>TEXT(Europe_Sales_Records34[[#This Row],[Order Date Fixed]],"MMM-YYYY")</f>
        <v>Mar-2012</v>
      </c>
      <c r="L653">
        <v>388728320</v>
      </c>
      <c r="M653" s="2">
        <f t="shared" si="21"/>
        <v>41039</v>
      </c>
      <c r="N653">
        <f>DAY(Europe_Sales_Records34[[#This Row],[Ship Date Fixed]])</f>
        <v>10</v>
      </c>
      <c r="O653" t="str">
        <f>TEXT(Europe_Sales_Records34[[#This Row],[Ship Date Fixed]],"MMM")</f>
        <v>May</v>
      </c>
      <c r="P653">
        <f>YEAR(Europe_Sales_Records34[[#This Row],[Ship Date Fixed]])</f>
        <v>2012</v>
      </c>
      <c r="Q653" t="str">
        <f>TEXT(Europe_Sales_Records34[[#This Row],[Ship Date Fixed]],"MMM-YYYY")</f>
        <v>May-2012</v>
      </c>
      <c r="R653" t="s">
        <v>649</v>
      </c>
      <c r="S653" s="3">
        <f>Europe_Sales_Records34[[#This Row],[Ship Date Fixed]]-Europe_Sales_Records34[[#This Row],[Order Date Fixed]]</f>
        <v>40</v>
      </c>
      <c r="T653">
        <v>2203</v>
      </c>
      <c r="U653">
        <v>152.58000000000001</v>
      </c>
      <c r="V653">
        <v>97.44</v>
      </c>
      <c r="W653">
        <f>Europe_Sales_Records34[[#This Row],[Total Revenue]]/Europe_Sales_Records34[[#This Row],[Units Sold]]</f>
        <v>152.57999999999998</v>
      </c>
      <c r="X653">
        <v>336133.74</v>
      </c>
      <c r="Y653">
        <v>214660.32</v>
      </c>
      <c r="Z653" s="4">
        <f>Europe_Sales_Records34[[#This Row],[Total Profit]]/Europe_Sales_Records34[[#This Row],[Total Revenue]]</f>
        <v>0.36138419189933152</v>
      </c>
      <c r="AA653">
        <v>121473.42</v>
      </c>
    </row>
    <row r="654" spans="1:27" x14ac:dyDescent="0.3">
      <c r="A654" t="s">
        <v>14</v>
      </c>
      <c r="B654" t="s">
        <v>257</v>
      </c>
      <c r="C654" t="s">
        <v>46</v>
      </c>
      <c r="D654" t="s">
        <v>17</v>
      </c>
      <c r="E654" t="s">
        <v>33</v>
      </c>
      <c r="F654" t="s">
        <v>1131</v>
      </c>
      <c r="G654" s="2">
        <f t="shared" si="20"/>
        <v>41716</v>
      </c>
      <c r="H654">
        <f>DAY(Europe_Sales_Records34[[#This Row],[Order Date Fixed]])</f>
        <v>18</v>
      </c>
      <c r="I654" t="str">
        <f>TEXT(Europe_Sales_Records34[[#This Row],[Order Date Fixed]],"MMM")</f>
        <v>Mar</v>
      </c>
      <c r="J654">
        <f>YEAR(Europe_Sales_Records34[[#This Row],[Order Date Fixed]])</f>
        <v>2014</v>
      </c>
      <c r="K654" t="str">
        <f>TEXT(Europe_Sales_Records34[[#This Row],[Order Date Fixed]],"MMM-YYYY")</f>
        <v>Mar-2014</v>
      </c>
      <c r="L654">
        <v>452559745</v>
      </c>
      <c r="M654" s="2">
        <f t="shared" si="21"/>
        <v>41717</v>
      </c>
      <c r="N654">
        <f>DAY(Europe_Sales_Records34[[#This Row],[Ship Date Fixed]])</f>
        <v>19</v>
      </c>
      <c r="O654" t="str">
        <f>TEXT(Europe_Sales_Records34[[#This Row],[Ship Date Fixed]],"MMM")</f>
        <v>Mar</v>
      </c>
      <c r="P654">
        <f>YEAR(Europe_Sales_Records34[[#This Row],[Ship Date Fixed]])</f>
        <v>2014</v>
      </c>
      <c r="Q654" t="str">
        <f>TEXT(Europe_Sales_Records34[[#This Row],[Ship Date Fixed]],"MMM-YYYY")</f>
        <v>Mar-2014</v>
      </c>
      <c r="R654" t="s">
        <v>1132</v>
      </c>
      <c r="S654" s="3">
        <f>Europe_Sales_Records34[[#This Row],[Ship Date Fixed]]-Europe_Sales_Records34[[#This Row],[Order Date Fixed]]</f>
        <v>1</v>
      </c>
      <c r="T654">
        <v>1340</v>
      </c>
      <c r="U654">
        <v>154.06</v>
      </c>
      <c r="V654">
        <v>90.93</v>
      </c>
      <c r="W654">
        <f>Europe_Sales_Records34[[#This Row],[Total Revenue]]/Europe_Sales_Records34[[#This Row],[Units Sold]]</f>
        <v>154.06</v>
      </c>
      <c r="X654">
        <v>206440.4</v>
      </c>
      <c r="Y654">
        <v>121846.2</v>
      </c>
      <c r="Z654" s="4">
        <f>Europe_Sales_Records34[[#This Row],[Total Profit]]/Europe_Sales_Records34[[#This Row],[Total Revenue]]</f>
        <v>0.40977541217707386</v>
      </c>
      <c r="AA654">
        <v>84594.2</v>
      </c>
    </row>
    <row r="655" spans="1:27" x14ac:dyDescent="0.3">
      <c r="A655" t="s">
        <v>14</v>
      </c>
      <c r="B655" t="s">
        <v>86</v>
      </c>
      <c r="C655" t="s">
        <v>64</v>
      </c>
      <c r="D655" t="s">
        <v>17</v>
      </c>
      <c r="E655" t="s">
        <v>24</v>
      </c>
      <c r="F655" t="s">
        <v>1133</v>
      </c>
      <c r="G655" s="2">
        <f t="shared" si="20"/>
        <v>42456</v>
      </c>
      <c r="H655">
        <f>DAY(Europe_Sales_Records34[[#This Row],[Order Date Fixed]])</f>
        <v>27</v>
      </c>
      <c r="I655" t="str">
        <f>TEXT(Europe_Sales_Records34[[#This Row],[Order Date Fixed]],"MMM")</f>
        <v>Mar</v>
      </c>
      <c r="J655">
        <f>YEAR(Europe_Sales_Records34[[#This Row],[Order Date Fixed]])</f>
        <v>2016</v>
      </c>
      <c r="K655" t="str">
        <f>TEXT(Europe_Sales_Records34[[#This Row],[Order Date Fixed]],"MMM-YYYY")</f>
        <v>Mar-2016</v>
      </c>
      <c r="L655">
        <v>921230065</v>
      </c>
      <c r="M655" s="2">
        <f t="shared" si="21"/>
        <v>42506</v>
      </c>
      <c r="N655">
        <f>DAY(Europe_Sales_Records34[[#This Row],[Ship Date Fixed]])</f>
        <v>16</v>
      </c>
      <c r="O655" t="str">
        <f>TEXT(Europe_Sales_Records34[[#This Row],[Ship Date Fixed]],"MMM")</f>
        <v>May</v>
      </c>
      <c r="P655">
        <f>YEAR(Europe_Sales_Records34[[#This Row],[Ship Date Fixed]])</f>
        <v>2016</v>
      </c>
      <c r="Q655" t="str">
        <f>TEXT(Europe_Sales_Records34[[#This Row],[Ship Date Fixed]],"MMM-YYYY")</f>
        <v>May-2016</v>
      </c>
      <c r="R655" t="s">
        <v>1134</v>
      </c>
      <c r="S655" s="3">
        <f>Europe_Sales_Records34[[#This Row],[Ship Date Fixed]]-Europe_Sales_Records34[[#This Row],[Order Date Fixed]]</f>
        <v>50</v>
      </c>
      <c r="T655">
        <v>1303</v>
      </c>
      <c r="U655">
        <v>255.28</v>
      </c>
      <c r="V655">
        <v>159.41999999999999</v>
      </c>
      <c r="W655">
        <f>Europe_Sales_Records34[[#This Row],[Total Revenue]]/Europe_Sales_Records34[[#This Row],[Units Sold]]</f>
        <v>255.28000000000003</v>
      </c>
      <c r="X655">
        <v>332629.84000000003</v>
      </c>
      <c r="Y655">
        <v>207724.26</v>
      </c>
      <c r="Z655" s="4">
        <f>Europe_Sales_Records34[[#This Row],[Total Profit]]/Europe_Sales_Records34[[#This Row],[Total Revenue]]</f>
        <v>0.37550924475086178</v>
      </c>
      <c r="AA655">
        <v>124905.58</v>
      </c>
    </row>
    <row r="656" spans="1:27" x14ac:dyDescent="0.3">
      <c r="A656" t="s">
        <v>14</v>
      </c>
      <c r="B656" t="s">
        <v>100</v>
      </c>
      <c r="C656" t="s">
        <v>37</v>
      </c>
      <c r="D656" t="s">
        <v>23</v>
      </c>
      <c r="E656" t="s">
        <v>24</v>
      </c>
      <c r="F656" t="s">
        <v>1135</v>
      </c>
      <c r="G656" s="2">
        <f t="shared" si="20"/>
        <v>42499</v>
      </c>
      <c r="H656">
        <f>DAY(Europe_Sales_Records34[[#This Row],[Order Date Fixed]])</f>
        <v>9</v>
      </c>
      <c r="I656" t="str">
        <f>TEXT(Europe_Sales_Records34[[#This Row],[Order Date Fixed]],"MMM")</f>
        <v>May</v>
      </c>
      <c r="J656">
        <f>YEAR(Europe_Sales_Records34[[#This Row],[Order Date Fixed]])</f>
        <v>2016</v>
      </c>
      <c r="K656" t="str">
        <f>TEXT(Europe_Sales_Records34[[#This Row],[Order Date Fixed]],"MMM-YYYY")</f>
        <v>May-2016</v>
      </c>
      <c r="L656">
        <v>831143891</v>
      </c>
      <c r="M656" s="2">
        <f t="shared" si="21"/>
        <v>42522</v>
      </c>
      <c r="N656">
        <f>DAY(Europe_Sales_Records34[[#This Row],[Ship Date Fixed]])</f>
        <v>1</v>
      </c>
      <c r="O656" t="str">
        <f>TEXT(Europe_Sales_Records34[[#This Row],[Ship Date Fixed]],"MMM")</f>
        <v>Jun</v>
      </c>
      <c r="P656">
        <f>YEAR(Europe_Sales_Records34[[#This Row],[Ship Date Fixed]])</f>
        <v>2016</v>
      </c>
      <c r="Q656" t="str">
        <f>TEXT(Europe_Sales_Records34[[#This Row],[Ship Date Fixed]],"MMM-YYYY")</f>
        <v>Jun-2016</v>
      </c>
      <c r="R656" t="s">
        <v>1136</v>
      </c>
      <c r="S656" s="3">
        <f>Europe_Sales_Records34[[#This Row],[Ship Date Fixed]]-Europe_Sales_Records34[[#This Row],[Order Date Fixed]]</f>
        <v>23</v>
      </c>
      <c r="T656">
        <v>2802</v>
      </c>
      <c r="U656">
        <v>9.33</v>
      </c>
      <c r="V656">
        <v>6.92</v>
      </c>
      <c r="W656">
        <f>Europe_Sales_Records34[[#This Row],[Total Revenue]]/Europe_Sales_Records34[[#This Row],[Units Sold]]</f>
        <v>9.33</v>
      </c>
      <c r="X656">
        <v>26142.66</v>
      </c>
      <c r="Y656">
        <v>19389.84</v>
      </c>
      <c r="Z656" s="4">
        <f>Europe_Sales_Records34[[#This Row],[Total Profit]]/Europe_Sales_Records34[[#This Row],[Total Revenue]]</f>
        <v>0.25830653804930331</v>
      </c>
      <c r="AA656">
        <v>6752.82</v>
      </c>
    </row>
    <row r="657" spans="1:27" x14ac:dyDescent="0.3">
      <c r="A657" t="s">
        <v>14</v>
      </c>
      <c r="B657" t="s">
        <v>36</v>
      </c>
      <c r="C657" t="s">
        <v>28</v>
      </c>
      <c r="D657" t="s">
        <v>23</v>
      </c>
      <c r="E657" t="s">
        <v>24</v>
      </c>
      <c r="F657" t="s">
        <v>1137</v>
      </c>
      <c r="G657" s="2">
        <f t="shared" si="20"/>
        <v>42284</v>
      </c>
      <c r="H657">
        <f>DAY(Europe_Sales_Records34[[#This Row],[Order Date Fixed]])</f>
        <v>7</v>
      </c>
      <c r="I657" t="str">
        <f>TEXT(Europe_Sales_Records34[[#This Row],[Order Date Fixed]],"MMM")</f>
        <v>Oct</v>
      </c>
      <c r="J657">
        <f>YEAR(Europe_Sales_Records34[[#This Row],[Order Date Fixed]])</f>
        <v>2015</v>
      </c>
      <c r="K657" t="str">
        <f>TEXT(Europe_Sales_Records34[[#This Row],[Order Date Fixed]],"MMM-YYYY")</f>
        <v>Oct-2015</v>
      </c>
      <c r="L657">
        <v>318523538</v>
      </c>
      <c r="M657" s="2">
        <f t="shared" si="21"/>
        <v>42313</v>
      </c>
      <c r="N657">
        <f>DAY(Europe_Sales_Records34[[#This Row],[Ship Date Fixed]])</f>
        <v>5</v>
      </c>
      <c r="O657" t="str">
        <f>TEXT(Europe_Sales_Records34[[#This Row],[Ship Date Fixed]],"MMM")</f>
        <v>Nov</v>
      </c>
      <c r="P657">
        <f>YEAR(Europe_Sales_Records34[[#This Row],[Ship Date Fixed]])</f>
        <v>2015</v>
      </c>
      <c r="Q657" t="str">
        <f>TEXT(Europe_Sales_Records34[[#This Row],[Ship Date Fixed]],"MMM-YYYY")</f>
        <v>Nov-2015</v>
      </c>
      <c r="R657" t="s">
        <v>1138</v>
      </c>
      <c r="S657" s="3">
        <f>Europe_Sales_Records34[[#This Row],[Ship Date Fixed]]-Europe_Sales_Records34[[#This Row],[Order Date Fixed]]</f>
        <v>29</v>
      </c>
      <c r="T657">
        <v>7048</v>
      </c>
      <c r="U657">
        <v>205.7</v>
      </c>
      <c r="V657">
        <v>117.11</v>
      </c>
      <c r="W657">
        <f>Europe_Sales_Records34[[#This Row],[Total Revenue]]/Europe_Sales_Records34[[#This Row],[Units Sold]]</f>
        <v>205.70000000000002</v>
      </c>
      <c r="X657">
        <v>1449773.6</v>
      </c>
      <c r="Y657">
        <v>825391.28</v>
      </c>
      <c r="Z657" s="4">
        <f>Europe_Sales_Records34[[#This Row],[Total Profit]]/Europe_Sales_Records34[[#This Row],[Total Revenue]]</f>
        <v>0.43067574137092846</v>
      </c>
      <c r="AA657">
        <v>624382.31999999995</v>
      </c>
    </row>
    <row r="658" spans="1:27" x14ac:dyDescent="0.3">
      <c r="A658" t="s">
        <v>14</v>
      </c>
      <c r="B658" t="s">
        <v>122</v>
      </c>
      <c r="C658" t="s">
        <v>50</v>
      </c>
      <c r="D658" t="s">
        <v>17</v>
      </c>
      <c r="E658" t="s">
        <v>54</v>
      </c>
      <c r="F658" t="s">
        <v>1139</v>
      </c>
      <c r="G658" s="2">
        <f t="shared" si="20"/>
        <v>40477</v>
      </c>
      <c r="H658">
        <f>DAY(Europe_Sales_Records34[[#This Row],[Order Date Fixed]])</f>
        <v>26</v>
      </c>
      <c r="I658" t="str">
        <f>TEXT(Europe_Sales_Records34[[#This Row],[Order Date Fixed]],"MMM")</f>
        <v>Oct</v>
      </c>
      <c r="J658">
        <f>YEAR(Europe_Sales_Records34[[#This Row],[Order Date Fixed]])</f>
        <v>2010</v>
      </c>
      <c r="K658" t="str">
        <f>TEXT(Europe_Sales_Records34[[#This Row],[Order Date Fixed]],"MMM-YYYY")</f>
        <v>Oct-2010</v>
      </c>
      <c r="L658">
        <v>970427358</v>
      </c>
      <c r="M658" s="2">
        <f t="shared" si="21"/>
        <v>40482</v>
      </c>
      <c r="N658">
        <f>DAY(Europe_Sales_Records34[[#This Row],[Ship Date Fixed]])</f>
        <v>31</v>
      </c>
      <c r="O658" t="str">
        <f>TEXT(Europe_Sales_Records34[[#This Row],[Ship Date Fixed]],"MMM")</f>
        <v>Oct</v>
      </c>
      <c r="P658">
        <f>YEAR(Europe_Sales_Records34[[#This Row],[Ship Date Fixed]])</f>
        <v>2010</v>
      </c>
      <c r="Q658" t="str">
        <f>TEXT(Europe_Sales_Records34[[#This Row],[Ship Date Fixed]],"MMM-YYYY")</f>
        <v>Oct-2010</v>
      </c>
      <c r="R658" t="s">
        <v>34</v>
      </c>
      <c r="S658" s="3">
        <f>Europe_Sales_Records34[[#This Row],[Ship Date Fixed]]-Europe_Sales_Records34[[#This Row],[Order Date Fixed]]</f>
        <v>5</v>
      </c>
      <c r="T658">
        <v>9875</v>
      </c>
      <c r="U658">
        <v>421.89</v>
      </c>
      <c r="V658">
        <v>364.69</v>
      </c>
      <c r="W658">
        <f>Europe_Sales_Records34[[#This Row],[Total Revenue]]/Europe_Sales_Records34[[#This Row],[Units Sold]]</f>
        <v>421.89</v>
      </c>
      <c r="X658">
        <v>4166163.75</v>
      </c>
      <c r="Y658">
        <v>3601313.75</v>
      </c>
      <c r="Z658" s="4">
        <f>Europe_Sales_Records34[[#This Row],[Total Profit]]/Europe_Sales_Records34[[#This Row],[Total Revenue]]</f>
        <v>0.13558036455000119</v>
      </c>
      <c r="AA658">
        <v>564850</v>
      </c>
    </row>
    <row r="659" spans="1:27" x14ac:dyDescent="0.3">
      <c r="A659" t="s">
        <v>14</v>
      </c>
      <c r="B659" t="s">
        <v>36</v>
      </c>
      <c r="C659" t="s">
        <v>28</v>
      </c>
      <c r="D659" t="s">
        <v>17</v>
      </c>
      <c r="E659" t="s">
        <v>54</v>
      </c>
      <c r="F659" t="s">
        <v>1140</v>
      </c>
      <c r="G659" s="2">
        <f t="shared" si="20"/>
        <v>41473</v>
      </c>
      <c r="H659">
        <f>DAY(Europe_Sales_Records34[[#This Row],[Order Date Fixed]])</f>
        <v>18</v>
      </c>
      <c r="I659" t="str">
        <f>TEXT(Europe_Sales_Records34[[#This Row],[Order Date Fixed]],"MMM")</f>
        <v>Jul</v>
      </c>
      <c r="J659">
        <f>YEAR(Europe_Sales_Records34[[#This Row],[Order Date Fixed]])</f>
        <v>2013</v>
      </c>
      <c r="K659" t="str">
        <f>TEXT(Europe_Sales_Records34[[#This Row],[Order Date Fixed]],"MMM-YYYY")</f>
        <v>Jul-2013</v>
      </c>
      <c r="L659">
        <v>195212733</v>
      </c>
      <c r="M659" s="2">
        <f t="shared" si="21"/>
        <v>41500</v>
      </c>
      <c r="N659">
        <f>DAY(Europe_Sales_Records34[[#This Row],[Ship Date Fixed]])</f>
        <v>14</v>
      </c>
      <c r="O659" t="str">
        <f>TEXT(Europe_Sales_Records34[[#This Row],[Ship Date Fixed]],"MMM")</f>
        <v>Aug</v>
      </c>
      <c r="P659">
        <f>YEAR(Europe_Sales_Records34[[#This Row],[Ship Date Fixed]])</f>
        <v>2013</v>
      </c>
      <c r="Q659" t="str">
        <f>TEXT(Europe_Sales_Records34[[#This Row],[Ship Date Fixed]],"MMM-YYYY")</f>
        <v>Aug-2013</v>
      </c>
      <c r="R659" t="s">
        <v>1141</v>
      </c>
      <c r="S659" s="3">
        <f>Europe_Sales_Records34[[#This Row],[Ship Date Fixed]]-Europe_Sales_Records34[[#This Row],[Order Date Fixed]]</f>
        <v>27</v>
      </c>
      <c r="T659">
        <v>6641</v>
      </c>
      <c r="U659">
        <v>205.7</v>
      </c>
      <c r="V659">
        <v>117.11</v>
      </c>
      <c r="W659">
        <f>Europe_Sales_Records34[[#This Row],[Total Revenue]]/Europe_Sales_Records34[[#This Row],[Units Sold]]</f>
        <v>205.7</v>
      </c>
      <c r="X659">
        <v>1366053.7</v>
      </c>
      <c r="Y659">
        <v>777727.51</v>
      </c>
      <c r="Z659" s="4">
        <f>Europe_Sales_Records34[[#This Row],[Total Profit]]/Europe_Sales_Records34[[#This Row],[Total Revenue]]</f>
        <v>0.43067574137092851</v>
      </c>
      <c r="AA659">
        <v>588326.18999999994</v>
      </c>
    </row>
    <row r="660" spans="1:27" x14ac:dyDescent="0.3">
      <c r="A660" t="s">
        <v>14</v>
      </c>
      <c r="B660" t="s">
        <v>89</v>
      </c>
      <c r="C660" t="s">
        <v>71</v>
      </c>
      <c r="D660" t="s">
        <v>23</v>
      </c>
      <c r="E660" t="s">
        <v>18</v>
      </c>
      <c r="F660" t="s">
        <v>137</v>
      </c>
      <c r="G660" s="2">
        <f t="shared" si="20"/>
        <v>40615</v>
      </c>
      <c r="H660">
        <f>DAY(Europe_Sales_Records34[[#This Row],[Order Date Fixed]])</f>
        <v>13</v>
      </c>
      <c r="I660" t="str">
        <f>TEXT(Europe_Sales_Records34[[#This Row],[Order Date Fixed]],"MMM")</f>
        <v>Mar</v>
      </c>
      <c r="J660">
        <f>YEAR(Europe_Sales_Records34[[#This Row],[Order Date Fixed]])</f>
        <v>2011</v>
      </c>
      <c r="K660" t="str">
        <f>TEXT(Europe_Sales_Records34[[#This Row],[Order Date Fixed]],"MMM-YYYY")</f>
        <v>Mar-2011</v>
      </c>
      <c r="L660">
        <v>141875827</v>
      </c>
      <c r="M660" s="2">
        <f t="shared" si="21"/>
        <v>40649</v>
      </c>
      <c r="N660">
        <f>DAY(Europe_Sales_Records34[[#This Row],[Ship Date Fixed]])</f>
        <v>16</v>
      </c>
      <c r="O660" t="str">
        <f>TEXT(Europe_Sales_Records34[[#This Row],[Ship Date Fixed]],"MMM")</f>
        <v>Apr</v>
      </c>
      <c r="P660">
        <f>YEAR(Europe_Sales_Records34[[#This Row],[Ship Date Fixed]])</f>
        <v>2011</v>
      </c>
      <c r="Q660" t="str">
        <f>TEXT(Europe_Sales_Records34[[#This Row],[Ship Date Fixed]],"MMM-YYYY")</f>
        <v>Apr-2011</v>
      </c>
      <c r="R660" t="s">
        <v>1142</v>
      </c>
      <c r="S660" s="3">
        <f>Europe_Sales_Records34[[#This Row],[Ship Date Fixed]]-Europe_Sales_Records34[[#This Row],[Order Date Fixed]]</f>
        <v>34</v>
      </c>
      <c r="T660">
        <v>3065</v>
      </c>
      <c r="U660">
        <v>668.27</v>
      </c>
      <c r="V660">
        <v>502.54</v>
      </c>
      <c r="W660">
        <f>Europe_Sales_Records34[[#This Row],[Total Revenue]]/Europe_Sales_Records34[[#This Row],[Units Sold]]</f>
        <v>668.27</v>
      </c>
      <c r="X660">
        <v>2048247.55</v>
      </c>
      <c r="Y660">
        <v>1540285.1</v>
      </c>
      <c r="Z660" s="4">
        <f>Europe_Sales_Records34[[#This Row],[Total Profit]]/Europe_Sales_Records34[[#This Row],[Total Revenue]]</f>
        <v>0.24799856345489099</v>
      </c>
      <c r="AA660">
        <v>507962.45</v>
      </c>
    </row>
    <row r="661" spans="1:27" x14ac:dyDescent="0.3">
      <c r="A661" t="s">
        <v>14</v>
      </c>
      <c r="B661" t="s">
        <v>257</v>
      </c>
      <c r="C661" t="s">
        <v>16</v>
      </c>
      <c r="D661" t="s">
        <v>17</v>
      </c>
      <c r="E661" t="s">
        <v>33</v>
      </c>
      <c r="F661" t="s">
        <v>1143</v>
      </c>
      <c r="G661" s="2">
        <f t="shared" si="20"/>
        <v>40851</v>
      </c>
      <c r="H661">
        <f>DAY(Europe_Sales_Records34[[#This Row],[Order Date Fixed]])</f>
        <v>4</v>
      </c>
      <c r="I661" t="str">
        <f>TEXT(Europe_Sales_Records34[[#This Row],[Order Date Fixed]],"MMM")</f>
        <v>Nov</v>
      </c>
      <c r="J661">
        <f>YEAR(Europe_Sales_Records34[[#This Row],[Order Date Fixed]])</f>
        <v>2011</v>
      </c>
      <c r="K661" t="str">
        <f>TEXT(Europe_Sales_Records34[[#This Row],[Order Date Fixed]],"MMM-YYYY")</f>
        <v>Nov-2011</v>
      </c>
      <c r="L661">
        <v>510762822</v>
      </c>
      <c r="M661" s="2">
        <f t="shared" si="21"/>
        <v>40899</v>
      </c>
      <c r="N661">
        <f>DAY(Europe_Sales_Records34[[#This Row],[Ship Date Fixed]])</f>
        <v>22</v>
      </c>
      <c r="O661" t="str">
        <f>TEXT(Europe_Sales_Records34[[#This Row],[Ship Date Fixed]],"MMM")</f>
        <v>Dec</v>
      </c>
      <c r="P661">
        <f>YEAR(Europe_Sales_Records34[[#This Row],[Ship Date Fixed]])</f>
        <v>2011</v>
      </c>
      <c r="Q661" t="str">
        <f>TEXT(Europe_Sales_Records34[[#This Row],[Ship Date Fixed]],"MMM-YYYY")</f>
        <v>Dec-2011</v>
      </c>
      <c r="R661" t="s">
        <v>1144</v>
      </c>
      <c r="S661" s="3">
        <f>Europe_Sales_Records34[[#This Row],[Ship Date Fixed]]-Europe_Sales_Records34[[#This Row],[Order Date Fixed]]</f>
        <v>48</v>
      </c>
      <c r="T661">
        <v>4924</v>
      </c>
      <c r="U661">
        <v>47.45</v>
      </c>
      <c r="V661">
        <v>31.79</v>
      </c>
      <c r="W661">
        <f>Europe_Sales_Records34[[#This Row],[Total Revenue]]/Europe_Sales_Records34[[#This Row],[Units Sold]]</f>
        <v>47.449999999999996</v>
      </c>
      <c r="X661">
        <v>233643.8</v>
      </c>
      <c r="Y661">
        <v>156533.96</v>
      </c>
      <c r="Z661" s="4">
        <f>Europe_Sales_Records34[[#This Row],[Total Profit]]/Europe_Sales_Records34[[#This Row],[Total Revenue]]</f>
        <v>0.33003161222339306</v>
      </c>
      <c r="AA661">
        <v>77109.84</v>
      </c>
    </row>
    <row r="662" spans="1:27" x14ac:dyDescent="0.3">
      <c r="A662" t="s">
        <v>14</v>
      </c>
      <c r="B662" t="s">
        <v>70</v>
      </c>
      <c r="C662" t="s">
        <v>58</v>
      </c>
      <c r="D662" t="s">
        <v>17</v>
      </c>
      <c r="E662" t="s">
        <v>54</v>
      </c>
      <c r="F662" t="s">
        <v>1145</v>
      </c>
      <c r="G662" s="2">
        <f t="shared" si="20"/>
        <v>41118</v>
      </c>
      <c r="H662">
        <f>DAY(Europe_Sales_Records34[[#This Row],[Order Date Fixed]])</f>
        <v>28</v>
      </c>
      <c r="I662" t="str">
        <f>TEXT(Europe_Sales_Records34[[#This Row],[Order Date Fixed]],"MMM")</f>
        <v>Jul</v>
      </c>
      <c r="J662">
        <f>YEAR(Europe_Sales_Records34[[#This Row],[Order Date Fixed]])</f>
        <v>2012</v>
      </c>
      <c r="K662" t="str">
        <f>TEXT(Europe_Sales_Records34[[#This Row],[Order Date Fixed]],"MMM-YYYY")</f>
        <v>Jul-2012</v>
      </c>
      <c r="L662">
        <v>189667212</v>
      </c>
      <c r="M662" s="2">
        <f t="shared" si="21"/>
        <v>41155</v>
      </c>
      <c r="N662">
        <f>DAY(Europe_Sales_Records34[[#This Row],[Ship Date Fixed]])</f>
        <v>3</v>
      </c>
      <c r="O662" t="str">
        <f>TEXT(Europe_Sales_Records34[[#This Row],[Ship Date Fixed]],"MMM")</f>
        <v>Sep</v>
      </c>
      <c r="P662">
        <f>YEAR(Europe_Sales_Records34[[#This Row],[Ship Date Fixed]])</f>
        <v>2012</v>
      </c>
      <c r="Q662" t="str">
        <f>TEXT(Europe_Sales_Records34[[#This Row],[Ship Date Fixed]],"MMM-YYYY")</f>
        <v>Sep-2012</v>
      </c>
      <c r="R662" t="s">
        <v>84</v>
      </c>
      <c r="S662" s="3">
        <f>Europe_Sales_Records34[[#This Row],[Ship Date Fixed]]-Europe_Sales_Records34[[#This Row],[Order Date Fixed]]</f>
        <v>37</v>
      </c>
      <c r="T662">
        <v>5598</v>
      </c>
      <c r="U662">
        <v>152.58000000000001</v>
      </c>
      <c r="V662">
        <v>97.44</v>
      </c>
      <c r="W662">
        <f>Europe_Sales_Records34[[#This Row],[Total Revenue]]/Europe_Sales_Records34[[#This Row],[Units Sold]]</f>
        <v>152.57999999999998</v>
      </c>
      <c r="X662">
        <v>854142.84</v>
      </c>
      <c r="Y662">
        <v>545469.12</v>
      </c>
      <c r="Z662" s="4">
        <f>Europe_Sales_Records34[[#This Row],[Total Profit]]/Europe_Sales_Records34[[#This Row],[Total Revenue]]</f>
        <v>0.36138419189933146</v>
      </c>
      <c r="AA662">
        <v>308673.71999999997</v>
      </c>
    </row>
    <row r="663" spans="1:27" x14ac:dyDescent="0.3">
      <c r="A663" t="s">
        <v>14</v>
      </c>
      <c r="B663" t="s">
        <v>196</v>
      </c>
      <c r="C663" t="s">
        <v>22</v>
      </c>
      <c r="D663" t="s">
        <v>23</v>
      </c>
      <c r="E663" t="s">
        <v>18</v>
      </c>
      <c r="F663" t="s">
        <v>932</v>
      </c>
      <c r="G663" s="2">
        <f t="shared" si="20"/>
        <v>42084</v>
      </c>
      <c r="H663">
        <f>DAY(Europe_Sales_Records34[[#This Row],[Order Date Fixed]])</f>
        <v>21</v>
      </c>
      <c r="I663" t="str">
        <f>TEXT(Europe_Sales_Records34[[#This Row],[Order Date Fixed]],"MMM")</f>
        <v>Mar</v>
      </c>
      <c r="J663">
        <f>YEAR(Europe_Sales_Records34[[#This Row],[Order Date Fixed]])</f>
        <v>2015</v>
      </c>
      <c r="K663" t="str">
        <f>TEXT(Europe_Sales_Records34[[#This Row],[Order Date Fixed]],"MMM-YYYY")</f>
        <v>Mar-2015</v>
      </c>
      <c r="L663">
        <v>276784074</v>
      </c>
      <c r="M663" s="2">
        <f t="shared" si="21"/>
        <v>42109</v>
      </c>
      <c r="N663">
        <f>DAY(Europe_Sales_Records34[[#This Row],[Ship Date Fixed]])</f>
        <v>15</v>
      </c>
      <c r="O663" t="str">
        <f>TEXT(Europe_Sales_Records34[[#This Row],[Ship Date Fixed]],"MMM")</f>
        <v>Apr</v>
      </c>
      <c r="P663">
        <f>YEAR(Europe_Sales_Records34[[#This Row],[Ship Date Fixed]])</f>
        <v>2015</v>
      </c>
      <c r="Q663" t="str">
        <f>TEXT(Europe_Sales_Records34[[#This Row],[Ship Date Fixed]],"MMM-YYYY")</f>
        <v>Apr-2015</v>
      </c>
      <c r="R663" t="s">
        <v>939</v>
      </c>
      <c r="S663" s="3">
        <f>Europe_Sales_Records34[[#This Row],[Ship Date Fixed]]-Europe_Sales_Records34[[#This Row],[Order Date Fixed]]</f>
        <v>25</v>
      </c>
      <c r="T663">
        <v>5413</v>
      </c>
      <c r="U663">
        <v>109.28</v>
      </c>
      <c r="V663">
        <v>35.840000000000003</v>
      </c>
      <c r="W663">
        <f>Europe_Sales_Records34[[#This Row],[Total Revenue]]/Europe_Sales_Records34[[#This Row],[Units Sold]]</f>
        <v>109.28</v>
      </c>
      <c r="X663">
        <v>591532.64</v>
      </c>
      <c r="Y663">
        <v>194001.92000000001</v>
      </c>
      <c r="Z663" s="4">
        <f>Europe_Sales_Records34[[#This Row],[Total Profit]]/Europe_Sales_Records34[[#This Row],[Total Revenue]]</f>
        <v>0.67203513909224011</v>
      </c>
      <c r="AA663">
        <v>397530.72</v>
      </c>
    </row>
    <row r="664" spans="1:27" x14ac:dyDescent="0.3">
      <c r="A664" t="s">
        <v>14</v>
      </c>
      <c r="B664" t="s">
        <v>166</v>
      </c>
      <c r="C664" t="s">
        <v>22</v>
      </c>
      <c r="D664" t="s">
        <v>23</v>
      </c>
      <c r="E664" t="s">
        <v>54</v>
      </c>
      <c r="F664" t="s">
        <v>1146</v>
      </c>
      <c r="G664" s="2">
        <f t="shared" si="20"/>
        <v>40404</v>
      </c>
      <c r="H664">
        <f>DAY(Europe_Sales_Records34[[#This Row],[Order Date Fixed]])</f>
        <v>14</v>
      </c>
      <c r="I664" t="str">
        <f>TEXT(Europe_Sales_Records34[[#This Row],[Order Date Fixed]],"MMM")</f>
        <v>Aug</v>
      </c>
      <c r="J664">
        <f>YEAR(Europe_Sales_Records34[[#This Row],[Order Date Fixed]])</f>
        <v>2010</v>
      </c>
      <c r="K664" t="str">
        <f>TEXT(Europe_Sales_Records34[[#This Row],[Order Date Fixed]],"MMM-YYYY")</f>
        <v>Aug-2010</v>
      </c>
      <c r="L664">
        <v>744583642</v>
      </c>
      <c r="M664" s="2">
        <f t="shared" si="21"/>
        <v>40447</v>
      </c>
      <c r="N664">
        <f>DAY(Europe_Sales_Records34[[#This Row],[Ship Date Fixed]])</f>
        <v>26</v>
      </c>
      <c r="O664" t="str">
        <f>TEXT(Europe_Sales_Records34[[#This Row],[Ship Date Fixed]],"MMM")</f>
        <v>Sep</v>
      </c>
      <c r="P664">
        <f>YEAR(Europe_Sales_Records34[[#This Row],[Ship Date Fixed]])</f>
        <v>2010</v>
      </c>
      <c r="Q664" t="str">
        <f>TEXT(Europe_Sales_Records34[[#This Row],[Ship Date Fixed]],"MMM-YYYY")</f>
        <v>Sep-2010</v>
      </c>
      <c r="R664" t="s">
        <v>1147</v>
      </c>
      <c r="S664" s="3">
        <f>Europe_Sales_Records34[[#This Row],[Ship Date Fixed]]-Europe_Sales_Records34[[#This Row],[Order Date Fixed]]</f>
        <v>43</v>
      </c>
      <c r="T664">
        <v>7701</v>
      </c>
      <c r="U664">
        <v>109.28</v>
      </c>
      <c r="V664">
        <v>35.840000000000003</v>
      </c>
      <c r="W664">
        <f>Europe_Sales_Records34[[#This Row],[Total Revenue]]/Europe_Sales_Records34[[#This Row],[Units Sold]]</f>
        <v>109.28</v>
      </c>
      <c r="X664">
        <v>841565.28</v>
      </c>
      <c r="Y664">
        <v>276003.84000000003</v>
      </c>
      <c r="Z664" s="4">
        <f>Europe_Sales_Records34[[#This Row],[Total Profit]]/Europe_Sales_Records34[[#This Row],[Total Revenue]]</f>
        <v>0.67203513909224</v>
      </c>
      <c r="AA664">
        <v>565561.43999999994</v>
      </c>
    </row>
    <row r="665" spans="1:27" x14ac:dyDescent="0.3">
      <c r="A665" t="s">
        <v>14</v>
      </c>
      <c r="B665" t="s">
        <v>146</v>
      </c>
      <c r="C665" t="s">
        <v>16</v>
      </c>
      <c r="D665" t="s">
        <v>23</v>
      </c>
      <c r="E665" t="s">
        <v>54</v>
      </c>
      <c r="F665" t="s">
        <v>1148</v>
      </c>
      <c r="G665" s="2">
        <f t="shared" si="20"/>
        <v>42181</v>
      </c>
      <c r="H665">
        <f>DAY(Europe_Sales_Records34[[#This Row],[Order Date Fixed]])</f>
        <v>26</v>
      </c>
      <c r="I665" t="str">
        <f>TEXT(Europe_Sales_Records34[[#This Row],[Order Date Fixed]],"MMM")</f>
        <v>Jun</v>
      </c>
      <c r="J665">
        <f>YEAR(Europe_Sales_Records34[[#This Row],[Order Date Fixed]])</f>
        <v>2015</v>
      </c>
      <c r="K665" t="str">
        <f>TEXT(Europe_Sales_Records34[[#This Row],[Order Date Fixed]],"MMM-YYYY")</f>
        <v>Jun-2015</v>
      </c>
      <c r="L665">
        <v>761724030</v>
      </c>
      <c r="M665" s="2">
        <f t="shared" si="21"/>
        <v>42229</v>
      </c>
      <c r="N665">
        <f>DAY(Europe_Sales_Records34[[#This Row],[Ship Date Fixed]])</f>
        <v>13</v>
      </c>
      <c r="O665" t="str">
        <f>TEXT(Europe_Sales_Records34[[#This Row],[Ship Date Fixed]],"MMM")</f>
        <v>Aug</v>
      </c>
      <c r="P665">
        <f>YEAR(Europe_Sales_Records34[[#This Row],[Ship Date Fixed]])</f>
        <v>2015</v>
      </c>
      <c r="Q665" t="str">
        <f>TEXT(Europe_Sales_Records34[[#This Row],[Ship Date Fixed]],"MMM-YYYY")</f>
        <v>Aug-2015</v>
      </c>
      <c r="R665" t="s">
        <v>1047</v>
      </c>
      <c r="S665" s="3">
        <f>Europe_Sales_Records34[[#This Row],[Ship Date Fixed]]-Europe_Sales_Records34[[#This Row],[Order Date Fixed]]</f>
        <v>48</v>
      </c>
      <c r="T665">
        <v>9923</v>
      </c>
      <c r="U665">
        <v>47.45</v>
      </c>
      <c r="V665">
        <v>31.79</v>
      </c>
      <c r="W665">
        <f>Europe_Sales_Records34[[#This Row],[Total Revenue]]/Europe_Sales_Records34[[#This Row],[Units Sold]]</f>
        <v>47.449999999999996</v>
      </c>
      <c r="X665">
        <v>470846.35</v>
      </c>
      <c r="Y665">
        <v>315452.17</v>
      </c>
      <c r="Z665" s="4">
        <f>Europe_Sales_Records34[[#This Row],[Total Profit]]/Europe_Sales_Records34[[#This Row],[Total Revenue]]</f>
        <v>0.33003161222339306</v>
      </c>
      <c r="AA665">
        <v>155394.18</v>
      </c>
    </row>
    <row r="666" spans="1:27" x14ac:dyDescent="0.3">
      <c r="A666" t="s">
        <v>14</v>
      </c>
      <c r="B666" t="s">
        <v>243</v>
      </c>
      <c r="C666" t="s">
        <v>32</v>
      </c>
      <c r="D666" t="s">
        <v>23</v>
      </c>
      <c r="E666" t="s">
        <v>18</v>
      </c>
      <c r="F666" t="s">
        <v>201</v>
      </c>
      <c r="G666" s="2">
        <f t="shared" si="20"/>
        <v>41034</v>
      </c>
      <c r="H666">
        <f>DAY(Europe_Sales_Records34[[#This Row],[Order Date Fixed]])</f>
        <v>5</v>
      </c>
      <c r="I666" t="str">
        <f>TEXT(Europe_Sales_Records34[[#This Row],[Order Date Fixed]],"MMM")</f>
        <v>May</v>
      </c>
      <c r="J666">
        <f>YEAR(Europe_Sales_Records34[[#This Row],[Order Date Fixed]])</f>
        <v>2012</v>
      </c>
      <c r="K666" t="str">
        <f>TEXT(Europe_Sales_Records34[[#This Row],[Order Date Fixed]],"MMM-YYYY")</f>
        <v>May-2012</v>
      </c>
      <c r="L666">
        <v>217248904</v>
      </c>
      <c r="M666" s="2">
        <f t="shared" si="21"/>
        <v>41075</v>
      </c>
      <c r="N666">
        <f>DAY(Europe_Sales_Records34[[#This Row],[Ship Date Fixed]])</f>
        <v>15</v>
      </c>
      <c r="O666" t="str">
        <f>TEXT(Europe_Sales_Records34[[#This Row],[Ship Date Fixed]],"MMM")</f>
        <v>Jun</v>
      </c>
      <c r="P666">
        <f>YEAR(Europe_Sales_Records34[[#This Row],[Ship Date Fixed]])</f>
        <v>2012</v>
      </c>
      <c r="Q666" t="str">
        <f>TEXT(Europe_Sales_Records34[[#This Row],[Ship Date Fixed]],"MMM-YYYY")</f>
        <v>Jun-2012</v>
      </c>
      <c r="R666" t="s">
        <v>889</v>
      </c>
      <c r="S666" s="3">
        <f>Europe_Sales_Records34[[#This Row],[Ship Date Fixed]]-Europe_Sales_Records34[[#This Row],[Order Date Fixed]]</f>
        <v>41</v>
      </c>
      <c r="T666">
        <v>7633</v>
      </c>
      <c r="U666">
        <v>651.21</v>
      </c>
      <c r="V666">
        <v>524.96</v>
      </c>
      <c r="W666">
        <f>Europe_Sales_Records34[[#This Row],[Total Revenue]]/Europe_Sales_Records34[[#This Row],[Units Sold]]</f>
        <v>651.20999999999992</v>
      </c>
      <c r="X666">
        <v>4970685.93</v>
      </c>
      <c r="Y666">
        <v>4007019.68</v>
      </c>
      <c r="Z666" s="4">
        <f>Europe_Sales_Records34[[#This Row],[Total Profit]]/Europe_Sales_Records34[[#This Row],[Total Revenue]]</f>
        <v>0.19386987300563568</v>
      </c>
      <c r="AA666">
        <v>963666.25</v>
      </c>
    </row>
    <row r="667" spans="1:27" x14ac:dyDescent="0.3">
      <c r="A667" t="s">
        <v>14</v>
      </c>
      <c r="B667" t="s">
        <v>40</v>
      </c>
      <c r="C667" t="s">
        <v>22</v>
      </c>
      <c r="D667" t="s">
        <v>23</v>
      </c>
      <c r="E667" t="s">
        <v>33</v>
      </c>
      <c r="F667" t="s">
        <v>1149</v>
      </c>
      <c r="G667" s="2">
        <f t="shared" si="20"/>
        <v>42489</v>
      </c>
      <c r="H667">
        <f>DAY(Europe_Sales_Records34[[#This Row],[Order Date Fixed]])</f>
        <v>29</v>
      </c>
      <c r="I667" t="str">
        <f>TEXT(Europe_Sales_Records34[[#This Row],[Order Date Fixed]],"MMM")</f>
        <v>Apr</v>
      </c>
      <c r="J667">
        <f>YEAR(Europe_Sales_Records34[[#This Row],[Order Date Fixed]])</f>
        <v>2016</v>
      </c>
      <c r="K667" t="str">
        <f>TEXT(Europe_Sales_Records34[[#This Row],[Order Date Fixed]],"MMM-YYYY")</f>
        <v>Apr-2016</v>
      </c>
      <c r="L667">
        <v>685596930</v>
      </c>
      <c r="M667" s="2">
        <f t="shared" si="21"/>
        <v>42537</v>
      </c>
      <c r="N667">
        <f>DAY(Europe_Sales_Records34[[#This Row],[Ship Date Fixed]])</f>
        <v>16</v>
      </c>
      <c r="O667" t="str">
        <f>TEXT(Europe_Sales_Records34[[#This Row],[Ship Date Fixed]],"MMM")</f>
        <v>Jun</v>
      </c>
      <c r="P667">
        <f>YEAR(Europe_Sales_Records34[[#This Row],[Ship Date Fixed]])</f>
        <v>2016</v>
      </c>
      <c r="Q667" t="str">
        <f>TEXT(Europe_Sales_Records34[[#This Row],[Ship Date Fixed]],"MMM-YYYY")</f>
        <v>Jun-2016</v>
      </c>
      <c r="R667" t="s">
        <v>1150</v>
      </c>
      <c r="S667" s="3">
        <f>Europe_Sales_Records34[[#This Row],[Ship Date Fixed]]-Europe_Sales_Records34[[#This Row],[Order Date Fixed]]</f>
        <v>48</v>
      </c>
      <c r="T667">
        <v>2222</v>
      </c>
      <c r="U667">
        <v>109.28</v>
      </c>
      <c r="V667">
        <v>35.840000000000003</v>
      </c>
      <c r="W667">
        <f>Europe_Sales_Records34[[#This Row],[Total Revenue]]/Europe_Sales_Records34[[#This Row],[Units Sold]]</f>
        <v>109.28</v>
      </c>
      <c r="X667">
        <v>242820.16</v>
      </c>
      <c r="Y667">
        <v>79636.479999999996</v>
      </c>
      <c r="Z667" s="4">
        <f>Europe_Sales_Records34[[#This Row],[Total Profit]]/Europe_Sales_Records34[[#This Row],[Total Revenue]]</f>
        <v>0.67203513909224011</v>
      </c>
      <c r="AA667">
        <v>163183.67999999999</v>
      </c>
    </row>
    <row r="668" spans="1:27" x14ac:dyDescent="0.3">
      <c r="A668" t="s">
        <v>14</v>
      </c>
      <c r="B668" t="s">
        <v>183</v>
      </c>
      <c r="C668" t="s">
        <v>22</v>
      </c>
      <c r="D668" t="s">
        <v>23</v>
      </c>
      <c r="E668" t="s">
        <v>54</v>
      </c>
      <c r="F668" t="s">
        <v>1129</v>
      </c>
      <c r="G668" s="2">
        <f t="shared" si="20"/>
        <v>42035</v>
      </c>
      <c r="H668">
        <f>DAY(Europe_Sales_Records34[[#This Row],[Order Date Fixed]])</f>
        <v>31</v>
      </c>
      <c r="I668" t="str">
        <f>TEXT(Europe_Sales_Records34[[#This Row],[Order Date Fixed]],"MMM")</f>
        <v>Jan</v>
      </c>
      <c r="J668">
        <f>YEAR(Europe_Sales_Records34[[#This Row],[Order Date Fixed]])</f>
        <v>2015</v>
      </c>
      <c r="K668" t="str">
        <f>TEXT(Europe_Sales_Records34[[#This Row],[Order Date Fixed]],"MMM-YYYY")</f>
        <v>Jan-2015</v>
      </c>
      <c r="L668">
        <v>355534589</v>
      </c>
      <c r="M668" s="2">
        <f t="shared" si="21"/>
        <v>42041</v>
      </c>
      <c r="N668">
        <f>DAY(Europe_Sales_Records34[[#This Row],[Ship Date Fixed]])</f>
        <v>6</v>
      </c>
      <c r="O668" t="str">
        <f>TEXT(Europe_Sales_Records34[[#This Row],[Ship Date Fixed]],"MMM")</f>
        <v>Feb</v>
      </c>
      <c r="P668">
        <f>YEAR(Europe_Sales_Records34[[#This Row],[Ship Date Fixed]])</f>
        <v>2015</v>
      </c>
      <c r="Q668" t="str">
        <f>TEXT(Europe_Sales_Records34[[#This Row],[Ship Date Fixed]],"MMM-YYYY")</f>
        <v>Feb-2015</v>
      </c>
      <c r="R668" t="s">
        <v>1151</v>
      </c>
      <c r="S668" s="3">
        <f>Europe_Sales_Records34[[#This Row],[Ship Date Fixed]]-Europe_Sales_Records34[[#This Row],[Order Date Fixed]]</f>
        <v>6</v>
      </c>
      <c r="T668">
        <v>9440</v>
      </c>
      <c r="U668">
        <v>109.28</v>
      </c>
      <c r="V668">
        <v>35.840000000000003</v>
      </c>
      <c r="W668">
        <f>Europe_Sales_Records34[[#This Row],[Total Revenue]]/Europe_Sales_Records34[[#This Row],[Units Sold]]</f>
        <v>109.28</v>
      </c>
      <c r="X668">
        <v>1031603.2</v>
      </c>
      <c r="Y668">
        <v>338329.59999999998</v>
      </c>
      <c r="Z668" s="4">
        <f>Europe_Sales_Records34[[#This Row],[Total Profit]]/Europe_Sales_Records34[[#This Row],[Total Revenue]]</f>
        <v>0.67203513909224011</v>
      </c>
      <c r="AA668">
        <v>693273.59999999998</v>
      </c>
    </row>
    <row r="669" spans="1:27" x14ac:dyDescent="0.3">
      <c r="A669" t="s">
        <v>14</v>
      </c>
      <c r="B669" t="s">
        <v>57</v>
      </c>
      <c r="C669" t="s">
        <v>32</v>
      </c>
      <c r="D669" t="s">
        <v>17</v>
      </c>
      <c r="E669" t="s">
        <v>33</v>
      </c>
      <c r="F669" t="s">
        <v>1152</v>
      </c>
      <c r="G669" s="2">
        <f t="shared" si="20"/>
        <v>41244</v>
      </c>
      <c r="H669">
        <f>DAY(Europe_Sales_Records34[[#This Row],[Order Date Fixed]])</f>
        <v>1</v>
      </c>
      <c r="I669" t="str">
        <f>TEXT(Europe_Sales_Records34[[#This Row],[Order Date Fixed]],"MMM")</f>
        <v>Dec</v>
      </c>
      <c r="J669">
        <f>YEAR(Europe_Sales_Records34[[#This Row],[Order Date Fixed]])</f>
        <v>2012</v>
      </c>
      <c r="K669" t="str">
        <f>TEXT(Europe_Sales_Records34[[#This Row],[Order Date Fixed]],"MMM-YYYY")</f>
        <v>Dec-2012</v>
      </c>
      <c r="L669">
        <v>456527268</v>
      </c>
      <c r="M669" s="2">
        <f t="shared" si="21"/>
        <v>41245</v>
      </c>
      <c r="N669">
        <f>DAY(Europe_Sales_Records34[[#This Row],[Ship Date Fixed]])</f>
        <v>2</v>
      </c>
      <c r="O669" t="str">
        <f>TEXT(Europe_Sales_Records34[[#This Row],[Ship Date Fixed]],"MMM")</f>
        <v>Dec</v>
      </c>
      <c r="P669">
        <f>YEAR(Europe_Sales_Records34[[#This Row],[Ship Date Fixed]])</f>
        <v>2012</v>
      </c>
      <c r="Q669" t="str">
        <f>TEXT(Europe_Sales_Records34[[#This Row],[Ship Date Fixed]],"MMM-YYYY")</f>
        <v>Dec-2012</v>
      </c>
      <c r="R669" t="s">
        <v>1153</v>
      </c>
      <c r="S669" s="3">
        <f>Europe_Sales_Records34[[#This Row],[Ship Date Fixed]]-Europe_Sales_Records34[[#This Row],[Order Date Fixed]]</f>
        <v>1</v>
      </c>
      <c r="T669">
        <v>5419</v>
      </c>
      <c r="U669">
        <v>651.21</v>
      </c>
      <c r="V669">
        <v>524.96</v>
      </c>
      <c r="W669">
        <f>Europe_Sales_Records34[[#This Row],[Total Revenue]]/Europe_Sales_Records34[[#This Row],[Units Sold]]</f>
        <v>651.21</v>
      </c>
      <c r="X669">
        <v>3528906.99</v>
      </c>
      <c r="Y669">
        <v>2844758.24</v>
      </c>
      <c r="Z669" s="4">
        <f>Europe_Sales_Records34[[#This Row],[Total Profit]]/Europe_Sales_Records34[[#This Row],[Total Revenue]]</f>
        <v>0.19386987300563566</v>
      </c>
      <c r="AA669">
        <v>684148.75</v>
      </c>
    </row>
    <row r="670" spans="1:27" x14ac:dyDescent="0.3">
      <c r="A670" t="s">
        <v>14</v>
      </c>
      <c r="B670" t="s">
        <v>40</v>
      </c>
      <c r="C670" t="s">
        <v>64</v>
      </c>
      <c r="D670" t="s">
        <v>17</v>
      </c>
      <c r="E670" t="s">
        <v>18</v>
      </c>
      <c r="F670" t="s">
        <v>1154</v>
      </c>
      <c r="G670" s="2">
        <f t="shared" si="20"/>
        <v>42415</v>
      </c>
      <c r="H670">
        <f>DAY(Europe_Sales_Records34[[#This Row],[Order Date Fixed]])</f>
        <v>15</v>
      </c>
      <c r="I670" t="str">
        <f>TEXT(Europe_Sales_Records34[[#This Row],[Order Date Fixed]],"MMM")</f>
        <v>Feb</v>
      </c>
      <c r="J670">
        <f>YEAR(Europe_Sales_Records34[[#This Row],[Order Date Fixed]])</f>
        <v>2016</v>
      </c>
      <c r="K670" t="str">
        <f>TEXT(Europe_Sales_Records34[[#This Row],[Order Date Fixed]],"MMM-YYYY")</f>
        <v>Feb-2016</v>
      </c>
      <c r="L670">
        <v>461917865</v>
      </c>
      <c r="M670" s="2">
        <f t="shared" si="21"/>
        <v>42450</v>
      </c>
      <c r="N670">
        <f>DAY(Europe_Sales_Records34[[#This Row],[Ship Date Fixed]])</f>
        <v>21</v>
      </c>
      <c r="O670" t="str">
        <f>TEXT(Europe_Sales_Records34[[#This Row],[Ship Date Fixed]],"MMM")</f>
        <v>Mar</v>
      </c>
      <c r="P670">
        <f>YEAR(Europe_Sales_Records34[[#This Row],[Ship Date Fixed]])</f>
        <v>2016</v>
      </c>
      <c r="Q670" t="str">
        <f>TEXT(Europe_Sales_Records34[[#This Row],[Ship Date Fixed]],"MMM-YYYY")</f>
        <v>Mar-2016</v>
      </c>
      <c r="R670" t="s">
        <v>867</v>
      </c>
      <c r="S670" s="3">
        <f>Europe_Sales_Records34[[#This Row],[Ship Date Fixed]]-Europe_Sales_Records34[[#This Row],[Order Date Fixed]]</f>
        <v>35</v>
      </c>
      <c r="T670">
        <v>616</v>
      </c>
      <c r="U670">
        <v>255.28</v>
      </c>
      <c r="V670">
        <v>159.41999999999999</v>
      </c>
      <c r="W670">
        <f>Europe_Sales_Records34[[#This Row],[Total Revenue]]/Europe_Sales_Records34[[#This Row],[Units Sold]]</f>
        <v>255.28000000000003</v>
      </c>
      <c r="X670">
        <v>157252.48000000001</v>
      </c>
      <c r="Y670">
        <v>98202.72</v>
      </c>
      <c r="Z670" s="4">
        <f>Europe_Sales_Records34[[#This Row],[Total Profit]]/Europe_Sales_Records34[[#This Row],[Total Revenue]]</f>
        <v>0.37550924475086178</v>
      </c>
      <c r="AA670">
        <v>59049.760000000002</v>
      </c>
    </row>
    <row r="671" spans="1:27" x14ac:dyDescent="0.3">
      <c r="A671" t="s">
        <v>14</v>
      </c>
      <c r="B671" t="s">
        <v>40</v>
      </c>
      <c r="C671" t="s">
        <v>102</v>
      </c>
      <c r="D671" t="s">
        <v>17</v>
      </c>
      <c r="E671" t="s">
        <v>18</v>
      </c>
      <c r="F671" t="s">
        <v>1155</v>
      </c>
      <c r="G671" s="2">
        <f t="shared" si="20"/>
        <v>41454</v>
      </c>
      <c r="H671">
        <f>DAY(Europe_Sales_Records34[[#This Row],[Order Date Fixed]])</f>
        <v>29</v>
      </c>
      <c r="I671" t="str">
        <f>TEXT(Europe_Sales_Records34[[#This Row],[Order Date Fixed]],"MMM")</f>
        <v>Jun</v>
      </c>
      <c r="J671">
        <f>YEAR(Europe_Sales_Records34[[#This Row],[Order Date Fixed]])</f>
        <v>2013</v>
      </c>
      <c r="K671" t="str">
        <f>TEXT(Europe_Sales_Records34[[#This Row],[Order Date Fixed]],"MMM-YYYY")</f>
        <v>Jun-2013</v>
      </c>
      <c r="L671">
        <v>284435451</v>
      </c>
      <c r="M671" s="2">
        <f t="shared" si="21"/>
        <v>41454</v>
      </c>
      <c r="N671">
        <f>DAY(Europe_Sales_Records34[[#This Row],[Ship Date Fixed]])</f>
        <v>29</v>
      </c>
      <c r="O671" t="str">
        <f>TEXT(Europe_Sales_Records34[[#This Row],[Ship Date Fixed]],"MMM")</f>
        <v>Jun</v>
      </c>
      <c r="P671">
        <f>YEAR(Europe_Sales_Records34[[#This Row],[Ship Date Fixed]])</f>
        <v>2013</v>
      </c>
      <c r="Q671" t="str">
        <f>TEXT(Europe_Sales_Records34[[#This Row],[Ship Date Fixed]],"MMM-YYYY")</f>
        <v>Jun-2013</v>
      </c>
      <c r="R671" t="s">
        <v>1155</v>
      </c>
      <c r="S671" s="3">
        <f>Europe_Sales_Records34[[#This Row],[Ship Date Fixed]]-Europe_Sales_Records34[[#This Row],[Order Date Fixed]]</f>
        <v>0</v>
      </c>
      <c r="T671">
        <v>9625</v>
      </c>
      <c r="U671">
        <v>81.73</v>
      </c>
      <c r="V671">
        <v>56.67</v>
      </c>
      <c r="W671">
        <f>Europe_Sales_Records34[[#This Row],[Total Revenue]]/Europe_Sales_Records34[[#This Row],[Units Sold]]</f>
        <v>81.73</v>
      </c>
      <c r="X671">
        <v>786651.25</v>
      </c>
      <c r="Y671">
        <v>545448.75</v>
      </c>
      <c r="Z671" s="4">
        <f>Europe_Sales_Records34[[#This Row],[Total Profit]]/Europe_Sales_Records34[[#This Row],[Total Revenue]]</f>
        <v>0.30661935641747218</v>
      </c>
      <c r="AA671">
        <v>241202.5</v>
      </c>
    </row>
    <row r="672" spans="1:27" x14ac:dyDescent="0.3">
      <c r="A672" t="s">
        <v>14</v>
      </c>
      <c r="B672" t="s">
        <v>53</v>
      </c>
      <c r="C672" t="s">
        <v>50</v>
      </c>
      <c r="D672" t="s">
        <v>23</v>
      </c>
      <c r="E672" t="s">
        <v>54</v>
      </c>
      <c r="F672" t="s">
        <v>200</v>
      </c>
      <c r="G672" s="2">
        <f t="shared" si="20"/>
        <v>41811</v>
      </c>
      <c r="H672">
        <f>DAY(Europe_Sales_Records34[[#This Row],[Order Date Fixed]])</f>
        <v>21</v>
      </c>
      <c r="I672" t="str">
        <f>TEXT(Europe_Sales_Records34[[#This Row],[Order Date Fixed]],"MMM")</f>
        <v>Jun</v>
      </c>
      <c r="J672">
        <f>YEAR(Europe_Sales_Records34[[#This Row],[Order Date Fixed]])</f>
        <v>2014</v>
      </c>
      <c r="K672" t="str">
        <f>TEXT(Europe_Sales_Records34[[#This Row],[Order Date Fixed]],"MMM-YYYY")</f>
        <v>Jun-2014</v>
      </c>
      <c r="L672">
        <v>844575107</v>
      </c>
      <c r="M672" s="2">
        <f t="shared" si="21"/>
        <v>41816</v>
      </c>
      <c r="N672">
        <f>DAY(Europe_Sales_Records34[[#This Row],[Ship Date Fixed]])</f>
        <v>26</v>
      </c>
      <c r="O672" t="str">
        <f>TEXT(Europe_Sales_Records34[[#This Row],[Ship Date Fixed]],"MMM")</f>
        <v>Jun</v>
      </c>
      <c r="P672">
        <f>YEAR(Europe_Sales_Records34[[#This Row],[Ship Date Fixed]])</f>
        <v>2014</v>
      </c>
      <c r="Q672" t="str">
        <f>TEXT(Europe_Sales_Records34[[#This Row],[Ship Date Fixed]],"MMM-YYYY")</f>
        <v>Jun-2014</v>
      </c>
      <c r="R672" t="s">
        <v>461</v>
      </c>
      <c r="S672" s="3">
        <f>Europe_Sales_Records34[[#This Row],[Ship Date Fixed]]-Europe_Sales_Records34[[#This Row],[Order Date Fixed]]</f>
        <v>5</v>
      </c>
      <c r="T672">
        <v>7397</v>
      </c>
      <c r="U672">
        <v>421.89</v>
      </c>
      <c r="V672">
        <v>364.69</v>
      </c>
      <c r="W672">
        <f>Europe_Sales_Records34[[#This Row],[Total Revenue]]/Europe_Sales_Records34[[#This Row],[Units Sold]]</f>
        <v>421.89</v>
      </c>
      <c r="X672">
        <v>3120720.33</v>
      </c>
      <c r="Y672">
        <v>2697611.93</v>
      </c>
      <c r="Z672" s="4">
        <f>Europe_Sales_Records34[[#This Row],[Total Profit]]/Europe_Sales_Records34[[#This Row],[Total Revenue]]</f>
        <v>0.13558036455000119</v>
      </c>
      <c r="AA672">
        <v>423108.4</v>
      </c>
    </row>
    <row r="673" spans="1:27" x14ac:dyDescent="0.3">
      <c r="A673" t="s">
        <v>14</v>
      </c>
      <c r="B673" t="s">
        <v>70</v>
      </c>
      <c r="C673" t="s">
        <v>64</v>
      </c>
      <c r="D673" t="s">
        <v>17</v>
      </c>
      <c r="E673" t="s">
        <v>33</v>
      </c>
      <c r="F673" t="s">
        <v>886</v>
      </c>
      <c r="G673" s="2">
        <f t="shared" si="20"/>
        <v>42143</v>
      </c>
      <c r="H673">
        <f>DAY(Europe_Sales_Records34[[#This Row],[Order Date Fixed]])</f>
        <v>19</v>
      </c>
      <c r="I673" t="str">
        <f>TEXT(Europe_Sales_Records34[[#This Row],[Order Date Fixed]],"MMM")</f>
        <v>May</v>
      </c>
      <c r="J673">
        <f>YEAR(Europe_Sales_Records34[[#This Row],[Order Date Fixed]])</f>
        <v>2015</v>
      </c>
      <c r="K673" t="str">
        <f>TEXT(Europe_Sales_Records34[[#This Row],[Order Date Fixed]],"MMM-YYYY")</f>
        <v>May-2015</v>
      </c>
      <c r="L673">
        <v>158479773</v>
      </c>
      <c r="M673" s="2">
        <f t="shared" si="21"/>
        <v>42173</v>
      </c>
      <c r="N673">
        <f>DAY(Europe_Sales_Records34[[#This Row],[Ship Date Fixed]])</f>
        <v>18</v>
      </c>
      <c r="O673" t="str">
        <f>TEXT(Europe_Sales_Records34[[#This Row],[Ship Date Fixed]],"MMM")</f>
        <v>Jun</v>
      </c>
      <c r="P673">
        <f>YEAR(Europe_Sales_Records34[[#This Row],[Ship Date Fixed]])</f>
        <v>2015</v>
      </c>
      <c r="Q673" t="str">
        <f>TEXT(Europe_Sales_Records34[[#This Row],[Ship Date Fixed]],"MMM-YYYY")</f>
        <v>Jun-2015</v>
      </c>
      <c r="R673" t="s">
        <v>1156</v>
      </c>
      <c r="S673" s="3">
        <f>Europe_Sales_Records34[[#This Row],[Ship Date Fixed]]-Europe_Sales_Records34[[#This Row],[Order Date Fixed]]</f>
        <v>30</v>
      </c>
      <c r="T673">
        <v>6542</v>
      </c>
      <c r="U673">
        <v>255.28</v>
      </c>
      <c r="V673">
        <v>159.41999999999999</v>
      </c>
      <c r="W673">
        <f>Europe_Sales_Records34[[#This Row],[Total Revenue]]/Europe_Sales_Records34[[#This Row],[Units Sold]]</f>
        <v>255.28</v>
      </c>
      <c r="X673">
        <v>1670041.76</v>
      </c>
      <c r="Y673">
        <v>1042925.64</v>
      </c>
      <c r="Z673" s="4">
        <f>Europe_Sales_Records34[[#This Row],[Total Profit]]/Europe_Sales_Records34[[#This Row],[Total Revenue]]</f>
        <v>0.37550924475086178</v>
      </c>
      <c r="AA673">
        <v>627116.12</v>
      </c>
    </row>
    <row r="674" spans="1:27" x14ac:dyDescent="0.3">
      <c r="A674" t="s">
        <v>14</v>
      </c>
      <c r="B674" t="s">
        <v>110</v>
      </c>
      <c r="C674" t="s">
        <v>71</v>
      </c>
      <c r="D674" t="s">
        <v>23</v>
      </c>
      <c r="E674" t="s">
        <v>33</v>
      </c>
      <c r="F674" t="s">
        <v>372</v>
      </c>
      <c r="G674" s="2">
        <f t="shared" si="20"/>
        <v>41799</v>
      </c>
      <c r="H674">
        <f>DAY(Europe_Sales_Records34[[#This Row],[Order Date Fixed]])</f>
        <v>9</v>
      </c>
      <c r="I674" t="str">
        <f>TEXT(Europe_Sales_Records34[[#This Row],[Order Date Fixed]],"MMM")</f>
        <v>Jun</v>
      </c>
      <c r="J674">
        <f>YEAR(Europe_Sales_Records34[[#This Row],[Order Date Fixed]])</f>
        <v>2014</v>
      </c>
      <c r="K674" t="str">
        <f>TEXT(Europe_Sales_Records34[[#This Row],[Order Date Fixed]],"MMM-YYYY")</f>
        <v>Jun-2014</v>
      </c>
      <c r="L674">
        <v>175723588</v>
      </c>
      <c r="M674" s="2">
        <f t="shared" si="21"/>
        <v>41804</v>
      </c>
      <c r="N674">
        <f>DAY(Europe_Sales_Records34[[#This Row],[Ship Date Fixed]])</f>
        <v>14</v>
      </c>
      <c r="O674" t="str">
        <f>TEXT(Europe_Sales_Records34[[#This Row],[Ship Date Fixed]],"MMM")</f>
        <v>Jun</v>
      </c>
      <c r="P674">
        <f>YEAR(Europe_Sales_Records34[[#This Row],[Ship Date Fixed]])</f>
        <v>2014</v>
      </c>
      <c r="Q674" t="str">
        <f>TEXT(Europe_Sales_Records34[[#This Row],[Ship Date Fixed]],"MMM-YYYY")</f>
        <v>Jun-2014</v>
      </c>
      <c r="R674" t="s">
        <v>1157</v>
      </c>
      <c r="S674" s="3">
        <f>Europe_Sales_Records34[[#This Row],[Ship Date Fixed]]-Europe_Sales_Records34[[#This Row],[Order Date Fixed]]</f>
        <v>5</v>
      </c>
      <c r="T674">
        <v>9370</v>
      </c>
      <c r="U674">
        <v>668.27</v>
      </c>
      <c r="V674">
        <v>502.54</v>
      </c>
      <c r="W674">
        <f>Europe_Sales_Records34[[#This Row],[Total Revenue]]/Europe_Sales_Records34[[#This Row],[Units Sold]]</f>
        <v>668.2700000000001</v>
      </c>
      <c r="X674">
        <v>6261689.9000000004</v>
      </c>
      <c r="Y674">
        <v>4708799.8</v>
      </c>
      <c r="Z674" s="4">
        <f>Europe_Sales_Records34[[#This Row],[Total Profit]]/Europe_Sales_Records34[[#This Row],[Total Revenue]]</f>
        <v>0.24799856345489099</v>
      </c>
      <c r="AA674">
        <v>1552890.1</v>
      </c>
    </row>
    <row r="675" spans="1:27" x14ac:dyDescent="0.3">
      <c r="A675" t="s">
        <v>14</v>
      </c>
      <c r="B675" t="s">
        <v>67</v>
      </c>
      <c r="C675" t="s">
        <v>71</v>
      </c>
      <c r="D675" t="s">
        <v>23</v>
      </c>
      <c r="E675" t="s">
        <v>18</v>
      </c>
      <c r="F675" t="s">
        <v>1158</v>
      </c>
      <c r="G675" s="2">
        <f t="shared" si="20"/>
        <v>42678</v>
      </c>
      <c r="H675">
        <f>DAY(Europe_Sales_Records34[[#This Row],[Order Date Fixed]])</f>
        <v>4</v>
      </c>
      <c r="I675" t="str">
        <f>TEXT(Europe_Sales_Records34[[#This Row],[Order Date Fixed]],"MMM")</f>
        <v>Nov</v>
      </c>
      <c r="J675">
        <f>YEAR(Europe_Sales_Records34[[#This Row],[Order Date Fixed]])</f>
        <v>2016</v>
      </c>
      <c r="K675" t="str">
        <f>TEXT(Europe_Sales_Records34[[#This Row],[Order Date Fixed]],"MMM-YYYY")</f>
        <v>Nov-2016</v>
      </c>
      <c r="L675">
        <v>690220630</v>
      </c>
      <c r="M675" s="2">
        <f t="shared" si="21"/>
        <v>42693</v>
      </c>
      <c r="N675">
        <f>DAY(Europe_Sales_Records34[[#This Row],[Ship Date Fixed]])</f>
        <v>19</v>
      </c>
      <c r="O675" t="str">
        <f>TEXT(Europe_Sales_Records34[[#This Row],[Ship Date Fixed]],"MMM")</f>
        <v>Nov</v>
      </c>
      <c r="P675">
        <f>YEAR(Europe_Sales_Records34[[#This Row],[Ship Date Fixed]])</f>
        <v>2016</v>
      </c>
      <c r="Q675" t="str">
        <f>TEXT(Europe_Sales_Records34[[#This Row],[Ship Date Fixed]],"MMM-YYYY")</f>
        <v>Nov-2016</v>
      </c>
      <c r="R675" t="s">
        <v>1159</v>
      </c>
      <c r="S675" s="3">
        <f>Europe_Sales_Records34[[#This Row],[Ship Date Fixed]]-Europe_Sales_Records34[[#This Row],[Order Date Fixed]]</f>
        <v>15</v>
      </c>
      <c r="T675">
        <v>477</v>
      </c>
      <c r="U675">
        <v>668.27</v>
      </c>
      <c r="V675">
        <v>502.54</v>
      </c>
      <c r="W675">
        <f>Europe_Sales_Records34[[#This Row],[Total Revenue]]/Europe_Sales_Records34[[#This Row],[Units Sold]]</f>
        <v>668.27</v>
      </c>
      <c r="X675">
        <v>318764.78999999998</v>
      </c>
      <c r="Y675">
        <v>239711.58</v>
      </c>
      <c r="Z675" s="4">
        <f>Europe_Sales_Records34[[#This Row],[Total Profit]]/Europe_Sales_Records34[[#This Row],[Total Revenue]]</f>
        <v>0.24799856345489102</v>
      </c>
      <c r="AA675">
        <v>79053.210000000006</v>
      </c>
    </row>
    <row r="676" spans="1:27" x14ac:dyDescent="0.3">
      <c r="A676" t="s">
        <v>14</v>
      </c>
      <c r="B676" t="s">
        <v>181</v>
      </c>
      <c r="C676" t="s">
        <v>16</v>
      </c>
      <c r="D676" t="s">
        <v>17</v>
      </c>
      <c r="E676" t="s">
        <v>24</v>
      </c>
      <c r="F676" t="s">
        <v>721</v>
      </c>
      <c r="G676" s="2">
        <f t="shared" si="20"/>
        <v>42933</v>
      </c>
      <c r="H676">
        <f>DAY(Europe_Sales_Records34[[#This Row],[Order Date Fixed]])</f>
        <v>17</v>
      </c>
      <c r="I676" t="str">
        <f>TEXT(Europe_Sales_Records34[[#This Row],[Order Date Fixed]],"MMM")</f>
        <v>Jul</v>
      </c>
      <c r="J676">
        <f>YEAR(Europe_Sales_Records34[[#This Row],[Order Date Fixed]])</f>
        <v>2017</v>
      </c>
      <c r="K676" t="str">
        <f>TEXT(Europe_Sales_Records34[[#This Row],[Order Date Fixed]],"MMM-YYYY")</f>
        <v>Jul-2017</v>
      </c>
      <c r="L676">
        <v>704139363</v>
      </c>
      <c r="M676" s="2">
        <f t="shared" si="21"/>
        <v>42978</v>
      </c>
      <c r="N676">
        <f>DAY(Europe_Sales_Records34[[#This Row],[Ship Date Fixed]])</f>
        <v>31</v>
      </c>
      <c r="O676" t="str">
        <f>TEXT(Europe_Sales_Records34[[#This Row],[Ship Date Fixed]],"MMM")</f>
        <v>Aug</v>
      </c>
      <c r="P676">
        <f>YEAR(Europe_Sales_Records34[[#This Row],[Ship Date Fixed]])</f>
        <v>2017</v>
      </c>
      <c r="Q676" t="str">
        <f>TEXT(Europe_Sales_Records34[[#This Row],[Ship Date Fixed]],"MMM-YYYY")</f>
        <v>Aug-2017</v>
      </c>
      <c r="R676" t="s">
        <v>1160</v>
      </c>
      <c r="S676" s="3">
        <f>Europe_Sales_Records34[[#This Row],[Ship Date Fixed]]-Europe_Sales_Records34[[#This Row],[Order Date Fixed]]</f>
        <v>45</v>
      </c>
      <c r="T676">
        <v>9340</v>
      </c>
      <c r="U676">
        <v>47.45</v>
      </c>
      <c r="V676">
        <v>31.79</v>
      </c>
      <c r="W676">
        <f>Europe_Sales_Records34[[#This Row],[Total Revenue]]/Europe_Sales_Records34[[#This Row],[Units Sold]]</f>
        <v>47.45</v>
      </c>
      <c r="X676">
        <v>443183</v>
      </c>
      <c r="Y676">
        <v>296918.59999999998</v>
      </c>
      <c r="Z676" s="4">
        <f>Europe_Sales_Records34[[#This Row],[Total Profit]]/Europe_Sales_Records34[[#This Row],[Total Revenue]]</f>
        <v>0.33003161222339306</v>
      </c>
      <c r="AA676">
        <v>146264.4</v>
      </c>
    </row>
    <row r="677" spans="1:27" x14ac:dyDescent="0.3">
      <c r="A677" t="s">
        <v>14</v>
      </c>
      <c r="B677" t="s">
        <v>185</v>
      </c>
      <c r="C677" t="s">
        <v>37</v>
      </c>
      <c r="D677" t="s">
        <v>23</v>
      </c>
      <c r="E677" t="s">
        <v>54</v>
      </c>
      <c r="F677" t="s">
        <v>231</v>
      </c>
      <c r="G677" s="2">
        <f t="shared" si="20"/>
        <v>41672</v>
      </c>
      <c r="H677">
        <f>DAY(Europe_Sales_Records34[[#This Row],[Order Date Fixed]])</f>
        <v>2</v>
      </c>
      <c r="I677" t="str">
        <f>TEXT(Europe_Sales_Records34[[#This Row],[Order Date Fixed]],"MMM")</f>
        <v>Feb</v>
      </c>
      <c r="J677">
        <f>YEAR(Europe_Sales_Records34[[#This Row],[Order Date Fixed]])</f>
        <v>2014</v>
      </c>
      <c r="K677" t="str">
        <f>TEXT(Europe_Sales_Records34[[#This Row],[Order Date Fixed]],"MMM-YYYY")</f>
        <v>Feb-2014</v>
      </c>
      <c r="L677">
        <v>636278617</v>
      </c>
      <c r="M677" s="2">
        <f t="shared" si="21"/>
        <v>41720</v>
      </c>
      <c r="N677">
        <f>DAY(Europe_Sales_Records34[[#This Row],[Ship Date Fixed]])</f>
        <v>22</v>
      </c>
      <c r="O677" t="str">
        <f>TEXT(Europe_Sales_Records34[[#This Row],[Ship Date Fixed]],"MMM")</f>
        <v>Mar</v>
      </c>
      <c r="P677">
        <f>YEAR(Europe_Sales_Records34[[#This Row],[Ship Date Fixed]])</f>
        <v>2014</v>
      </c>
      <c r="Q677" t="str">
        <f>TEXT(Europe_Sales_Records34[[#This Row],[Ship Date Fixed]],"MMM-YYYY")</f>
        <v>Mar-2014</v>
      </c>
      <c r="R677" t="s">
        <v>330</v>
      </c>
      <c r="S677" s="3">
        <f>Europe_Sales_Records34[[#This Row],[Ship Date Fixed]]-Europe_Sales_Records34[[#This Row],[Order Date Fixed]]</f>
        <v>48</v>
      </c>
      <c r="T677">
        <v>7837</v>
      </c>
      <c r="U677">
        <v>9.33</v>
      </c>
      <c r="V677">
        <v>6.92</v>
      </c>
      <c r="W677">
        <f>Europe_Sales_Records34[[#This Row],[Total Revenue]]/Europe_Sales_Records34[[#This Row],[Units Sold]]</f>
        <v>9.33</v>
      </c>
      <c r="X677">
        <v>73119.210000000006</v>
      </c>
      <c r="Y677">
        <v>54232.04</v>
      </c>
      <c r="Z677" s="4">
        <f>Europe_Sales_Records34[[#This Row],[Total Profit]]/Europe_Sales_Records34[[#This Row],[Total Revenue]]</f>
        <v>0.25830653804930326</v>
      </c>
      <c r="AA677">
        <v>18887.169999999998</v>
      </c>
    </row>
    <row r="678" spans="1:27" x14ac:dyDescent="0.3">
      <c r="A678" t="s">
        <v>14</v>
      </c>
      <c r="B678" t="s">
        <v>264</v>
      </c>
      <c r="C678" t="s">
        <v>58</v>
      </c>
      <c r="D678" t="s">
        <v>23</v>
      </c>
      <c r="E678" t="s">
        <v>33</v>
      </c>
      <c r="F678" t="s">
        <v>1161</v>
      </c>
      <c r="G678" s="2">
        <f t="shared" si="20"/>
        <v>41161</v>
      </c>
      <c r="H678">
        <f>DAY(Europe_Sales_Records34[[#This Row],[Order Date Fixed]])</f>
        <v>9</v>
      </c>
      <c r="I678" t="str">
        <f>TEXT(Europe_Sales_Records34[[#This Row],[Order Date Fixed]],"MMM")</f>
        <v>Sep</v>
      </c>
      <c r="J678">
        <f>YEAR(Europe_Sales_Records34[[#This Row],[Order Date Fixed]])</f>
        <v>2012</v>
      </c>
      <c r="K678" t="str">
        <f>TEXT(Europe_Sales_Records34[[#This Row],[Order Date Fixed]],"MMM-YYYY")</f>
        <v>Sep-2012</v>
      </c>
      <c r="L678">
        <v>525749719</v>
      </c>
      <c r="M678" s="2">
        <f t="shared" si="21"/>
        <v>41204</v>
      </c>
      <c r="N678">
        <f>DAY(Europe_Sales_Records34[[#This Row],[Ship Date Fixed]])</f>
        <v>22</v>
      </c>
      <c r="O678" t="str">
        <f>TEXT(Europe_Sales_Records34[[#This Row],[Ship Date Fixed]],"MMM")</f>
        <v>Oct</v>
      </c>
      <c r="P678">
        <f>YEAR(Europe_Sales_Records34[[#This Row],[Ship Date Fixed]])</f>
        <v>2012</v>
      </c>
      <c r="Q678" t="str">
        <f>TEXT(Europe_Sales_Records34[[#This Row],[Ship Date Fixed]],"MMM-YYYY")</f>
        <v>Oct-2012</v>
      </c>
      <c r="R678" t="s">
        <v>98</v>
      </c>
      <c r="S678" s="3">
        <f>Europe_Sales_Records34[[#This Row],[Ship Date Fixed]]-Europe_Sales_Records34[[#This Row],[Order Date Fixed]]</f>
        <v>43</v>
      </c>
      <c r="T678">
        <v>9880</v>
      </c>
      <c r="U678">
        <v>152.58000000000001</v>
      </c>
      <c r="V678">
        <v>97.44</v>
      </c>
      <c r="W678">
        <f>Europe_Sales_Records34[[#This Row],[Total Revenue]]/Europe_Sales_Records34[[#This Row],[Units Sold]]</f>
        <v>152.57999999999998</v>
      </c>
      <c r="X678">
        <v>1507490.4</v>
      </c>
      <c r="Y678">
        <v>962707.2</v>
      </c>
      <c r="Z678" s="4">
        <f>Europe_Sales_Records34[[#This Row],[Total Profit]]/Europe_Sales_Records34[[#This Row],[Total Revenue]]</f>
        <v>0.36138419189933146</v>
      </c>
      <c r="AA678">
        <v>544783.19999999995</v>
      </c>
    </row>
    <row r="679" spans="1:27" x14ac:dyDescent="0.3">
      <c r="A679" t="s">
        <v>14</v>
      </c>
      <c r="B679" t="s">
        <v>342</v>
      </c>
      <c r="C679" t="s">
        <v>37</v>
      </c>
      <c r="D679" t="s">
        <v>23</v>
      </c>
      <c r="E679" t="s">
        <v>54</v>
      </c>
      <c r="F679" t="s">
        <v>971</v>
      </c>
      <c r="G679" s="2">
        <f t="shared" si="20"/>
        <v>42670</v>
      </c>
      <c r="H679">
        <f>DAY(Europe_Sales_Records34[[#This Row],[Order Date Fixed]])</f>
        <v>27</v>
      </c>
      <c r="I679" t="str">
        <f>TEXT(Europe_Sales_Records34[[#This Row],[Order Date Fixed]],"MMM")</f>
        <v>Oct</v>
      </c>
      <c r="J679">
        <f>YEAR(Europe_Sales_Records34[[#This Row],[Order Date Fixed]])</f>
        <v>2016</v>
      </c>
      <c r="K679" t="str">
        <f>TEXT(Europe_Sales_Records34[[#This Row],[Order Date Fixed]],"MMM-YYYY")</f>
        <v>Oct-2016</v>
      </c>
      <c r="L679">
        <v>481976497</v>
      </c>
      <c r="M679" s="2">
        <f t="shared" si="21"/>
        <v>42707</v>
      </c>
      <c r="N679">
        <f>DAY(Europe_Sales_Records34[[#This Row],[Ship Date Fixed]])</f>
        <v>3</v>
      </c>
      <c r="O679" t="str">
        <f>TEXT(Europe_Sales_Records34[[#This Row],[Ship Date Fixed]],"MMM")</f>
        <v>Dec</v>
      </c>
      <c r="P679">
        <f>YEAR(Europe_Sales_Records34[[#This Row],[Ship Date Fixed]])</f>
        <v>2016</v>
      </c>
      <c r="Q679" t="str">
        <f>TEXT(Europe_Sales_Records34[[#This Row],[Ship Date Fixed]],"MMM-YYYY")</f>
        <v>Dec-2016</v>
      </c>
      <c r="R679" t="s">
        <v>1162</v>
      </c>
      <c r="S679" s="3">
        <f>Europe_Sales_Records34[[#This Row],[Ship Date Fixed]]-Europe_Sales_Records34[[#This Row],[Order Date Fixed]]</f>
        <v>37</v>
      </c>
      <c r="T679">
        <v>6411</v>
      </c>
      <c r="U679">
        <v>9.33</v>
      </c>
      <c r="V679">
        <v>6.92</v>
      </c>
      <c r="W679">
        <f>Europe_Sales_Records34[[#This Row],[Total Revenue]]/Europe_Sales_Records34[[#This Row],[Units Sold]]</f>
        <v>9.33</v>
      </c>
      <c r="X679">
        <v>59814.63</v>
      </c>
      <c r="Y679">
        <v>44364.12</v>
      </c>
      <c r="Z679" s="4">
        <f>Europe_Sales_Records34[[#This Row],[Total Profit]]/Europe_Sales_Records34[[#This Row],[Total Revenue]]</f>
        <v>0.25830653804930331</v>
      </c>
      <c r="AA679">
        <v>15450.51</v>
      </c>
    </row>
    <row r="680" spans="1:27" x14ac:dyDescent="0.3">
      <c r="A680" t="s">
        <v>14</v>
      </c>
      <c r="B680" t="s">
        <v>61</v>
      </c>
      <c r="C680" t="s">
        <v>50</v>
      </c>
      <c r="D680" t="s">
        <v>23</v>
      </c>
      <c r="E680" t="s">
        <v>54</v>
      </c>
      <c r="F680" t="s">
        <v>1163</v>
      </c>
      <c r="G680" s="2">
        <f t="shared" si="20"/>
        <v>40473</v>
      </c>
      <c r="H680">
        <f>DAY(Europe_Sales_Records34[[#This Row],[Order Date Fixed]])</f>
        <v>22</v>
      </c>
      <c r="I680" t="str">
        <f>TEXT(Europe_Sales_Records34[[#This Row],[Order Date Fixed]],"MMM")</f>
        <v>Oct</v>
      </c>
      <c r="J680">
        <f>YEAR(Europe_Sales_Records34[[#This Row],[Order Date Fixed]])</f>
        <v>2010</v>
      </c>
      <c r="K680" t="str">
        <f>TEXT(Europe_Sales_Records34[[#This Row],[Order Date Fixed]],"MMM-YYYY")</f>
        <v>Oct-2010</v>
      </c>
      <c r="L680">
        <v>168979442</v>
      </c>
      <c r="M680" s="2">
        <f t="shared" si="21"/>
        <v>40522</v>
      </c>
      <c r="N680">
        <f>DAY(Europe_Sales_Records34[[#This Row],[Ship Date Fixed]])</f>
        <v>10</v>
      </c>
      <c r="O680" t="str">
        <f>TEXT(Europe_Sales_Records34[[#This Row],[Ship Date Fixed]],"MMM")</f>
        <v>Dec</v>
      </c>
      <c r="P680">
        <f>YEAR(Europe_Sales_Records34[[#This Row],[Ship Date Fixed]])</f>
        <v>2010</v>
      </c>
      <c r="Q680" t="str">
        <f>TEXT(Europe_Sales_Records34[[#This Row],[Ship Date Fixed]],"MMM-YYYY")</f>
        <v>Dec-2010</v>
      </c>
      <c r="R680" t="s">
        <v>996</v>
      </c>
      <c r="S680" s="3">
        <f>Europe_Sales_Records34[[#This Row],[Ship Date Fixed]]-Europe_Sales_Records34[[#This Row],[Order Date Fixed]]</f>
        <v>49</v>
      </c>
      <c r="T680">
        <v>3627</v>
      </c>
      <c r="U680">
        <v>421.89</v>
      </c>
      <c r="V680">
        <v>364.69</v>
      </c>
      <c r="W680">
        <f>Europe_Sales_Records34[[#This Row],[Total Revenue]]/Europe_Sales_Records34[[#This Row],[Units Sold]]</f>
        <v>421.89</v>
      </c>
      <c r="X680">
        <v>1530195.03</v>
      </c>
      <c r="Y680">
        <v>1322730.6299999999</v>
      </c>
      <c r="Z680" s="4">
        <f>Europe_Sales_Records34[[#This Row],[Total Profit]]/Europe_Sales_Records34[[#This Row],[Total Revenue]]</f>
        <v>0.13558036455000119</v>
      </c>
      <c r="AA680">
        <v>207464.4</v>
      </c>
    </row>
    <row r="681" spans="1:27" x14ac:dyDescent="0.3">
      <c r="A681" t="s">
        <v>14</v>
      </c>
      <c r="B681" t="s">
        <v>141</v>
      </c>
      <c r="C681" t="s">
        <v>71</v>
      </c>
      <c r="D681" t="s">
        <v>23</v>
      </c>
      <c r="E681" t="s">
        <v>33</v>
      </c>
      <c r="F681" t="s">
        <v>1164</v>
      </c>
      <c r="G681" s="2">
        <f t="shared" si="20"/>
        <v>40532</v>
      </c>
      <c r="H681">
        <f>DAY(Europe_Sales_Records34[[#This Row],[Order Date Fixed]])</f>
        <v>20</v>
      </c>
      <c r="I681" t="str">
        <f>TEXT(Europe_Sales_Records34[[#This Row],[Order Date Fixed]],"MMM")</f>
        <v>Dec</v>
      </c>
      <c r="J681">
        <f>YEAR(Europe_Sales_Records34[[#This Row],[Order Date Fixed]])</f>
        <v>2010</v>
      </c>
      <c r="K681" t="str">
        <f>TEXT(Europe_Sales_Records34[[#This Row],[Order Date Fixed]],"MMM-YYYY")</f>
        <v>Dec-2010</v>
      </c>
      <c r="L681">
        <v>570476520</v>
      </c>
      <c r="M681" s="2">
        <f t="shared" si="21"/>
        <v>40536</v>
      </c>
      <c r="N681">
        <f>DAY(Europe_Sales_Records34[[#This Row],[Ship Date Fixed]])</f>
        <v>24</v>
      </c>
      <c r="O681" t="str">
        <f>TEXT(Europe_Sales_Records34[[#This Row],[Ship Date Fixed]],"MMM")</f>
        <v>Dec</v>
      </c>
      <c r="P681">
        <f>YEAR(Europe_Sales_Records34[[#This Row],[Ship Date Fixed]])</f>
        <v>2010</v>
      </c>
      <c r="Q681" t="str">
        <f>TEXT(Europe_Sales_Records34[[#This Row],[Ship Date Fixed]],"MMM-YYYY")</f>
        <v>Dec-2010</v>
      </c>
      <c r="R681" t="s">
        <v>1165</v>
      </c>
      <c r="S681" s="3">
        <f>Europe_Sales_Records34[[#This Row],[Ship Date Fixed]]-Europe_Sales_Records34[[#This Row],[Order Date Fixed]]</f>
        <v>4</v>
      </c>
      <c r="T681">
        <v>5534</v>
      </c>
      <c r="U681">
        <v>668.27</v>
      </c>
      <c r="V681">
        <v>502.54</v>
      </c>
      <c r="W681">
        <f>Europe_Sales_Records34[[#This Row],[Total Revenue]]/Europe_Sales_Records34[[#This Row],[Units Sold]]</f>
        <v>668.27</v>
      </c>
      <c r="X681">
        <v>3698206.18</v>
      </c>
      <c r="Y681">
        <v>2781056.36</v>
      </c>
      <c r="Z681" s="4">
        <f>Europe_Sales_Records34[[#This Row],[Total Profit]]/Europe_Sales_Records34[[#This Row],[Total Revenue]]</f>
        <v>0.24799856345489096</v>
      </c>
      <c r="AA681">
        <v>917149.82</v>
      </c>
    </row>
    <row r="682" spans="1:27" x14ac:dyDescent="0.3">
      <c r="A682" t="s">
        <v>14</v>
      </c>
      <c r="B682" t="s">
        <v>53</v>
      </c>
      <c r="C682" t="s">
        <v>28</v>
      </c>
      <c r="D682" t="s">
        <v>23</v>
      </c>
      <c r="E682" t="s">
        <v>54</v>
      </c>
      <c r="F682" t="s">
        <v>417</v>
      </c>
      <c r="G682" s="2">
        <f t="shared" si="20"/>
        <v>41468</v>
      </c>
      <c r="H682">
        <f>DAY(Europe_Sales_Records34[[#This Row],[Order Date Fixed]])</f>
        <v>13</v>
      </c>
      <c r="I682" t="str">
        <f>TEXT(Europe_Sales_Records34[[#This Row],[Order Date Fixed]],"MMM")</f>
        <v>Jul</v>
      </c>
      <c r="J682">
        <f>YEAR(Europe_Sales_Records34[[#This Row],[Order Date Fixed]])</f>
        <v>2013</v>
      </c>
      <c r="K682" t="str">
        <f>TEXT(Europe_Sales_Records34[[#This Row],[Order Date Fixed]],"MMM-YYYY")</f>
        <v>Jul-2013</v>
      </c>
      <c r="L682">
        <v>144282948</v>
      </c>
      <c r="M682" s="2">
        <f t="shared" si="21"/>
        <v>41487</v>
      </c>
      <c r="N682">
        <f>DAY(Europe_Sales_Records34[[#This Row],[Ship Date Fixed]])</f>
        <v>1</v>
      </c>
      <c r="O682" t="str">
        <f>TEXT(Europe_Sales_Records34[[#This Row],[Ship Date Fixed]],"MMM")</f>
        <v>Aug</v>
      </c>
      <c r="P682">
        <f>YEAR(Europe_Sales_Records34[[#This Row],[Ship Date Fixed]])</f>
        <v>2013</v>
      </c>
      <c r="Q682" t="str">
        <f>TEXT(Europe_Sales_Records34[[#This Row],[Ship Date Fixed]],"MMM-YYYY")</f>
        <v>Aug-2013</v>
      </c>
      <c r="R682" t="s">
        <v>1166</v>
      </c>
      <c r="S682" s="3">
        <f>Europe_Sales_Records34[[#This Row],[Ship Date Fixed]]-Europe_Sales_Records34[[#This Row],[Order Date Fixed]]</f>
        <v>19</v>
      </c>
      <c r="T682">
        <v>5386</v>
      </c>
      <c r="U682">
        <v>205.7</v>
      </c>
      <c r="V682">
        <v>117.11</v>
      </c>
      <c r="W682">
        <f>Europe_Sales_Records34[[#This Row],[Total Revenue]]/Europe_Sales_Records34[[#This Row],[Units Sold]]</f>
        <v>205.7</v>
      </c>
      <c r="X682">
        <v>1107900.2</v>
      </c>
      <c r="Y682">
        <v>630754.46</v>
      </c>
      <c r="Z682" s="4">
        <f>Europe_Sales_Records34[[#This Row],[Total Profit]]/Europe_Sales_Records34[[#This Row],[Total Revenue]]</f>
        <v>0.43067574137092857</v>
      </c>
      <c r="AA682">
        <v>477145.74</v>
      </c>
    </row>
    <row r="683" spans="1:27" x14ac:dyDescent="0.3">
      <c r="A683" t="s">
        <v>14</v>
      </c>
      <c r="B683" t="s">
        <v>70</v>
      </c>
      <c r="C683" t="s">
        <v>16</v>
      </c>
      <c r="D683" t="s">
        <v>23</v>
      </c>
      <c r="E683" t="s">
        <v>24</v>
      </c>
      <c r="F683" t="s">
        <v>1167</v>
      </c>
      <c r="G683" s="2">
        <f t="shared" si="20"/>
        <v>41557</v>
      </c>
      <c r="H683">
        <f>DAY(Europe_Sales_Records34[[#This Row],[Order Date Fixed]])</f>
        <v>10</v>
      </c>
      <c r="I683" t="str">
        <f>TEXT(Europe_Sales_Records34[[#This Row],[Order Date Fixed]],"MMM")</f>
        <v>Oct</v>
      </c>
      <c r="J683">
        <f>YEAR(Europe_Sales_Records34[[#This Row],[Order Date Fixed]])</f>
        <v>2013</v>
      </c>
      <c r="K683" t="str">
        <f>TEXT(Europe_Sales_Records34[[#This Row],[Order Date Fixed]],"MMM-YYYY")</f>
        <v>Oct-2013</v>
      </c>
      <c r="L683">
        <v>797202146</v>
      </c>
      <c r="M683" s="2">
        <f t="shared" si="21"/>
        <v>41595</v>
      </c>
      <c r="N683">
        <f>DAY(Europe_Sales_Records34[[#This Row],[Ship Date Fixed]])</f>
        <v>17</v>
      </c>
      <c r="O683" t="str">
        <f>TEXT(Europe_Sales_Records34[[#This Row],[Ship Date Fixed]],"MMM")</f>
        <v>Nov</v>
      </c>
      <c r="P683">
        <f>YEAR(Europe_Sales_Records34[[#This Row],[Ship Date Fixed]])</f>
        <v>2013</v>
      </c>
      <c r="Q683" t="str">
        <f>TEXT(Europe_Sales_Records34[[#This Row],[Ship Date Fixed]],"MMM-YYYY")</f>
        <v>Nov-2013</v>
      </c>
      <c r="R683" t="s">
        <v>1168</v>
      </c>
      <c r="S683" s="3">
        <f>Europe_Sales_Records34[[#This Row],[Ship Date Fixed]]-Europe_Sales_Records34[[#This Row],[Order Date Fixed]]</f>
        <v>38</v>
      </c>
      <c r="T683">
        <v>8685</v>
      </c>
      <c r="U683">
        <v>47.45</v>
      </c>
      <c r="V683">
        <v>31.79</v>
      </c>
      <c r="W683">
        <f>Europe_Sales_Records34[[#This Row],[Total Revenue]]/Europe_Sales_Records34[[#This Row],[Units Sold]]</f>
        <v>47.45</v>
      </c>
      <c r="X683">
        <v>412103.25</v>
      </c>
      <c r="Y683">
        <v>276096.15000000002</v>
      </c>
      <c r="Z683" s="4">
        <f>Europe_Sales_Records34[[#This Row],[Total Profit]]/Europe_Sales_Records34[[#This Row],[Total Revenue]]</f>
        <v>0.33003161222339306</v>
      </c>
      <c r="AA683">
        <v>136007.1</v>
      </c>
    </row>
    <row r="684" spans="1:27" x14ac:dyDescent="0.3">
      <c r="A684" t="s">
        <v>14</v>
      </c>
      <c r="B684" t="s">
        <v>135</v>
      </c>
      <c r="C684" t="s">
        <v>37</v>
      </c>
      <c r="D684" t="s">
        <v>17</v>
      </c>
      <c r="E684" t="s">
        <v>18</v>
      </c>
      <c r="F684" t="s">
        <v>1169</v>
      </c>
      <c r="G684" s="2">
        <f t="shared" si="20"/>
        <v>42477</v>
      </c>
      <c r="H684">
        <f>DAY(Europe_Sales_Records34[[#This Row],[Order Date Fixed]])</f>
        <v>17</v>
      </c>
      <c r="I684" t="str">
        <f>TEXT(Europe_Sales_Records34[[#This Row],[Order Date Fixed]],"MMM")</f>
        <v>Apr</v>
      </c>
      <c r="J684">
        <f>YEAR(Europe_Sales_Records34[[#This Row],[Order Date Fixed]])</f>
        <v>2016</v>
      </c>
      <c r="K684" t="str">
        <f>TEXT(Europe_Sales_Records34[[#This Row],[Order Date Fixed]],"MMM-YYYY")</f>
        <v>Apr-2016</v>
      </c>
      <c r="L684">
        <v>353492677</v>
      </c>
      <c r="M684" s="2">
        <f t="shared" si="21"/>
        <v>42513</v>
      </c>
      <c r="N684">
        <f>DAY(Europe_Sales_Records34[[#This Row],[Ship Date Fixed]])</f>
        <v>23</v>
      </c>
      <c r="O684" t="str">
        <f>TEXT(Europe_Sales_Records34[[#This Row],[Ship Date Fixed]],"MMM")</f>
        <v>May</v>
      </c>
      <c r="P684">
        <f>YEAR(Europe_Sales_Records34[[#This Row],[Ship Date Fixed]])</f>
        <v>2016</v>
      </c>
      <c r="Q684" t="str">
        <f>TEXT(Europe_Sales_Records34[[#This Row],[Ship Date Fixed]],"MMM-YYYY")</f>
        <v>May-2016</v>
      </c>
      <c r="R684" t="s">
        <v>1008</v>
      </c>
      <c r="S684" s="3">
        <f>Europe_Sales_Records34[[#This Row],[Ship Date Fixed]]-Europe_Sales_Records34[[#This Row],[Order Date Fixed]]</f>
        <v>36</v>
      </c>
      <c r="T684">
        <v>5193</v>
      </c>
      <c r="U684">
        <v>9.33</v>
      </c>
      <c r="V684">
        <v>6.92</v>
      </c>
      <c r="W684">
        <f>Europe_Sales_Records34[[#This Row],[Total Revenue]]/Europe_Sales_Records34[[#This Row],[Units Sold]]</f>
        <v>9.33</v>
      </c>
      <c r="X684">
        <v>48450.69</v>
      </c>
      <c r="Y684">
        <v>35935.56</v>
      </c>
      <c r="Z684" s="4">
        <f>Europe_Sales_Records34[[#This Row],[Total Profit]]/Europe_Sales_Records34[[#This Row],[Total Revenue]]</f>
        <v>0.25830653804930331</v>
      </c>
      <c r="AA684">
        <v>12515.13</v>
      </c>
    </row>
    <row r="685" spans="1:27" x14ac:dyDescent="0.3">
      <c r="A685" t="s">
        <v>14</v>
      </c>
      <c r="B685" t="s">
        <v>97</v>
      </c>
      <c r="C685" t="s">
        <v>75</v>
      </c>
      <c r="D685" t="s">
        <v>17</v>
      </c>
      <c r="E685" t="s">
        <v>24</v>
      </c>
      <c r="F685" t="s">
        <v>398</v>
      </c>
      <c r="G685" s="2">
        <f t="shared" si="20"/>
        <v>41667</v>
      </c>
      <c r="H685">
        <f>DAY(Europe_Sales_Records34[[#This Row],[Order Date Fixed]])</f>
        <v>28</v>
      </c>
      <c r="I685" t="str">
        <f>TEXT(Europe_Sales_Records34[[#This Row],[Order Date Fixed]],"MMM")</f>
        <v>Jan</v>
      </c>
      <c r="J685">
        <f>YEAR(Europe_Sales_Records34[[#This Row],[Order Date Fixed]])</f>
        <v>2014</v>
      </c>
      <c r="K685" t="str">
        <f>TEXT(Europe_Sales_Records34[[#This Row],[Order Date Fixed]],"MMM-YYYY")</f>
        <v>Jan-2014</v>
      </c>
      <c r="L685">
        <v>155086886</v>
      </c>
      <c r="M685" s="2">
        <f t="shared" si="21"/>
        <v>41675</v>
      </c>
      <c r="N685">
        <f>DAY(Europe_Sales_Records34[[#This Row],[Ship Date Fixed]])</f>
        <v>5</v>
      </c>
      <c r="O685" t="str">
        <f>TEXT(Europe_Sales_Records34[[#This Row],[Ship Date Fixed]],"MMM")</f>
        <v>Feb</v>
      </c>
      <c r="P685">
        <f>YEAR(Europe_Sales_Records34[[#This Row],[Ship Date Fixed]])</f>
        <v>2014</v>
      </c>
      <c r="Q685" t="str">
        <f>TEXT(Europe_Sales_Records34[[#This Row],[Ship Date Fixed]],"MMM-YYYY")</f>
        <v>Feb-2014</v>
      </c>
      <c r="R685" t="s">
        <v>1170</v>
      </c>
      <c r="S685" s="3">
        <f>Europe_Sales_Records34[[#This Row],[Ship Date Fixed]]-Europe_Sales_Records34[[#This Row],[Order Date Fixed]]</f>
        <v>8</v>
      </c>
      <c r="T685">
        <v>2511</v>
      </c>
      <c r="U685">
        <v>437.2</v>
      </c>
      <c r="V685">
        <v>263.33</v>
      </c>
      <c r="W685">
        <f>Europe_Sales_Records34[[#This Row],[Total Revenue]]/Europe_Sales_Records34[[#This Row],[Units Sold]]</f>
        <v>437.2</v>
      </c>
      <c r="X685">
        <v>1097809.2</v>
      </c>
      <c r="Y685">
        <v>661221.63</v>
      </c>
      <c r="Z685" s="4">
        <f>Europe_Sales_Records34[[#This Row],[Total Profit]]/Europe_Sales_Records34[[#This Row],[Total Revenue]]</f>
        <v>0.39768984446477584</v>
      </c>
      <c r="AA685">
        <v>436587.57</v>
      </c>
    </row>
    <row r="686" spans="1:27" x14ac:dyDescent="0.3">
      <c r="A686" t="s">
        <v>14</v>
      </c>
      <c r="B686" t="s">
        <v>70</v>
      </c>
      <c r="C686" t="s">
        <v>75</v>
      </c>
      <c r="D686" t="s">
        <v>23</v>
      </c>
      <c r="E686" t="s">
        <v>33</v>
      </c>
      <c r="F686" t="s">
        <v>1171</v>
      </c>
      <c r="G686" s="2">
        <f t="shared" si="20"/>
        <v>40480</v>
      </c>
      <c r="H686">
        <f>DAY(Europe_Sales_Records34[[#This Row],[Order Date Fixed]])</f>
        <v>29</v>
      </c>
      <c r="I686" t="str">
        <f>TEXT(Europe_Sales_Records34[[#This Row],[Order Date Fixed]],"MMM")</f>
        <v>Oct</v>
      </c>
      <c r="J686">
        <f>YEAR(Europe_Sales_Records34[[#This Row],[Order Date Fixed]])</f>
        <v>2010</v>
      </c>
      <c r="K686" t="str">
        <f>TEXT(Europe_Sales_Records34[[#This Row],[Order Date Fixed]],"MMM-YYYY")</f>
        <v>Oct-2010</v>
      </c>
      <c r="L686">
        <v>113524663</v>
      </c>
      <c r="M686" s="2">
        <f t="shared" si="21"/>
        <v>40521</v>
      </c>
      <c r="N686">
        <f>DAY(Europe_Sales_Records34[[#This Row],[Ship Date Fixed]])</f>
        <v>9</v>
      </c>
      <c r="O686" t="str">
        <f>TEXT(Europe_Sales_Records34[[#This Row],[Ship Date Fixed]],"MMM")</f>
        <v>Dec</v>
      </c>
      <c r="P686">
        <f>YEAR(Europe_Sales_Records34[[#This Row],[Ship Date Fixed]])</f>
        <v>2010</v>
      </c>
      <c r="Q686" t="str">
        <f>TEXT(Europe_Sales_Records34[[#This Row],[Ship Date Fixed]],"MMM-YYYY")</f>
        <v>Dec-2010</v>
      </c>
      <c r="R686" t="s">
        <v>1172</v>
      </c>
      <c r="S686" s="3">
        <f>Europe_Sales_Records34[[#This Row],[Ship Date Fixed]]-Europe_Sales_Records34[[#This Row],[Order Date Fixed]]</f>
        <v>41</v>
      </c>
      <c r="T686">
        <v>3325</v>
      </c>
      <c r="U686">
        <v>437.2</v>
      </c>
      <c r="V686">
        <v>263.33</v>
      </c>
      <c r="W686">
        <f>Europe_Sales_Records34[[#This Row],[Total Revenue]]/Europe_Sales_Records34[[#This Row],[Units Sold]]</f>
        <v>437.2</v>
      </c>
      <c r="X686">
        <v>1453690</v>
      </c>
      <c r="Y686">
        <v>875572.25</v>
      </c>
      <c r="Z686" s="4">
        <f>Europe_Sales_Records34[[#This Row],[Total Profit]]/Europe_Sales_Records34[[#This Row],[Total Revenue]]</f>
        <v>0.39768984446477584</v>
      </c>
      <c r="AA686">
        <v>578117.75</v>
      </c>
    </row>
    <row r="687" spans="1:27" x14ac:dyDescent="0.3">
      <c r="A687" t="s">
        <v>14</v>
      </c>
      <c r="B687" t="s">
        <v>220</v>
      </c>
      <c r="C687" t="s">
        <v>16</v>
      </c>
      <c r="D687" t="s">
        <v>17</v>
      </c>
      <c r="E687" t="s">
        <v>33</v>
      </c>
      <c r="F687" t="s">
        <v>1173</v>
      </c>
      <c r="G687" s="2">
        <f t="shared" si="20"/>
        <v>41556</v>
      </c>
      <c r="H687">
        <f>DAY(Europe_Sales_Records34[[#This Row],[Order Date Fixed]])</f>
        <v>9</v>
      </c>
      <c r="I687" t="str">
        <f>TEXT(Europe_Sales_Records34[[#This Row],[Order Date Fixed]],"MMM")</f>
        <v>Oct</v>
      </c>
      <c r="J687">
        <f>YEAR(Europe_Sales_Records34[[#This Row],[Order Date Fixed]])</f>
        <v>2013</v>
      </c>
      <c r="K687" t="str">
        <f>TEXT(Europe_Sales_Records34[[#This Row],[Order Date Fixed]],"MMM-YYYY")</f>
        <v>Oct-2013</v>
      </c>
      <c r="L687">
        <v>932475602</v>
      </c>
      <c r="M687" s="2">
        <f t="shared" si="21"/>
        <v>41599</v>
      </c>
      <c r="N687">
        <f>DAY(Europe_Sales_Records34[[#This Row],[Ship Date Fixed]])</f>
        <v>21</v>
      </c>
      <c r="O687" t="str">
        <f>TEXT(Europe_Sales_Records34[[#This Row],[Ship Date Fixed]],"MMM")</f>
        <v>Nov</v>
      </c>
      <c r="P687">
        <f>YEAR(Europe_Sales_Records34[[#This Row],[Ship Date Fixed]])</f>
        <v>2013</v>
      </c>
      <c r="Q687" t="str">
        <f>TEXT(Europe_Sales_Records34[[#This Row],[Ship Date Fixed]],"MMM-YYYY")</f>
        <v>Nov-2013</v>
      </c>
      <c r="R687" t="s">
        <v>1174</v>
      </c>
      <c r="S687" s="3">
        <f>Europe_Sales_Records34[[#This Row],[Ship Date Fixed]]-Europe_Sales_Records34[[#This Row],[Order Date Fixed]]</f>
        <v>43</v>
      </c>
      <c r="T687">
        <v>9107</v>
      </c>
      <c r="U687">
        <v>47.45</v>
      </c>
      <c r="V687">
        <v>31.79</v>
      </c>
      <c r="W687">
        <f>Europe_Sales_Records34[[#This Row],[Total Revenue]]/Europe_Sales_Records34[[#This Row],[Units Sold]]</f>
        <v>47.45</v>
      </c>
      <c r="X687">
        <v>432127.15</v>
      </c>
      <c r="Y687">
        <v>289511.53000000003</v>
      </c>
      <c r="Z687" s="4">
        <f>Europe_Sales_Records34[[#This Row],[Total Profit]]/Europe_Sales_Records34[[#This Row],[Total Revenue]]</f>
        <v>0.330031612223393</v>
      </c>
      <c r="AA687">
        <v>142615.62</v>
      </c>
    </row>
    <row r="688" spans="1:27" x14ac:dyDescent="0.3">
      <c r="A688" t="s">
        <v>14</v>
      </c>
      <c r="B688" t="s">
        <v>70</v>
      </c>
      <c r="C688" t="s">
        <v>32</v>
      </c>
      <c r="D688" t="s">
        <v>17</v>
      </c>
      <c r="E688" t="s">
        <v>33</v>
      </c>
      <c r="F688" t="s">
        <v>1175</v>
      </c>
      <c r="G688" s="2">
        <f t="shared" si="20"/>
        <v>42024</v>
      </c>
      <c r="H688">
        <f>DAY(Europe_Sales_Records34[[#This Row],[Order Date Fixed]])</f>
        <v>20</v>
      </c>
      <c r="I688" t="str">
        <f>TEXT(Europe_Sales_Records34[[#This Row],[Order Date Fixed]],"MMM")</f>
        <v>Jan</v>
      </c>
      <c r="J688">
        <f>YEAR(Europe_Sales_Records34[[#This Row],[Order Date Fixed]])</f>
        <v>2015</v>
      </c>
      <c r="K688" t="str">
        <f>TEXT(Europe_Sales_Records34[[#This Row],[Order Date Fixed]],"MMM-YYYY")</f>
        <v>Jan-2015</v>
      </c>
      <c r="L688">
        <v>282917964</v>
      </c>
      <c r="M688" s="2">
        <f t="shared" si="21"/>
        <v>42031</v>
      </c>
      <c r="N688">
        <f>DAY(Europe_Sales_Records34[[#This Row],[Ship Date Fixed]])</f>
        <v>27</v>
      </c>
      <c r="O688" t="str">
        <f>TEXT(Europe_Sales_Records34[[#This Row],[Ship Date Fixed]],"MMM")</f>
        <v>Jan</v>
      </c>
      <c r="P688">
        <f>YEAR(Europe_Sales_Records34[[#This Row],[Ship Date Fixed]])</f>
        <v>2015</v>
      </c>
      <c r="Q688" t="str">
        <f>TEXT(Europe_Sales_Records34[[#This Row],[Ship Date Fixed]],"MMM-YYYY")</f>
        <v>Jan-2015</v>
      </c>
      <c r="R688" t="s">
        <v>1176</v>
      </c>
      <c r="S688" s="3">
        <f>Europe_Sales_Records34[[#This Row],[Ship Date Fixed]]-Europe_Sales_Records34[[#This Row],[Order Date Fixed]]</f>
        <v>7</v>
      </c>
      <c r="T688">
        <v>567</v>
      </c>
      <c r="U688">
        <v>651.21</v>
      </c>
      <c r="V688">
        <v>524.96</v>
      </c>
      <c r="W688">
        <f>Europe_Sales_Records34[[#This Row],[Total Revenue]]/Europe_Sales_Records34[[#This Row],[Units Sold]]</f>
        <v>651.21</v>
      </c>
      <c r="X688">
        <v>369236.07</v>
      </c>
      <c r="Y688">
        <v>297652.32</v>
      </c>
      <c r="Z688" s="4">
        <f>Europe_Sales_Records34[[#This Row],[Total Profit]]/Europe_Sales_Records34[[#This Row],[Total Revenue]]</f>
        <v>0.19386987300563566</v>
      </c>
      <c r="AA688">
        <v>71583.75</v>
      </c>
    </row>
    <row r="689" spans="1:27" x14ac:dyDescent="0.3">
      <c r="A689" t="s">
        <v>14</v>
      </c>
      <c r="B689" t="s">
        <v>232</v>
      </c>
      <c r="C689" t="s">
        <v>64</v>
      </c>
      <c r="D689" t="s">
        <v>17</v>
      </c>
      <c r="E689" t="s">
        <v>18</v>
      </c>
      <c r="F689" t="s">
        <v>1177</v>
      </c>
      <c r="G689" s="2">
        <f t="shared" si="20"/>
        <v>41452</v>
      </c>
      <c r="H689">
        <f>DAY(Europe_Sales_Records34[[#This Row],[Order Date Fixed]])</f>
        <v>27</v>
      </c>
      <c r="I689" t="str">
        <f>TEXT(Europe_Sales_Records34[[#This Row],[Order Date Fixed]],"MMM")</f>
        <v>Jun</v>
      </c>
      <c r="J689">
        <f>YEAR(Europe_Sales_Records34[[#This Row],[Order Date Fixed]])</f>
        <v>2013</v>
      </c>
      <c r="K689" t="str">
        <f>TEXT(Europe_Sales_Records34[[#This Row],[Order Date Fixed]],"MMM-YYYY")</f>
        <v>Jun-2013</v>
      </c>
      <c r="L689">
        <v>775347936</v>
      </c>
      <c r="M689" s="2">
        <f t="shared" si="21"/>
        <v>41463</v>
      </c>
      <c r="N689">
        <f>DAY(Europe_Sales_Records34[[#This Row],[Ship Date Fixed]])</f>
        <v>8</v>
      </c>
      <c r="O689" t="str">
        <f>TEXT(Europe_Sales_Records34[[#This Row],[Ship Date Fixed]],"MMM")</f>
        <v>Jul</v>
      </c>
      <c r="P689">
        <f>YEAR(Europe_Sales_Records34[[#This Row],[Ship Date Fixed]])</f>
        <v>2013</v>
      </c>
      <c r="Q689" t="str">
        <f>TEXT(Europe_Sales_Records34[[#This Row],[Ship Date Fixed]],"MMM-YYYY")</f>
        <v>Jul-2013</v>
      </c>
      <c r="R689" t="s">
        <v>1178</v>
      </c>
      <c r="S689" s="3">
        <f>Europe_Sales_Records34[[#This Row],[Ship Date Fixed]]-Europe_Sales_Records34[[#This Row],[Order Date Fixed]]</f>
        <v>11</v>
      </c>
      <c r="T689">
        <v>1539</v>
      </c>
      <c r="U689">
        <v>255.28</v>
      </c>
      <c r="V689">
        <v>159.41999999999999</v>
      </c>
      <c r="W689">
        <f>Europe_Sales_Records34[[#This Row],[Total Revenue]]/Europe_Sales_Records34[[#This Row],[Units Sold]]</f>
        <v>255.28</v>
      </c>
      <c r="X689">
        <v>392875.92</v>
      </c>
      <c r="Y689">
        <v>245347.38</v>
      </c>
      <c r="Z689" s="4">
        <f>Europe_Sales_Records34[[#This Row],[Total Profit]]/Europe_Sales_Records34[[#This Row],[Total Revenue]]</f>
        <v>0.37550924475086184</v>
      </c>
      <c r="AA689">
        <v>147528.54</v>
      </c>
    </row>
    <row r="690" spans="1:27" x14ac:dyDescent="0.3">
      <c r="A690" t="s">
        <v>14</v>
      </c>
      <c r="B690" t="s">
        <v>31</v>
      </c>
      <c r="C690" t="s">
        <v>64</v>
      </c>
      <c r="D690" t="s">
        <v>17</v>
      </c>
      <c r="E690" t="s">
        <v>18</v>
      </c>
      <c r="F690" t="s">
        <v>1179</v>
      </c>
      <c r="G690" s="2">
        <f t="shared" si="20"/>
        <v>40439</v>
      </c>
      <c r="H690">
        <f>DAY(Europe_Sales_Records34[[#This Row],[Order Date Fixed]])</f>
        <v>18</v>
      </c>
      <c r="I690" t="str">
        <f>TEXT(Europe_Sales_Records34[[#This Row],[Order Date Fixed]],"MMM")</f>
        <v>Sep</v>
      </c>
      <c r="J690">
        <f>YEAR(Europe_Sales_Records34[[#This Row],[Order Date Fixed]])</f>
        <v>2010</v>
      </c>
      <c r="K690" t="str">
        <f>TEXT(Europe_Sales_Records34[[#This Row],[Order Date Fixed]],"MMM-YYYY")</f>
        <v>Sep-2010</v>
      </c>
      <c r="L690">
        <v>980381143</v>
      </c>
      <c r="M690" s="2">
        <f t="shared" si="21"/>
        <v>40447</v>
      </c>
      <c r="N690">
        <f>DAY(Europe_Sales_Records34[[#This Row],[Ship Date Fixed]])</f>
        <v>26</v>
      </c>
      <c r="O690" t="str">
        <f>TEXT(Europe_Sales_Records34[[#This Row],[Ship Date Fixed]],"MMM")</f>
        <v>Sep</v>
      </c>
      <c r="P690">
        <f>YEAR(Europe_Sales_Records34[[#This Row],[Ship Date Fixed]])</f>
        <v>2010</v>
      </c>
      <c r="Q690" t="str">
        <f>TEXT(Europe_Sales_Records34[[#This Row],[Ship Date Fixed]],"MMM-YYYY")</f>
        <v>Sep-2010</v>
      </c>
      <c r="R690" t="s">
        <v>1147</v>
      </c>
      <c r="S690" s="3">
        <f>Europe_Sales_Records34[[#This Row],[Ship Date Fixed]]-Europe_Sales_Records34[[#This Row],[Order Date Fixed]]</f>
        <v>8</v>
      </c>
      <c r="T690">
        <v>5421</v>
      </c>
      <c r="U690">
        <v>255.28</v>
      </c>
      <c r="V690">
        <v>159.41999999999999</v>
      </c>
      <c r="W690">
        <f>Europe_Sales_Records34[[#This Row],[Total Revenue]]/Europe_Sales_Records34[[#This Row],[Units Sold]]</f>
        <v>255.27999999999997</v>
      </c>
      <c r="X690">
        <v>1383872.88</v>
      </c>
      <c r="Y690">
        <v>864215.82</v>
      </c>
      <c r="Z690" s="4">
        <f>Europe_Sales_Records34[[#This Row],[Total Profit]]/Europe_Sales_Records34[[#This Row],[Total Revenue]]</f>
        <v>0.37550924475086184</v>
      </c>
      <c r="AA690">
        <v>519657.06</v>
      </c>
    </row>
    <row r="691" spans="1:27" x14ac:dyDescent="0.3">
      <c r="A691" t="s">
        <v>14</v>
      </c>
      <c r="B691" t="s">
        <v>264</v>
      </c>
      <c r="C691" t="s">
        <v>75</v>
      </c>
      <c r="D691" t="s">
        <v>17</v>
      </c>
      <c r="E691" t="s">
        <v>24</v>
      </c>
      <c r="F691" t="s">
        <v>1180</v>
      </c>
      <c r="G691" s="2">
        <f t="shared" si="20"/>
        <v>40184</v>
      </c>
      <c r="H691">
        <f>DAY(Europe_Sales_Records34[[#This Row],[Order Date Fixed]])</f>
        <v>6</v>
      </c>
      <c r="I691" t="str">
        <f>TEXT(Europe_Sales_Records34[[#This Row],[Order Date Fixed]],"MMM")</f>
        <v>Jan</v>
      </c>
      <c r="J691">
        <f>YEAR(Europe_Sales_Records34[[#This Row],[Order Date Fixed]])</f>
        <v>2010</v>
      </c>
      <c r="K691" t="str">
        <f>TEXT(Europe_Sales_Records34[[#This Row],[Order Date Fixed]],"MMM-YYYY")</f>
        <v>Jan-2010</v>
      </c>
      <c r="L691">
        <v>521874034</v>
      </c>
      <c r="M691" s="2">
        <f t="shared" si="21"/>
        <v>40212</v>
      </c>
      <c r="N691">
        <f>DAY(Europe_Sales_Records34[[#This Row],[Ship Date Fixed]])</f>
        <v>3</v>
      </c>
      <c r="O691" t="str">
        <f>TEXT(Europe_Sales_Records34[[#This Row],[Ship Date Fixed]],"MMM")</f>
        <v>Feb</v>
      </c>
      <c r="P691">
        <f>YEAR(Europe_Sales_Records34[[#This Row],[Ship Date Fixed]])</f>
        <v>2010</v>
      </c>
      <c r="Q691" t="str">
        <f>TEXT(Europe_Sales_Records34[[#This Row],[Ship Date Fixed]],"MMM-YYYY")</f>
        <v>Feb-2010</v>
      </c>
      <c r="R691" t="s">
        <v>831</v>
      </c>
      <c r="S691" s="3">
        <f>Europe_Sales_Records34[[#This Row],[Ship Date Fixed]]-Europe_Sales_Records34[[#This Row],[Order Date Fixed]]</f>
        <v>28</v>
      </c>
      <c r="T691">
        <v>2979</v>
      </c>
      <c r="U691">
        <v>437.2</v>
      </c>
      <c r="V691">
        <v>263.33</v>
      </c>
      <c r="W691">
        <f>Europe_Sales_Records34[[#This Row],[Total Revenue]]/Europe_Sales_Records34[[#This Row],[Units Sold]]</f>
        <v>437.2</v>
      </c>
      <c r="X691">
        <v>1302418.8</v>
      </c>
      <c r="Y691">
        <v>784460.07</v>
      </c>
      <c r="Z691" s="4">
        <f>Europe_Sales_Records34[[#This Row],[Total Profit]]/Europe_Sales_Records34[[#This Row],[Total Revenue]]</f>
        <v>0.39768984446477584</v>
      </c>
      <c r="AA691">
        <v>517958.73</v>
      </c>
    </row>
    <row r="692" spans="1:27" x14ac:dyDescent="0.3">
      <c r="A692" t="s">
        <v>14</v>
      </c>
      <c r="B692" t="s">
        <v>223</v>
      </c>
      <c r="C692" t="s">
        <v>75</v>
      </c>
      <c r="D692" t="s">
        <v>23</v>
      </c>
      <c r="E692" t="s">
        <v>24</v>
      </c>
      <c r="F692" t="s">
        <v>403</v>
      </c>
      <c r="G692" s="2">
        <f t="shared" si="20"/>
        <v>42841</v>
      </c>
      <c r="H692">
        <f>DAY(Europe_Sales_Records34[[#This Row],[Order Date Fixed]])</f>
        <v>16</v>
      </c>
      <c r="I692" t="str">
        <f>TEXT(Europe_Sales_Records34[[#This Row],[Order Date Fixed]],"MMM")</f>
        <v>Apr</v>
      </c>
      <c r="J692">
        <f>YEAR(Europe_Sales_Records34[[#This Row],[Order Date Fixed]])</f>
        <v>2017</v>
      </c>
      <c r="K692" t="str">
        <f>TEXT(Europe_Sales_Records34[[#This Row],[Order Date Fixed]],"MMM-YYYY")</f>
        <v>Apr-2017</v>
      </c>
      <c r="L692">
        <v>186847674</v>
      </c>
      <c r="M692" s="2">
        <f t="shared" si="21"/>
        <v>42848</v>
      </c>
      <c r="N692">
        <f>DAY(Europe_Sales_Records34[[#This Row],[Ship Date Fixed]])</f>
        <v>23</v>
      </c>
      <c r="O692" t="str">
        <f>TEXT(Europe_Sales_Records34[[#This Row],[Ship Date Fixed]],"MMM")</f>
        <v>Apr</v>
      </c>
      <c r="P692">
        <f>YEAR(Europe_Sales_Records34[[#This Row],[Ship Date Fixed]])</f>
        <v>2017</v>
      </c>
      <c r="Q692" t="str">
        <f>TEXT(Europe_Sales_Records34[[#This Row],[Ship Date Fixed]],"MMM-YYYY")</f>
        <v>Apr-2017</v>
      </c>
      <c r="R692" t="s">
        <v>1181</v>
      </c>
      <c r="S692" s="3">
        <f>Europe_Sales_Records34[[#This Row],[Ship Date Fixed]]-Europe_Sales_Records34[[#This Row],[Order Date Fixed]]</f>
        <v>7</v>
      </c>
      <c r="T692">
        <v>1234</v>
      </c>
      <c r="U692">
        <v>437.2</v>
      </c>
      <c r="V692">
        <v>263.33</v>
      </c>
      <c r="W692">
        <f>Europe_Sales_Records34[[#This Row],[Total Revenue]]/Europe_Sales_Records34[[#This Row],[Units Sold]]</f>
        <v>437.20000000000005</v>
      </c>
      <c r="X692">
        <v>539504.80000000005</v>
      </c>
      <c r="Y692">
        <v>324949.21999999997</v>
      </c>
      <c r="Z692" s="4">
        <f>Europe_Sales_Records34[[#This Row],[Total Profit]]/Europe_Sales_Records34[[#This Row],[Total Revenue]]</f>
        <v>0.39768984446477579</v>
      </c>
      <c r="AA692">
        <v>214555.58</v>
      </c>
    </row>
    <row r="693" spans="1:27" x14ac:dyDescent="0.3">
      <c r="A693" t="s">
        <v>14</v>
      </c>
      <c r="B693" t="s">
        <v>257</v>
      </c>
      <c r="C693" t="s">
        <v>37</v>
      </c>
      <c r="D693" t="s">
        <v>17</v>
      </c>
      <c r="E693" t="s">
        <v>54</v>
      </c>
      <c r="F693" t="s">
        <v>1182</v>
      </c>
      <c r="G693" s="2">
        <f t="shared" si="20"/>
        <v>42028</v>
      </c>
      <c r="H693">
        <f>DAY(Europe_Sales_Records34[[#This Row],[Order Date Fixed]])</f>
        <v>24</v>
      </c>
      <c r="I693" t="str">
        <f>TEXT(Europe_Sales_Records34[[#This Row],[Order Date Fixed]],"MMM")</f>
        <v>Jan</v>
      </c>
      <c r="J693">
        <f>YEAR(Europe_Sales_Records34[[#This Row],[Order Date Fixed]])</f>
        <v>2015</v>
      </c>
      <c r="K693" t="str">
        <f>TEXT(Europe_Sales_Records34[[#This Row],[Order Date Fixed]],"MMM-YYYY")</f>
        <v>Jan-2015</v>
      </c>
      <c r="L693">
        <v>117929494</v>
      </c>
      <c r="M693" s="2">
        <f t="shared" si="21"/>
        <v>42065</v>
      </c>
      <c r="N693">
        <f>DAY(Europe_Sales_Records34[[#This Row],[Ship Date Fixed]])</f>
        <v>2</v>
      </c>
      <c r="O693" t="str">
        <f>TEXT(Europe_Sales_Records34[[#This Row],[Ship Date Fixed]],"MMM")</f>
        <v>Mar</v>
      </c>
      <c r="P693">
        <f>YEAR(Europe_Sales_Records34[[#This Row],[Ship Date Fixed]])</f>
        <v>2015</v>
      </c>
      <c r="Q693" t="str">
        <f>TEXT(Europe_Sales_Records34[[#This Row],[Ship Date Fixed]],"MMM-YYYY")</f>
        <v>Mar-2015</v>
      </c>
      <c r="R693" t="s">
        <v>1183</v>
      </c>
      <c r="S693" s="3">
        <f>Europe_Sales_Records34[[#This Row],[Ship Date Fixed]]-Europe_Sales_Records34[[#This Row],[Order Date Fixed]]</f>
        <v>37</v>
      </c>
      <c r="T693">
        <v>6813</v>
      </c>
      <c r="U693">
        <v>9.33</v>
      </c>
      <c r="V693">
        <v>6.92</v>
      </c>
      <c r="W693">
        <f>Europe_Sales_Records34[[#This Row],[Total Revenue]]/Europe_Sales_Records34[[#This Row],[Units Sold]]</f>
        <v>9.33</v>
      </c>
      <c r="X693">
        <v>63565.29</v>
      </c>
      <c r="Y693">
        <v>47145.96</v>
      </c>
      <c r="Z693" s="4">
        <f>Europe_Sales_Records34[[#This Row],[Total Profit]]/Europe_Sales_Records34[[#This Row],[Total Revenue]]</f>
        <v>0.25830653804930337</v>
      </c>
      <c r="AA693">
        <v>16419.330000000002</v>
      </c>
    </row>
    <row r="694" spans="1:27" x14ac:dyDescent="0.3">
      <c r="A694" t="s">
        <v>14</v>
      </c>
      <c r="B694" t="s">
        <v>67</v>
      </c>
      <c r="C694" t="s">
        <v>16</v>
      </c>
      <c r="D694" t="s">
        <v>17</v>
      </c>
      <c r="E694" t="s">
        <v>24</v>
      </c>
      <c r="F694" t="s">
        <v>1184</v>
      </c>
      <c r="G694" s="2">
        <f t="shared" si="20"/>
        <v>42927</v>
      </c>
      <c r="H694">
        <f>DAY(Europe_Sales_Records34[[#This Row],[Order Date Fixed]])</f>
        <v>11</v>
      </c>
      <c r="I694" t="str">
        <f>TEXT(Europe_Sales_Records34[[#This Row],[Order Date Fixed]],"MMM")</f>
        <v>Jul</v>
      </c>
      <c r="J694">
        <f>YEAR(Europe_Sales_Records34[[#This Row],[Order Date Fixed]])</f>
        <v>2017</v>
      </c>
      <c r="K694" t="str">
        <f>TEXT(Europe_Sales_Records34[[#This Row],[Order Date Fixed]],"MMM-YYYY")</f>
        <v>Jul-2017</v>
      </c>
      <c r="L694">
        <v>786318385</v>
      </c>
      <c r="M694" s="2">
        <f t="shared" si="21"/>
        <v>42970</v>
      </c>
      <c r="N694">
        <f>DAY(Europe_Sales_Records34[[#This Row],[Ship Date Fixed]])</f>
        <v>23</v>
      </c>
      <c r="O694" t="str">
        <f>TEXT(Europe_Sales_Records34[[#This Row],[Ship Date Fixed]],"MMM")</f>
        <v>Aug</v>
      </c>
      <c r="P694">
        <f>YEAR(Europe_Sales_Records34[[#This Row],[Ship Date Fixed]])</f>
        <v>2017</v>
      </c>
      <c r="Q694" t="str">
        <f>TEXT(Europe_Sales_Records34[[#This Row],[Ship Date Fixed]],"MMM-YYYY")</f>
        <v>Aug-2017</v>
      </c>
      <c r="R694" t="s">
        <v>1185</v>
      </c>
      <c r="S694" s="3">
        <f>Europe_Sales_Records34[[#This Row],[Ship Date Fixed]]-Europe_Sales_Records34[[#This Row],[Order Date Fixed]]</f>
        <v>43</v>
      </c>
      <c r="T694">
        <v>7939</v>
      </c>
      <c r="U694">
        <v>47.45</v>
      </c>
      <c r="V694">
        <v>31.79</v>
      </c>
      <c r="W694">
        <f>Europe_Sales_Records34[[#This Row],[Total Revenue]]/Europe_Sales_Records34[[#This Row],[Units Sold]]</f>
        <v>47.449999999999996</v>
      </c>
      <c r="X694">
        <v>376705.55</v>
      </c>
      <c r="Y694">
        <v>252380.81</v>
      </c>
      <c r="Z694" s="4">
        <f>Europe_Sales_Records34[[#This Row],[Total Profit]]/Europe_Sales_Records34[[#This Row],[Total Revenue]]</f>
        <v>0.33003161222339306</v>
      </c>
      <c r="AA694">
        <v>124324.74</v>
      </c>
    </row>
    <row r="695" spans="1:27" x14ac:dyDescent="0.3">
      <c r="A695" t="s">
        <v>14</v>
      </c>
      <c r="B695" t="s">
        <v>27</v>
      </c>
      <c r="C695" t="s">
        <v>71</v>
      </c>
      <c r="D695" t="s">
        <v>23</v>
      </c>
      <c r="E695" t="s">
        <v>18</v>
      </c>
      <c r="F695" t="s">
        <v>1186</v>
      </c>
      <c r="G695" s="2">
        <f t="shared" si="20"/>
        <v>42267</v>
      </c>
      <c r="H695">
        <f>DAY(Europe_Sales_Records34[[#This Row],[Order Date Fixed]])</f>
        <v>20</v>
      </c>
      <c r="I695" t="str">
        <f>TEXT(Europe_Sales_Records34[[#This Row],[Order Date Fixed]],"MMM")</f>
        <v>Sep</v>
      </c>
      <c r="J695">
        <f>YEAR(Europe_Sales_Records34[[#This Row],[Order Date Fixed]])</f>
        <v>2015</v>
      </c>
      <c r="K695" t="str">
        <f>TEXT(Europe_Sales_Records34[[#This Row],[Order Date Fixed]],"MMM-YYYY")</f>
        <v>Sep-2015</v>
      </c>
      <c r="L695">
        <v>178604066</v>
      </c>
      <c r="M695" s="2">
        <f t="shared" si="21"/>
        <v>42295</v>
      </c>
      <c r="N695">
        <f>DAY(Europe_Sales_Records34[[#This Row],[Ship Date Fixed]])</f>
        <v>18</v>
      </c>
      <c r="O695" t="str">
        <f>TEXT(Europe_Sales_Records34[[#This Row],[Ship Date Fixed]],"MMM")</f>
        <v>Oct</v>
      </c>
      <c r="P695">
        <f>YEAR(Europe_Sales_Records34[[#This Row],[Ship Date Fixed]])</f>
        <v>2015</v>
      </c>
      <c r="Q695" t="str">
        <f>TEXT(Europe_Sales_Records34[[#This Row],[Ship Date Fixed]],"MMM-YYYY")</f>
        <v>Oct-2015</v>
      </c>
      <c r="R695" t="s">
        <v>1116</v>
      </c>
      <c r="S695" s="3">
        <f>Europe_Sales_Records34[[#This Row],[Ship Date Fixed]]-Europe_Sales_Records34[[#This Row],[Order Date Fixed]]</f>
        <v>28</v>
      </c>
      <c r="T695">
        <v>1767</v>
      </c>
      <c r="U695">
        <v>668.27</v>
      </c>
      <c r="V695">
        <v>502.54</v>
      </c>
      <c r="W695">
        <f>Europe_Sales_Records34[[#This Row],[Total Revenue]]/Europe_Sales_Records34[[#This Row],[Units Sold]]</f>
        <v>668.2700000000001</v>
      </c>
      <c r="X695">
        <v>1180833.0900000001</v>
      </c>
      <c r="Y695">
        <v>887988.18</v>
      </c>
      <c r="Z695" s="4">
        <f>Europe_Sales_Records34[[#This Row],[Total Profit]]/Europe_Sales_Records34[[#This Row],[Total Revenue]]</f>
        <v>0.24799856345489094</v>
      </c>
      <c r="AA695">
        <v>292844.90999999997</v>
      </c>
    </row>
    <row r="696" spans="1:27" x14ac:dyDescent="0.3">
      <c r="A696" t="s">
        <v>14</v>
      </c>
      <c r="B696" t="s">
        <v>31</v>
      </c>
      <c r="C696" t="s">
        <v>46</v>
      </c>
      <c r="D696" t="s">
        <v>17</v>
      </c>
      <c r="E696" t="s">
        <v>18</v>
      </c>
      <c r="F696" t="s">
        <v>373</v>
      </c>
      <c r="G696" s="2">
        <f t="shared" si="20"/>
        <v>41801</v>
      </c>
      <c r="H696">
        <f>DAY(Europe_Sales_Records34[[#This Row],[Order Date Fixed]])</f>
        <v>11</v>
      </c>
      <c r="I696" t="str">
        <f>TEXT(Europe_Sales_Records34[[#This Row],[Order Date Fixed]],"MMM")</f>
        <v>Jun</v>
      </c>
      <c r="J696">
        <f>YEAR(Europe_Sales_Records34[[#This Row],[Order Date Fixed]])</f>
        <v>2014</v>
      </c>
      <c r="K696" t="str">
        <f>TEXT(Europe_Sales_Records34[[#This Row],[Order Date Fixed]],"MMM-YYYY")</f>
        <v>Jun-2014</v>
      </c>
      <c r="L696">
        <v>651247489</v>
      </c>
      <c r="M696" s="2">
        <f t="shared" si="21"/>
        <v>41822</v>
      </c>
      <c r="N696">
        <f>DAY(Europe_Sales_Records34[[#This Row],[Ship Date Fixed]])</f>
        <v>2</v>
      </c>
      <c r="O696" t="str">
        <f>TEXT(Europe_Sales_Records34[[#This Row],[Ship Date Fixed]],"MMM")</f>
        <v>Jul</v>
      </c>
      <c r="P696">
        <f>YEAR(Europe_Sales_Records34[[#This Row],[Ship Date Fixed]])</f>
        <v>2014</v>
      </c>
      <c r="Q696" t="str">
        <f>TEXT(Europe_Sales_Records34[[#This Row],[Ship Date Fixed]],"MMM-YYYY")</f>
        <v>Jul-2014</v>
      </c>
      <c r="R696" t="s">
        <v>144</v>
      </c>
      <c r="S696" s="3">
        <f>Europe_Sales_Records34[[#This Row],[Ship Date Fixed]]-Europe_Sales_Records34[[#This Row],[Order Date Fixed]]</f>
        <v>21</v>
      </c>
      <c r="T696">
        <v>7459</v>
      </c>
      <c r="U696">
        <v>154.06</v>
      </c>
      <c r="V696">
        <v>90.93</v>
      </c>
      <c r="W696">
        <f>Europe_Sales_Records34[[#This Row],[Total Revenue]]/Europe_Sales_Records34[[#This Row],[Units Sold]]</f>
        <v>154.06</v>
      </c>
      <c r="X696">
        <v>1149133.54</v>
      </c>
      <c r="Y696">
        <v>678246.87</v>
      </c>
      <c r="Z696" s="4">
        <f>Europe_Sales_Records34[[#This Row],[Total Profit]]/Europe_Sales_Records34[[#This Row],[Total Revenue]]</f>
        <v>0.40977541217707386</v>
      </c>
      <c r="AA696">
        <v>470886.67</v>
      </c>
    </row>
    <row r="697" spans="1:27" x14ac:dyDescent="0.3">
      <c r="A697" t="s">
        <v>14</v>
      </c>
      <c r="B697" t="s">
        <v>105</v>
      </c>
      <c r="C697" t="s">
        <v>71</v>
      </c>
      <c r="D697" t="s">
        <v>23</v>
      </c>
      <c r="E697" t="s">
        <v>33</v>
      </c>
      <c r="F697" t="s">
        <v>1110</v>
      </c>
      <c r="G697" s="2">
        <f t="shared" si="20"/>
        <v>41353</v>
      </c>
      <c r="H697">
        <f>DAY(Europe_Sales_Records34[[#This Row],[Order Date Fixed]])</f>
        <v>20</v>
      </c>
      <c r="I697" t="str">
        <f>TEXT(Europe_Sales_Records34[[#This Row],[Order Date Fixed]],"MMM")</f>
        <v>Mar</v>
      </c>
      <c r="J697">
        <f>YEAR(Europe_Sales_Records34[[#This Row],[Order Date Fixed]])</f>
        <v>2013</v>
      </c>
      <c r="K697" t="str">
        <f>TEXT(Europe_Sales_Records34[[#This Row],[Order Date Fixed]],"MMM-YYYY")</f>
        <v>Mar-2013</v>
      </c>
      <c r="L697">
        <v>492353856</v>
      </c>
      <c r="M697" s="2">
        <f t="shared" si="21"/>
        <v>41375</v>
      </c>
      <c r="N697">
        <f>DAY(Europe_Sales_Records34[[#This Row],[Ship Date Fixed]])</f>
        <v>11</v>
      </c>
      <c r="O697" t="str">
        <f>TEXT(Europe_Sales_Records34[[#This Row],[Ship Date Fixed]],"MMM")</f>
        <v>Apr</v>
      </c>
      <c r="P697">
        <f>YEAR(Europe_Sales_Records34[[#This Row],[Ship Date Fixed]])</f>
        <v>2013</v>
      </c>
      <c r="Q697" t="str">
        <f>TEXT(Europe_Sales_Records34[[#This Row],[Ship Date Fixed]],"MMM-YYYY")</f>
        <v>Apr-2013</v>
      </c>
      <c r="R697" t="s">
        <v>688</v>
      </c>
      <c r="S697" s="3">
        <f>Europe_Sales_Records34[[#This Row],[Ship Date Fixed]]-Europe_Sales_Records34[[#This Row],[Order Date Fixed]]</f>
        <v>22</v>
      </c>
      <c r="T697">
        <v>7302</v>
      </c>
      <c r="U697">
        <v>668.27</v>
      </c>
      <c r="V697">
        <v>502.54</v>
      </c>
      <c r="W697">
        <f>Europe_Sales_Records34[[#This Row],[Total Revenue]]/Europe_Sales_Records34[[#This Row],[Units Sold]]</f>
        <v>668.27</v>
      </c>
      <c r="X697">
        <v>4879707.54</v>
      </c>
      <c r="Y697">
        <v>3669547.08</v>
      </c>
      <c r="Z697" s="4">
        <f>Europe_Sales_Records34[[#This Row],[Total Profit]]/Europe_Sales_Records34[[#This Row],[Total Revenue]]</f>
        <v>0.24799856345489099</v>
      </c>
      <c r="AA697">
        <v>1210160.46</v>
      </c>
    </row>
    <row r="698" spans="1:27" x14ac:dyDescent="0.3">
      <c r="A698" t="s">
        <v>14</v>
      </c>
      <c r="B698" t="s">
        <v>271</v>
      </c>
      <c r="C698" t="s">
        <v>102</v>
      </c>
      <c r="D698" t="s">
        <v>17</v>
      </c>
      <c r="E698" t="s">
        <v>24</v>
      </c>
      <c r="F698" t="s">
        <v>1187</v>
      </c>
      <c r="G698" s="2">
        <f t="shared" si="20"/>
        <v>41321</v>
      </c>
      <c r="H698">
        <f>DAY(Europe_Sales_Records34[[#This Row],[Order Date Fixed]])</f>
        <v>16</v>
      </c>
      <c r="I698" t="str">
        <f>TEXT(Europe_Sales_Records34[[#This Row],[Order Date Fixed]],"MMM")</f>
        <v>Feb</v>
      </c>
      <c r="J698">
        <f>YEAR(Europe_Sales_Records34[[#This Row],[Order Date Fixed]])</f>
        <v>2013</v>
      </c>
      <c r="K698" t="str">
        <f>TEXT(Europe_Sales_Records34[[#This Row],[Order Date Fixed]],"MMM-YYYY")</f>
        <v>Feb-2013</v>
      </c>
      <c r="L698">
        <v>382581126</v>
      </c>
      <c r="M698" s="2">
        <f t="shared" si="21"/>
        <v>41360</v>
      </c>
      <c r="N698">
        <f>DAY(Europe_Sales_Records34[[#This Row],[Ship Date Fixed]])</f>
        <v>27</v>
      </c>
      <c r="O698" t="str">
        <f>TEXT(Europe_Sales_Records34[[#This Row],[Ship Date Fixed]],"MMM")</f>
        <v>Mar</v>
      </c>
      <c r="P698">
        <f>YEAR(Europe_Sales_Records34[[#This Row],[Ship Date Fixed]])</f>
        <v>2013</v>
      </c>
      <c r="Q698" t="str">
        <f>TEXT(Europe_Sales_Records34[[#This Row],[Ship Date Fixed]],"MMM-YYYY")</f>
        <v>Mar-2013</v>
      </c>
      <c r="R698" t="s">
        <v>716</v>
      </c>
      <c r="S698" s="3">
        <f>Europe_Sales_Records34[[#This Row],[Ship Date Fixed]]-Europe_Sales_Records34[[#This Row],[Order Date Fixed]]</f>
        <v>39</v>
      </c>
      <c r="T698">
        <v>3112</v>
      </c>
      <c r="U698">
        <v>81.73</v>
      </c>
      <c r="V698">
        <v>56.67</v>
      </c>
      <c r="W698">
        <f>Europe_Sales_Records34[[#This Row],[Total Revenue]]/Europe_Sales_Records34[[#This Row],[Units Sold]]</f>
        <v>81.73</v>
      </c>
      <c r="X698">
        <v>254343.76</v>
      </c>
      <c r="Y698">
        <v>176357.04</v>
      </c>
      <c r="Z698" s="4">
        <f>Europe_Sales_Records34[[#This Row],[Total Profit]]/Europe_Sales_Records34[[#This Row],[Total Revenue]]</f>
        <v>0.30661935641747218</v>
      </c>
      <c r="AA698">
        <v>77986.720000000001</v>
      </c>
    </row>
    <row r="699" spans="1:27" x14ac:dyDescent="0.3">
      <c r="A699" t="s">
        <v>14</v>
      </c>
      <c r="B699" t="s">
        <v>220</v>
      </c>
      <c r="C699" t="s">
        <v>71</v>
      </c>
      <c r="D699" t="s">
        <v>23</v>
      </c>
      <c r="E699" t="s">
        <v>18</v>
      </c>
      <c r="F699" t="s">
        <v>1188</v>
      </c>
      <c r="G699" s="2">
        <f t="shared" si="20"/>
        <v>40450</v>
      </c>
      <c r="H699">
        <f>DAY(Europe_Sales_Records34[[#This Row],[Order Date Fixed]])</f>
        <v>29</v>
      </c>
      <c r="I699" t="str">
        <f>TEXT(Europe_Sales_Records34[[#This Row],[Order Date Fixed]],"MMM")</f>
        <v>Sep</v>
      </c>
      <c r="J699">
        <f>YEAR(Europe_Sales_Records34[[#This Row],[Order Date Fixed]])</f>
        <v>2010</v>
      </c>
      <c r="K699" t="str">
        <f>TEXT(Europe_Sales_Records34[[#This Row],[Order Date Fixed]],"MMM-YYYY")</f>
        <v>Sep-2010</v>
      </c>
      <c r="L699">
        <v>533314406</v>
      </c>
      <c r="M699" s="2">
        <f t="shared" si="21"/>
        <v>40480</v>
      </c>
      <c r="N699">
        <f>DAY(Europe_Sales_Records34[[#This Row],[Ship Date Fixed]])</f>
        <v>29</v>
      </c>
      <c r="O699" t="str">
        <f>TEXT(Europe_Sales_Records34[[#This Row],[Ship Date Fixed]],"MMM")</f>
        <v>Oct</v>
      </c>
      <c r="P699">
        <f>YEAR(Europe_Sales_Records34[[#This Row],[Ship Date Fixed]])</f>
        <v>2010</v>
      </c>
      <c r="Q699" t="str">
        <f>TEXT(Europe_Sales_Records34[[#This Row],[Ship Date Fixed]],"MMM-YYYY")</f>
        <v>Oct-2010</v>
      </c>
      <c r="R699" t="s">
        <v>1171</v>
      </c>
      <c r="S699" s="3">
        <f>Europe_Sales_Records34[[#This Row],[Ship Date Fixed]]-Europe_Sales_Records34[[#This Row],[Order Date Fixed]]</f>
        <v>30</v>
      </c>
      <c r="T699">
        <v>8439</v>
      </c>
      <c r="U699">
        <v>668.27</v>
      </c>
      <c r="V699">
        <v>502.54</v>
      </c>
      <c r="W699">
        <f>Europe_Sales_Records34[[#This Row],[Total Revenue]]/Europe_Sales_Records34[[#This Row],[Units Sold]]</f>
        <v>668.27</v>
      </c>
      <c r="X699">
        <v>5639530.5300000003</v>
      </c>
      <c r="Y699">
        <v>4240935.0599999996</v>
      </c>
      <c r="Z699" s="4">
        <f>Europe_Sales_Records34[[#This Row],[Total Profit]]/Europe_Sales_Records34[[#This Row],[Total Revenue]]</f>
        <v>0.24799856345489096</v>
      </c>
      <c r="AA699">
        <v>1398595.47</v>
      </c>
    </row>
    <row r="700" spans="1:27" x14ac:dyDescent="0.3">
      <c r="A700" t="s">
        <v>14</v>
      </c>
      <c r="B700" t="s">
        <v>70</v>
      </c>
      <c r="C700" t="s">
        <v>58</v>
      </c>
      <c r="D700" t="s">
        <v>23</v>
      </c>
      <c r="E700" t="s">
        <v>24</v>
      </c>
      <c r="F700" t="s">
        <v>857</v>
      </c>
      <c r="G700" s="2">
        <f t="shared" si="20"/>
        <v>42631</v>
      </c>
      <c r="H700">
        <f>DAY(Europe_Sales_Records34[[#This Row],[Order Date Fixed]])</f>
        <v>18</v>
      </c>
      <c r="I700" t="str">
        <f>TEXT(Europe_Sales_Records34[[#This Row],[Order Date Fixed]],"MMM")</f>
        <v>Sep</v>
      </c>
      <c r="J700">
        <f>YEAR(Europe_Sales_Records34[[#This Row],[Order Date Fixed]])</f>
        <v>2016</v>
      </c>
      <c r="K700" t="str">
        <f>TEXT(Europe_Sales_Records34[[#This Row],[Order Date Fixed]],"MMM-YYYY")</f>
        <v>Sep-2016</v>
      </c>
      <c r="L700">
        <v>949388539</v>
      </c>
      <c r="M700" s="2">
        <f t="shared" si="21"/>
        <v>42643</v>
      </c>
      <c r="N700">
        <f>DAY(Europe_Sales_Records34[[#This Row],[Ship Date Fixed]])</f>
        <v>30</v>
      </c>
      <c r="O700" t="str">
        <f>TEXT(Europe_Sales_Records34[[#This Row],[Ship Date Fixed]],"MMM")</f>
        <v>Sep</v>
      </c>
      <c r="P700">
        <f>YEAR(Europe_Sales_Records34[[#This Row],[Ship Date Fixed]])</f>
        <v>2016</v>
      </c>
      <c r="Q700" t="str">
        <f>TEXT(Europe_Sales_Records34[[#This Row],[Ship Date Fixed]],"MMM-YYYY")</f>
        <v>Sep-2016</v>
      </c>
      <c r="R700" t="s">
        <v>151</v>
      </c>
      <c r="S700" s="3">
        <f>Europe_Sales_Records34[[#This Row],[Ship Date Fixed]]-Europe_Sales_Records34[[#This Row],[Order Date Fixed]]</f>
        <v>12</v>
      </c>
      <c r="T700">
        <v>4021</v>
      </c>
      <c r="U700">
        <v>152.58000000000001</v>
      </c>
      <c r="V700">
        <v>97.44</v>
      </c>
      <c r="W700">
        <f>Europe_Sales_Records34[[#This Row],[Total Revenue]]/Europe_Sales_Records34[[#This Row],[Units Sold]]</f>
        <v>152.58000000000001</v>
      </c>
      <c r="X700">
        <v>613524.18000000005</v>
      </c>
      <c r="Y700">
        <v>391806.24</v>
      </c>
      <c r="Z700" s="4">
        <f>Europe_Sales_Records34[[#This Row],[Total Profit]]/Europe_Sales_Records34[[#This Row],[Total Revenue]]</f>
        <v>0.36138419189933146</v>
      </c>
      <c r="AA700">
        <v>221717.94</v>
      </c>
    </row>
    <row r="701" spans="1:27" x14ac:dyDescent="0.3">
      <c r="A701" t="s">
        <v>14</v>
      </c>
      <c r="B701" t="s">
        <v>86</v>
      </c>
      <c r="C701" t="s">
        <v>16</v>
      </c>
      <c r="D701" t="s">
        <v>17</v>
      </c>
      <c r="E701" t="s">
        <v>33</v>
      </c>
      <c r="F701" t="s">
        <v>693</v>
      </c>
      <c r="G701" s="2">
        <f t="shared" si="20"/>
        <v>42379</v>
      </c>
      <c r="H701">
        <f>DAY(Europe_Sales_Records34[[#This Row],[Order Date Fixed]])</f>
        <v>10</v>
      </c>
      <c r="I701" t="str">
        <f>TEXT(Europe_Sales_Records34[[#This Row],[Order Date Fixed]],"MMM")</f>
        <v>Jan</v>
      </c>
      <c r="J701">
        <f>YEAR(Europe_Sales_Records34[[#This Row],[Order Date Fixed]])</f>
        <v>2016</v>
      </c>
      <c r="K701" t="str">
        <f>TEXT(Europe_Sales_Records34[[#This Row],[Order Date Fixed]],"MMM-YYYY")</f>
        <v>Jan-2016</v>
      </c>
      <c r="L701">
        <v>122372519</v>
      </c>
      <c r="M701" s="2">
        <f t="shared" si="21"/>
        <v>42382</v>
      </c>
      <c r="N701">
        <f>DAY(Europe_Sales_Records34[[#This Row],[Ship Date Fixed]])</f>
        <v>13</v>
      </c>
      <c r="O701" t="str">
        <f>TEXT(Europe_Sales_Records34[[#This Row],[Ship Date Fixed]],"MMM")</f>
        <v>Jan</v>
      </c>
      <c r="P701">
        <f>YEAR(Europe_Sales_Records34[[#This Row],[Ship Date Fixed]])</f>
        <v>2016</v>
      </c>
      <c r="Q701" t="str">
        <f>TEXT(Europe_Sales_Records34[[#This Row],[Ship Date Fixed]],"MMM-YYYY")</f>
        <v>Jan-2016</v>
      </c>
      <c r="R701" t="s">
        <v>1189</v>
      </c>
      <c r="S701" s="3">
        <f>Europe_Sales_Records34[[#This Row],[Ship Date Fixed]]-Europe_Sales_Records34[[#This Row],[Order Date Fixed]]</f>
        <v>3</v>
      </c>
      <c r="T701">
        <v>1603</v>
      </c>
      <c r="U701">
        <v>47.45</v>
      </c>
      <c r="V701">
        <v>31.79</v>
      </c>
      <c r="W701">
        <f>Europe_Sales_Records34[[#This Row],[Total Revenue]]/Europe_Sales_Records34[[#This Row],[Units Sold]]</f>
        <v>47.45</v>
      </c>
      <c r="X701">
        <v>76062.350000000006</v>
      </c>
      <c r="Y701">
        <v>50959.37</v>
      </c>
      <c r="Z701" s="4">
        <f>Europe_Sales_Records34[[#This Row],[Total Profit]]/Europe_Sales_Records34[[#This Row],[Total Revenue]]</f>
        <v>0.330031612223393</v>
      </c>
      <c r="AA701">
        <v>25102.98</v>
      </c>
    </row>
    <row r="702" spans="1:27" x14ac:dyDescent="0.3">
      <c r="A702" t="s">
        <v>14</v>
      </c>
      <c r="B702" t="s">
        <v>163</v>
      </c>
      <c r="C702" t="s">
        <v>22</v>
      </c>
      <c r="D702" t="s">
        <v>17</v>
      </c>
      <c r="E702" t="s">
        <v>24</v>
      </c>
      <c r="F702" t="s">
        <v>1190</v>
      </c>
      <c r="G702" s="2">
        <f t="shared" si="20"/>
        <v>41655</v>
      </c>
      <c r="H702">
        <f>DAY(Europe_Sales_Records34[[#This Row],[Order Date Fixed]])</f>
        <v>16</v>
      </c>
      <c r="I702" t="str">
        <f>TEXT(Europe_Sales_Records34[[#This Row],[Order Date Fixed]],"MMM")</f>
        <v>Jan</v>
      </c>
      <c r="J702">
        <f>YEAR(Europe_Sales_Records34[[#This Row],[Order Date Fixed]])</f>
        <v>2014</v>
      </c>
      <c r="K702" t="str">
        <f>TEXT(Europe_Sales_Records34[[#This Row],[Order Date Fixed]],"MMM-YYYY")</f>
        <v>Jan-2014</v>
      </c>
      <c r="L702">
        <v>298978602</v>
      </c>
      <c r="M702" s="2">
        <f t="shared" si="21"/>
        <v>41667</v>
      </c>
      <c r="N702">
        <f>DAY(Europe_Sales_Records34[[#This Row],[Ship Date Fixed]])</f>
        <v>28</v>
      </c>
      <c r="O702" t="str">
        <f>TEXT(Europe_Sales_Records34[[#This Row],[Ship Date Fixed]],"MMM")</f>
        <v>Jan</v>
      </c>
      <c r="P702">
        <f>YEAR(Europe_Sales_Records34[[#This Row],[Ship Date Fixed]])</f>
        <v>2014</v>
      </c>
      <c r="Q702" t="str">
        <f>TEXT(Europe_Sales_Records34[[#This Row],[Ship Date Fixed]],"MMM-YYYY")</f>
        <v>Jan-2014</v>
      </c>
      <c r="R702" t="s">
        <v>398</v>
      </c>
      <c r="S702" s="3">
        <f>Europe_Sales_Records34[[#This Row],[Ship Date Fixed]]-Europe_Sales_Records34[[#This Row],[Order Date Fixed]]</f>
        <v>12</v>
      </c>
      <c r="T702">
        <v>3267</v>
      </c>
      <c r="U702">
        <v>109.28</v>
      </c>
      <c r="V702">
        <v>35.840000000000003</v>
      </c>
      <c r="W702">
        <f>Europe_Sales_Records34[[#This Row],[Total Revenue]]/Europe_Sales_Records34[[#This Row],[Units Sold]]</f>
        <v>109.28</v>
      </c>
      <c r="X702">
        <v>357017.76</v>
      </c>
      <c r="Y702">
        <v>117089.28</v>
      </c>
      <c r="Z702" s="4">
        <f>Europe_Sales_Records34[[#This Row],[Total Profit]]/Europe_Sales_Records34[[#This Row],[Total Revenue]]</f>
        <v>0.67203513909224011</v>
      </c>
      <c r="AA702">
        <v>239928.48</v>
      </c>
    </row>
    <row r="703" spans="1:27" x14ac:dyDescent="0.3">
      <c r="A703" t="s">
        <v>14</v>
      </c>
      <c r="B703" t="s">
        <v>264</v>
      </c>
      <c r="C703" t="s">
        <v>22</v>
      </c>
      <c r="D703" t="s">
        <v>17</v>
      </c>
      <c r="E703" t="s">
        <v>18</v>
      </c>
      <c r="F703" t="s">
        <v>1191</v>
      </c>
      <c r="G703" s="2">
        <f t="shared" si="20"/>
        <v>42731</v>
      </c>
      <c r="H703">
        <f>DAY(Europe_Sales_Records34[[#This Row],[Order Date Fixed]])</f>
        <v>27</v>
      </c>
      <c r="I703" t="str">
        <f>TEXT(Europe_Sales_Records34[[#This Row],[Order Date Fixed]],"MMM")</f>
        <v>Dec</v>
      </c>
      <c r="J703">
        <f>YEAR(Europe_Sales_Records34[[#This Row],[Order Date Fixed]])</f>
        <v>2016</v>
      </c>
      <c r="K703" t="str">
        <f>TEXT(Europe_Sales_Records34[[#This Row],[Order Date Fixed]],"MMM-YYYY")</f>
        <v>Dec-2016</v>
      </c>
      <c r="L703">
        <v>691760861</v>
      </c>
      <c r="M703" s="2">
        <f t="shared" si="21"/>
        <v>42763</v>
      </c>
      <c r="N703">
        <f>DAY(Europe_Sales_Records34[[#This Row],[Ship Date Fixed]])</f>
        <v>28</v>
      </c>
      <c r="O703" t="str">
        <f>TEXT(Europe_Sales_Records34[[#This Row],[Ship Date Fixed]],"MMM")</f>
        <v>Jan</v>
      </c>
      <c r="P703">
        <f>YEAR(Europe_Sales_Records34[[#This Row],[Ship Date Fixed]])</f>
        <v>2017</v>
      </c>
      <c r="Q703" t="str">
        <f>TEXT(Europe_Sales_Records34[[#This Row],[Ship Date Fixed]],"MMM-YYYY")</f>
        <v>Jan-2017</v>
      </c>
      <c r="R703" t="s">
        <v>1192</v>
      </c>
      <c r="S703" s="3">
        <f>Europe_Sales_Records34[[#This Row],[Ship Date Fixed]]-Europe_Sales_Records34[[#This Row],[Order Date Fixed]]</f>
        <v>32</v>
      </c>
      <c r="T703">
        <v>6266</v>
      </c>
      <c r="U703">
        <v>109.28</v>
      </c>
      <c r="V703">
        <v>35.840000000000003</v>
      </c>
      <c r="W703">
        <f>Europe_Sales_Records34[[#This Row],[Total Revenue]]/Europe_Sales_Records34[[#This Row],[Units Sold]]</f>
        <v>109.28</v>
      </c>
      <c r="X703">
        <v>684748.48</v>
      </c>
      <c r="Y703">
        <v>224573.44</v>
      </c>
      <c r="Z703" s="4">
        <f>Europe_Sales_Records34[[#This Row],[Total Profit]]/Europe_Sales_Records34[[#This Row],[Total Revenue]]</f>
        <v>0.67203513909224011</v>
      </c>
      <c r="AA703">
        <v>460175.04</v>
      </c>
    </row>
    <row r="704" spans="1:27" x14ac:dyDescent="0.3">
      <c r="A704" t="s">
        <v>14</v>
      </c>
      <c r="B704" t="s">
        <v>83</v>
      </c>
      <c r="C704" t="s">
        <v>50</v>
      </c>
      <c r="D704" t="s">
        <v>17</v>
      </c>
      <c r="E704" t="s">
        <v>54</v>
      </c>
      <c r="F704" t="s">
        <v>1193</v>
      </c>
      <c r="G704" s="2">
        <f t="shared" si="20"/>
        <v>40282</v>
      </c>
      <c r="H704">
        <f>DAY(Europe_Sales_Records34[[#This Row],[Order Date Fixed]])</f>
        <v>14</v>
      </c>
      <c r="I704" t="str">
        <f>TEXT(Europe_Sales_Records34[[#This Row],[Order Date Fixed]],"MMM")</f>
        <v>Apr</v>
      </c>
      <c r="J704">
        <f>YEAR(Europe_Sales_Records34[[#This Row],[Order Date Fixed]])</f>
        <v>2010</v>
      </c>
      <c r="K704" t="str">
        <f>TEXT(Europe_Sales_Records34[[#This Row],[Order Date Fixed]],"MMM-YYYY")</f>
        <v>Apr-2010</v>
      </c>
      <c r="L704">
        <v>447536504</v>
      </c>
      <c r="M704" s="2">
        <f t="shared" si="21"/>
        <v>40293</v>
      </c>
      <c r="N704">
        <f>DAY(Europe_Sales_Records34[[#This Row],[Ship Date Fixed]])</f>
        <v>25</v>
      </c>
      <c r="O704" t="str">
        <f>TEXT(Europe_Sales_Records34[[#This Row],[Ship Date Fixed]],"MMM")</f>
        <v>Apr</v>
      </c>
      <c r="P704">
        <f>YEAR(Europe_Sales_Records34[[#This Row],[Ship Date Fixed]])</f>
        <v>2010</v>
      </c>
      <c r="Q704" t="str">
        <f>TEXT(Europe_Sales_Records34[[#This Row],[Ship Date Fixed]],"MMM-YYYY")</f>
        <v>Apr-2010</v>
      </c>
      <c r="R704" t="s">
        <v>1194</v>
      </c>
      <c r="S704" s="3">
        <f>Europe_Sales_Records34[[#This Row],[Ship Date Fixed]]-Europe_Sales_Records34[[#This Row],[Order Date Fixed]]</f>
        <v>11</v>
      </c>
      <c r="T704">
        <v>4852</v>
      </c>
      <c r="U704">
        <v>421.89</v>
      </c>
      <c r="V704">
        <v>364.69</v>
      </c>
      <c r="W704">
        <f>Europe_Sales_Records34[[#This Row],[Total Revenue]]/Europe_Sales_Records34[[#This Row],[Units Sold]]</f>
        <v>421.89</v>
      </c>
      <c r="X704">
        <v>2047010.28</v>
      </c>
      <c r="Y704">
        <v>1769475.88</v>
      </c>
      <c r="Z704" s="4">
        <f>Europe_Sales_Records34[[#This Row],[Total Profit]]/Europe_Sales_Records34[[#This Row],[Total Revenue]]</f>
        <v>0.13558036455000119</v>
      </c>
      <c r="AA704">
        <v>277534.40000000002</v>
      </c>
    </row>
    <row r="705" spans="1:27" x14ac:dyDescent="0.3">
      <c r="A705" t="s">
        <v>14</v>
      </c>
      <c r="B705" t="s">
        <v>89</v>
      </c>
      <c r="C705" t="s">
        <v>46</v>
      </c>
      <c r="D705" t="s">
        <v>17</v>
      </c>
      <c r="E705" t="s">
        <v>54</v>
      </c>
      <c r="F705" t="s">
        <v>1195</v>
      </c>
      <c r="G705" s="2">
        <f t="shared" si="20"/>
        <v>40556</v>
      </c>
      <c r="H705">
        <f>DAY(Europe_Sales_Records34[[#This Row],[Order Date Fixed]])</f>
        <v>13</v>
      </c>
      <c r="I705" t="str">
        <f>TEXT(Europe_Sales_Records34[[#This Row],[Order Date Fixed]],"MMM")</f>
        <v>Jan</v>
      </c>
      <c r="J705">
        <f>YEAR(Europe_Sales_Records34[[#This Row],[Order Date Fixed]])</f>
        <v>2011</v>
      </c>
      <c r="K705" t="str">
        <f>TEXT(Europe_Sales_Records34[[#This Row],[Order Date Fixed]],"MMM-YYYY")</f>
        <v>Jan-2011</v>
      </c>
      <c r="L705">
        <v>469840466</v>
      </c>
      <c r="M705" s="2">
        <f t="shared" si="21"/>
        <v>40565</v>
      </c>
      <c r="N705">
        <f>DAY(Europe_Sales_Records34[[#This Row],[Ship Date Fixed]])</f>
        <v>22</v>
      </c>
      <c r="O705" t="str">
        <f>TEXT(Europe_Sales_Records34[[#This Row],[Ship Date Fixed]],"MMM")</f>
        <v>Jan</v>
      </c>
      <c r="P705">
        <f>YEAR(Europe_Sales_Records34[[#This Row],[Ship Date Fixed]])</f>
        <v>2011</v>
      </c>
      <c r="Q705" t="str">
        <f>TEXT(Europe_Sales_Records34[[#This Row],[Ship Date Fixed]],"MMM-YYYY")</f>
        <v>Jan-2011</v>
      </c>
      <c r="R705" t="s">
        <v>76</v>
      </c>
      <c r="S705" s="3">
        <f>Europe_Sales_Records34[[#This Row],[Ship Date Fixed]]-Europe_Sales_Records34[[#This Row],[Order Date Fixed]]</f>
        <v>9</v>
      </c>
      <c r="T705">
        <v>5090</v>
      </c>
      <c r="U705">
        <v>154.06</v>
      </c>
      <c r="V705">
        <v>90.93</v>
      </c>
      <c r="W705">
        <f>Europe_Sales_Records34[[#This Row],[Total Revenue]]/Europe_Sales_Records34[[#This Row],[Units Sold]]</f>
        <v>154.06</v>
      </c>
      <c r="X705">
        <v>784165.4</v>
      </c>
      <c r="Y705">
        <v>462833.7</v>
      </c>
      <c r="Z705" s="4">
        <f>Europe_Sales_Records34[[#This Row],[Total Profit]]/Europe_Sales_Records34[[#This Row],[Total Revenue]]</f>
        <v>0.40977541217707386</v>
      </c>
      <c r="AA705">
        <v>321331.7</v>
      </c>
    </row>
    <row r="706" spans="1:27" x14ac:dyDescent="0.3">
      <c r="A706" t="s">
        <v>14</v>
      </c>
      <c r="B706" t="s">
        <v>122</v>
      </c>
      <c r="C706" t="s">
        <v>58</v>
      </c>
      <c r="D706" t="s">
        <v>17</v>
      </c>
      <c r="E706" t="s">
        <v>24</v>
      </c>
      <c r="F706" t="s">
        <v>1196</v>
      </c>
      <c r="G706" s="2">
        <f t="shared" ref="G706:G769" si="22">DATE(
  RIGHT(F706,4),
  LEFT(F706,FIND("/",F706)-1),
  MID(F706,FIND("/",F706)+1, FIND("/",F706,FIND("/",F706)+1)-FIND("/",F706)-1)
)</f>
        <v>40604</v>
      </c>
      <c r="H706">
        <f>DAY(Europe_Sales_Records34[[#This Row],[Order Date Fixed]])</f>
        <v>2</v>
      </c>
      <c r="I706" t="str">
        <f>TEXT(Europe_Sales_Records34[[#This Row],[Order Date Fixed]],"MMM")</f>
        <v>Mar</v>
      </c>
      <c r="J706">
        <f>YEAR(Europe_Sales_Records34[[#This Row],[Order Date Fixed]])</f>
        <v>2011</v>
      </c>
      <c r="K706" t="str">
        <f>TEXT(Europe_Sales_Records34[[#This Row],[Order Date Fixed]],"MMM-YYYY")</f>
        <v>Mar-2011</v>
      </c>
      <c r="L706">
        <v>418404281</v>
      </c>
      <c r="M706" s="2">
        <f t="shared" ref="M706:M769" si="23">DATE(
  RIGHT(R706,4),
  LEFT(R706,FIND("/",R706)-1),
  MID(
      R706,
      FIND("/",R706)+1,
      FIND("/",R706,FIND("/",R706)+1)-FIND("/",R706)-1
     )
)</f>
        <v>40648</v>
      </c>
      <c r="N706">
        <f>DAY(Europe_Sales_Records34[[#This Row],[Ship Date Fixed]])</f>
        <v>15</v>
      </c>
      <c r="O706" t="str">
        <f>TEXT(Europe_Sales_Records34[[#This Row],[Ship Date Fixed]],"MMM")</f>
        <v>Apr</v>
      </c>
      <c r="P706">
        <f>YEAR(Europe_Sales_Records34[[#This Row],[Ship Date Fixed]])</f>
        <v>2011</v>
      </c>
      <c r="Q706" t="str">
        <f>TEXT(Europe_Sales_Records34[[#This Row],[Ship Date Fixed]],"MMM-YYYY")</f>
        <v>Apr-2011</v>
      </c>
      <c r="R706" t="s">
        <v>1197</v>
      </c>
      <c r="S706" s="3">
        <f>Europe_Sales_Records34[[#This Row],[Ship Date Fixed]]-Europe_Sales_Records34[[#This Row],[Order Date Fixed]]</f>
        <v>44</v>
      </c>
      <c r="T706">
        <v>3979</v>
      </c>
      <c r="U706">
        <v>152.58000000000001</v>
      </c>
      <c r="V706">
        <v>97.44</v>
      </c>
      <c r="W706">
        <f>Europe_Sales_Records34[[#This Row],[Total Revenue]]/Europe_Sales_Records34[[#This Row],[Units Sold]]</f>
        <v>152.57999999999998</v>
      </c>
      <c r="X706">
        <v>607115.81999999995</v>
      </c>
      <c r="Y706">
        <v>387713.76</v>
      </c>
      <c r="Z706" s="4">
        <f>Europe_Sales_Records34[[#This Row],[Total Profit]]/Europe_Sales_Records34[[#This Row],[Total Revenue]]</f>
        <v>0.36138419189933152</v>
      </c>
      <c r="AA706">
        <v>219402.06</v>
      </c>
    </row>
    <row r="707" spans="1:27" x14ac:dyDescent="0.3">
      <c r="A707" t="s">
        <v>14</v>
      </c>
      <c r="B707" t="s">
        <v>27</v>
      </c>
      <c r="C707" t="s">
        <v>58</v>
      </c>
      <c r="D707" t="s">
        <v>23</v>
      </c>
      <c r="E707" t="s">
        <v>24</v>
      </c>
      <c r="F707" t="s">
        <v>1198</v>
      </c>
      <c r="G707" s="2">
        <f t="shared" si="22"/>
        <v>40926</v>
      </c>
      <c r="H707">
        <f>DAY(Europe_Sales_Records34[[#This Row],[Order Date Fixed]])</f>
        <v>18</v>
      </c>
      <c r="I707" t="str">
        <f>TEXT(Europe_Sales_Records34[[#This Row],[Order Date Fixed]],"MMM")</f>
        <v>Jan</v>
      </c>
      <c r="J707">
        <f>YEAR(Europe_Sales_Records34[[#This Row],[Order Date Fixed]])</f>
        <v>2012</v>
      </c>
      <c r="K707" t="str">
        <f>TEXT(Europe_Sales_Records34[[#This Row],[Order Date Fixed]],"MMM-YYYY")</f>
        <v>Jan-2012</v>
      </c>
      <c r="L707">
        <v>516122949</v>
      </c>
      <c r="M707" s="2">
        <f t="shared" si="23"/>
        <v>40960</v>
      </c>
      <c r="N707">
        <f>DAY(Europe_Sales_Records34[[#This Row],[Ship Date Fixed]])</f>
        <v>21</v>
      </c>
      <c r="O707" t="str">
        <f>TEXT(Europe_Sales_Records34[[#This Row],[Ship Date Fixed]],"MMM")</f>
        <v>Feb</v>
      </c>
      <c r="P707">
        <f>YEAR(Europe_Sales_Records34[[#This Row],[Ship Date Fixed]])</f>
        <v>2012</v>
      </c>
      <c r="Q707" t="str">
        <f>TEXT(Europe_Sales_Records34[[#This Row],[Ship Date Fixed]],"MMM-YYYY")</f>
        <v>Feb-2012</v>
      </c>
      <c r="R707" t="s">
        <v>1070</v>
      </c>
      <c r="S707" s="3">
        <f>Europe_Sales_Records34[[#This Row],[Ship Date Fixed]]-Europe_Sales_Records34[[#This Row],[Order Date Fixed]]</f>
        <v>34</v>
      </c>
      <c r="T707">
        <v>1105</v>
      </c>
      <c r="U707">
        <v>152.58000000000001</v>
      </c>
      <c r="V707">
        <v>97.44</v>
      </c>
      <c r="W707">
        <f>Europe_Sales_Records34[[#This Row],[Total Revenue]]/Europe_Sales_Records34[[#This Row],[Units Sold]]</f>
        <v>152.57999999999998</v>
      </c>
      <c r="X707">
        <v>168600.9</v>
      </c>
      <c r="Y707">
        <v>107671.2</v>
      </c>
      <c r="Z707" s="4">
        <f>Europe_Sales_Records34[[#This Row],[Total Profit]]/Europe_Sales_Records34[[#This Row],[Total Revenue]]</f>
        <v>0.36138419189933152</v>
      </c>
      <c r="AA707">
        <v>60929.7</v>
      </c>
    </row>
    <row r="708" spans="1:27" x14ac:dyDescent="0.3">
      <c r="A708" t="s">
        <v>14</v>
      </c>
      <c r="B708" t="s">
        <v>141</v>
      </c>
      <c r="C708" t="s">
        <v>75</v>
      </c>
      <c r="D708" t="s">
        <v>17</v>
      </c>
      <c r="E708" t="s">
        <v>33</v>
      </c>
      <c r="F708" t="s">
        <v>1199</v>
      </c>
      <c r="G708" s="2">
        <f t="shared" si="22"/>
        <v>42245</v>
      </c>
      <c r="H708">
        <f>DAY(Europe_Sales_Records34[[#This Row],[Order Date Fixed]])</f>
        <v>29</v>
      </c>
      <c r="I708" t="str">
        <f>TEXT(Europe_Sales_Records34[[#This Row],[Order Date Fixed]],"MMM")</f>
        <v>Aug</v>
      </c>
      <c r="J708">
        <f>YEAR(Europe_Sales_Records34[[#This Row],[Order Date Fixed]])</f>
        <v>2015</v>
      </c>
      <c r="K708" t="str">
        <f>TEXT(Europe_Sales_Records34[[#This Row],[Order Date Fixed]],"MMM-YYYY")</f>
        <v>Aug-2015</v>
      </c>
      <c r="L708">
        <v>208238399</v>
      </c>
      <c r="M708" s="2">
        <f t="shared" si="23"/>
        <v>42292</v>
      </c>
      <c r="N708">
        <f>DAY(Europe_Sales_Records34[[#This Row],[Ship Date Fixed]])</f>
        <v>15</v>
      </c>
      <c r="O708" t="str">
        <f>TEXT(Europe_Sales_Records34[[#This Row],[Ship Date Fixed]],"MMM")</f>
        <v>Oct</v>
      </c>
      <c r="P708">
        <f>YEAR(Europe_Sales_Records34[[#This Row],[Ship Date Fixed]])</f>
        <v>2015</v>
      </c>
      <c r="Q708" t="str">
        <f>TEXT(Europe_Sales_Records34[[#This Row],[Ship Date Fixed]],"MMM-YYYY")</f>
        <v>Oct-2015</v>
      </c>
      <c r="R708" t="s">
        <v>1200</v>
      </c>
      <c r="S708" s="3">
        <f>Europe_Sales_Records34[[#This Row],[Ship Date Fixed]]-Europe_Sales_Records34[[#This Row],[Order Date Fixed]]</f>
        <v>47</v>
      </c>
      <c r="T708">
        <v>1224</v>
      </c>
      <c r="U708">
        <v>437.2</v>
      </c>
      <c r="V708">
        <v>263.33</v>
      </c>
      <c r="W708">
        <f>Europe_Sales_Records34[[#This Row],[Total Revenue]]/Europe_Sales_Records34[[#This Row],[Units Sold]]</f>
        <v>437.20000000000005</v>
      </c>
      <c r="X708">
        <v>535132.80000000005</v>
      </c>
      <c r="Y708">
        <v>322315.92</v>
      </c>
      <c r="Z708" s="4">
        <f>Europe_Sales_Records34[[#This Row],[Total Profit]]/Europe_Sales_Records34[[#This Row],[Total Revenue]]</f>
        <v>0.39768984446477584</v>
      </c>
      <c r="AA708">
        <v>212816.88</v>
      </c>
    </row>
    <row r="709" spans="1:27" x14ac:dyDescent="0.3">
      <c r="A709" t="s">
        <v>14</v>
      </c>
      <c r="B709" t="s">
        <v>364</v>
      </c>
      <c r="C709" t="s">
        <v>37</v>
      </c>
      <c r="D709" t="s">
        <v>23</v>
      </c>
      <c r="E709" t="s">
        <v>24</v>
      </c>
      <c r="F709" t="s">
        <v>673</v>
      </c>
      <c r="G709" s="2">
        <f t="shared" si="22"/>
        <v>42706</v>
      </c>
      <c r="H709">
        <f>DAY(Europe_Sales_Records34[[#This Row],[Order Date Fixed]])</f>
        <v>2</v>
      </c>
      <c r="I709" t="str">
        <f>TEXT(Europe_Sales_Records34[[#This Row],[Order Date Fixed]],"MMM")</f>
        <v>Dec</v>
      </c>
      <c r="J709">
        <f>YEAR(Europe_Sales_Records34[[#This Row],[Order Date Fixed]])</f>
        <v>2016</v>
      </c>
      <c r="K709" t="str">
        <f>TEXT(Europe_Sales_Records34[[#This Row],[Order Date Fixed]],"MMM-YYYY")</f>
        <v>Dec-2016</v>
      </c>
      <c r="L709">
        <v>526533353</v>
      </c>
      <c r="M709" s="2">
        <f t="shared" si="23"/>
        <v>42747</v>
      </c>
      <c r="N709">
        <f>DAY(Europe_Sales_Records34[[#This Row],[Ship Date Fixed]])</f>
        <v>12</v>
      </c>
      <c r="O709" t="str">
        <f>TEXT(Europe_Sales_Records34[[#This Row],[Ship Date Fixed]],"MMM")</f>
        <v>Jan</v>
      </c>
      <c r="P709">
        <f>YEAR(Europe_Sales_Records34[[#This Row],[Ship Date Fixed]])</f>
        <v>2017</v>
      </c>
      <c r="Q709" t="str">
        <f>TEXT(Europe_Sales_Records34[[#This Row],[Ship Date Fixed]],"MMM-YYYY")</f>
        <v>Jan-2017</v>
      </c>
      <c r="R709" t="s">
        <v>669</v>
      </c>
      <c r="S709" s="3">
        <f>Europe_Sales_Records34[[#This Row],[Ship Date Fixed]]-Europe_Sales_Records34[[#This Row],[Order Date Fixed]]</f>
        <v>41</v>
      </c>
      <c r="T709">
        <v>1775</v>
      </c>
      <c r="U709">
        <v>9.33</v>
      </c>
      <c r="V709">
        <v>6.92</v>
      </c>
      <c r="W709">
        <f>Europe_Sales_Records34[[#This Row],[Total Revenue]]/Europe_Sales_Records34[[#This Row],[Units Sold]]</f>
        <v>9.33</v>
      </c>
      <c r="X709">
        <v>16560.75</v>
      </c>
      <c r="Y709">
        <v>12283</v>
      </c>
      <c r="Z709" s="4">
        <f>Europe_Sales_Records34[[#This Row],[Total Profit]]/Europe_Sales_Records34[[#This Row],[Total Revenue]]</f>
        <v>0.25830653804930331</v>
      </c>
      <c r="AA709">
        <v>4277.75</v>
      </c>
    </row>
    <row r="710" spans="1:27" x14ac:dyDescent="0.3">
      <c r="A710" t="s">
        <v>14</v>
      </c>
      <c r="B710" t="s">
        <v>223</v>
      </c>
      <c r="C710" t="s">
        <v>50</v>
      </c>
      <c r="D710" t="s">
        <v>23</v>
      </c>
      <c r="E710" t="s">
        <v>54</v>
      </c>
      <c r="F710" t="s">
        <v>1201</v>
      </c>
      <c r="G710" s="2">
        <f t="shared" si="22"/>
        <v>40674</v>
      </c>
      <c r="H710">
        <f>DAY(Europe_Sales_Records34[[#This Row],[Order Date Fixed]])</f>
        <v>11</v>
      </c>
      <c r="I710" t="str">
        <f>TEXT(Europe_Sales_Records34[[#This Row],[Order Date Fixed]],"MMM")</f>
        <v>May</v>
      </c>
      <c r="J710">
        <f>YEAR(Europe_Sales_Records34[[#This Row],[Order Date Fixed]])</f>
        <v>2011</v>
      </c>
      <c r="K710" t="str">
        <f>TEXT(Europe_Sales_Records34[[#This Row],[Order Date Fixed]],"MMM-YYYY")</f>
        <v>May-2011</v>
      </c>
      <c r="L710">
        <v>643027484</v>
      </c>
      <c r="M710" s="2">
        <f t="shared" si="23"/>
        <v>40681</v>
      </c>
      <c r="N710">
        <f>DAY(Europe_Sales_Records34[[#This Row],[Ship Date Fixed]])</f>
        <v>18</v>
      </c>
      <c r="O710" t="str">
        <f>TEXT(Europe_Sales_Records34[[#This Row],[Ship Date Fixed]],"MMM")</f>
        <v>May</v>
      </c>
      <c r="P710">
        <f>YEAR(Europe_Sales_Records34[[#This Row],[Ship Date Fixed]])</f>
        <v>2011</v>
      </c>
      <c r="Q710" t="str">
        <f>TEXT(Europe_Sales_Records34[[#This Row],[Ship Date Fixed]],"MMM-YYYY")</f>
        <v>May-2011</v>
      </c>
      <c r="R710" t="s">
        <v>1049</v>
      </c>
      <c r="S710" s="3">
        <f>Europe_Sales_Records34[[#This Row],[Ship Date Fixed]]-Europe_Sales_Records34[[#This Row],[Order Date Fixed]]</f>
        <v>7</v>
      </c>
      <c r="T710">
        <v>4977</v>
      </c>
      <c r="U710">
        <v>421.89</v>
      </c>
      <c r="V710">
        <v>364.69</v>
      </c>
      <c r="W710">
        <f>Europe_Sales_Records34[[#This Row],[Total Revenue]]/Europe_Sales_Records34[[#This Row],[Units Sold]]</f>
        <v>421.89</v>
      </c>
      <c r="X710">
        <v>2099746.5299999998</v>
      </c>
      <c r="Y710">
        <v>1815062.13</v>
      </c>
      <c r="Z710" s="4">
        <f>Europe_Sales_Records34[[#This Row],[Total Profit]]/Europe_Sales_Records34[[#This Row],[Total Revenue]]</f>
        <v>0.13558036455000122</v>
      </c>
      <c r="AA710">
        <v>284684.40000000002</v>
      </c>
    </row>
    <row r="711" spans="1:27" x14ac:dyDescent="0.3">
      <c r="A711" t="s">
        <v>14</v>
      </c>
      <c r="B711" t="s">
        <v>135</v>
      </c>
      <c r="C711" t="s">
        <v>16</v>
      </c>
      <c r="D711" t="s">
        <v>23</v>
      </c>
      <c r="E711" t="s">
        <v>33</v>
      </c>
      <c r="F711" t="s">
        <v>717</v>
      </c>
      <c r="G711" s="2">
        <f t="shared" si="22"/>
        <v>41385</v>
      </c>
      <c r="H711">
        <f>DAY(Europe_Sales_Records34[[#This Row],[Order Date Fixed]])</f>
        <v>21</v>
      </c>
      <c r="I711" t="str">
        <f>TEXT(Europe_Sales_Records34[[#This Row],[Order Date Fixed]],"MMM")</f>
        <v>Apr</v>
      </c>
      <c r="J711">
        <f>YEAR(Europe_Sales_Records34[[#This Row],[Order Date Fixed]])</f>
        <v>2013</v>
      </c>
      <c r="K711" t="str">
        <f>TEXT(Europe_Sales_Records34[[#This Row],[Order Date Fixed]],"MMM-YYYY")</f>
        <v>Apr-2013</v>
      </c>
      <c r="L711">
        <v>327604424</v>
      </c>
      <c r="M711" s="2">
        <f t="shared" si="23"/>
        <v>41407</v>
      </c>
      <c r="N711">
        <f>DAY(Europe_Sales_Records34[[#This Row],[Ship Date Fixed]])</f>
        <v>13</v>
      </c>
      <c r="O711" t="str">
        <f>TEXT(Europe_Sales_Records34[[#This Row],[Ship Date Fixed]],"MMM")</f>
        <v>May</v>
      </c>
      <c r="P711">
        <f>YEAR(Europe_Sales_Records34[[#This Row],[Ship Date Fixed]])</f>
        <v>2013</v>
      </c>
      <c r="Q711" t="str">
        <f>TEXT(Europe_Sales_Records34[[#This Row],[Ship Date Fixed]],"MMM-YYYY")</f>
        <v>May-2013</v>
      </c>
      <c r="R711" t="s">
        <v>1202</v>
      </c>
      <c r="S711" s="3">
        <f>Europe_Sales_Records34[[#This Row],[Ship Date Fixed]]-Europe_Sales_Records34[[#This Row],[Order Date Fixed]]</f>
        <v>22</v>
      </c>
      <c r="T711">
        <v>4284</v>
      </c>
      <c r="U711">
        <v>47.45</v>
      </c>
      <c r="V711">
        <v>31.79</v>
      </c>
      <c r="W711">
        <f>Europe_Sales_Records34[[#This Row],[Total Revenue]]/Europe_Sales_Records34[[#This Row],[Units Sold]]</f>
        <v>47.449999999999996</v>
      </c>
      <c r="X711">
        <v>203275.8</v>
      </c>
      <c r="Y711">
        <v>136188.35999999999</v>
      </c>
      <c r="Z711" s="4">
        <f>Europe_Sales_Records34[[#This Row],[Total Profit]]/Europe_Sales_Records34[[#This Row],[Total Revenue]]</f>
        <v>0.33003161222339306</v>
      </c>
      <c r="AA711">
        <v>67087.44</v>
      </c>
    </row>
    <row r="712" spans="1:27" x14ac:dyDescent="0.3">
      <c r="A712" t="s">
        <v>14</v>
      </c>
      <c r="B712" t="s">
        <v>74</v>
      </c>
      <c r="C712" t="s">
        <v>50</v>
      </c>
      <c r="D712" t="s">
        <v>17</v>
      </c>
      <c r="E712" t="s">
        <v>24</v>
      </c>
      <c r="F712" t="s">
        <v>689</v>
      </c>
      <c r="G712" s="2">
        <f t="shared" si="22"/>
        <v>41808</v>
      </c>
      <c r="H712">
        <f>DAY(Europe_Sales_Records34[[#This Row],[Order Date Fixed]])</f>
        <v>18</v>
      </c>
      <c r="I712" t="str">
        <f>TEXT(Europe_Sales_Records34[[#This Row],[Order Date Fixed]],"MMM")</f>
        <v>Jun</v>
      </c>
      <c r="J712">
        <f>YEAR(Europe_Sales_Records34[[#This Row],[Order Date Fixed]])</f>
        <v>2014</v>
      </c>
      <c r="K712" t="str">
        <f>TEXT(Europe_Sales_Records34[[#This Row],[Order Date Fixed]],"MMM-YYYY")</f>
        <v>Jun-2014</v>
      </c>
      <c r="L712">
        <v>219451320</v>
      </c>
      <c r="M712" s="2">
        <f t="shared" si="23"/>
        <v>41822</v>
      </c>
      <c r="N712">
        <f>DAY(Europe_Sales_Records34[[#This Row],[Ship Date Fixed]])</f>
        <v>2</v>
      </c>
      <c r="O712" t="str">
        <f>TEXT(Europe_Sales_Records34[[#This Row],[Ship Date Fixed]],"MMM")</f>
        <v>Jul</v>
      </c>
      <c r="P712">
        <f>YEAR(Europe_Sales_Records34[[#This Row],[Ship Date Fixed]])</f>
        <v>2014</v>
      </c>
      <c r="Q712" t="str">
        <f>TEXT(Europe_Sales_Records34[[#This Row],[Ship Date Fixed]],"MMM-YYYY")</f>
        <v>Jul-2014</v>
      </c>
      <c r="R712" t="s">
        <v>144</v>
      </c>
      <c r="S712" s="3">
        <f>Europe_Sales_Records34[[#This Row],[Ship Date Fixed]]-Europe_Sales_Records34[[#This Row],[Order Date Fixed]]</f>
        <v>14</v>
      </c>
      <c r="T712">
        <v>9377</v>
      </c>
      <c r="U712">
        <v>421.89</v>
      </c>
      <c r="V712">
        <v>364.69</v>
      </c>
      <c r="W712">
        <f>Europe_Sales_Records34[[#This Row],[Total Revenue]]/Europe_Sales_Records34[[#This Row],[Units Sold]]</f>
        <v>421.89</v>
      </c>
      <c r="X712">
        <v>3956062.53</v>
      </c>
      <c r="Y712">
        <v>3419698.13</v>
      </c>
      <c r="Z712" s="4">
        <f>Europe_Sales_Records34[[#This Row],[Total Profit]]/Europe_Sales_Records34[[#This Row],[Total Revenue]]</f>
        <v>0.13558036455000119</v>
      </c>
      <c r="AA712">
        <v>536364.4</v>
      </c>
    </row>
    <row r="713" spans="1:27" x14ac:dyDescent="0.3">
      <c r="A713" t="s">
        <v>14</v>
      </c>
      <c r="B713" t="s">
        <v>163</v>
      </c>
      <c r="C713" t="s">
        <v>102</v>
      </c>
      <c r="D713" t="s">
        <v>23</v>
      </c>
      <c r="E713" t="s">
        <v>54</v>
      </c>
      <c r="F713" t="s">
        <v>1203</v>
      </c>
      <c r="G713" s="2">
        <f t="shared" si="22"/>
        <v>40617</v>
      </c>
      <c r="H713">
        <f>DAY(Europe_Sales_Records34[[#This Row],[Order Date Fixed]])</f>
        <v>15</v>
      </c>
      <c r="I713" t="str">
        <f>TEXT(Europe_Sales_Records34[[#This Row],[Order Date Fixed]],"MMM")</f>
        <v>Mar</v>
      </c>
      <c r="J713">
        <f>YEAR(Europe_Sales_Records34[[#This Row],[Order Date Fixed]])</f>
        <v>2011</v>
      </c>
      <c r="K713" t="str">
        <f>TEXT(Europe_Sales_Records34[[#This Row],[Order Date Fixed]],"MMM-YYYY")</f>
        <v>Mar-2011</v>
      </c>
      <c r="L713">
        <v>575758969</v>
      </c>
      <c r="M713" s="2">
        <f t="shared" si="23"/>
        <v>40631</v>
      </c>
      <c r="N713">
        <f>DAY(Europe_Sales_Records34[[#This Row],[Ship Date Fixed]])</f>
        <v>29</v>
      </c>
      <c r="O713" t="str">
        <f>TEXT(Europe_Sales_Records34[[#This Row],[Ship Date Fixed]],"MMM")</f>
        <v>Mar</v>
      </c>
      <c r="P713">
        <f>YEAR(Europe_Sales_Records34[[#This Row],[Ship Date Fixed]])</f>
        <v>2011</v>
      </c>
      <c r="Q713" t="str">
        <f>TEXT(Europe_Sales_Records34[[#This Row],[Ship Date Fixed]],"MMM-YYYY")</f>
        <v>Mar-2011</v>
      </c>
      <c r="R713" t="s">
        <v>885</v>
      </c>
      <c r="S713" s="3">
        <f>Europe_Sales_Records34[[#This Row],[Ship Date Fixed]]-Europe_Sales_Records34[[#This Row],[Order Date Fixed]]</f>
        <v>14</v>
      </c>
      <c r="T713">
        <v>8729</v>
      </c>
      <c r="U713">
        <v>81.73</v>
      </c>
      <c r="V713">
        <v>56.67</v>
      </c>
      <c r="W713">
        <f>Europe_Sales_Records34[[#This Row],[Total Revenue]]/Europe_Sales_Records34[[#This Row],[Units Sold]]</f>
        <v>81.73</v>
      </c>
      <c r="X713">
        <v>713421.17</v>
      </c>
      <c r="Y713">
        <v>494672.43</v>
      </c>
      <c r="Z713" s="4">
        <f>Europe_Sales_Records34[[#This Row],[Total Profit]]/Europe_Sales_Records34[[#This Row],[Total Revenue]]</f>
        <v>0.30661935641747212</v>
      </c>
      <c r="AA713">
        <v>218748.74</v>
      </c>
    </row>
    <row r="714" spans="1:27" x14ac:dyDescent="0.3">
      <c r="A714" t="s">
        <v>14</v>
      </c>
      <c r="B714" t="s">
        <v>100</v>
      </c>
      <c r="C714" t="s">
        <v>32</v>
      </c>
      <c r="D714" t="s">
        <v>17</v>
      </c>
      <c r="E714" t="s">
        <v>54</v>
      </c>
      <c r="F714" t="s">
        <v>1204</v>
      </c>
      <c r="G714" s="2">
        <f t="shared" si="22"/>
        <v>41977</v>
      </c>
      <c r="H714">
        <f>DAY(Europe_Sales_Records34[[#This Row],[Order Date Fixed]])</f>
        <v>4</v>
      </c>
      <c r="I714" t="str">
        <f>TEXT(Europe_Sales_Records34[[#This Row],[Order Date Fixed]],"MMM")</f>
        <v>Dec</v>
      </c>
      <c r="J714">
        <f>YEAR(Europe_Sales_Records34[[#This Row],[Order Date Fixed]])</f>
        <v>2014</v>
      </c>
      <c r="K714" t="str">
        <f>TEXT(Europe_Sales_Records34[[#This Row],[Order Date Fixed]],"MMM-YYYY")</f>
        <v>Dec-2014</v>
      </c>
      <c r="L714">
        <v>602264344</v>
      </c>
      <c r="M714" s="2">
        <f t="shared" si="23"/>
        <v>42011</v>
      </c>
      <c r="N714">
        <f>DAY(Europe_Sales_Records34[[#This Row],[Ship Date Fixed]])</f>
        <v>7</v>
      </c>
      <c r="O714" t="str">
        <f>TEXT(Europe_Sales_Records34[[#This Row],[Ship Date Fixed]],"MMM")</f>
        <v>Jan</v>
      </c>
      <c r="P714">
        <f>YEAR(Europe_Sales_Records34[[#This Row],[Ship Date Fixed]])</f>
        <v>2015</v>
      </c>
      <c r="Q714" t="str">
        <f>TEXT(Europe_Sales_Records34[[#This Row],[Ship Date Fixed]],"MMM-YYYY")</f>
        <v>Jan-2015</v>
      </c>
      <c r="R714" t="s">
        <v>1205</v>
      </c>
      <c r="S714" s="3">
        <f>Europe_Sales_Records34[[#This Row],[Ship Date Fixed]]-Europe_Sales_Records34[[#This Row],[Order Date Fixed]]</f>
        <v>34</v>
      </c>
      <c r="T714">
        <v>2258</v>
      </c>
      <c r="U714">
        <v>651.21</v>
      </c>
      <c r="V714">
        <v>524.96</v>
      </c>
      <c r="W714">
        <f>Europe_Sales_Records34[[#This Row],[Total Revenue]]/Europe_Sales_Records34[[#This Row],[Units Sold]]</f>
        <v>651.20999999999992</v>
      </c>
      <c r="X714">
        <v>1470432.18</v>
      </c>
      <c r="Y714">
        <v>1185359.68</v>
      </c>
      <c r="Z714" s="4">
        <f>Europe_Sales_Records34[[#This Row],[Total Profit]]/Europe_Sales_Records34[[#This Row],[Total Revenue]]</f>
        <v>0.19386987300563568</v>
      </c>
      <c r="AA714">
        <v>285072.5</v>
      </c>
    </row>
    <row r="715" spans="1:27" x14ac:dyDescent="0.3">
      <c r="A715" t="s">
        <v>14</v>
      </c>
      <c r="B715" t="s">
        <v>57</v>
      </c>
      <c r="C715" t="s">
        <v>28</v>
      </c>
      <c r="D715" t="s">
        <v>17</v>
      </c>
      <c r="E715" t="s">
        <v>54</v>
      </c>
      <c r="F715" t="s">
        <v>1206</v>
      </c>
      <c r="G715" s="2">
        <f t="shared" si="22"/>
        <v>41965</v>
      </c>
      <c r="H715">
        <f>DAY(Europe_Sales_Records34[[#This Row],[Order Date Fixed]])</f>
        <v>22</v>
      </c>
      <c r="I715" t="str">
        <f>TEXT(Europe_Sales_Records34[[#This Row],[Order Date Fixed]],"MMM")</f>
        <v>Nov</v>
      </c>
      <c r="J715">
        <f>YEAR(Europe_Sales_Records34[[#This Row],[Order Date Fixed]])</f>
        <v>2014</v>
      </c>
      <c r="K715" t="str">
        <f>TEXT(Europe_Sales_Records34[[#This Row],[Order Date Fixed]],"MMM-YYYY")</f>
        <v>Nov-2014</v>
      </c>
      <c r="L715">
        <v>791890084</v>
      </c>
      <c r="M715" s="2">
        <f t="shared" si="23"/>
        <v>41988</v>
      </c>
      <c r="N715">
        <f>DAY(Europe_Sales_Records34[[#This Row],[Ship Date Fixed]])</f>
        <v>15</v>
      </c>
      <c r="O715" t="str">
        <f>TEXT(Europe_Sales_Records34[[#This Row],[Ship Date Fixed]],"MMM")</f>
        <v>Dec</v>
      </c>
      <c r="P715">
        <f>YEAR(Europe_Sales_Records34[[#This Row],[Ship Date Fixed]])</f>
        <v>2014</v>
      </c>
      <c r="Q715" t="str">
        <f>TEXT(Europe_Sales_Records34[[#This Row],[Ship Date Fixed]],"MMM-YYYY")</f>
        <v>Dec-2014</v>
      </c>
      <c r="R715" t="s">
        <v>1207</v>
      </c>
      <c r="S715" s="3">
        <f>Europe_Sales_Records34[[#This Row],[Ship Date Fixed]]-Europe_Sales_Records34[[#This Row],[Order Date Fixed]]</f>
        <v>23</v>
      </c>
      <c r="T715">
        <v>6728</v>
      </c>
      <c r="U715">
        <v>205.7</v>
      </c>
      <c r="V715">
        <v>117.11</v>
      </c>
      <c r="W715">
        <f>Europe_Sales_Records34[[#This Row],[Total Revenue]]/Europe_Sales_Records34[[#This Row],[Units Sold]]</f>
        <v>205.70000000000002</v>
      </c>
      <c r="X715">
        <v>1383949.6</v>
      </c>
      <c r="Y715">
        <v>787916.08</v>
      </c>
      <c r="Z715" s="4">
        <f>Europe_Sales_Records34[[#This Row],[Total Profit]]/Europe_Sales_Records34[[#This Row],[Total Revenue]]</f>
        <v>0.43067574137092851</v>
      </c>
      <c r="AA715">
        <v>596033.52</v>
      </c>
    </row>
    <row r="716" spans="1:27" x14ac:dyDescent="0.3">
      <c r="A716" t="s">
        <v>14</v>
      </c>
      <c r="B716" t="s">
        <v>92</v>
      </c>
      <c r="C716" t="s">
        <v>37</v>
      </c>
      <c r="D716" t="s">
        <v>17</v>
      </c>
      <c r="E716" t="s">
        <v>18</v>
      </c>
      <c r="F716" t="s">
        <v>686</v>
      </c>
      <c r="G716" s="2">
        <f t="shared" si="22"/>
        <v>41089</v>
      </c>
      <c r="H716">
        <f>DAY(Europe_Sales_Records34[[#This Row],[Order Date Fixed]])</f>
        <v>29</v>
      </c>
      <c r="I716" t="str">
        <f>TEXT(Europe_Sales_Records34[[#This Row],[Order Date Fixed]],"MMM")</f>
        <v>Jun</v>
      </c>
      <c r="J716">
        <f>YEAR(Europe_Sales_Records34[[#This Row],[Order Date Fixed]])</f>
        <v>2012</v>
      </c>
      <c r="K716" t="str">
        <f>TEXT(Europe_Sales_Records34[[#This Row],[Order Date Fixed]],"MMM-YYYY")</f>
        <v>Jun-2012</v>
      </c>
      <c r="L716">
        <v>249606645</v>
      </c>
      <c r="M716" s="2">
        <f t="shared" si="23"/>
        <v>41135</v>
      </c>
      <c r="N716">
        <f>DAY(Europe_Sales_Records34[[#This Row],[Ship Date Fixed]])</f>
        <v>14</v>
      </c>
      <c r="O716" t="str">
        <f>TEXT(Europe_Sales_Records34[[#This Row],[Ship Date Fixed]],"MMM")</f>
        <v>Aug</v>
      </c>
      <c r="P716">
        <f>YEAR(Europe_Sales_Records34[[#This Row],[Ship Date Fixed]])</f>
        <v>2012</v>
      </c>
      <c r="Q716" t="str">
        <f>TEXT(Europe_Sales_Records34[[#This Row],[Ship Date Fixed]],"MMM-YYYY")</f>
        <v>Aug-2012</v>
      </c>
      <c r="R716" t="s">
        <v>1208</v>
      </c>
      <c r="S716" s="3">
        <f>Europe_Sales_Records34[[#This Row],[Ship Date Fixed]]-Europe_Sales_Records34[[#This Row],[Order Date Fixed]]</f>
        <v>46</v>
      </c>
      <c r="T716">
        <v>3008</v>
      </c>
      <c r="U716">
        <v>9.33</v>
      </c>
      <c r="V716">
        <v>6.92</v>
      </c>
      <c r="W716">
        <f>Europe_Sales_Records34[[#This Row],[Total Revenue]]/Europe_Sales_Records34[[#This Row],[Units Sold]]</f>
        <v>9.33</v>
      </c>
      <c r="X716">
        <v>28064.639999999999</v>
      </c>
      <c r="Y716">
        <v>20815.36</v>
      </c>
      <c r="Z716" s="4">
        <f>Europe_Sales_Records34[[#This Row],[Total Profit]]/Europe_Sales_Records34[[#This Row],[Total Revenue]]</f>
        <v>0.25830653804930331</v>
      </c>
      <c r="AA716">
        <v>7249.28</v>
      </c>
    </row>
    <row r="717" spans="1:27" x14ac:dyDescent="0.3">
      <c r="A717" t="s">
        <v>14</v>
      </c>
      <c r="B717" t="s">
        <v>57</v>
      </c>
      <c r="C717" t="s">
        <v>71</v>
      </c>
      <c r="D717" t="s">
        <v>17</v>
      </c>
      <c r="E717" t="s">
        <v>18</v>
      </c>
      <c r="F717" t="s">
        <v>1209</v>
      </c>
      <c r="G717" s="2">
        <f t="shared" si="22"/>
        <v>42102</v>
      </c>
      <c r="H717">
        <f>DAY(Europe_Sales_Records34[[#This Row],[Order Date Fixed]])</f>
        <v>8</v>
      </c>
      <c r="I717" t="str">
        <f>TEXT(Europe_Sales_Records34[[#This Row],[Order Date Fixed]],"MMM")</f>
        <v>Apr</v>
      </c>
      <c r="J717">
        <f>YEAR(Europe_Sales_Records34[[#This Row],[Order Date Fixed]])</f>
        <v>2015</v>
      </c>
      <c r="K717" t="str">
        <f>TEXT(Europe_Sales_Records34[[#This Row],[Order Date Fixed]],"MMM-YYYY")</f>
        <v>Apr-2015</v>
      </c>
      <c r="L717">
        <v>497466361</v>
      </c>
      <c r="M717" s="2">
        <f t="shared" si="23"/>
        <v>42125</v>
      </c>
      <c r="N717">
        <f>DAY(Europe_Sales_Records34[[#This Row],[Ship Date Fixed]])</f>
        <v>1</v>
      </c>
      <c r="O717" t="str">
        <f>TEXT(Europe_Sales_Records34[[#This Row],[Ship Date Fixed]],"MMM")</f>
        <v>May</v>
      </c>
      <c r="P717">
        <f>YEAR(Europe_Sales_Records34[[#This Row],[Ship Date Fixed]])</f>
        <v>2015</v>
      </c>
      <c r="Q717" t="str">
        <f>TEXT(Europe_Sales_Records34[[#This Row],[Ship Date Fixed]],"MMM-YYYY")</f>
        <v>May-2015</v>
      </c>
      <c r="R717" t="s">
        <v>1210</v>
      </c>
      <c r="S717" s="3">
        <f>Europe_Sales_Records34[[#This Row],[Ship Date Fixed]]-Europe_Sales_Records34[[#This Row],[Order Date Fixed]]</f>
        <v>23</v>
      </c>
      <c r="T717">
        <v>206</v>
      </c>
      <c r="U717">
        <v>668.27</v>
      </c>
      <c r="V717">
        <v>502.54</v>
      </c>
      <c r="W717">
        <f>Europe_Sales_Records34[[#This Row],[Total Revenue]]/Europe_Sales_Records34[[#This Row],[Units Sold]]</f>
        <v>668.27</v>
      </c>
      <c r="X717">
        <v>137663.62</v>
      </c>
      <c r="Y717">
        <v>103523.24</v>
      </c>
      <c r="Z717" s="4">
        <f>Europe_Sales_Records34[[#This Row],[Total Profit]]/Europe_Sales_Records34[[#This Row],[Total Revenue]]</f>
        <v>0.24799856345489096</v>
      </c>
      <c r="AA717">
        <v>34140.379999999997</v>
      </c>
    </row>
    <row r="718" spans="1:27" x14ac:dyDescent="0.3">
      <c r="A718" t="s">
        <v>14</v>
      </c>
      <c r="B718" t="s">
        <v>264</v>
      </c>
      <c r="C718" t="s">
        <v>22</v>
      </c>
      <c r="D718" t="s">
        <v>17</v>
      </c>
      <c r="E718" t="s">
        <v>33</v>
      </c>
      <c r="F718" t="s">
        <v>1211</v>
      </c>
      <c r="G718" s="2">
        <f t="shared" si="22"/>
        <v>41996</v>
      </c>
      <c r="H718">
        <f>DAY(Europe_Sales_Records34[[#This Row],[Order Date Fixed]])</f>
        <v>23</v>
      </c>
      <c r="I718" t="str">
        <f>TEXT(Europe_Sales_Records34[[#This Row],[Order Date Fixed]],"MMM")</f>
        <v>Dec</v>
      </c>
      <c r="J718">
        <f>YEAR(Europe_Sales_Records34[[#This Row],[Order Date Fixed]])</f>
        <v>2014</v>
      </c>
      <c r="K718" t="str">
        <f>TEXT(Europe_Sales_Records34[[#This Row],[Order Date Fixed]],"MMM-YYYY")</f>
        <v>Dec-2014</v>
      </c>
      <c r="L718">
        <v>839437711</v>
      </c>
      <c r="M718" s="2">
        <f t="shared" si="23"/>
        <v>41997</v>
      </c>
      <c r="N718">
        <f>DAY(Europe_Sales_Records34[[#This Row],[Ship Date Fixed]])</f>
        <v>24</v>
      </c>
      <c r="O718" t="str">
        <f>TEXT(Europe_Sales_Records34[[#This Row],[Ship Date Fixed]],"MMM")</f>
        <v>Dec</v>
      </c>
      <c r="P718">
        <f>YEAR(Europe_Sales_Records34[[#This Row],[Ship Date Fixed]])</f>
        <v>2014</v>
      </c>
      <c r="Q718" t="str">
        <f>TEXT(Europe_Sales_Records34[[#This Row],[Ship Date Fixed]],"MMM-YYYY")</f>
        <v>Dec-2014</v>
      </c>
      <c r="R718" t="s">
        <v>1212</v>
      </c>
      <c r="S718" s="3">
        <f>Europe_Sales_Records34[[#This Row],[Ship Date Fixed]]-Europe_Sales_Records34[[#This Row],[Order Date Fixed]]</f>
        <v>1</v>
      </c>
      <c r="T718">
        <v>7128</v>
      </c>
      <c r="U718">
        <v>109.28</v>
      </c>
      <c r="V718">
        <v>35.840000000000003</v>
      </c>
      <c r="W718">
        <f>Europe_Sales_Records34[[#This Row],[Total Revenue]]/Europe_Sales_Records34[[#This Row],[Units Sold]]</f>
        <v>109.28</v>
      </c>
      <c r="X718">
        <v>778947.84</v>
      </c>
      <c r="Y718">
        <v>255467.51999999999</v>
      </c>
      <c r="Z718" s="4">
        <f>Europe_Sales_Records34[[#This Row],[Total Profit]]/Europe_Sales_Records34[[#This Row],[Total Revenue]]</f>
        <v>0.67203513909224011</v>
      </c>
      <c r="AA718">
        <v>523480.32000000001</v>
      </c>
    </row>
    <row r="719" spans="1:27" x14ac:dyDescent="0.3">
      <c r="A719" t="s">
        <v>14</v>
      </c>
      <c r="B719" t="s">
        <v>45</v>
      </c>
      <c r="C719" t="s">
        <v>32</v>
      </c>
      <c r="D719" t="s">
        <v>23</v>
      </c>
      <c r="E719" t="s">
        <v>54</v>
      </c>
      <c r="F719" t="s">
        <v>787</v>
      </c>
      <c r="G719" s="2">
        <f t="shared" si="22"/>
        <v>41943</v>
      </c>
      <c r="H719">
        <f>DAY(Europe_Sales_Records34[[#This Row],[Order Date Fixed]])</f>
        <v>31</v>
      </c>
      <c r="I719" t="str">
        <f>TEXT(Europe_Sales_Records34[[#This Row],[Order Date Fixed]],"MMM")</f>
        <v>Oct</v>
      </c>
      <c r="J719">
        <f>YEAR(Europe_Sales_Records34[[#This Row],[Order Date Fixed]])</f>
        <v>2014</v>
      </c>
      <c r="K719" t="str">
        <f>TEXT(Europe_Sales_Records34[[#This Row],[Order Date Fixed]],"MMM-YYYY")</f>
        <v>Oct-2014</v>
      </c>
      <c r="L719">
        <v>549048888</v>
      </c>
      <c r="M719" s="2">
        <f t="shared" si="23"/>
        <v>41975</v>
      </c>
      <c r="N719">
        <f>DAY(Europe_Sales_Records34[[#This Row],[Ship Date Fixed]])</f>
        <v>2</v>
      </c>
      <c r="O719" t="str">
        <f>TEXT(Europe_Sales_Records34[[#This Row],[Ship Date Fixed]],"MMM")</f>
        <v>Dec</v>
      </c>
      <c r="P719">
        <f>YEAR(Europe_Sales_Records34[[#This Row],[Ship Date Fixed]])</f>
        <v>2014</v>
      </c>
      <c r="Q719" t="str">
        <f>TEXT(Europe_Sales_Records34[[#This Row],[Ship Date Fixed]],"MMM-YYYY")</f>
        <v>Dec-2014</v>
      </c>
      <c r="R719" t="s">
        <v>1213</v>
      </c>
      <c r="S719" s="3">
        <f>Europe_Sales_Records34[[#This Row],[Ship Date Fixed]]-Europe_Sales_Records34[[#This Row],[Order Date Fixed]]</f>
        <v>32</v>
      </c>
      <c r="T719">
        <v>4622</v>
      </c>
      <c r="U719">
        <v>651.21</v>
      </c>
      <c r="V719">
        <v>524.96</v>
      </c>
      <c r="W719">
        <f>Europe_Sales_Records34[[#This Row],[Total Revenue]]/Europe_Sales_Records34[[#This Row],[Units Sold]]</f>
        <v>651.21</v>
      </c>
      <c r="X719">
        <v>3009892.62</v>
      </c>
      <c r="Y719">
        <v>2426365.12</v>
      </c>
      <c r="Z719" s="4">
        <f>Europe_Sales_Records34[[#This Row],[Total Profit]]/Europe_Sales_Records34[[#This Row],[Total Revenue]]</f>
        <v>0.19386987300563566</v>
      </c>
      <c r="AA719">
        <v>583527.5</v>
      </c>
    </row>
    <row r="720" spans="1:27" x14ac:dyDescent="0.3">
      <c r="A720" t="s">
        <v>14</v>
      </c>
      <c r="B720" t="s">
        <v>53</v>
      </c>
      <c r="C720" t="s">
        <v>58</v>
      </c>
      <c r="D720" t="s">
        <v>23</v>
      </c>
      <c r="E720" t="s">
        <v>54</v>
      </c>
      <c r="F720" t="s">
        <v>1214</v>
      </c>
      <c r="G720" s="2">
        <f t="shared" si="22"/>
        <v>42341</v>
      </c>
      <c r="H720">
        <f>DAY(Europe_Sales_Records34[[#This Row],[Order Date Fixed]])</f>
        <v>3</v>
      </c>
      <c r="I720" t="str">
        <f>TEXT(Europe_Sales_Records34[[#This Row],[Order Date Fixed]],"MMM")</f>
        <v>Dec</v>
      </c>
      <c r="J720">
        <f>YEAR(Europe_Sales_Records34[[#This Row],[Order Date Fixed]])</f>
        <v>2015</v>
      </c>
      <c r="K720" t="str">
        <f>TEXT(Europe_Sales_Records34[[#This Row],[Order Date Fixed]],"MMM-YYYY")</f>
        <v>Dec-2015</v>
      </c>
      <c r="L720">
        <v>427432811</v>
      </c>
      <c r="M720" s="2">
        <f t="shared" si="23"/>
        <v>42349</v>
      </c>
      <c r="N720">
        <f>DAY(Europe_Sales_Records34[[#This Row],[Ship Date Fixed]])</f>
        <v>11</v>
      </c>
      <c r="O720" t="str">
        <f>TEXT(Europe_Sales_Records34[[#This Row],[Ship Date Fixed]],"MMM")</f>
        <v>Dec</v>
      </c>
      <c r="P720">
        <f>YEAR(Europe_Sales_Records34[[#This Row],[Ship Date Fixed]])</f>
        <v>2015</v>
      </c>
      <c r="Q720" t="str">
        <f>TEXT(Europe_Sales_Records34[[#This Row],[Ship Date Fixed]],"MMM-YYYY")</f>
        <v>Dec-2015</v>
      </c>
      <c r="R720" t="s">
        <v>1215</v>
      </c>
      <c r="S720" s="3">
        <f>Europe_Sales_Records34[[#This Row],[Ship Date Fixed]]-Europe_Sales_Records34[[#This Row],[Order Date Fixed]]</f>
        <v>8</v>
      </c>
      <c r="T720">
        <v>5722</v>
      </c>
      <c r="U720">
        <v>152.58000000000001</v>
      </c>
      <c r="V720">
        <v>97.44</v>
      </c>
      <c r="W720">
        <f>Europe_Sales_Records34[[#This Row],[Total Revenue]]/Europe_Sales_Records34[[#This Row],[Units Sold]]</f>
        <v>152.58000000000001</v>
      </c>
      <c r="X720">
        <v>873062.76</v>
      </c>
      <c r="Y720">
        <v>557551.68000000005</v>
      </c>
      <c r="Z720" s="4">
        <f>Europe_Sales_Records34[[#This Row],[Total Profit]]/Europe_Sales_Records34[[#This Row],[Total Revenue]]</f>
        <v>0.36138419189933152</v>
      </c>
      <c r="AA720">
        <v>315511.08</v>
      </c>
    </row>
    <row r="721" spans="1:27" x14ac:dyDescent="0.3">
      <c r="A721" t="s">
        <v>14</v>
      </c>
      <c r="B721" t="s">
        <v>220</v>
      </c>
      <c r="C721" t="s">
        <v>32</v>
      </c>
      <c r="D721" t="s">
        <v>23</v>
      </c>
      <c r="E721" t="s">
        <v>54</v>
      </c>
      <c r="F721" t="s">
        <v>1216</v>
      </c>
      <c r="G721" s="2">
        <f t="shared" si="22"/>
        <v>41729</v>
      </c>
      <c r="H721">
        <f>DAY(Europe_Sales_Records34[[#This Row],[Order Date Fixed]])</f>
        <v>31</v>
      </c>
      <c r="I721" t="str">
        <f>TEXT(Europe_Sales_Records34[[#This Row],[Order Date Fixed]],"MMM")</f>
        <v>Mar</v>
      </c>
      <c r="J721">
        <f>YEAR(Europe_Sales_Records34[[#This Row],[Order Date Fixed]])</f>
        <v>2014</v>
      </c>
      <c r="K721" t="str">
        <f>TEXT(Europe_Sales_Records34[[#This Row],[Order Date Fixed]],"MMM-YYYY")</f>
        <v>Mar-2014</v>
      </c>
      <c r="L721">
        <v>582836139</v>
      </c>
      <c r="M721" s="2">
        <f t="shared" si="23"/>
        <v>41734</v>
      </c>
      <c r="N721">
        <f>DAY(Europe_Sales_Records34[[#This Row],[Ship Date Fixed]])</f>
        <v>5</v>
      </c>
      <c r="O721" t="str">
        <f>TEXT(Europe_Sales_Records34[[#This Row],[Ship Date Fixed]],"MMM")</f>
        <v>Apr</v>
      </c>
      <c r="P721">
        <f>YEAR(Europe_Sales_Records34[[#This Row],[Ship Date Fixed]])</f>
        <v>2014</v>
      </c>
      <c r="Q721" t="str">
        <f>TEXT(Europe_Sales_Records34[[#This Row],[Ship Date Fixed]],"MMM-YYYY")</f>
        <v>Apr-2014</v>
      </c>
      <c r="R721" t="s">
        <v>226</v>
      </c>
      <c r="S721" s="3">
        <f>Europe_Sales_Records34[[#This Row],[Ship Date Fixed]]-Europe_Sales_Records34[[#This Row],[Order Date Fixed]]</f>
        <v>5</v>
      </c>
      <c r="T721">
        <v>3020</v>
      </c>
      <c r="U721">
        <v>651.21</v>
      </c>
      <c r="V721">
        <v>524.96</v>
      </c>
      <c r="W721">
        <f>Europe_Sales_Records34[[#This Row],[Total Revenue]]/Europe_Sales_Records34[[#This Row],[Units Sold]]</f>
        <v>651.21</v>
      </c>
      <c r="X721">
        <v>1966654.2</v>
      </c>
      <c r="Y721">
        <v>1585379.2</v>
      </c>
      <c r="Z721" s="4">
        <f>Europe_Sales_Records34[[#This Row],[Total Profit]]/Europe_Sales_Records34[[#This Row],[Total Revenue]]</f>
        <v>0.19386987300563566</v>
      </c>
      <c r="AA721">
        <v>381275</v>
      </c>
    </row>
    <row r="722" spans="1:27" x14ac:dyDescent="0.3">
      <c r="A722" t="s">
        <v>14</v>
      </c>
      <c r="B722" t="s">
        <v>67</v>
      </c>
      <c r="C722" t="s">
        <v>22</v>
      </c>
      <c r="D722" t="s">
        <v>17</v>
      </c>
      <c r="E722" t="s">
        <v>54</v>
      </c>
      <c r="F722" t="s">
        <v>849</v>
      </c>
      <c r="G722" s="2">
        <f t="shared" si="22"/>
        <v>41007</v>
      </c>
      <c r="H722">
        <f>DAY(Europe_Sales_Records34[[#This Row],[Order Date Fixed]])</f>
        <v>8</v>
      </c>
      <c r="I722" t="str">
        <f>TEXT(Europe_Sales_Records34[[#This Row],[Order Date Fixed]],"MMM")</f>
        <v>Apr</v>
      </c>
      <c r="J722">
        <f>YEAR(Europe_Sales_Records34[[#This Row],[Order Date Fixed]])</f>
        <v>2012</v>
      </c>
      <c r="K722" t="str">
        <f>TEXT(Europe_Sales_Records34[[#This Row],[Order Date Fixed]],"MMM-YYYY")</f>
        <v>Apr-2012</v>
      </c>
      <c r="L722">
        <v>719730079</v>
      </c>
      <c r="M722" s="2">
        <f t="shared" si="23"/>
        <v>41035</v>
      </c>
      <c r="N722">
        <f>DAY(Europe_Sales_Records34[[#This Row],[Ship Date Fixed]])</f>
        <v>6</v>
      </c>
      <c r="O722" t="str">
        <f>TEXT(Europe_Sales_Records34[[#This Row],[Ship Date Fixed]],"MMM")</f>
        <v>May</v>
      </c>
      <c r="P722">
        <f>YEAR(Europe_Sales_Records34[[#This Row],[Ship Date Fixed]])</f>
        <v>2012</v>
      </c>
      <c r="Q722" t="str">
        <f>TEXT(Europe_Sales_Records34[[#This Row],[Ship Date Fixed]],"MMM-YYYY")</f>
        <v>May-2012</v>
      </c>
      <c r="R722" t="s">
        <v>989</v>
      </c>
      <c r="S722" s="3">
        <f>Europe_Sales_Records34[[#This Row],[Ship Date Fixed]]-Europe_Sales_Records34[[#This Row],[Order Date Fixed]]</f>
        <v>28</v>
      </c>
      <c r="T722">
        <v>2979</v>
      </c>
      <c r="U722">
        <v>109.28</v>
      </c>
      <c r="V722">
        <v>35.840000000000003</v>
      </c>
      <c r="W722">
        <f>Europe_Sales_Records34[[#This Row],[Total Revenue]]/Europe_Sales_Records34[[#This Row],[Units Sold]]</f>
        <v>109.28</v>
      </c>
      <c r="X722">
        <v>325545.12</v>
      </c>
      <c r="Y722">
        <v>106767.36</v>
      </c>
      <c r="Z722" s="4">
        <f>Europe_Sales_Records34[[#This Row],[Total Profit]]/Europe_Sales_Records34[[#This Row],[Total Revenue]]</f>
        <v>0.67203513909224011</v>
      </c>
      <c r="AA722">
        <v>218777.76</v>
      </c>
    </row>
    <row r="723" spans="1:27" x14ac:dyDescent="0.3">
      <c r="A723" t="s">
        <v>14</v>
      </c>
      <c r="B723" t="s">
        <v>31</v>
      </c>
      <c r="C723" t="s">
        <v>71</v>
      </c>
      <c r="D723" t="s">
        <v>23</v>
      </c>
      <c r="E723" t="s">
        <v>54</v>
      </c>
      <c r="F723" t="s">
        <v>1005</v>
      </c>
      <c r="G723" s="2">
        <f t="shared" si="22"/>
        <v>41020</v>
      </c>
      <c r="H723">
        <f>DAY(Europe_Sales_Records34[[#This Row],[Order Date Fixed]])</f>
        <v>21</v>
      </c>
      <c r="I723" t="str">
        <f>TEXT(Europe_Sales_Records34[[#This Row],[Order Date Fixed]],"MMM")</f>
        <v>Apr</v>
      </c>
      <c r="J723">
        <f>YEAR(Europe_Sales_Records34[[#This Row],[Order Date Fixed]])</f>
        <v>2012</v>
      </c>
      <c r="K723" t="str">
        <f>TEXT(Europe_Sales_Records34[[#This Row],[Order Date Fixed]],"MMM-YYYY")</f>
        <v>Apr-2012</v>
      </c>
      <c r="L723">
        <v>837608659</v>
      </c>
      <c r="M723" s="2">
        <f t="shared" si="23"/>
        <v>41031</v>
      </c>
      <c r="N723">
        <f>DAY(Europe_Sales_Records34[[#This Row],[Ship Date Fixed]])</f>
        <v>2</v>
      </c>
      <c r="O723" t="str">
        <f>TEXT(Europe_Sales_Records34[[#This Row],[Ship Date Fixed]],"MMM")</f>
        <v>May</v>
      </c>
      <c r="P723">
        <f>YEAR(Europe_Sales_Records34[[#This Row],[Ship Date Fixed]])</f>
        <v>2012</v>
      </c>
      <c r="Q723" t="str">
        <f>TEXT(Europe_Sales_Records34[[#This Row],[Ship Date Fixed]],"MMM-YYYY")</f>
        <v>May-2012</v>
      </c>
      <c r="R723" t="s">
        <v>1217</v>
      </c>
      <c r="S723" s="3">
        <f>Europe_Sales_Records34[[#This Row],[Ship Date Fixed]]-Europe_Sales_Records34[[#This Row],[Order Date Fixed]]</f>
        <v>11</v>
      </c>
      <c r="T723">
        <v>5871</v>
      </c>
      <c r="U723">
        <v>668.27</v>
      </c>
      <c r="V723">
        <v>502.54</v>
      </c>
      <c r="W723">
        <f>Europe_Sales_Records34[[#This Row],[Total Revenue]]/Europe_Sales_Records34[[#This Row],[Units Sold]]</f>
        <v>668.27</v>
      </c>
      <c r="X723">
        <v>3923413.17</v>
      </c>
      <c r="Y723">
        <v>2950412.34</v>
      </c>
      <c r="Z723" s="4">
        <f>Europe_Sales_Records34[[#This Row],[Total Profit]]/Europe_Sales_Records34[[#This Row],[Total Revenue]]</f>
        <v>0.24799856345489099</v>
      </c>
      <c r="AA723">
        <v>973000.83</v>
      </c>
    </row>
    <row r="724" spans="1:27" x14ac:dyDescent="0.3">
      <c r="A724" t="s">
        <v>14</v>
      </c>
      <c r="B724" t="s">
        <v>115</v>
      </c>
      <c r="C724" t="s">
        <v>50</v>
      </c>
      <c r="D724" t="s">
        <v>23</v>
      </c>
      <c r="E724" t="s">
        <v>33</v>
      </c>
      <c r="F724" t="s">
        <v>1118</v>
      </c>
      <c r="G724" s="2">
        <f t="shared" si="22"/>
        <v>42792</v>
      </c>
      <c r="H724">
        <f>DAY(Europe_Sales_Records34[[#This Row],[Order Date Fixed]])</f>
        <v>26</v>
      </c>
      <c r="I724" t="str">
        <f>TEXT(Europe_Sales_Records34[[#This Row],[Order Date Fixed]],"MMM")</f>
        <v>Feb</v>
      </c>
      <c r="J724">
        <f>YEAR(Europe_Sales_Records34[[#This Row],[Order Date Fixed]])</f>
        <v>2017</v>
      </c>
      <c r="K724" t="str">
        <f>TEXT(Europe_Sales_Records34[[#This Row],[Order Date Fixed]],"MMM-YYYY")</f>
        <v>Feb-2017</v>
      </c>
      <c r="L724">
        <v>930670154</v>
      </c>
      <c r="M724" s="2">
        <f t="shared" si="23"/>
        <v>42809</v>
      </c>
      <c r="N724">
        <f>DAY(Europe_Sales_Records34[[#This Row],[Ship Date Fixed]])</f>
        <v>15</v>
      </c>
      <c r="O724" t="str">
        <f>TEXT(Europe_Sales_Records34[[#This Row],[Ship Date Fixed]],"MMM")</f>
        <v>Mar</v>
      </c>
      <c r="P724">
        <f>YEAR(Europe_Sales_Records34[[#This Row],[Ship Date Fixed]])</f>
        <v>2017</v>
      </c>
      <c r="Q724" t="str">
        <f>TEXT(Europe_Sales_Records34[[#This Row],[Ship Date Fixed]],"MMM-YYYY")</f>
        <v>Mar-2017</v>
      </c>
      <c r="R724" t="s">
        <v>172</v>
      </c>
      <c r="S724" s="3">
        <f>Europe_Sales_Records34[[#This Row],[Ship Date Fixed]]-Europe_Sales_Records34[[#This Row],[Order Date Fixed]]</f>
        <v>17</v>
      </c>
      <c r="T724">
        <v>4835</v>
      </c>
      <c r="U724">
        <v>421.89</v>
      </c>
      <c r="V724">
        <v>364.69</v>
      </c>
      <c r="W724">
        <f>Europe_Sales_Records34[[#This Row],[Total Revenue]]/Europe_Sales_Records34[[#This Row],[Units Sold]]</f>
        <v>421.89</v>
      </c>
      <c r="X724">
        <v>2039838.15</v>
      </c>
      <c r="Y724">
        <v>1763276.15</v>
      </c>
      <c r="Z724" s="4">
        <f>Europe_Sales_Records34[[#This Row],[Total Profit]]/Europe_Sales_Records34[[#This Row],[Total Revenue]]</f>
        <v>0.13558036455000119</v>
      </c>
      <c r="AA724">
        <v>276562</v>
      </c>
    </row>
    <row r="725" spans="1:27" x14ac:dyDescent="0.3">
      <c r="A725" t="s">
        <v>14</v>
      </c>
      <c r="B725" t="s">
        <v>86</v>
      </c>
      <c r="C725" t="s">
        <v>22</v>
      </c>
      <c r="D725" t="s">
        <v>17</v>
      </c>
      <c r="E725" t="s">
        <v>54</v>
      </c>
      <c r="F725" t="s">
        <v>1218</v>
      </c>
      <c r="G725" s="2">
        <f t="shared" si="22"/>
        <v>40954</v>
      </c>
      <c r="H725">
        <f>DAY(Europe_Sales_Records34[[#This Row],[Order Date Fixed]])</f>
        <v>15</v>
      </c>
      <c r="I725" t="str">
        <f>TEXT(Europe_Sales_Records34[[#This Row],[Order Date Fixed]],"MMM")</f>
        <v>Feb</v>
      </c>
      <c r="J725">
        <f>YEAR(Europe_Sales_Records34[[#This Row],[Order Date Fixed]])</f>
        <v>2012</v>
      </c>
      <c r="K725" t="str">
        <f>TEXT(Europe_Sales_Records34[[#This Row],[Order Date Fixed]],"MMM-YYYY")</f>
        <v>Feb-2012</v>
      </c>
      <c r="L725">
        <v>684853637</v>
      </c>
      <c r="M725" s="2">
        <f t="shared" si="23"/>
        <v>41002</v>
      </c>
      <c r="N725">
        <f>DAY(Europe_Sales_Records34[[#This Row],[Ship Date Fixed]])</f>
        <v>3</v>
      </c>
      <c r="O725" t="str">
        <f>TEXT(Europe_Sales_Records34[[#This Row],[Ship Date Fixed]],"MMM")</f>
        <v>Apr</v>
      </c>
      <c r="P725">
        <f>YEAR(Europe_Sales_Records34[[#This Row],[Ship Date Fixed]])</f>
        <v>2012</v>
      </c>
      <c r="Q725" t="str">
        <f>TEXT(Europe_Sales_Records34[[#This Row],[Ship Date Fixed]],"MMM-YYYY")</f>
        <v>Apr-2012</v>
      </c>
      <c r="R725" t="s">
        <v>1219</v>
      </c>
      <c r="S725" s="3">
        <f>Europe_Sales_Records34[[#This Row],[Ship Date Fixed]]-Europe_Sales_Records34[[#This Row],[Order Date Fixed]]</f>
        <v>48</v>
      </c>
      <c r="T725">
        <v>2265</v>
      </c>
      <c r="U725">
        <v>109.28</v>
      </c>
      <c r="V725">
        <v>35.840000000000003</v>
      </c>
      <c r="W725">
        <f>Europe_Sales_Records34[[#This Row],[Total Revenue]]/Europe_Sales_Records34[[#This Row],[Units Sold]]</f>
        <v>109.28</v>
      </c>
      <c r="X725">
        <v>247519.2</v>
      </c>
      <c r="Y725">
        <v>81177.600000000006</v>
      </c>
      <c r="Z725" s="4">
        <f>Europe_Sales_Records34[[#This Row],[Total Profit]]/Europe_Sales_Records34[[#This Row],[Total Revenue]]</f>
        <v>0.67203513909224011</v>
      </c>
      <c r="AA725">
        <v>166341.6</v>
      </c>
    </row>
    <row r="726" spans="1:27" x14ac:dyDescent="0.3">
      <c r="A726" t="s">
        <v>14</v>
      </c>
      <c r="B726" t="s">
        <v>40</v>
      </c>
      <c r="C726" t="s">
        <v>28</v>
      </c>
      <c r="D726" t="s">
        <v>17</v>
      </c>
      <c r="E726" t="s">
        <v>54</v>
      </c>
      <c r="F726" t="s">
        <v>276</v>
      </c>
      <c r="G726" s="2">
        <f t="shared" si="22"/>
        <v>41445</v>
      </c>
      <c r="H726">
        <f>DAY(Europe_Sales_Records34[[#This Row],[Order Date Fixed]])</f>
        <v>20</v>
      </c>
      <c r="I726" t="str">
        <f>TEXT(Europe_Sales_Records34[[#This Row],[Order Date Fixed]],"MMM")</f>
        <v>Jun</v>
      </c>
      <c r="J726">
        <f>YEAR(Europe_Sales_Records34[[#This Row],[Order Date Fixed]])</f>
        <v>2013</v>
      </c>
      <c r="K726" t="str">
        <f>TEXT(Europe_Sales_Records34[[#This Row],[Order Date Fixed]],"MMM-YYYY")</f>
        <v>Jun-2013</v>
      </c>
      <c r="L726">
        <v>930457293</v>
      </c>
      <c r="M726" s="2">
        <f t="shared" si="23"/>
        <v>41481</v>
      </c>
      <c r="N726">
        <f>DAY(Europe_Sales_Records34[[#This Row],[Ship Date Fixed]])</f>
        <v>26</v>
      </c>
      <c r="O726" t="str">
        <f>TEXT(Europe_Sales_Records34[[#This Row],[Ship Date Fixed]],"MMM")</f>
        <v>Jul</v>
      </c>
      <c r="P726">
        <f>YEAR(Europe_Sales_Records34[[#This Row],[Ship Date Fixed]])</f>
        <v>2013</v>
      </c>
      <c r="Q726" t="str">
        <f>TEXT(Europe_Sales_Records34[[#This Row],[Ship Date Fixed]],"MMM-YYYY")</f>
        <v>Jul-2013</v>
      </c>
      <c r="R726" t="s">
        <v>1220</v>
      </c>
      <c r="S726" s="3">
        <f>Europe_Sales_Records34[[#This Row],[Ship Date Fixed]]-Europe_Sales_Records34[[#This Row],[Order Date Fixed]]</f>
        <v>36</v>
      </c>
      <c r="T726">
        <v>1845</v>
      </c>
      <c r="U726">
        <v>205.7</v>
      </c>
      <c r="V726">
        <v>117.11</v>
      </c>
      <c r="W726">
        <f>Europe_Sales_Records34[[#This Row],[Total Revenue]]/Europe_Sales_Records34[[#This Row],[Units Sold]]</f>
        <v>205.7</v>
      </c>
      <c r="X726">
        <v>379516.5</v>
      </c>
      <c r="Y726">
        <v>216067.95</v>
      </c>
      <c r="Z726" s="4">
        <f>Europe_Sales_Records34[[#This Row],[Total Profit]]/Europe_Sales_Records34[[#This Row],[Total Revenue]]</f>
        <v>0.43067574137092851</v>
      </c>
      <c r="AA726">
        <v>163448.54999999999</v>
      </c>
    </row>
    <row r="727" spans="1:27" x14ac:dyDescent="0.3">
      <c r="A727" t="s">
        <v>14</v>
      </c>
      <c r="B727" t="s">
        <v>36</v>
      </c>
      <c r="C727" t="s">
        <v>32</v>
      </c>
      <c r="D727" t="s">
        <v>17</v>
      </c>
      <c r="E727" t="s">
        <v>54</v>
      </c>
      <c r="F727" t="s">
        <v>1221</v>
      </c>
      <c r="G727" s="2">
        <f t="shared" si="22"/>
        <v>41340</v>
      </c>
      <c r="H727">
        <f>DAY(Europe_Sales_Records34[[#This Row],[Order Date Fixed]])</f>
        <v>7</v>
      </c>
      <c r="I727" t="str">
        <f>TEXT(Europe_Sales_Records34[[#This Row],[Order Date Fixed]],"MMM")</f>
        <v>Mar</v>
      </c>
      <c r="J727">
        <f>YEAR(Europe_Sales_Records34[[#This Row],[Order Date Fixed]])</f>
        <v>2013</v>
      </c>
      <c r="K727" t="str">
        <f>TEXT(Europe_Sales_Records34[[#This Row],[Order Date Fixed]],"MMM-YYYY")</f>
        <v>Mar-2013</v>
      </c>
      <c r="L727">
        <v>343185698</v>
      </c>
      <c r="M727" s="2">
        <f t="shared" si="23"/>
        <v>41389</v>
      </c>
      <c r="N727">
        <f>DAY(Europe_Sales_Records34[[#This Row],[Ship Date Fixed]])</f>
        <v>25</v>
      </c>
      <c r="O727" t="str">
        <f>TEXT(Europe_Sales_Records34[[#This Row],[Ship Date Fixed]],"MMM")</f>
        <v>Apr</v>
      </c>
      <c r="P727">
        <f>YEAR(Europe_Sales_Records34[[#This Row],[Ship Date Fixed]])</f>
        <v>2013</v>
      </c>
      <c r="Q727" t="str">
        <f>TEXT(Europe_Sales_Records34[[#This Row],[Ship Date Fixed]],"MMM-YYYY")</f>
        <v>Apr-2013</v>
      </c>
      <c r="R727" t="s">
        <v>1222</v>
      </c>
      <c r="S727" s="3">
        <f>Europe_Sales_Records34[[#This Row],[Ship Date Fixed]]-Europe_Sales_Records34[[#This Row],[Order Date Fixed]]</f>
        <v>49</v>
      </c>
      <c r="T727">
        <v>5129</v>
      </c>
      <c r="U727">
        <v>651.21</v>
      </c>
      <c r="V727">
        <v>524.96</v>
      </c>
      <c r="W727">
        <f>Europe_Sales_Records34[[#This Row],[Total Revenue]]/Europe_Sales_Records34[[#This Row],[Units Sold]]</f>
        <v>651.20999999999992</v>
      </c>
      <c r="X727">
        <v>3340056.09</v>
      </c>
      <c r="Y727">
        <v>2692519.84</v>
      </c>
      <c r="Z727" s="4">
        <f>Europe_Sales_Records34[[#This Row],[Total Profit]]/Europe_Sales_Records34[[#This Row],[Total Revenue]]</f>
        <v>0.19386987300563568</v>
      </c>
      <c r="AA727">
        <v>647536.25</v>
      </c>
    </row>
    <row r="728" spans="1:27" x14ac:dyDescent="0.3">
      <c r="A728" t="s">
        <v>14</v>
      </c>
      <c r="B728" t="s">
        <v>163</v>
      </c>
      <c r="C728" t="s">
        <v>75</v>
      </c>
      <c r="D728" t="s">
        <v>23</v>
      </c>
      <c r="E728" t="s">
        <v>24</v>
      </c>
      <c r="F728" t="s">
        <v>1223</v>
      </c>
      <c r="G728" s="2">
        <f t="shared" si="22"/>
        <v>42577</v>
      </c>
      <c r="H728">
        <f>DAY(Europe_Sales_Records34[[#This Row],[Order Date Fixed]])</f>
        <v>26</v>
      </c>
      <c r="I728" t="str">
        <f>TEXT(Europe_Sales_Records34[[#This Row],[Order Date Fixed]],"MMM")</f>
        <v>Jul</v>
      </c>
      <c r="J728">
        <f>YEAR(Europe_Sales_Records34[[#This Row],[Order Date Fixed]])</f>
        <v>2016</v>
      </c>
      <c r="K728" t="str">
        <f>TEXT(Europe_Sales_Records34[[#This Row],[Order Date Fixed]],"MMM-YYYY")</f>
        <v>Jul-2016</v>
      </c>
      <c r="L728">
        <v>174935233</v>
      </c>
      <c r="M728" s="2">
        <f t="shared" si="23"/>
        <v>42580</v>
      </c>
      <c r="N728">
        <f>DAY(Europe_Sales_Records34[[#This Row],[Ship Date Fixed]])</f>
        <v>29</v>
      </c>
      <c r="O728" t="str">
        <f>TEXT(Europe_Sales_Records34[[#This Row],[Ship Date Fixed]],"MMM")</f>
        <v>Jul</v>
      </c>
      <c r="P728">
        <f>YEAR(Europe_Sales_Records34[[#This Row],[Ship Date Fixed]])</f>
        <v>2016</v>
      </c>
      <c r="Q728" t="str">
        <f>TEXT(Europe_Sales_Records34[[#This Row],[Ship Date Fixed]],"MMM-YYYY")</f>
        <v>Jul-2016</v>
      </c>
      <c r="R728" t="s">
        <v>1224</v>
      </c>
      <c r="S728" s="3">
        <f>Europe_Sales_Records34[[#This Row],[Ship Date Fixed]]-Europe_Sales_Records34[[#This Row],[Order Date Fixed]]</f>
        <v>3</v>
      </c>
      <c r="T728">
        <v>6078</v>
      </c>
      <c r="U728">
        <v>437.2</v>
      </c>
      <c r="V728">
        <v>263.33</v>
      </c>
      <c r="W728">
        <f>Europe_Sales_Records34[[#This Row],[Total Revenue]]/Europe_Sales_Records34[[#This Row],[Units Sold]]</f>
        <v>437.2</v>
      </c>
      <c r="X728">
        <v>2657301.6</v>
      </c>
      <c r="Y728">
        <v>1600519.74</v>
      </c>
      <c r="Z728" s="4">
        <f>Europe_Sales_Records34[[#This Row],[Total Profit]]/Europe_Sales_Records34[[#This Row],[Total Revenue]]</f>
        <v>0.39768984446477584</v>
      </c>
      <c r="AA728">
        <v>1056781.8600000001</v>
      </c>
    </row>
    <row r="729" spans="1:27" x14ac:dyDescent="0.3">
      <c r="A729" t="s">
        <v>14</v>
      </c>
      <c r="B729" t="s">
        <v>342</v>
      </c>
      <c r="C729" t="s">
        <v>37</v>
      </c>
      <c r="D729" t="s">
        <v>17</v>
      </c>
      <c r="E729" t="s">
        <v>24</v>
      </c>
      <c r="F729" t="s">
        <v>533</v>
      </c>
      <c r="G729" s="2">
        <f t="shared" si="22"/>
        <v>40825</v>
      </c>
      <c r="H729">
        <f>DAY(Europe_Sales_Records34[[#This Row],[Order Date Fixed]])</f>
        <v>9</v>
      </c>
      <c r="I729" t="str">
        <f>TEXT(Europe_Sales_Records34[[#This Row],[Order Date Fixed]],"MMM")</f>
        <v>Oct</v>
      </c>
      <c r="J729">
        <f>YEAR(Europe_Sales_Records34[[#This Row],[Order Date Fixed]])</f>
        <v>2011</v>
      </c>
      <c r="K729" t="str">
        <f>TEXT(Europe_Sales_Records34[[#This Row],[Order Date Fixed]],"MMM-YYYY")</f>
        <v>Oct-2011</v>
      </c>
      <c r="L729">
        <v>904812800</v>
      </c>
      <c r="M729" s="2">
        <f t="shared" si="23"/>
        <v>40871</v>
      </c>
      <c r="N729">
        <f>DAY(Europe_Sales_Records34[[#This Row],[Ship Date Fixed]])</f>
        <v>24</v>
      </c>
      <c r="O729" t="str">
        <f>TEXT(Europe_Sales_Records34[[#This Row],[Ship Date Fixed]],"MMM")</f>
        <v>Nov</v>
      </c>
      <c r="P729">
        <f>YEAR(Europe_Sales_Records34[[#This Row],[Ship Date Fixed]])</f>
        <v>2011</v>
      </c>
      <c r="Q729" t="str">
        <f>TEXT(Europe_Sales_Records34[[#This Row],[Ship Date Fixed]],"MMM-YYYY")</f>
        <v>Nov-2011</v>
      </c>
      <c r="R729" t="s">
        <v>1225</v>
      </c>
      <c r="S729" s="3">
        <f>Europe_Sales_Records34[[#This Row],[Ship Date Fixed]]-Europe_Sales_Records34[[#This Row],[Order Date Fixed]]</f>
        <v>46</v>
      </c>
      <c r="T729">
        <v>3069</v>
      </c>
      <c r="U729">
        <v>9.33</v>
      </c>
      <c r="V729">
        <v>6.92</v>
      </c>
      <c r="W729">
        <f>Europe_Sales_Records34[[#This Row],[Total Revenue]]/Europe_Sales_Records34[[#This Row],[Units Sold]]</f>
        <v>9.33</v>
      </c>
      <c r="X729">
        <v>28633.77</v>
      </c>
      <c r="Y729">
        <v>21237.48</v>
      </c>
      <c r="Z729" s="4">
        <f>Europe_Sales_Records34[[#This Row],[Total Profit]]/Europe_Sales_Records34[[#This Row],[Total Revenue]]</f>
        <v>0.25830653804930331</v>
      </c>
      <c r="AA729">
        <v>7396.29</v>
      </c>
    </row>
    <row r="730" spans="1:27" x14ac:dyDescent="0.3">
      <c r="A730" t="s">
        <v>14</v>
      </c>
      <c r="B730" t="s">
        <v>342</v>
      </c>
      <c r="C730" t="s">
        <v>102</v>
      </c>
      <c r="D730" t="s">
        <v>23</v>
      </c>
      <c r="E730" t="s">
        <v>33</v>
      </c>
      <c r="F730" t="s">
        <v>1226</v>
      </c>
      <c r="G730" s="2">
        <f t="shared" si="22"/>
        <v>40707</v>
      </c>
      <c r="H730">
        <f>DAY(Europe_Sales_Records34[[#This Row],[Order Date Fixed]])</f>
        <v>13</v>
      </c>
      <c r="I730" t="str">
        <f>TEXT(Europe_Sales_Records34[[#This Row],[Order Date Fixed]],"MMM")</f>
        <v>Jun</v>
      </c>
      <c r="J730">
        <f>YEAR(Europe_Sales_Records34[[#This Row],[Order Date Fixed]])</f>
        <v>2011</v>
      </c>
      <c r="K730" t="str">
        <f>TEXT(Europe_Sales_Records34[[#This Row],[Order Date Fixed]],"MMM-YYYY")</f>
        <v>Jun-2011</v>
      </c>
      <c r="L730">
        <v>438683927</v>
      </c>
      <c r="M730" s="2">
        <f t="shared" si="23"/>
        <v>40753</v>
      </c>
      <c r="N730">
        <f>DAY(Europe_Sales_Records34[[#This Row],[Ship Date Fixed]])</f>
        <v>29</v>
      </c>
      <c r="O730" t="str">
        <f>TEXT(Europe_Sales_Records34[[#This Row],[Ship Date Fixed]],"MMM")</f>
        <v>Jul</v>
      </c>
      <c r="P730">
        <f>YEAR(Europe_Sales_Records34[[#This Row],[Ship Date Fixed]])</f>
        <v>2011</v>
      </c>
      <c r="Q730" t="str">
        <f>TEXT(Europe_Sales_Records34[[#This Row],[Ship Date Fixed]],"MMM-YYYY")</f>
        <v>Jul-2011</v>
      </c>
      <c r="R730" t="s">
        <v>1227</v>
      </c>
      <c r="S730" s="3">
        <f>Europe_Sales_Records34[[#This Row],[Ship Date Fixed]]-Europe_Sales_Records34[[#This Row],[Order Date Fixed]]</f>
        <v>46</v>
      </c>
      <c r="T730">
        <v>5177</v>
      </c>
      <c r="U730">
        <v>81.73</v>
      </c>
      <c r="V730">
        <v>56.67</v>
      </c>
      <c r="W730">
        <f>Europe_Sales_Records34[[#This Row],[Total Revenue]]/Europe_Sales_Records34[[#This Row],[Units Sold]]</f>
        <v>81.73</v>
      </c>
      <c r="X730">
        <v>423116.21</v>
      </c>
      <c r="Y730">
        <v>293380.59000000003</v>
      </c>
      <c r="Z730" s="4">
        <f>Europe_Sales_Records34[[#This Row],[Total Profit]]/Europe_Sales_Records34[[#This Row],[Total Revenue]]</f>
        <v>0.30661935641747212</v>
      </c>
      <c r="AA730">
        <v>129735.62</v>
      </c>
    </row>
    <row r="731" spans="1:27" x14ac:dyDescent="0.3">
      <c r="A731" t="s">
        <v>14</v>
      </c>
      <c r="B731" t="s">
        <v>223</v>
      </c>
      <c r="C731" t="s">
        <v>37</v>
      </c>
      <c r="D731" t="s">
        <v>17</v>
      </c>
      <c r="E731" t="s">
        <v>54</v>
      </c>
      <c r="F731" t="s">
        <v>1228</v>
      </c>
      <c r="G731" s="2">
        <f t="shared" si="22"/>
        <v>40768</v>
      </c>
      <c r="H731">
        <f>DAY(Europe_Sales_Records34[[#This Row],[Order Date Fixed]])</f>
        <v>13</v>
      </c>
      <c r="I731" t="str">
        <f>TEXT(Europe_Sales_Records34[[#This Row],[Order Date Fixed]],"MMM")</f>
        <v>Aug</v>
      </c>
      <c r="J731">
        <f>YEAR(Europe_Sales_Records34[[#This Row],[Order Date Fixed]])</f>
        <v>2011</v>
      </c>
      <c r="K731" t="str">
        <f>TEXT(Europe_Sales_Records34[[#This Row],[Order Date Fixed]],"MMM-YYYY")</f>
        <v>Aug-2011</v>
      </c>
      <c r="L731">
        <v>303534495</v>
      </c>
      <c r="M731" s="2">
        <f t="shared" si="23"/>
        <v>40773</v>
      </c>
      <c r="N731">
        <f>DAY(Europe_Sales_Records34[[#This Row],[Ship Date Fixed]])</f>
        <v>18</v>
      </c>
      <c r="O731" t="str">
        <f>TEXT(Europe_Sales_Records34[[#This Row],[Ship Date Fixed]],"MMM")</f>
        <v>Aug</v>
      </c>
      <c r="P731">
        <f>YEAR(Europe_Sales_Records34[[#This Row],[Ship Date Fixed]])</f>
        <v>2011</v>
      </c>
      <c r="Q731" t="str">
        <f>TEXT(Europe_Sales_Records34[[#This Row],[Ship Date Fixed]],"MMM-YYYY")</f>
        <v>Aug-2011</v>
      </c>
      <c r="R731" t="s">
        <v>1229</v>
      </c>
      <c r="S731" s="3">
        <f>Europe_Sales_Records34[[#This Row],[Ship Date Fixed]]-Europe_Sales_Records34[[#This Row],[Order Date Fixed]]</f>
        <v>5</v>
      </c>
      <c r="T731">
        <v>1457</v>
      </c>
      <c r="U731">
        <v>9.33</v>
      </c>
      <c r="V731">
        <v>6.92</v>
      </c>
      <c r="W731">
        <f>Europe_Sales_Records34[[#This Row],[Total Revenue]]/Europe_Sales_Records34[[#This Row],[Units Sold]]</f>
        <v>9.33</v>
      </c>
      <c r="X731">
        <v>13593.81</v>
      </c>
      <c r="Y731">
        <v>10082.44</v>
      </c>
      <c r="Z731" s="4">
        <f>Europe_Sales_Records34[[#This Row],[Total Profit]]/Europe_Sales_Records34[[#This Row],[Total Revenue]]</f>
        <v>0.25830653804930331</v>
      </c>
      <c r="AA731">
        <v>3511.37</v>
      </c>
    </row>
    <row r="732" spans="1:27" x14ac:dyDescent="0.3">
      <c r="A732" t="s">
        <v>14</v>
      </c>
      <c r="B732" t="s">
        <v>92</v>
      </c>
      <c r="C732" t="s">
        <v>64</v>
      </c>
      <c r="D732" t="s">
        <v>23</v>
      </c>
      <c r="E732" t="s">
        <v>24</v>
      </c>
      <c r="F732" t="s">
        <v>1230</v>
      </c>
      <c r="G732" s="2">
        <f t="shared" si="22"/>
        <v>41604</v>
      </c>
      <c r="H732">
        <f>DAY(Europe_Sales_Records34[[#This Row],[Order Date Fixed]])</f>
        <v>26</v>
      </c>
      <c r="I732" t="str">
        <f>TEXT(Europe_Sales_Records34[[#This Row],[Order Date Fixed]],"MMM")</f>
        <v>Nov</v>
      </c>
      <c r="J732">
        <f>YEAR(Europe_Sales_Records34[[#This Row],[Order Date Fixed]])</f>
        <v>2013</v>
      </c>
      <c r="K732" t="str">
        <f>TEXT(Europe_Sales_Records34[[#This Row],[Order Date Fixed]],"MMM-YYYY")</f>
        <v>Nov-2013</v>
      </c>
      <c r="L732">
        <v>775008904</v>
      </c>
      <c r="M732" s="2">
        <f t="shared" si="23"/>
        <v>41641</v>
      </c>
      <c r="N732">
        <f>DAY(Europe_Sales_Records34[[#This Row],[Ship Date Fixed]])</f>
        <v>2</v>
      </c>
      <c r="O732" t="str">
        <f>TEXT(Europe_Sales_Records34[[#This Row],[Ship Date Fixed]],"MMM")</f>
        <v>Jan</v>
      </c>
      <c r="P732">
        <f>YEAR(Europe_Sales_Records34[[#This Row],[Ship Date Fixed]])</f>
        <v>2014</v>
      </c>
      <c r="Q732" t="str">
        <f>TEXT(Europe_Sales_Records34[[#This Row],[Ship Date Fixed]],"MMM-YYYY")</f>
        <v>Jan-2014</v>
      </c>
      <c r="R732" t="s">
        <v>1231</v>
      </c>
      <c r="S732" s="3">
        <f>Europe_Sales_Records34[[#This Row],[Ship Date Fixed]]-Europe_Sales_Records34[[#This Row],[Order Date Fixed]]</f>
        <v>37</v>
      </c>
      <c r="T732">
        <v>1212</v>
      </c>
      <c r="U732">
        <v>255.28</v>
      </c>
      <c r="V732">
        <v>159.41999999999999</v>
      </c>
      <c r="W732">
        <f>Europe_Sales_Records34[[#This Row],[Total Revenue]]/Europe_Sales_Records34[[#This Row],[Units Sold]]</f>
        <v>255.28</v>
      </c>
      <c r="X732">
        <v>309399.36</v>
      </c>
      <c r="Y732">
        <v>193217.04</v>
      </c>
      <c r="Z732" s="4">
        <f>Europe_Sales_Records34[[#This Row],[Total Profit]]/Europe_Sales_Records34[[#This Row],[Total Revenue]]</f>
        <v>0.37550924475086184</v>
      </c>
      <c r="AA732">
        <v>116182.32</v>
      </c>
    </row>
    <row r="733" spans="1:27" x14ac:dyDescent="0.3">
      <c r="A733" t="s">
        <v>14</v>
      </c>
      <c r="B733" t="s">
        <v>183</v>
      </c>
      <c r="C733" t="s">
        <v>37</v>
      </c>
      <c r="D733" t="s">
        <v>23</v>
      </c>
      <c r="E733" t="s">
        <v>24</v>
      </c>
      <c r="F733" t="s">
        <v>1232</v>
      </c>
      <c r="G733" s="2">
        <f t="shared" si="22"/>
        <v>41867</v>
      </c>
      <c r="H733">
        <f>DAY(Europe_Sales_Records34[[#This Row],[Order Date Fixed]])</f>
        <v>16</v>
      </c>
      <c r="I733" t="str">
        <f>TEXT(Europe_Sales_Records34[[#This Row],[Order Date Fixed]],"MMM")</f>
        <v>Aug</v>
      </c>
      <c r="J733">
        <f>YEAR(Europe_Sales_Records34[[#This Row],[Order Date Fixed]])</f>
        <v>2014</v>
      </c>
      <c r="K733" t="str">
        <f>TEXT(Europe_Sales_Records34[[#This Row],[Order Date Fixed]],"MMM-YYYY")</f>
        <v>Aug-2014</v>
      </c>
      <c r="L733">
        <v>471348512</v>
      </c>
      <c r="M733" s="2">
        <f t="shared" si="23"/>
        <v>41913</v>
      </c>
      <c r="N733">
        <f>DAY(Europe_Sales_Records34[[#This Row],[Ship Date Fixed]])</f>
        <v>1</v>
      </c>
      <c r="O733" t="str">
        <f>TEXT(Europe_Sales_Records34[[#This Row],[Ship Date Fixed]],"MMM")</f>
        <v>Oct</v>
      </c>
      <c r="P733">
        <f>YEAR(Europe_Sales_Records34[[#This Row],[Ship Date Fixed]])</f>
        <v>2014</v>
      </c>
      <c r="Q733" t="str">
        <f>TEXT(Europe_Sales_Records34[[#This Row],[Ship Date Fixed]],"MMM-YYYY")</f>
        <v>Oct-2014</v>
      </c>
      <c r="R733" t="s">
        <v>1233</v>
      </c>
      <c r="S733" s="3">
        <f>Europe_Sales_Records34[[#This Row],[Ship Date Fixed]]-Europe_Sales_Records34[[#This Row],[Order Date Fixed]]</f>
        <v>46</v>
      </c>
      <c r="T733">
        <v>1354</v>
      </c>
      <c r="U733">
        <v>9.33</v>
      </c>
      <c r="V733">
        <v>6.92</v>
      </c>
      <c r="W733">
        <f>Europe_Sales_Records34[[#This Row],[Total Revenue]]/Europe_Sales_Records34[[#This Row],[Units Sold]]</f>
        <v>9.33</v>
      </c>
      <c r="X733">
        <v>12632.82</v>
      </c>
      <c r="Y733">
        <v>9369.68</v>
      </c>
      <c r="Z733" s="4">
        <f>Europe_Sales_Records34[[#This Row],[Total Profit]]/Europe_Sales_Records34[[#This Row],[Total Revenue]]</f>
        <v>0.25830653804930331</v>
      </c>
      <c r="AA733">
        <v>3263.14</v>
      </c>
    </row>
    <row r="734" spans="1:27" x14ac:dyDescent="0.3">
      <c r="A734" t="s">
        <v>14</v>
      </c>
      <c r="B734" t="s">
        <v>100</v>
      </c>
      <c r="C734" t="s">
        <v>64</v>
      </c>
      <c r="D734" t="s">
        <v>17</v>
      </c>
      <c r="E734" t="s">
        <v>18</v>
      </c>
      <c r="F734" t="s">
        <v>1234</v>
      </c>
      <c r="G734" s="2">
        <f t="shared" si="22"/>
        <v>41266</v>
      </c>
      <c r="H734">
        <f>DAY(Europe_Sales_Records34[[#This Row],[Order Date Fixed]])</f>
        <v>23</v>
      </c>
      <c r="I734" t="str">
        <f>TEXT(Europe_Sales_Records34[[#This Row],[Order Date Fixed]],"MMM")</f>
        <v>Dec</v>
      </c>
      <c r="J734">
        <f>YEAR(Europe_Sales_Records34[[#This Row],[Order Date Fixed]])</f>
        <v>2012</v>
      </c>
      <c r="K734" t="str">
        <f>TEXT(Europe_Sales_Records34[[#This Row],[Order Date Fixed]],"MMM-YYYY")</f>
        <v>Dec-2012</v>
      </c>
      <c r="L734">
        <v>302442729</v>
      </c>
      <c r="M734" s="2">
        <f t="shared" si="23"/>
        <v>41291</v>
      </c>
      <c r="N734">
        <f>DAY(Europe_Sales_Records34[[#This Row],[Ship Date Fixed]])</f>
        <v>17</v>
      </c>
      <c r="O734" t="str">
        <f>TEXT(Europe_Sales_Records34[[#This Row],[Ship Date Fixed]],"MMM")</f>
        <v>Jan</v>
      </c>
      <c r="P734">
        <f>YEAR(Europe_Sales_Records34[[#This Row],[Ship Date Fixed]])</f>
        <v>2013</v>
      </c>
      <c r="Q734" t="str">
        <f>TEXT(Europe_Sales_Records34[[#This Row],[Ship Date Fixed]],"MMM-YYYY")</f>
        <v>Jan-2013</v>
      </c>
      <c r="R734" t="s">
        <v>452</v>
      </c>
      <c r="S734" s="3">
        <f>Europe_Sales_Records34[[#This Row],[Ship Date Fixed]]-Europe_Sales_Records34[[#This Row],[Order Date Fixed]]</f>
        <v>25</v>
      </c>
      <c r="T734">
        <v>8379</v>
      </c>
      <c r="U734">
        <v>255.28</v>
      </c>
      <c r="V734">
        <v>159.41999999999999</v>
      </c>
      <c r="W734">
        <f>Europe_Sales_Records34[[#This Row],[Total Revenue]]/Europe_Sales_Records34[[#This Row],[Units Sold]]</f>
        <v>255.28</v>
      </c>
      <c r="X734">
        <v>2138991.12</v>
      </c>
      <c r="Y734">
        <v>1335780.18</v>
      </c>
      <c r="Z734" s="4">
        <f>Europe_Sales_Records34[[#This Row],[Total Profit]]/Europe_Sales_Records34[[#This Row],[Total Revenue]]</f>
        <v>0.37550924475086173</v>
      </c>
      <c r="AA734">
        <v>803210.94</v>
      </c>
    </row>
    <row r="735" spans="1:27" x14ac:dyDescent="0.3">
      <c r="A735" t="s">
        <v>14</v>
      </c>
      <c r="B735" t="s">
        <v>181</v>
      </c>
      <c r="C735" t="s">
        <v>46</v>
      </c>
      <c r="D735" t="s">
        <v>23</v>
      </c>
      <c r="E735" t="s">
        <v>18</v>
      </c>
      <c r="F735" t="s">
        <v>1235</v>
      </c>
      <c r="G735" s="2">
        <f t="shared" si="22"/>
        <v>41011</v>
      </c>
      <c r="H735">
        <f>DAY(Europe_Sales_Records34[[#This Row],[Order Date Fixed]])</f>
        <v>12</v>
      </c>
      <c r="I735" t="str">
        <f>TEXT(Europe_Sales_Records34[[#This Row],[Order Date Fixed]],"MMM")</f>
        <v>Apr</v>
      </c>
      <c r="J735">
        <f>YEAR(Europe_Sales_Records34[[#This Row],[Order Date Fixed]])</f>
        <v>2012</v>
      </c>
      <c r="K735" t="str">
        <f>TEXT(Europe_Sales_Records34[[#This Row],[Order Date Fixed]],"MMM-YYYY")</f>
        <v>Apr-2012</v>
      </c>
      <c r="L735">
        <v>987050187</v>
      </c>
      <c r="M735" s="2">
        <f t="shared" si="23"/>
        <v>41024</v>
      </c>
      <c r="N735">
        <f>DAY(Europe_Sales_Records34[[#This Row],[Ship Date Fixed]])</f>
        <v>25</v>
      </c>
      <c r="O735" t="str">
        <f>TEXT(Europe_Sales_Records34[[#This Row],[Ship Date Fixed]],"MMM")</f>
        <v>Apr</v>
      </c>
      <c r="P735">
        <f>YEAR(Europe_Sales_Records34[[#This Row],[Ship Date Fixed]])</f>
        <v>2012</v>
      </c>
      <c r="Q735" t="str">
        <f>TEXT(Europe_Sales_Records34[[#This Row],[Ship Date Fixed]],"MMM-YYYY")</f>
        <v>Apr-2012</v>
      </c>
      <c r="R735" t="s">
        <v>1236</v>
      </c>
      <c r="S735" s="3">
        <f>Europe_Sales_Records34[[#This Row],[Ship Date Fixed]]-Europe_Sales_Records34[[#This Row],[Order Date Fixed]]</f>
        <v>13</v>
      </c>
      <c r="T735">
        <v>8940</v>
      </c>
      <c r="U735">
        <v>154.06</v>
      </c>
      <c r="V735">
        <v>90.93</v>
      </c>
      <c r="W735">
        <f>Europe_Sales_Records34[[#This Row],[Total Revenue]]/Europe_Sales_Records34[[#This Row],[Units Sold]]</f>
        <v>154.06</v>
      </c>
      <c r="X735">
        <v>1377296.4</v>
      </c>
      <c r="Y735">
        <v>812914.2</v>
      </c>
      <c r="Z735" s="4">
        <f>Europe_Sales_Records34[[#This Row],[Total Profit]]/Europe_Sales_Records34[[#This Row],[Total Revenue]]</f>
        <v>0.40977541217707386</v>
      </c>
      <c r="AA735">
        <v>564382.19999999995</v>
      </c>
    </row>
    <row r="736" spans="1:27" x14ac:dyDescent="0.3">
      <c r="A736" t="s">
        <v>14</v>
      </c>
      <c r="B736" t="s">
        <v>31</v>
      </c>
      <c r="C736" t="s">
        <v>32</v>
      </c>
      <c r="D736" t="s">
        <v>23</v>
      </c>
      <c r="E736" t="s">
        <v>54</v>
      </c>
      <c r="F736" t="s">
        <v>1237</v>
      </c>
      <c r="G736" s="2">
        <f t="shared" si="22"/>
        <v>42310</v>
      </c>
      <c r="H736">
        <f>DAY(Europe_Sales_Records34[[#This Row],[Order Date Fixed]])</f>
        <v>2</v>
      </c>
      <c r="I736" t="str">
        <f>TEXT(Europe_Sales_Records34[[#This Row],[Order Date Fixed]],"MMM")</f>
        <v>Nov</v>
      </c>
      <c r="J736">
        <f>YEAR(Europe_Sales_Records34[[#This Row],[Order Date Fixed]])</f>
        <v>2015</v>
      </c>
      <c r="K736" t="str">
        <f>TEXT(Europe_Sales_Records34[[#This Row],[Order Date Fixed]],"MMM-YYYY")</f>
        <v>Nov-2015</v>
      </c>
      <c r="L736">
        <v>641537463</v>
      </c>
      <c r="M736" s="2">
        <f t="shared" si="23"/>
        <v>42352</v>
      </c>
      <c r="N736">
        <f>DAY(Europe_Sales_Records34[[#This Row],[Ship Date Fixed]])</f>
        <v>14</v>
      </c>
      <c r="O736" t="str">
        <f>TEXT(Europe_Sales_Records34[[#This Row],[Ship Date Fixed]],"MMM")</f>
        <v>Dec</v>
      </c>
      <c r="P736">
        <f>YEAR(Europe_Sales_Records34[[#This Row],[Ship Date Fixed]])</f>
        <v>2015</v>
      </c>
      <c r="Q736" t="str">
        <f>TEXT(Europe_Sales_Records34[[#This Row],[Ship Date Fixed]],"MMM-YYYY")</f>
        <v>Dec-2015</v>
      </c>
      <c r="R736" t="s">
        <v>1238</v>
      </c>
      <c r="S736" s="3">
        <f>Europe_Sales_Records34[[#This Row],[Ship Date Fixed]]-Europe_Sales_Records34[[#This Row],[Order Date Fixed]]</f>
        <v>42</v>
      </c>
      <c r="T736">
        <v>4047</v>
      </c>
      <c r="U736">
        <v>651.21</v>
      </c>
      <c r="V736">
        <v>524.96</v>
      </c>
      <c r="W736">
        <f>Europe_Sales_Records34[[#This Row],[Total Revenue]]/Europe_Sales_Records34[[#This Row],[Units Sold]]</f>
        <v>651.21</v>
      </c>
      <c r="X736">
        <v>2635446.87</v>
      </c>
      <c r="Y736">
        <v>2124513.12</v>
      </c>
      <c r="Z736" s="4">
        <f>Europe_Sales_Records34[[#This Row],[Total Profit]]/Europe_Sales_Records34[[#This Row],[Total Revenue]]</f>
        <v>0.19386987300563566</v>
      </c>
      <c r="AA736">
        <v>510933.75</v>
      </c>
    </row>
    <row r="737" spans="1:27" x14ac:dyDescent="0.3">
      <c r="A737" t="s">
        <v>14</v>
      </c>
      <c r="B737" t="s">
        <v>15</v>
      </c>
      <c r="C737" t="s">
        <v>71</v>
      </c>
      <c r="D737" t="s">
        <v>17</v>
      </c>
      <c r="E737" t="s">
        <v>33</v>
      </c>
      <c r="F737" t="s">
        <v>1239</v>
      </c>
      <c r="G737" s="2">
        <f t="shared" si="22"/>
        <v>42139</v>
      </c>
      <c r="H737">
        <f>DAY(Europe_Sales_Records34[[#This Row],[Order Date Fixed]])</f>
        <v>15</v>
      </c>
      <c r="I737" t="str">
        <f>TEXT(Europe_Sales_Records34[[#This Row],[Order Date Fixed]],"MMM")</f>
        <v>May</v>
      </c>
      <c r="J737">
        <f>YEAR(Europe_Sales_Records34[[#This Row],[Order Date Fixed]])</f>
        <v>2015</v>
      </c>
      <c r="K737" t="str">
        <f>TEXT(Europe_Sales_Records34[[#This Row],[Order Date Fixed]],"MMM-YYYY")</f>
        <v>May-2015</v>
      </c>
      <c r="L737">
        <v>512662255</v>
      </c>
      <c r="M737" s="2">
        <f t="shared" si="23"/>
        <v>42177</v>
      </c>
      <c r="N737">
        <f>DAY(Europe_Sales_Records34[[#This Row],[Ship Date Fixed]])</f>
        <v>22</v>
      </c>
      <c r="O737" t="str">
        <f>TEXT(Europe_Sales_Records34[[#This Row],[Ship Date Fixed]],"MMM")</f>
        <v>Jun</v>
      </c>
      <c r="P737">
        <f>YEAR(Europe_Sales_Records34[[#This Row],[Ship Date Fixed]])</f>
        <v>2015</v>
      </c>
      <c r="Q737" t="str">
        <f>TEXT(Europe_Sales_Records34[[#This Row],[Ship Date Fixed]],"MMM-YYYY")</f>
        <v>Jun-2015</v>
      </c>
      <c r="R737" t="s">
        <v>1240</v>
      </c>
      <c r="S737" s="3">
        <f>Europe_Sales_Records34[[#This Row],[Ship Date Fixed]]-Europe_Sales_Records34[[#This Row],[Order Date Fixed]]</f>
        <v>38</v>
      </c>
      <c r="T737">
        <v>7009</v>
      </c>
      <c r="U737">
        <v>668.27</v>
      </c>
      <c r="V737">
        <v>502.54</v>
      </c>
      <c r="W737">
        <f>Europe_Sales_Records34[[#This Row],[Total Revenue]]/Europe_Sales_Records34[[#This Row],[Units Sold]]</f>
        <v>668.27</v>
      </c>
      <c r="X737">
        <v>4683904.43</v>
      </c>
      <c r="Y737">
        <v>3522302.86</v>
      </c>
      <c r="Z737" s="4">
        <f>Europe_Sales_Records34[[#This Row],[Total Profit]]/Europe_Sales_Records34[[#This Row],[Total Revenue]]</f>
        <v>0.24799856345489102</v>
      </c>
      <c r="AA737">
        <v>1161601.57</v>
      </c>
    </row>
    <row r="738" spans="1:27" x14ac:dyDescent="0.3">
      <c r="A738" t="s">
        <v>14</v>
      </c>
      <c r="B738" t="s">
        <v>196</v>
      </c>
      <c r="C738" t="s">
        <v>22</v>
      </c>
      <c r="D738" t="s">
        <v>17</v>
      </c>
      <c r="E738" t="s">
        <v>33</v>
      </c>
      <c r="F738" t="s">
        <v>1241</v>
      </c>
      <c r="G738" s="2">
        <f t="shared" si="22"/>
        <v>40489</v>
      </c>
      <c r="H738">
        <f>DAY(Europe_Sales_Records34[[#This Row],[Order Date Fixed]])</f>
        <v>7</v>
      </c>
      <c r="I738" t="str">
        <f>TEXT(Europe_Sales_Records34[[#This Row],[Order Date Fixed]],"MMM")</f>
        <v>Nov</v>
      </c>
      <c r="J738">
        <f>YEAR(Europe_Sales_Records34[[#This Row],[Order Date Fixed]])</f>
        <v>2010</v>
      </c>
      <c r="K738" t="str">
        <f>TEXT(Europe_Sales_Records34[[#This Row],[Order Date Fixed]],"MMM-YYYY")</f>
        <v>Nov-2010</v>
      </c>
      <c r="L738">
        <v>379900634</v>
      </c>
      <c r="M738" s="2">
        <f t="shared" si="23"/>
        <v>40514</v>
      </c>
      <c r="N738">
        <f>DAY(Europe_Sales_Records34[[#This Row],[Ship Date Fixed]])</f>
        <v>2</v>
      </c>
      <c r="O738" t="str">
        <f>TEXT(Europe_Sales_Records34[[#This Row],[Ship Date Fixed]],"MMM")</f>
        <v>Dec</v>
      </c>
      <c r="P738">
        <f>YEAR(Europe_Sales_Records34[[#This Row],[Ship Date Fixed]])</f>
        <v>2010</v>
      </c>
      <c r="Q738" t="str">
        <f>TEXT(Europe_Sales_Records34[[#This Row],[Ship Date Fixed]],"MMM-YYYY")</f>
        <v>Dec-2010</v>
      </c>
      <c r="R738" t="s">
        <v>207</v>
      </c>
      <c r="S738" s="3">
        <f>Europe_Sales_Records34[[#This Row],[Ship Date Fixed]]-Europe_Sales_Records34[[#This Row],[Order Date Fixed]]</f>
        <v>25</v>
      </c>
      <c r="T738">
        <v>9895</v>
      </c>
      <c r="U738">
        <v>109.28</v>
      </c>
      <c r="V738">
        <v>35.840000000000003</v>
      </c>
      <c r="W738">
        <f>Europe_Sales_Records34[[#This Row],[Total Revenue]]/Europe_Sales_Records34[[#This Row],[Units Sold]]</f>
        <v>109.28000000000002</v>
      </c>
      <c r="X738">
        <v>1081325.6000000001</v>
      </c>
      <c r="Y738">
        <v>354636.79999999999</v>
      </c>
      <c r="Z738" s="4">
        <f>Europe_Sales_Records34[[#This Row],[Total Profit]]/Europe_Sales_Records34[[#This Row],[Total Revenue]]</f>
        <v>0.67203513909224011</v>
      </c>
      <c r="AA738">
        <v>726688.8</v>
      </c>
    </row>
    <row r="739" spans="1:27" x14ac:dyDescent="0.3">
      <c r="A739" t="s">
        <v>14</v>
      </c>
      <c r="B739" t="s">
        <v>364</v>
      </c>
      <c r="C739" t="s">
        <v>28</v>
      </c>
      <c r="D739" t="s">
        <v>23</v>
      </c>
      <c r="E739" t="s">
        <v>54</v>
      </c>
      <c r="F739" t="s">
        <v>1157</v>
      </c>
      <c r="G739" s="2">
        <f t="shared" si="22"/>
        <v>41804</v>
      </c>
      <c r="H739">
        <f>DAY(Europe_Sales_Records34[[#This Row],[Order Date Fixed]])</f>
        <v>14</v>
      </c>
      <c r="I739" t="str">
        <f>TEXT(Europe_Sales_Records34[[#This Row],[Order Date Fixed]],"MMM")</f>
        <v>Jun</v>
      </c>
      <c r="J739">
        <f>YEAR(Europe_Sales_Records34[[#This Row],[Order Date Fixed]])</f>
        <v>2014</v>
      </c>
      <c r="K739" t="str">
        <f>TEXT(Europe_Sales_Records34[[#This Row],[Order Date Fixed]],"MMM-YYYY")</f>
        <v>Jun-2014</v>
      </c>
      <c r="L739">
        <v>243144452</v>
      </c>
      <c r="M739" s="2">
        <f t="shared" si="23"/>
        <v>41836</v>
      </c>
      <c r="N739">
        <f>DAY(Europe_Sales_Records34[[#This Row],[Ship Date Fixed]])</f>
        <v>16</v>
      </c>
      <c r="O739" t="str">
        <f>TEXT(Europe_Sales_Records34[[#This Row],[Ship Date Fixed]],"MMM")</f>
        <v>Jul</v>
      </c>
      <c r="P739">
        <f>YEAR(Europe_Sales_Records34[[#This Row],[Ship Date Fixed]])</f>
        <v>2014</v>
      </c>
      <c r="Q739" t="str">
        <f>TEXT(Europe_Sales_Records34[[#This Row],[Ship Date Fixed]],"MMM-YYYY")</f>
        <v>Jul-2014</v>
      </c>
      <c r="R739" t="s">
        <v>1242</v>
      </c>
      <c r="S739" s="3">
        <f>Europe_Sales_Records34[[#This Row],[Ship Date Fixed]]-Europe_Sales_Records34[[#This Row],[Order Date Fixed]]</f>
        <v>32</v>
      </c>
      <c r="T739">
        <v>701</v>
      </c>
      <c r="U739">
        <v>205.7</v>
      </c>
      <c r="V739">
        <v>117.11</v>
      </c>
      <c r="W739">
        <f>Europe_Sales_Records34[[#This Row],[Total Revenue]]/Europe_Sales_Records34[[#This Row],[Units Sold]]</f>
        <v>205.70000000000002</v>
      </c>
      <c r="X739">
        <v>144195.70000000001</v>
      </c>
      <c r="Y739">
        <v>82094.11</v>
      </c>
      <c r="Z739" s="4">
        <f>Europe_Sales_Records34[[#This Row],[Total Profit]]/Europe_Sales_Records34[[#This Row],[Total Revenue]]</f>
        <v>0.43067574137092846</v>
      </c>
      <c r="AA739">
        <v>62101.59</v>
      </c>
    </row>
    <row r="740" spans="1:27" x14ac:dyDescent="0.3">
      <c r="A740" t="s">
        <v>14</v>
      </c>
      <c r="B740" t="s">
        <v>100</v>
      </c>
      <c r="C740" t="s">
        <v>75</v>
      </c>
      <c r="D740" t="s">
        <v>23</v>
      </c>
      <c r="E740" t="s">
        <v>54</v>
      </c>
      <c r="F740" t="s">
        <v>1243</v>
      </c>
      <c r="G740" s="2">
        <f t="shared" si="22"/>
        <v>40344</v>
      </c>
      <c r="H740">
        <f>DAY(Europe_Sales_Records34[[#This Row],[Order Date Fixed]])</f>
        <v>15</v>
      </c>
      <c r="I740" t="str">
        <f>TEXT(Europe_Sales_Records34[[#This Row],[Order Date Fixed]],"MMM")</f>
        <v>Jun</v>
      </c>
      <c r="J740">
        <f>YEAR(Europe_Sales_Records34[[#This Row],[Order Date Fixed]])</f>
        <v>2010</v>
      </c>
      <c r="K740" t="str">
        <f>TEXT(Europe_Sales_Records34[[#This Row],[Order Date Fixed]],"MMM-YYYY")</f>
        <v>Jun-2010</v>
      </c>
      <c r="L740">
        <v>998043382</v>
      </c>
      <c r="M740" s="2">
        <f t="shared" si="23"/>
        <v>40362</v>
      </c>
      <c r="N740">
        <f>DAY(Europe_Sales_Records34[[#This Row],[Ship Date Fixed]])</f>
        <v>3</v>
      </c>
      <c r="O740" t="str">
        <f>TEXT(Europe_Sales_Records34[[#This Row],[Ship Date Fixed]],"MMM")</f>
        <v>Jul</v>
      </c>
      <c r="P740">
        <f>YEAR(Europe_Sales_Records34[[#This Row],[Ship Date Fixed]])</f>
        <v>2010</v>
      </c>
      <c r="Q740" t="str">
        <f>TEXT(Europe_Sales_Records34[[#This Row],[Ship Date Fixed]],"MMM-YYYY")</f>
        <v>Jul-2010</v>
      </c>
      <c r="R740" t="s">
        <v>653</v>
      </c>
      <c r="S740" s="3">
        <f>Europe_Sales_Records34[[#This Row],[Ship Date Fixed]]-Europe_Sales_Records34[[#This Row],[Order Date Fixed]]</f>
        <v>18</v>
      </c>
      <c r="T740">
        <v>2070</v>
      </c>
      <c r="U740">
        <v>437.2</v>
      </c>
      <c r="V740">
        <v>263.33</v>
      </c>
      <c r="W740">
        <f>Europe_Sales_Records34[[#This Row],[Total Revenue]]/Europe_Sales_Records34[[#This Row],[Units Sold]]</f>
        <v>437.2</v>
      </c>
      <c r="X740">
        <v>905004</v>
      </c>
      <c r="Y740">
        <v>545093.1</v>
      </c>
      <c r="Z740" s="4">
        <f>Europe_Sales_Records34[[#This Row],[Total Profit]]/Europe_Sales_Records34[[#This Row],[Total Revenue]]</f>
        <v>0.3976898444647759</v>
      </c>
      <c r="AA740">
        <v>359910.9</v>
      </c>
    </row>
    <row r="741" spans="1:27" x14ac:dyDescent="0.3">
      <c r="A741" t="s">
        <v>14</v>
      </c>
      <c r="B741" t="s">
        <v>166</v>
      </c>
      <c r="C741" t="s">
        <v>37</v>
      </c>
      <c r="D741" t="s">
        <v>17</v>
      </c>
      <c r="E741" t="s">
        <v>33</v>
      </c>
      <c r="F741" t="s">
        <v>1244</v>
      </c>
      <c r="G741" s="2">
        <f t="shared" si="22"/>
        <v>42301</v>
      </c>
      <c r="H741">
        <f>DAY(Europe_Sales_Records34[[#This Row],[Order Date Fixed]])</f>
        <v>24</v>
      </c>
      <c r="I741" t="str">
        <f>TEXT(Europe_Sales_Records34[[#This Row],[Order Date Fixed]],"MMM")</f>
        <v>Oct</v>
      </c>
      <c r="J741">
        <f>YEAR(Europe_Sales_Records34[[#This Row],[Order Date Fixed]])</f>
        <v>2015</v>
      </c>
      <c r="K741" t="str">
        <f>TEXT(Europe_Sales_Records34[[#This Row],[Order Date Fixed]],"MMM-YYYY")</f>
        <v>Oct-2015</v>
      </c>
      <c r="L741">
        <v>446045196</v>
      </c>
      <c r="M741" s="2">
        <f t="shared" si="23"/>
        <v>42309</v>
      </c>
      <c r="N741">
        <f>DAY(Europe_Sales_Records34[[#This Row],[Ship Date Fixed]])</f>
        <v>1</v>
      </c>
      <c r="O741" t="str">
        <f>TEXT(Europe_Sales_Records34[[#This Row],[Ship Date Fixed]],"MMM")</f>
        <v>Nov</v>
      </c>
      <c r="P741">
        <f>YEAR(Europe_Sales_Records34[[#This Row],[Ship Date Fixed]])</f>
        <v>2015</v>
      </c>
      <c r="Q741" t="str">
        <f>TEXT(Europe_Sales_Records34[[#This Row],[Ship Date Fixed]],"MMM-YYYY")</f>
        <v>Nov-2015</v>
      </c>
      <c r="R741" t="s">
        <v>1245</v>
      </c>
      <c r="S741" s="3">
        <f>Europe_Sales_Records34[[#This Row],[Ship Date Fixed]]-Europe_Sales_Records34[[#This Row],[Order Date Fixed]]</f>
        <v>8</v>
      </c>
      <c r="T741">
        <v>3540</v>
      </c>
      <c r="U741">
        <v>9.33</v>
      </c>
      <c r="V741">
        <v>6.92</v>
      </c>
      <c r="W741">
        <f>Europe_Sales_Records34[[#This Row],[Total Revenue]]/Europe_Sales_Records34[[#This Row],[Units Sold]]</f>
        <v>9.3299999999999983</v>
      </c>
      <c r="X741">
        <v>33028.199999999997</v>
      </c>
      <c r="Y741">
        <v>24496.799999999999</v>
      </c>
      <c r="Z741" s="4">
        <f>Europe_Sales_Records34[[#This Row],[Total Profit]]/Europe_Sales_Records34[[#This Row],[Total Revenue]]</f>
        <v>0.25830653804930331</v>
      </c>
      <c r="AA741">
        <v>8531.4</v>
      </c>
    </row>
    <row r="742" spans="1:27" x14ac:dyDescent="0.3">
      <c r="A742" t="s">
        <v>14</v>
      </c>
      <c r="B742" t="s">
        <v>138</v>
      </c>
      <c r="C742" t="s">
        <v>71</v>
      </c>
      <c r="D742" t="s">
        <v>17</v>
      </c>
      <c r="E742" t="s">
        <v>24</v>
      </c>
      <c r="F742" t="s">
        <v>1246</v>
      </c>
      <c r="G742" s="2">
        <f t="shared" si="22"/>
        <v>41926</v>
      </c>
      <c r="H742">
        <f>DAY(Europe_Sales_Records34[[#This Row],[Order Date Fixed]])</f>
        <v>14</v>
      </c>
      <c r="I742" t="str">
        <f>TEXT(Europe_Sales_Records34[[#This Row],[Order Date Fixed]],"MMM")</f>
        <v>Oct</v>
      </c>
      <c r="J742">
        <f>YEAR(Europe_Sales_Records34[[#This Row],[Order Date Fixed]])</f>
        <v>2014</v>
      </c>
      <c r="K742" t="str">
        <f>TEXT(Europe_Sales_Records34[[#This Row],[Order Date Fixed]],"MMM-YYYY")</f>
        <v>Oct-2014</v>
      </c>
      <c r="L742">
        <v>544284856</v>
      </c>
      <c r="M742" s="2">
        <f t="shared" si="23"/>
        <v>41937</v>
      </c>
      <c r="N742">
        <f>DAY(Europe_Sales_Records34[[#This Row],[Ship Date Fixed]])</f>
        <v>25</v>
      </c>
      <c r="O742" t="str">
        <f>TEXT(Europe_Sales_Records34[[#This Row],[Ship Date Fixed]],"MMM")</f>
        <v>Oct</v>
      </c>
      <c r="P742">
        <f>YEAR(Europe_Sales_Records34[[#This Row],[Ship Date Fixed]])</f>
        <v>2014</v>
      </c>
      <c r="Q742" t="str">
        <f>TEXT(Europe_Sales_Records34[[#This Row],[Ship Date Fixed]],"MMM-YYYY")</f>
        <v>Oct-2014</v>
      </c>
      <c r="R742" t="s">
        <v>1247</v>
      </c>
      <c r="S742" s="3">
        <f>Europe_Sales_Records34[[#This Row],[Ship Date Fixed]]-Europe_Sales_Records34[[#This Row],[Order Date Fixed]]</f>
        <v>11</v>
      </c>
      <c r="T742">
        <v>4839</v>
      </c>
      <c r="U742">
        <v>668.27</v>
      </c>
      <c r="V742">
        <v>502.54</v>
      </c>
      <c r="W742">
        <f>Europe_Sales_Records34[[#This Row],[Total Revenue]]/Europe_Sales_Records34[[#This Row],[Units Sold]]</f>
        <v>668.27</v>
      </c>
      <c r="X742">
        <v>3233758.53</v>
      </c>
      <c r="Y742">
        <v>2431791.06</v>
      </c>
      <c r="Z742" s="4">
        <f>Europe_Sales_Records34[[#This Row],[Total Profit]]/Europe_Sales_Records34[[#This Row],[Total Revenue]]</f>
        <v>0.24799856345489099</v>
      </c>
      <c r="AA742">
        <v>801967.47</v>
      </c>
    </row>
    <row r="743" spans="1:27" x14ac:dyDescent="0.3">
      <c r="A743" t="s">
        <v>14</v>
      </c>
      <c r="B743" t="s">
        <v>342</v>
      </c>
      <c r="C743" t="s">
        <v>46</v>
      </c>
      <c r="D743" t="s">
        <v>17</v>
      </c>
      <c r="E743" t="s">
        <v>54</v>
      </c>
      <c r="F743" t="s">
        <v>1248</v>
      </c>
      <c r="G743" s="2">
        <f t="shared" si="22"/>
        <v>41949</v>
      </c>
      <c r="H743">
        <f>DAY(Europe_Sales_Records34[[#This Row],[Order Date Fixed]])</f>
        <v>6</v>
      </c>
      <c r="I743" t="str">
        <f>TEXT(Europe_Sales_Records34[[#This Row],[Order Date Fixed]],"MMM")</f>
        <v>Nov</v>
      </c>
      <c r="J743">
        <f>YEAR(Europe_Sales_Records34[[#This Row],[Order Date Fixed]])</f>
        <v>2014</v>
      </c>
      <c r="K743" t="str">
        <f>TEXT(Europe_Sales_Records34[[#This Row],[Order Date Fixed]],"MMM-YYYY")</f>
        <v>Nov-2014</v>
      </c>
      <c r="L743">
        <v>606118571</v>
      </c>
      <c r="M743" s="2">
        <f t="shared" si="23"/>
        <v>41961</v>
      </c>
      <c r="N743">
        <f>DAY(Europe_Sales_Records34[[#This Row],[Ship Date Fixed]])</f>
        <v>18</v>
      </c>
      <c r="O743" t="str">
        <f>TEXT(Europe_Sales_Records34[[#This Row],[Ship Date Fixed]],"MMM")</f>
        <v>Nov</v>
      </c>
      <c r="P743">
        <f>YEAR(Europe_Sales_Records34[[#This Row],[Ship Date Fixed]])</f>
        <v>2014</v>
      </c>
      <c r="Q743" t="str">
        <f>TEXT(Europe_Sales_Records34[[#This Row],[Ship Date Fixed]],"MMM-YYYY")</f>
        <v>Nov-2014</v>
      </c>
      <c r="R743" t="s">
        <v>772</v>
      </c>
      <c r="S743" s="3">
        <f>Europe_Sales_Records34[[#This Row],[Ship Date Fixed]]-Europe_Sales_Records34[[#This Row],[Order Date Fixed]]</f>
        <v>12</v>
      </c>
      <c r="T743">
        <v>2809</v>
      </c>
      <c r="U743">
        <v>154.06</v>
      </c>
      <c r="V743">
        <v>90.93</v>
      </c>
      <c r="W743">
        <f>Europe_Sales_Records34[[#This Row],[Total Revenue]]/Europe_Sales_Records34[[#This Row],[Units Sold]]</f>
        <v>154.06</v>
      </c>
      <c r="X743">
        <v>432754.54</v>
      </c>
      <c r="Y743">
        <v>255422.37</v>
      </c>
      <c r="Z743" s="4">
        <f>Europe_Sales_Records34[[#This Row],[Total Profit]]/Europe_Sales_Records34[[#This Row],[Total Revenue]]</f>
        <v>0.40977541217707392</v>
      </c>
      <c r="AA743">
        <v>177332.17</v>
      </c>
    </row>
    <row r="744" spans="1:27" x14ac:dyDescent="0.3">
      <c r="A744" t="s">
        <v>14</v>
      </c>
      <c r="B744" t="s">
        <v>86</v>
      </c>
      <c r="C744" t="s">
        <v>58</v>
      </c>
      <c r="D744" t="s">
        <v>23</v>
      </c>
      <c r="E744" t="s">
        <v>18</v>
      </c>
      <c r="F744" t="s">
        <v>1249</v>
      </c>
      <c r="G744" s="2">
        <f t="shared" si="22"/>
        <v>40458</v>
      </c>
      <c r="H744">
        <f>DAY(Europe_Sales_Records34[[#This Row],[Order Date Fixed]])</f>
        <v>7</v>
      </c>
      <c r="I744" t="str">
        <f>TEXT(Europe_Sales_Records34[[#This Row],[Order Date Fixed]],"MMM")</f>
        <v>Oct</v>
      </c>
      <c r="J744">
        <f>YEAR(Europe_Sales_Records34[[#This Row],[Order Date Fixed]])</f>
        <v>2010</v>
      </c>
      <c r="K744" t="str">
        <f>TEXT(Europe_Sales_Records34[[#This Row],[Order Date Fixed]],"MMM-YYYY")</f>
        <v>Oct-2010</v>
      </c>
      <c r="L744">
        <v>583654105</v>
      </c>
      <c r="M744" s="2">
        <f t="shared" si="23"/>
        <v>40470</v>
      </c>
      <c r="N744">
        <f>DAY(Europe_Sales_Records34[[#This Row],[Ship Date Fixed]])</f>
        <v>19</v>
      </c>
      <c r="O744" t="str">
        <f>TEXT(Europe_Sales_Records34[[#This Row],[Ship Date Fixed]],"MMM")</f>
        <v>Oct</v>
      </c>
      <c r="P744">
        <f>YEAR(Europe_Sales_Records34[[#This Row],[Ship Date Fixed]])</f>
        <v>2010</v>
      </c>
      <c r="Q744" t="str">
        <f>TEXT(Europe_Sales_Records34[[#This Row],[Ship Date Fixed]],"MMM-YYYY")</f>
        <v>Oct-2010</v>
      </c>
      <c r="R744" t="s">
        <v>1250</v>
      </c>
      <c r="S744" s="3">
        <f>Europe_Sales_Records34[[#This Row],[Ship Date Fixed]]-Europe_Sales_Records34[[#This Row],[Order Date Fixed]]</f>
        <v>12</v>
      </c>
      <c r="T744">
        <v>5075</v>
      </c>
      <c r="U744">
        <v>152.58000000000001</v>
      </c>
      <c r="V744">
        <v>97.44</v>
      </c>
      <c r="W744">
        <f>Europe_Sales_Records34[[#This Row],[Total Revenue]]/Europe_Sales_Records34[[#This Row],[Units Sold]]</f>
        <v>152.58000000000001</v>
      </c>
      <c r="X744">
        <v>774343.5</v>
      </c>
      <c r="Y744">
        <v>494508</v>
      </c>
      <c r="Z744" s="4">
        <f>Europe_Sales_Records34[[#This Row],[Total Profit]]/Europe_Sales_Records34[[#This Row],[Total Revenue]]</f>
        <v>0.36138419189933152</v>
      </c>
      <c r="AA744">
        <v>279835.5</v>
      </c>
    </row>
    <row r="745" spans="1:27" x14ac:dyDescent="0.3">
      <c r="A745" t="s">
        <v>14</v>
      </c>
      <c r="B745" t="s">
        <v>146</v>
      </c>
      <c r="C745" t="s">
        <v>64</v>
      </c>
      <c r="D745" t="s">
        <v>23</v>
      </c>
      <c r="E745" t="s">
        <v>18</v>
      </c>
      <c r="F745" t="s">
        <v>1251</v>
      </c>
      <c r="G745" s="2">
        <f t="shared" si="22"/>
        <v>41666</v>
      </c>
      <c r="H745">
        <f>DAY(Europe_Sales_Records34[[#This Row],[Order Date Fixed]])</f>
        <v>27</v>
      </c>
      <c r="I745" t="str">
        <f>TEXT(Europe_Sales_Records34[[#This Row],[Order Date Fixed]],"MMM")</f>
        <v>Jan</v>
      </c>
      <c r="J745">
        <f>YEAR(Europe_Sales_Records34[[#This Row],[Order Date Fixed]])</f>
        <v>2014</v>
      </c>
      <c r="K745" t="str">
        <f>TEXT(Europe_Sales_Records34[[#This Row],[Order Date Fixed]],"MMM-YYYY")</f>
        <v>Jan-2014</v>
      </c>
      <c r="L745">
        <v>608451879</v>
      </c>
      <c r="M745" s="2">
        <f t="shared" si="23"/>
        <v>41699</v>
      </c>
      <c r="N745">
        <f>DAY(Europe_Sales_Records34[[#This Row],[Ship Date Fixed]])</f>
        <v>1</v>
      </c>
      <c r="O745" t="str">
        <f>TEXT(Europe_Sales_Records34[[#This Row],[Ship Date Fixed]],"MMM")</f>
        <v>Mar</v>
      </c>
      <c r="P745">
        <f>YEAR(Europe_Sales_Records34[[#This Row],[Ship Date Fixed]])</f>
        <v>2014</v>
      </c>
      <c r="Q745" t="str">
        <f>TEXT(Europe_Sales_Records34[[#This Row],[Ship Date Fixed]],"MMM-YYYY")</f>
        <v>Mar-2014</v>
      </c>
      <c r="R745" t="s">
        <v>1252</v>
      </c>
      <c r="S745" s="3">
        <f>Europe_Sales_Records34[[#This Row],[Ship Date Fixed]]-Europe_Sales_Records34[[#This Row],[Order Date Fixed]]</f>
        <v>33</v>
      </c>
      <c r="T745">
        <v>3287</v>
      </c>
      <c r="U745">
        <v>255.28</v>
      </c>
      <c r="V745">
        <v>159.41999999999999</v>
      </c>
      <c r="W745">
        <f>Europe_Sales_Records34[[#This Row],[Total Revenue]]/Europe_Sales_Records34[[#This Row],[Units Sold]]</f>
        <v>255.28</v>
      </c>
      <c r="X745">
        <v>839105.36</v>
      </c>
      <c r="Y745">
        <v>524013.54</v>
      </c>
      <c r="Z745" s="4">
        <f>Europe_Sales_Records34[[#This Row],[Total Profit]]/Europe_Sales_Records34[[#This Row],[Total Revenue]]</f>
        <v>0.37550924475086184</v>
      </c>
      <c r="AA745">
        <v>315091.82</v>
      </c>
    </row>
    <row r="746" spans="1:27" x14ac:dyDescent="0.3">
      <c r="A746" t="s">
        <v>14</v>
      </c>
      <c r="B746" t="s">
        <v>342</v>
      </c>
      <c r="C746" t="s">
        <v>16</v>
      </c>
      <c r="D746" t="s">
        <v>23</v>
      </c>
      <c r="E746" t="s">
        <v>24</v>
      </c>
      <c r="F746" t="s">
        <v>1253</v>
      </c>
      <c r="G746" s="2">
        <f t="shared" si="22"/>
        <v>42134</v>
      </c>
      <c r="H746">
        <f>DAY(Europe_Sales_Records34[[#This Row],[Order Date Fixed]])</f>
        <v>10</v>
      </c>
      <c r="I746" t="str">
        <f>TEXT(Europe_Sales_Records34[[#This Row],[Order Date Fixed]],"MMM")</f>
        <v>May</v>
      </c>
      <c r="J746">
        <f>YEAR(Europe_Sales_Records34[[#This Row],[Order Date Fixed]])</f>
        <v>2015</v>
      </c>
      <c r="K746" t="str">
        <f>TEXT(Europe_Sales_Records34[[#This Row],[Order Date Fixed]],"MMM-YYYY")</f>
        <v>May-2015</v>
      </c>
      <c r="L746">
        <v>910886180</v>
      </c>
      <c r="M746" s="2">
        <f t="shared" si="23"/>
        <v>42165</v>
      </c>
      <c r="N746">
        <f>DAY(Europe_Sales_Records34[[#This Row],[Ship Date Fixed]])</f>
        <v>10</v>
      </c>
      <c r="O746" t="str">
        <f>TEXT(Europe_Sales_Records34[[#This Row],[Ship Date Fixed]],"MMM")</f>
        <v>Jun</v>
      </c>
      <c r="P746">
        <f>YEAR(Europe_Sales_Records34[[#This Row],[Ship Date Fixed]])</f>
        <v>2015</v>
      </c>
      <c r="Q746" t="str">
        <f>TEXT(Europe_Sales_Records34[[#This Row],[Ship Date Fixed]],"MMM-YYYY")</f>
        <v>Jun-2015</v>
      </c>
      <c r="R746" t="s">
        <v>1254</v>
      </c>
      <c r="S746" s="3">
        <f>Europe_Sales_Records34[[#This Row],[Ship Date Fixed]]-Europe_Sales_Records34[[#This Row],[Order Date Fixed]]</f>
        <v>31</v>
      </c>
      <c r="T746">
        <v>317</v>
      </c>
      <c r="U746">
        <v>47.45</v>
      </c>
      <c r="V746">
        <v>31.79</v>
      </c>
      <c r="W746">
        <f>Europe_Sales_Records34[[#This Row],[Total Revenue]]/Europe_Sales_Records34[[#This Row],[Units Sold]]</f>
        <v>47.449999999999996</v>
      </c>
      <c r="X746">
        <v>15041.65</v>
      </c>
      <c r="Y746">
        <v>10077.43</v>
      </c>
      <c r="Z746" s="4">
        <f>Europe_Sales_Records34[[#This Row],[Total Profit]]/Europe_Sales_Records34[[#This Row],[Total Revenue]]</f>
        <v>0.33003161222339306</v>
      </c>
      <c r="AA746">
        <v>4964.22</v>
      </c>
    </row>
    <row r="747" spans="1:27" x14ac:dyDescent="0.3">
      <c r="A747" t="s">
        <v>14</v>
      </c>
      <c r="B747" t="s">
        <v>257</v>
      </c>
      <c r="C747" t="s">
        <v>58</v>
      </c>
      <c r="D747" t="s">
        <v>17</v>
      </c>
      <c r="E747" t="s">
        <v>33</v>
      </c>
      <c r="F747" t="s">
        <v>1255</v>
      </c>
      <c r="G747" s="2">
        <f t="shared" si="22"/>
        <v>40852</v>
      </c>
      <c r="H747">
        <f>DAY(Europe_Sales_Records34[[#This Row],[Order Date Fixed]])</f>
        <v>5</v>
      </c>
      <c r="I747" t="str">
        <f>TEXT(Europe_Sales_Records34[[#This Row],[Order Date Fixed]],"MMM")</f>
        <v>Nov</v>
      </c>
      <c r="J747">
        <f>YEAR(Europe_Sales_Records34[[#This Row],[Order Date Fixed]])</f>
        <v>2011</v>
      </c>
      <c r="K747" t="str">
        <f>TEXT(Europe_Sales_Records34[[#This Row],[Order Date Fixed]],"MMM-YYYY")</f>
        <v>Nov-2011</v>
      </c>
      <c r="L747">
        <v>820195758</v>
      </c>
      <c r="M747" s="2">
        <f t="shared" si="23"/>
        <v>40871</v>
      </c>
      <c r="N747">
        <f>DAY(Europe_Sales_Records34[[#This Row],[Ship Date Fixed]])</f>
        <v>24</v>
      </c>
      <c r="O747" t="str">
        <f>TEXT(Europe_Sales_Records34[[#This Row],[Ship Date Fixed]],"MMM")</f>
        <v>Nov</v>
      </c>
      <c r="P747">
        <f>YEAR(Europe_Sales_Records34[[#This Row],[Ship Date Fixed]])</f>
        <v>2011</v>
      </c>
      <c r="Q747" t="str">
        <f>TEXT(Europe_Sales_Records34[[#This Row],[Ship Date Fixed]],"MMM-YYYY")</f>
        <v>Nov-2011</v>
      </c>
      <c r="R747" t="s">
        <v>1225</v>
      </c>
      <c r="S747" s="3">
        <f>Europe_Sales_Records34[[#This Row],[Ship Date Fixed]]-Europe_Sales_Records34[[#This Row],[Order Date Fixed]]</f>
        <v>19</v>
      </c>
      <c r="T747">
        <v>3006</v>
      </c>
      <c r="U747">
        <v>152.58000000000001</v>
      </c>
      <c r="V747">
        <v>97.44</v>
      </c>
      <c r="W747">
        <f>Europe_Sales_Records34[[#This Row],[Total Revenue]]/Europe_Sales_Records34[[#This Row],[Units Sold]]</f>
        <v>152.57999999999998</v>
      </c>
      <c r="X747">
        <v>458655.48</v>
      </c>
      <c r="Y747">
        <v>292904.64</v>
      </c>
      <c r="Z747" s="4">
        <f>Europe_Sales_Records34[[#This Row],[Total Profit]]/Europe_Sales_Records34[[#This Row],[Total Revenue]]</f>
        <v>0.36138419189933152</v>
      </c>
      <c r="AA747">
        <v>165750.84</v>
      </c>
    </row>
    <row r="748" spans="1:27" x14ac:dyDescent="0.3">
      <c r="A748" t="s">
        <v>14</v>
      </c>
      <c r="B748" t="s">
        <v>138</v>
      </c>
      <c r="C748" t="s">
        <v>22</v>
      </c>
      <c r="D748" t="s">
        <v>23</v>
      </c>
      <c r="E748" t="s">
        <v>54</v>
      </c>
      <c r="F748" t="s">
        <v>1256</v>
      </c>
      <c r="G748" s="2">
        <f t="shared" si="22"/>
        <v>42549</v>
      </c>
      <c r="H748">
        <f>DAY(Europe_Sales_Records34[[#This Row],[Order Date Fixed]])</f>
        <v>28</v>
      </c>
      <c r="I748" t="str">
        <f>TEXT(Europe_Sales_Records34[[#This Row],[Order Date Fixed]],"MMM")</f>
        <v>Jun</v>
      </c>
      <c r="J748">
        <f>YEAR(Europe_Sales_Records34[[#This Row],[Order Date Fixed]])</f>
        <v>2016</v>
      </c>
      <c r="K748" t="str">
        <f>TEXT(Europe_Sales_Records34[[#This Row],[Order Date Fixed]],"MMM-YYYY")</f>
        <v>Jun-2016</v>
      </c>
      <c r="L748">
        <v>378216636</v>
      </c>
      <c r="M748" s="2">
        <f t="shared" si="23"/>
        <v>42590</v>
      </c>
      <c r="N748">
        <f>DAY(Europe_Sales_Records34[[#This Row],[Ship Date Fixed]])</f>
        <v>8</v>
      </c>
      <c r="O748" t="str">
        <f>TEXT(Europe_Sales_Records34[[#This Row],[Ship Date Fixed]],"MMM")</f>
        <v>Aug</v>
      </c>
      <c r="P748">
        <f>YEAR(Europe_Sales_Records34[[#This Row],[Ship Date Fixed]])</f>
        <v>2016</v>
      </c>
      <c r="Q748" t="str">
        <f>TEXT(Europe_Sales_Records34[[#This Row],[Ship Date Fixed]],"MMM-YYYY")</f>
        <v>Aug-2016</v>
      </c>
      <c r="R748" t="s">
        <v>1257</v>
      </c>
      <c r="S748" s="3">
        <f>Europe_Sales_Records34[[#This Row],[Ship Date Fixed]]-Europe_Sales_Records34[[#This Row],[Order Date Fixed]]</f>
        <v>41</v>
      </c>
      <c r="T748">
        <v>1562</v>
      </c>
      <c r="U748">
        <v>109.28</v>
      </c>
      <c r="V748">
        <v>35.840000000000003</v>
      </c>
      <c r="W748">
        <f>Europe_Sales_Records34[[#This Row],[Total Revenue]]/Europe_Sales_Records34[[#This Row],[Units Sold]]</f>
        <v>109.27999999999999</v>
      </c>
      <c r="X748">
        <v>170695.36</v>
      </c>
      <c r="Y748">
        <v>55982.080000000002</v>
      </c>
      <c r="Z748" s="4">
        <f>Europe_Sales_Records34[[#This Row],[Total Profit]]/Europe_Sales_Records34[[#This Row],[Total Revenue]]</f>
        <v>0.67203513909224022</v>
      </c>
      <c r="AA748">
        <v>114713.28</v>
      </c>
    </row>
    <row r="749" spans="1:27" x14ac:dyDescent="0.3">
      <c r="A749" t="s">
        <v>14</v>
      </c>
      <c r="B749" t="s">
        <v>127</v>
      </c>
      <c r="C749" t="s">
        <v>22</v>
      </c>
      <c r="D749" t="s">
        <v>23</v>
      </c>
      <c r="E749" t="s">
        <v>18</v>
      </c>
      <c r="F749" t="s">
        <v>1258</v>
      </c>
      <c r="G749" s="2">
        <f t="shared" si="22"/>
        <v>41841</v>
      </c>
      <c r="H749">
        <f>DAY(Europe_Sales_Records34[[#This Row],[Order Date Fixed]])</f>
        <v>21</v>
      </c>
      <c r="I749" t="str">
        <f>TEXT(Europe_Sales_Records34[[#This Row],[Order Date Fixed]],"MMM")</f>
        <v>Jul</v>
      </c>
      <c r="J749">
        <f>YEAR(Europe_Sales_Records34[[#This Row],[Order Date Fixed]])</f>
        <v>2014</v>
      </c>
      <c r="K749" t="str">
        <f>TEXT(Europe_Sales_Records34[[#This Row],[Order Date Fixed]],"MMM-YYYY")</f>
        <v>Jul-2014</v>
      </c>
      <c r="L749">
        <v>539002406</v>
      </c>
      <c r="M749" s="2">
        <f t="shared" si="23"/>
        <v>41843</v>
      </c>
      <c r="N749">
        <f>DAY(Europe_Sales_Records34[[#This Row],[Ship Date Fixed]])</f>
        <v>23</v>
      </c>
      <c r="O749" t="str">
        <f>TEXT(Europe_Sales_Records34[[#This Row],[Ship Date Fixed]],"MMM")</f>
        <v>Jul</v>
      </c>
      <c r="P749">
        <f>YEAR(Europe_Sales_Records34[[#This Row],[Ship Date Fixed]])</f>
        <v>2014</v>
      </c>
      <c r="Q749" t="str">
        <f>TEXT(Europe_Sales_Records34[[#This Row],[Ship Date Fixed]],"MMM-YYYY")</f>
        <v>Jul-2014</v>
      </c>
      <c r="R749" t="s">
        <v>1259</v>
      </c>
      <c r="S749" s="3">
        <f>Europe_Sales_Records34[[#This Row],[Ship Date Fixed]]-Europe_Sales_Records34[[#This Row],[Order Date Fixed]]</f>
        <v>2</v>
      </c>
      <c r="T749">
        <v>1645</v>
      </c>
      <c r="U749">
        <v>109.28</v>
      </c>
      <c r="V749">
        <v>35.840000000000003</v>
      </c>
      <c r="W749">
        <f>Europe_Sales_Records34[[#This Row],[Total Revenue]]/Europe_Sales_Records34[[#This Row],[Units Sold]]</f>
        <v>109.28</v>
      </c>
      <c r="X749">
        <v>179765.6</v>
      </c>
      <c r="Y749">
        <v>58956.800000000003</v>
      </c>
      <c r="Z749" s="4">
        <f>Europe_Sales_Records34[[#This Row],[Total Profit]]/Europe_Sales_Records34[[#This Row],[Total Revenue]]</f>
        <v>0.67203513909224011</v>
      </c>
      <c r="AA749">
        <v>120808.8</v>
      </c>
    </row>
    <row r="750" spans="1:27" x14ac:dyDescent="0.3">
      <c r="A750" t="s">
        <v>14</v>
      </c>
      <c r="B750" t="s">
        <v>83</v>
      </c>
      <c r="C750" t="s">
        <v>32</v>
      </c>
      <c r="D750" t="s">
        <v>23</v>
      </c>
      <c r="E750" t="s">
        <v>24</v>
      </c>
      <c r="F750" t="s">
        <v>1260</v>
      </c>
      <c r="G750" s="2">
        <f t="shared" si="22"/>
        <v>42155</v>
      </c>
      <c r="H750">
        <f>DAY(Europe_Sales_Records34[[#This Row],[Order Date Fixed]])</f>
        <v>31</v>
      </c>
      <c r="I750" t="str">
        <f>TEXT(Europe_Sales_Records34[[#This Row],[Order Date Fixed]],"MMM")</f>
        <v>May</v>
      </c>
      <c r="J750">
        <f>YEAR(Europe_Sales_Records34[[#This Row],[Order Date Fixed]])</f>
        <v>2015</v>
      </c>
      <c r="K750" t="str">
        <f>TEXT(Europe_Sales_Records34[[#This Row],[Order Date Fixed]],"MMM-YYYY")</f>
        <v>May-2015</v>
      </c>
      <c r="L750">
        <v>659193694</v>
      </c>
      <c r="M750" s="2">
        <f t="shared" si="23"/>
        <v>42166</v>
      </c>
      <c r="N750">
        <f>DAY(Europe_Sales_Records34[[#This Row],[Ship Date Fixed]])</f>
        <v>11</v>
      </c>
      <c r="O750" t="str">
        <f>TEXT(Europe_Sales_Records34[[#This Row],[Ship Date Fixed]],"MMM")</f>
        <v>Jun</v>
      </c>
      <c r="P750">
        <f>YEAR(Europe_Sales_Records34[[#This Row],[Ship Date Fixed]])</f>
        <v>2015</v>
      </c>
      <c r="Q750" t="str">
        <f>TEXT(Europe_Sales_Records34[[#This Row],[Ship Date Fixed]],"MMM-YYYY")</f>
        <v>Jun-2015</v>
      </c>
      <c r="R750" t="s">
        <v>1261</v>
      </c>
      <c r="S750" s="3">
        <f>Europe_Sales_Records34[[#This Row],[Ship Date Fixed]]-Europe_Sales_Records34[[#This Row],[Order Date Fixed]]</f>
        <v>11</v>
      </c>
      <c r="T750">
        <v>8918</v>
      </c>
      <c r="U750">
        <v>651.21</v>
      </c>
      <c r="V750">
        <v>524.96</v>
      </c>
      <c r="W750">
        <f>Europe_Sales_Records34[[#This Row],[Total Revenue]]/Europe_Sales_Records34[[#This Row],[Units Sold]]</f>
        <v>651.21</v>
      </c>
      <c r="X750">
        <v>5807490.7800000003</v>
      </c>
      <c r="Y750">
        <v>4681593.28</v>
      </c>
      <c r="Z750" s="4">
        <f>Europe_Sales_Records34[[#This Row],[Total Profit]]/Europe_Sales_Records34[[#This Row],[Total Revenue]]</f>
        <v>0.19386987300563566</v>
      </c>
      <c r="AA750">
        <v>1125897.5</v>
      </c>
    </row>
    <row r="751" spans="1:27" x14ac:dyDescent="0.3">
      <c r="A751" t="s">
        <v>14</v>
      </c>
      <c r="B751" t="s">
        <v>220</v>
      </c>
      <c r="C751" t="s">
        <v>16</v>
      </c>
      <c r="D751" t="s">
        <v>23</v>
      </c>
      <c r="E751" t="s">
        <v>54</v>
      </c>
      <c r="F751" t="s">
        <v>1262</v>
      </c>
      <c r="G751" s="2">
        <f t="shared" si="22"/>
        <v>42074</v>
      </c>
      <c r="H751">
        <f>DAY(Europe_Sales_Records34[[#This Row],[Order Date Fixed]])</f>
        <v>11</v>
      </c>
      <c r="I751" t="str">
        <f>TEXT(Europe_Sales_Records34[[#This Row],[Order Date Fixed]],"MMM")</f>
        <v>Mar</v>
      </c>
      <c r="J751">
        <f>YEAR(Europe_Sales_Records34[[#This Row],[Order Date Fixed]])</f>
        <v>2015</v>
      </c>
      <c r="K751" t="str">
        <f>TEXT(Europe_Sales_Records34[[#This Row],[Order Date Fixed]],"MMM-YYYY")</f>
        <v>Mar-2015</v>
      </c>
      <c r="L751">
        <v>320431125</v>
      </c>
      <c r="M751" s="2">
        <f t="shared" si="23"/>
        <v>42111</v>
      </c>
      <c r="N751">
        <f>DAY(Europe_Sales_Records34[[#This Row],[Ship Date Fixed]])</f>
        <v>17</v>
      </c>
      <c r="O751" t="str">
        <f>TEXT(Europe_Sales_Records34[[#This Row],[Ship Date Fixed]],"MMM")</f>
        <v>Apr</v>
      </c>
      <c r="P751">
        <f>YEAR(Europe_Sales_Records34[[#This Row],[Ship Date Fixed]])</f>
        <v>2015</v>
      </c>
      <c r="Q751" t="str">
        <f>TEXT(Europe_Sales_Records34[[#This Row],[Ship Date Fixed]],"MMM-YYYY")</f>
        <v>Apr-2015</v>
      </c>
      <c r="R751" t="s">
        <v>1263</v>
      </c>
      <c r="S751" s="3">
        <f>Europe_Sales_Records34[[#This Row],[Ship Date Fixed]]-Europe_Sales_Records34[[#This Row],[Order Date Fixed]]</f>
        <v>37</v>
      </c>
      <c r="T751">
        <v>1545</v>
      </c>
      <c r="U751">
        <v>47.45</v>
      </c>
      <c r="V751">
        <v>31.79</v>
      </c>
      <c r="W751">
        <f>Europe_Sales_Records34[[#This Row],[Total Revenue]]/Europe_Sales_Records34[[#This Row],[Units Sold]]</f>
        <v>47.45</v>
      </c>
      <c r="X751">
        <v>73310.25</v>
      </c>
      <c r="Y751">
        <v>49115.55</v>
      </c>
      <c r="Z751" s="4">
        <f>Europe_Sales_Records34[[#This Row],[Total Profit]]/Europe_Sales_Records34[[#This Row],[Total Revenue]]</f>
        <v>0.33003161222339306</v>
      </c>
      <c r="AA751">
        <v>24194.7</v>
      </c>
    </row>
    <row r="752" spans="1:27" x14ac:dyDescent="0.3">
      <c r="A752" t="s">
        <v>14</v>
      </c>
      <c r="B752" t="s">
        <v>92</v>
      </c>
      <c r="C752" t="s">
        <v>46</v>
      </c>
      <c r="D752" t="s">
        <v>17</v>
      </c>
      <c r="E752" t="s">
        <v>33</v>
      </c>
      <c r="F752" t="s">
        <v>1264</v>
      </c>
      <c r="G752" s="2">
        <f t="shared" si="22"/>
        <v>40875</v>
      </c>
      <c r="H752">
        <f>DAY(Europe_Sales_Records34[[#This Row],[Order Date Fixed]])</f>
        <v>28</v>
      </c>
      <c r="I752" t="str">
        <f>TEXT(Europe_Sales_Records34[[#This Row],[Order Date Fixed]],"MMM")</f>
        <v>Nov</v>
      </c>
      <c r="J752">
        <f>YEAR(Europe_Sales_Records34[[#This Row],[Order Date Fixed]])</f>
        <v>2011</v>
      </c>
      <c r="K752" t="str">
        <f>TEXT(Europe_Sales_Records34[[#This Row],[Order Date Fixed]],"MMM-YYYY")</f>
        <v>Nov-2011</v>
      </c>
      <c r="L752">
        <v>229355323</v>
      </c>
      <c r="M752" s="2">
        <f t="shared" si="23"/>
        <v>40887</v>
      </c>
      <c r="N752">
        <f>DAY(Europe_Sales_Records34[[#This Row],[Ship Date Fixed]])</f>
        <v>10</v>
      </c>
      <c r="O752" t="str">
        <f>TEXT(Europe_Sales_Records34[[#This Row],[Ship Date Fixed]],"MMM")</f>
        <v>Dec</v>
      </c>
      <c r="P752">
        <f>YEAR(Europe_Sales_Records34[[#This Row],[Ship Date Fixed]])</f>
        <v>2011</v>
      </c>
      <c r="Q752" t="str">
        <f>TEXT(Europe_Sales_Records34[[#This Row],[Ship Date Fixed]],"MMM-YYYY")</f>
        <v>Dec-2011</v>
      </c>
      <c r="R752" t="s">
        <v>1265</v>
      </c>
      <c r="S752" s="3">
        <f>Europe_Sales_Records34[[#This Row],[Ship Date Fixed]]-Europe_Sales_Records34[[#This Row],[Order Date Fixed]]</f>
        <v>12</v>
      </c>
      <c r="T752">
        <v>192</v>
      </c>
      <c r="U752">
        <v>154.06</v>
      </c>
      <c r="V752">
        <v>90.93</v>
      </c>
      <c r="W752">
        <f>Europe_Sales_Records34[[#This Row],[Total Revenue]]/Europe_Sales_Records34[[#This Row],[Units Sold]]</f>
        <v>154.06</v>
      </c>
      <c r="X752">
        <v>29579.52</v>
      </c>
      <c r="Y752">
        <v>17458.560000000001</v>
      </c>
      <c r="Z752" s="4">
        <f>Europe_Sales_Records34[[#This Row],[Total Profit]]/Europe_Sales_Records34[[#This Row],[Total Revenue]]</f>
        <v>0.40977541217707381</v>
      </c>
      <c r="AA752">
        <v>12120.96</v>
      </c>
    </row>
    <row r="753" spans="1:27" x14ac:dyDescent="0.3">
      <c r="A753" t="s">
        <v>14</v>
      </c>
      <c r="B753" t="s">
        <v>181</v>
      </c>
      <c r="C753" t="s">
        <v>16</v>
      </c>
      <c r="D753" t="s">
        <v>17</v>
      </c>
      <c r="E753" t="s">
        <v>33</v>
      </c>
      <c r="F753" t="s">
        <v>1266</v>
      </c>
      <c r="G753" s="2">
        <f t="shared" si="22"/>
        <v>42921</v>
      </c>
      <c r="H753">
        <f>DAY(Europe_Sales_Records34[[#This Row],[Order Date Fixed]])</f>
        <v>5</v>
      </c>
      <c r="I753" t="str">
        <f>TEXT(Europe_Sales_Records34[[#This Row],[Order Date Fixed]],"MMM")</f>
        <v>Jul</v>
      </c>
      <c r="J753">
        <f>YEAR(Europe_Sales_Records34[[#This Row],[Order Date Fixed]])</f>
        <v>2017</v>
      </c>
      <c r="K753" t="str">
        <f>TEXT(Europe_Sales_Records34[[#This Row],[Order Date Fixed]],"MMM-YYYY")</f>
        <v>Jul-2017</v>
      </c>
      <c r="L753">
        <v>949732291</v>
      </c>
      <c r="M753" s="2">
        <f t="shared" si="23"/>
        <v>42961</v>
      </c>
      <c r="N753">
        <f>DAY(Europe_Sales_Records34[[#This Row],[Ship Date Fixed]])</f>
        <v>14</v>
      </c>
      <c r="O753" t="str">
        <f>TEXT(Europe_Sales_Records34[[#This Row],[Ship Date Fixed]],"MMM")</f>
        <v>Aug</v>
      </c>
      <c r="P753">
        <f>YEAR(Europe_Sales_Records34[[#This Row],[Ship Date Fixed]])</f>
        <v>2017</v>
      </c>
      <c r="Q753" t="str">
        <f>TEXT(Europe_Sales_Records34[[#This Row],[Ship Date Fixed]],"MMM-YYYY")</f>
        <v>Aug-2017</v>
      </c>
      <c r="R753" t="s">
        <v>1267</v>
      </c>
      <c r="S753" s="3">
        <f>Europe_Sales_Records34[[#This Row],[Ship Date Fixed]]-Europe_Sales_Records34[[#This Row],[Order Date Fixed]]</f>
        <v>40</v>
      </c>
      <c r="T753">
        <v>5745</v>
      </c>
      <c r="U753">
        <v>47.45</v>
      </c>
      <c r="V753">
        <v>31.79</v>
      </c>
      <c r="W753">
        <f>Europe_Sales_Records34[[#This Row],[Total Revenue]]/Europe_Sales_Records34[[#This Row],[Units Sold]]</f>
        <v>47.45</v>
      </c>
      <c r="X753">
        <v>272600.25</v>
      </c>
      <c r="Y753">
        <v>182633.55</v>
      </c>
      <c r="Z753" s="4">
        <f>Europe_Sales_Records34[[#This Row],[Total Profit]]/Europe_Sales_Records34[[#This Row],[Total Revenue]]</f>
        <v>0.33003161222339306</v>
      </c>
      <c r="AA753">
        <v>89966.7</v>
      </c>
    </row>
    <row r="754" spans="1:27" x14ac:dyDescent="0.3">
      <c r="A754" t="s">
        <v>14</v>
      </c>
      <c r="B754" t="s">
        <v>61</v>
      </c>
      <c r="C754" t="s">
        <v>71</v>
      </c>
      <c r="D754" t="s">
        <v>23</v>
      </c>
      <c r="E754" t="s">
        <v>18</v>
      </c>
      <c r="F754" t="s">
        <v>1268</v>
      </c>
      <c r="G754" s="2">
        <f t="shared" si="22"/>
        <v>41863</v>
      </c>
      <c r="H754">
        <f>DAY(Europe_Sales_Records34[[#This Row],[Order Date Fixed]])</f>
        <v>12</v>
      </c>
      <c r="I754" t="str">
        <f>TEXT(Europe_Sales_Records34[[#This Row],[Order Date Fixed]],"MMM")</f>
        <v>Aug</v>
      </c>
      <c r="J754">
        <f>YEAR(Europe_Sales_Records34[[#This Row],[Order Date Fixed]])</f>
        <v>2014</v>
      </c>
      <c r="K754" t="str">
        <f>TEXT(Europe_Sales_Records34[[#This Row],[Order Date Fixed]],"MMM-YYYY")</f>
        <v>Aug-2014</v>
      </c>
      <c r="L754">
        <v>871147000</v>
      </c>
      <c r="M754" s="2">
        <f t="shared" si="23"/>
        <v>41876</v>
      </c>
      <c r="N754">
        <f>DAY(Europe_Sales_Records34[[#This Row],[Ship Date Fixed]])</f>
        <v>25</v>
      </c>
      <c r="O754" t="str">
        <f>TEXT(Europe_Sales_Records34[[#This Row],[Ship Date Fixed]],"MMM")</f>
        <v>Aug</v>
      </c>
      <c r="P754">
        <f>YEAR(Europe_Sales_Records34[[#This Row],[Ship Date Fixed]])</f>
        <v>2014</v>
      </c>
      <c r="Q754" t="str">
        <f>TEXT(Europe_Sales_Records34[[#This Row],[Ship Date Fixed]],"MMM-YYYY")</f>
        <v>Aug-2014</v>
      </c>
      <c r="R754" t="s">
        <v>1269</v>
      </c>
      <c r="S754" s="3">
        <f>Europe_Sales_Records34[[#This Row],[Ship Date Fixed]]-Europe_Sales_Records34[[#This Row],[Order Date Fixed]]</f>
        <v>13</v>
      </c>
      <c r="T754">
        <v>611</v>
      </c>
      <c r="U754">
        <v>668.27</v>
      </c>
      <c r="V754">
        <v>502.54</v>
      </c>
      <c r="W754">
        <f>Europe_Sales_Records34[[#This Row],[Total Revenue]]/Europe_Sales_Records34[[#This Row],[Units Sold]]</f>
        <v>668.27</v>
      </c>
      <c r="X754">
        <v>408312.97</v>
      </c>
      <c r="Y754">
        <v>307051.94</v>
      </c>
      <c r="Z754" s="4">
        <f>Europe_Sales_Records34[[#This Row],[Total Profit]]/Europe_Sales_Records34[[#This Row],[Total Revenue]]</f>
        <v>0.24799856345489099</v>
      </c>
      <c r="AA754">
        <v>101261.03</v>
      </c>
    </row>
    <row r="755" spans="1:27" x14ac:dyDescent="0.3">
      <c r="A755" t="s">
        <v>14</v>
      </c>
      <c r="B755" t="s">
        <v>105</v>
      </c>
      <c r="C755" t="s">
        <v>64</v>
      </c>
      <c r="D755" t="s">
        <v>23</v>
      </c>
      <c r="E755" t="s">
        <v>24</v>
      </c>
      <c r="F755" t="s">
        <v>519</v>
      </c>
      <c r="G755" s="2">
        <f t="shared" si="22"/>
        <v>40196</v>
      </c>
      <c r="H755">
        <f>DAY(Europe_Sales_Records34[[#This Row],[Order Date Fixed]])</f>
        <v>18</v>
      </c>
      <c r="I755" t="str">
        <f>TEXT(Europe_Sales_Records34[[#This Row],[Order Date Fixed]],"MMM")</f>
        <v>Jan</v>
      </c>
      <c r="J755">
        <f>YEAR(Europe_Sales_Records34[[#This Row],[Order Date Fixed]])</f>
        <v>2010</v>
      </c>
      <c r="K755" t="str">
        <f>TEXT(Europe_Sales_Records34[[#This Row],[Order Date Fixed]],"MMM-YYYY")</f>
        <v>Jan-2010</v>
      </c>
      <c r="L755">
        <v>806197631</v>
      </c>
      <c r="M755" s="2">
        <f t="shared" si="23"/>
        <v>40227</v>
      </c>
      <c r="N755">
        <f>DAY(Europe_Sales_Records34[[#This Row],[Ship Date Fixed]])</f>
        <v>18</v>
      </c>
      <c r="O755" t="str">
        <f>TEXT(Europe_Sales_Records34[[#This Row],[Ship Date Fixed]],"MMM")</f>
        <v>Feb</v>
      </c>
      <c r="P755">
        <f>YEAR(Europe_Sales_Records34[[#This Row],[Ship Date Fixed]])</f>
        <v>2010</v>
      </c>
      <c r="Q755" t="str">
        <f>TEXT(Europe_Sales_Records34[[#This Row],[Ship Date Fixed]],"MMM-YYYY")</f>
        <v>Feb-2010</v>
      </c>
      <c r="R755" t="s">
        <v>1270</v>
      </c>
      <c r="S755" s="3">
        <f>Europe_Sales_Records34[[#This Row],[Ship Date Fixed]]-Europe_Sales_Records34[[#This Row],[Order Date Fixed]]</f>
        <v>31</v>
      </c>
      <c r="T755">
        <v>649</v>
      </c>
      <c r="U755">
        <v>255.28</v>
      </c>
      <c r="V755">
        <v>159.41999999999999</v>
      </c>
      <c r="W755">
        <f>Europe_Sales_Records34[[#This Row],[Total Revenue]]/Europe_Sales_Records34[[#This Row],[Units Sold]]</f>
        <v>255.28</v>
      </c>
      <c r="X755">
        <v>165676.72</v>
      </c>
      <c r="Y755">
        <v>103463.58</v>
      </c>
      <c r="Z755" s="4">
        <f>Europe_Sales_Records34[[#This Row],[Total Profit]]/Europe_Sales_Records34[[#This Row],[Total Revenue]]</f>
        <v>0.37550924475086178</v>
      </c>
      <c r="AA755">
        <v>62213.14</v>
      </c>
    </row>
    <row r="756" spans="1:27" x14ac:dyDescent="0.3">
      <c r="A756" t="s">
        <v>14</v>
      </c>
      <c r="B756" t="s">
        <v>138</v>
      </c>
      <c r="C756" t="s">
        <v>16</v>
      </c>
      <c r="D756" t="s">
        <v>17</v>
      </c>
      <c r="E756" t="s">
        <v>54</v>
      </c>
      <c r="F756" t="s">
        <v>1271</v>
      </c>
      <c r="G756" s="2">
        <f t="shared" si="22"/>
        <v>42190</v>
      </c>
      <c r="H756">
        <f>DAY(Europe_Sales_Records34[[#This Row],[Order Date Fixed]])</f>
        <v>5</v>
      </c>
      <c r="I756" t="str">
        <f>TEXT(Europe_Sales_Records34[[#This Row],[Order Date Fixed]],"MMM")</f>
        <v>Jul</v>
      </c>
      <c r="J756">
        <f>YEAR(Europe_Sales_Records34[[#This Row],[Order Date Fixed]])</f>
        <v>2015</v>
      </c>
      <c r="K756" t="str">
        <f>TEXT(Europe_Sales_Records34[[#This Row],[Order Date Fixed]],"MMM-YYYY")</f>
        <v>Jul-2015</v>
      </c>
      <c r="L756">
        <v>926280772</v>
      </c>
      <c r="M756" s="2">
        <f t="shared" si="23"/>
        <v>42206</v>
      </c>
      <c r="N756">
        <f>DAY(Europe_Sales_Records34[[#This Row],[Ship Date Fixed]])</f>
        <v>21</v>
      </c>
      <c r="O756" t="str">
        <f>TEXT(Europe_Sales_Records34[[#This Row],[Ship Date Fixed]],"MMM")</f>
        <v>Jul</v>
      </c>
      <c r="P756">
        <f>YEAR(Europe_Sales_Records34[[#This Row],[Ship Date Fixed]])</f>
        <v>2015</v>
      </c>
      <c r="Q756" t="str">
        <f>TEXT(Europe_Sales_Records34[[#This Row],[Ship Date Fixed]],"MMM-YYYY")</f>
        <v>Jul-2015</v>
      </c>
      <c r="R756" t="s">
        <v>1272</v>
      </c>
      <c r="S756" s="3">
        <f>Europe_Sales_Records34[[#This Row],[Ship Date Fixed]]-Europe_Sales_Records34[[#This Row],[Order Date Fixed]]</f>
        <v>16</v>
      </c>
      <c r="T756">
        <v>5919</v>
      </c>
      <c r="U756">
        <v>47.45</v>
      </c>
      <c r="V756">
        <v>31.79</v>
      </c>
      <c r="W756">
        <f>Europe_Sales_Records34[[#This Row],[Total Revenue]]/Europe_Sales_Records34[[#This Row],[Units Sold]]</f>
        <v>47.449999999999996</v>
      </c>
      <c r="X756">
        <v>280856.55</v>
      </c>
      <c r="Y756">
        <v>188165.01</v>
      </c>
      <c r="Z756" s="4">
        <f>Europe_Sales_Records34[[#This Row],[Total Profit]]/Europe_Sales_Records34[[#This Row],[Total Revenue]]</f>
        <v>0.33003161222339306</v>
      </c>
      <c r="AA756">
        <v>92691.54</v>
      </c>
    </row>
    <row r="757" spans="1:27" x14ac:dyDescent="0.3">
      <c r="A757" t="s">
        <v>14</v>
      </c>
      <c r="B757" t="s">
        <v>183</v>
      </c>
      <c r="C757" t="s">
        <v>46</v>
      </c>
      <c r="D757" t="s">
        <v>17</v>
      </c>
      <c r="E757" t="s">
        <v>33</v>
      </c>
      <c r="F757" t="s">
        <v>1273</v>
      </c>
      <c r="G757" s="2">
        <f t="shared" si="22"/>
        <v>40551</v>
      </c>
      <c r="H757">
        <f>DAY(Europe_Sales_Records34[[#This Row],[Order Date Fixed]])</f>
        <v>8</v>
      </c>
      <c r="I757" t="str">
        <f>TEXT(Europe_Sales_Records34[[#This Row],[Order Date Fixed]],"MMM")</f>
        <v>Jan</v>
      </c>
      <c r="J757">
        <f>YEAR(Europe_Sales_Records34[[#This Row],[Order Date Fixed]])</f>
        <v>2011</v>
      </c>
      <c r="K757" t="str">
        <f>TEXT(Europe_Sales_Records34[[#This Row],[Order Date Fixed]],"MMM-YYYY")</f>
        <v>Jan-2011</v>
      </c>
      <c r="L757">
        <v>936547410</v>
      </c>
      <c r="M757" s="2">
        <f t="shared" si="23"/>
        <v>40555</v>
      </c>
      <c r="N757">
        <f>DAY(Europe_Sales_Records34[[#This Row],[Ship Date Fixed]])</f>
        <v>12</v>
      </c>
      <c r="O757" t="str">
        <f>TEXT(Europe_Sales_Records34[[#This Row],[Ship Date Fixed]],"MMM")</f>
        <v>Jan</v>
      </c>
      <c r="P757">
        <f>YEAR(Europe_Sales_Records34[[#This Row],[Ship Date Fixed]])</f>
        <v>2011</v>
      </c>
      <c r="Q757" t="str">
        <f>TEXT(Europe_Sales_Records34[[#This Row],[Ship Date Fixed]],"MMM-YYYY")</f>
        <v>Jan-2011</v>
      </c>
      <c r="R757" t="s">
        <v>1274</v>
      </c>
      <c r="S757" s="3">
        <f>Europe_Sales_Records34[[#This Row],[Ship Date Fixed]]-Europe_Sales_Records34[[#This Row],[Order Date Fixed]]</f>
        <v>4</v>
      </c>
      <c r="T757">
        <v>4046</v>
      </c>
      <c r="U757">
        <v>154.06</v>
      </c>
      <c r="V757">
        <v>90.93</v>
      </c>
      <c r="W757">
        <f>Europe_Sales_Records34[[#This Row],[Total Revenue]]/Europe_Sales_Records34[[#This Row],[Units Sold]]</f>
        <v>154.06</v>
      </c>
      <c r="X757">
        <v>623326.76</v>
      </c>
      <c r="Y757">
        <v>367902.78</v>
      </c>
      <c r="Z757" s="4">
        <f>Europe_Sales_Records34[[#This Row],[Total Profit]]/Europe_Sales_Records34[[#This Row],[Total Revenue]]</f>
        <v>0.40977541217707386</v>
      </c>
      <c r="AA757">
        <v>255423.98</v>
      </c>
    </row>
    <row r="758" spans="1:27" x14ac:dyDescent="0.3">
      <c r="A758" t="s">
        <v>14</v>
      </c>
      <c r="B758" t="s">
        <v>97</v>
      </c>
      <c r="C758" t="s">
        <v>75</v>
      </c>
      <c r="D758" t="s">
        <v>23</v>
      </c>
      <c r="E758" t="s">
        <v>54</v>
      </c>
      <c r="F758" t="s">
        <v>548</v>
      </c>
      <c r="G758" s="2">
        <f t="shared" si="22"/>
        <v>41576</v>
      </c>
      <c r="H758">
        <f>DAY(Europe_Sales_Records34[[#This Row],[Order Date Fixed]])</f>
        <v>29</v>
      </c>
      <c r="I758" t="str">
        <f>TEXT(Europe_Sales_Records34[[#This Row],[Order Date Fixed]],"MMM")</f>
        <v>Oct</v>
      </c>
      <c r="J758">
        <f>YEAR(Europe_Sales_Records34[[#This Row],[Order Date Fixed]])</f>
        <v>2013</v>
      </c>
      <c r="K758" t="str">
        <f>TEXT(Europe_Sales_Records34[[#This Row],[Order Date Fixed]],"MMM-YYYY")</f>
        <v>Oct-2013</v>
      </c>
      <c r="L758">
        <v>498201072</v>
      </c>
      <c r="M758" s="2">
        <f t="shared" si="23"/>
        <v>41585</v>
      </c>
      <c r="N758">
        <f>DAY(Europe_Sales_Records34[[#This Row],[Ship Date Fixed]])</f>
        <v>7</v>
      </c>
      <c r="O758" t="str">
        <f>TEXT(Europe_Sales_Records34[[#This Row],[Ship Date Fixed]],"MMM")</f>
        <v>Nov</v>
      </c>
      <c r="P758">
        <f>YEAR(Europe_Sales_Records34[[#This Row],[Ship Date Fixed]])</f>
        <v>2013</v>
      </c>
      <c r="Q758" t="str">
        <f>TEXT(Europe_Sales_Records34[[#This Row],[Ship Date Fixed]],"MMM-YYYY")</f>
        <v>Nov-2013</v>
      </c>
      <c r="R758" t="s">
        <v>374</v>
      </c>
      <c r="S758" s="3">
        <f>Europe_Sales_Records34[[#This Row],[Ship Date Fixed]]-Europe_Sales_Records34[[#This Row],[Order Date Fixed]]</f>
        <v>9</v>
      </c>
      <c r="T758">
        <v>7623</v>
      </c>
      <c r="U758">
        <v>437.2</v>
      </c>
      <c r="V758">
        <v>263.33</v>
      </c>
      <c r="W758">
        <f>Europe_Sales_Records34[[#This Row],[Total Revenue]]/Europe_Sales_Records34[[#This Row],[Units Sold]]</f>
        <v>437.2</v>
      </c>
      <c r="X758">
        <v>3332775.6</v>
      </c>
      <c r="Y758">
        <v>2007364.59</v>
      </c>
      <c r="Z758" s="4">
        <f>Europe_Sales_Records34[[#This Row],[Total Profit]]/Europe_Sales_Records34[[#This Row],[Total Revenue]]</f>
        <v>0.39768984446477584</v>
      </c>
      <c r="AA758">
        <v>1325411.01</v>
      </c>
    </row>
    <row r="759" spans="1:27" x14ac:dyDescent="0.3">
      <c r="A759" t="s">
        <v>14</v>
      </c>
      <c r="B759" t="s">
        <v>105</v>
      </c>
      <c r="C759" t="s">
        <v>58</v>
      </c>
      <c r="D759" t="s">
        <v>17</v>
      </c>
      <c r="E759" t="s">
        <v>54</v>
      </c>
      <c r="F759" t="s">
        <v>1275</v>
      </c>
      <c r="G759" s="2">
        <f t="shared" si="22"/>
        <v>42212</v>
      </c>
      <c r="H759">
        <f>DAY(Europe_Sales_Records34[[#This Row],[Order Date Fixed]])</f>
        <v>27</v>
      </c>
      <c r="I759" t="str">
        <f>TEXT(Europe_Sales_Records34[[#This Row],[Order Date Fixed]],"MMM")</f>
        <v>Jul</v>
      </c>
      <c r="J759">
        <f>YEAR(Europe_Sales_Records34[[#This Row],[Order Date Fixed]])</f>
        <v>2015</v>
      </c>
      <c r="K759" t="str">
        <f>TEXT(Europe_Sales_Records34[[#This Row],[Order Date Fixed]],"MMM-YYYY")</f>
        <v>Jul-2015</v>
      </c>
      <c r="L759">
        <v>842725884</v>
      </c>
      <c r="M759" s="2">
        <f t="shared" si="23"/>
        <v>42227</v>
      </c>
      <c r="N759">
        <f>DAY(Europe_Sales_Records34[[#This Row],[Ship Date Fixed]])</f>
        <v>11</v>
      </c>
      <c r="O759" t="str">
        <f>TEXT(Europe_Sales_Records34[[#This Row],[Ship Date Fixed]],"MMM")</f>
        <v>Aug</v>
      </c>
      <c r="P759">
        <f>YEAR(Europe_Sales_Records34[[#This Row],[Ship Date Fixed]])</f>
        <v>2015</v>
      </c>
      <c r="Q759" t="str">
        <f>TEXT(Europe_Sales_Records34[[#This Row],[Ship Date Fixed]],"MMM-YYYY")</f>
        <v>Aug-2015</v>
      </c>
      <c r="R759" t="s">
        <v>179</v>
      </c>
      <c r="S759" s="3">
        <f>Europe_Sales_Records34[[#This Row],[Ship Date Fixed]]-Europe_Sales_Records34[[#This Row],[Order Date Fixed]]</f>
        <v>15</v>
      </c>
      <c r="T759">
        <v>171</v>
      </c>
      <c r="U759">
        <v>152.58000000000001</v>
      </c>
      <c r="V759">
        <v>97.44</v>
      </c>
      <c r="W759">
        <f>Europe_Sales_Records34[[#This Row],[Total Revenue]]/Europe_Sales_Records34[[#This Row],[Units Sold]]</f>
        <v>152.58000000000001</v>
      </c>
      <c r="X759">
        <v>26091.18</v>
      </c>
      <c r="Y759">
        <v>16662.240000000002</v>
      </c>
      <c r="Z759" s="4">
        <f>Europe_Sales_Records34[[#This Row],[Total Profit]]/Europe_Sales_Records34[[#This Row],[Total Revenue]]</f>
        <v>0.36138419189933152</v>
      </c>
      <c r="AA759">
        <v>9428.94</v>
      </c>
    </row>
    <row r="760" spans="1:27" x14ac:dyDescent="0.3">
      <c r="A760" t="s">
        <v>14</v>
      </c>
      <c r="B760" t="s">
        <v>80</v>
      </c>
      <c r="C760" t="s">
        <v>32</v>
      </c>
      <c r="D760" t="s">
        <v>23</v>
      </c>
      <c r="E760" t="s">
        <v>33</v>
      </c>
      <c r="F760" t="s">
        <v>654</v>
      </c>
      <c r="G760" s="2">
        <f t="shared" si="22"/>
        <v>42856</v>
      </c>
      <c r="H760">
        <f>DAY(Europe_Sales_Records34[[#This Row],[Order Date Fixed]])</f>
        <v>1</v>
      </c>
      <c r="I760" t="str">
        <f>TEXT(Europe_Sales_Records34[[#This Row],[Order Date Fixed]],"MMM")</f>
        <v>May</v>
      </c>
      <c r="J760">
        <f>YEAR(Europe_Sales_Records34[[#This Row],[Order Date Fixed]])</f>
        <v>2017</v>
      </c>
      <c r="K760" t="str">
        <f>TEXT(Europe_Sales_Records34[[#This Row],[Order Date Fixed]],"MMM-YYYY")</f>
        <v>May-2017</v>
      </c>
      <c r="L760">
        <v>343730294</v>
      </c>
      <c r="M760" s="2">
        <f t="shared" si="23"/>
        <v>42883</v>
      </c>
      <c r="N760">
        <f>DAY(Europe_Sales_Records34[[#This Row],[Ship Date Fixed]])</f>
        <v>28</v>
      </c>
      <c r="O760" t="str">
        <f>TEXT(Europe_Sales_Records34[[#This Row],[Ship Date Fixed]],"MMM")</f>
        <v>May</v>
      </c>
      <c r="P760">
        <f>YEAR(Europe_Sales_Records34[[#This Row],[Ship Date Fixed]])</f>
        <v>2017</v>
      </c>
      <c r="Q760" t="str">
        <f>TEXT(Europe_Sales_Records34[[#This Row],[Ship Date Fixed]],"MMM-YYYY")</f>
        <v>May-2017</v>
      </c>
      <c r="R760" t="s">
        <v>1017</v>
      </c>
      <c r="S760" s="3">
        <f>Europe_Sales_Records34[[#This Row],[Ship Date Fixed]]-Europe_Sales_Records34[[#This Row],[Order Date Fixed]]</f>
        <v>27</v>
      </c>
      <c r="T760">
        <v>6287</v>
      </c>
      <c r="U760">
        <v>651.21</v>
      </c>
      <c r="V760">
        <v>524.96</v>
      </c>
      <c r="W760">
        <f>Europe_Sales_Records34[[#This Row],[Total Revenue]]/Europe_Sales_Records34[[#This Row],[Units Sold]]</f>
        <v>651.21</v>
      </c>
      <c r="X760">
        <v>4094157.27</v>
      </c>
      <c r="Y760">
        <v>3300423.52</v>
      </c>
      <c r="Z760" s="4">
        <f>Europe_Sales_Records34[[#This Row],[Total Profit]]/Europe_Sales_Records34[[#This Row],[Total Revenue]]</f>
        <v>0.19386987300563566</v>
      </c>
      <c r="AA760">
        <v>793733.75</v>
      </c>
    </row>
    <row r="761" spans="1:27" x14ac:dyDescent="0.3">
      <c r="A761" t="s">
        <v>14</v>
      </c>
      <c r="B761" t="s">
        <v>364</v>
      </c>
      <c r="C761" t="s">
        <v>46</v>
      </c>
      <c r="D761" t="s">
        <v>23</v>
      </c>
      <c r="E761" t="s">
        <v>18</v>
      </c>
      <c r="F761" t="s">
        <v>1276</v>
      </c>
      <c r="G761" s="2">
        <f t="shared" si="22"/>
        <v>42061</v>
      </c>
      <c r="H761">
        <f>DAY(Europe_Sales_Records34[[#This Row],[Order Date Fixed]])</f>
        <v>26</v>
      </c>
      <c r="I761" t="str">
        <f>TEXT(Europe_Sales_Records34[[#This Row],[Order Date Fixed]],"MMM")</f>
        <v>Feb</v>
      </c>
      <c r="J761">
        <f>YEAR(Europe_Sales_Records34[[#This Row],[Order Date Fixed]])</f>
        <v>2015</v>
      </c>
      <c r="K761" t="str">
        <f>TEXT(Europe_Sales_Records34[[#This Row],[Order Date Fixed]],"MMM-YYYY")</f>
        <v>Feb-2015</v>
      </c>
      <c r="L761">
        <v>636907756</v>
      </c>
      <c r="M761" s="2">
        <f t="shared" si="23"/>
        <v>42095</v>
      </c>
      <c r="N761">
        <f>DAY(Europe_Sales_Records34[[#This Row],[Ship Date Fixed]])</f>
        <v>1</v>
      </c>
      <c r="O761" t="str">
        <f>TEXT(Europe_Sales_Records34[[#This Row],[Ship Date Fixed]],"MMM")</f>
        <v>Apr</v>
      </c>
      <c r="P761">
        <f>YEAR(Europe_Sales_Records34[[#This Row],[Ship Date Fixed]])</f>
        <v>2015</v>
      </c>
      <c r="Q761" t="str">
        <f>TEXT(Europe_Sales_Records34[[#This Row],[Ship Date Fixed]],"MMM-YYYY")</f>
        <v>Apr-2015</v>
      </c>
      <c r="R761" t="s">
        <v>627</v>
      </c>
      <c r="S761" s="3">
        <f>Europe_Sales_Records34[[#This Row],[Ship Date Fixed]]-Europe_Sales_Records34[[#This Row],[Order Date Fixed]]</f>
        <v>34</v>
      </c>
      <c r="T761">
        <v>4013</v>
      </c>
      <c r="U761">
        <v>154.06</v>
      </c>
      <c r="V761">
        <v>90.93</v>
      </c>
      <c r="W761">
        <f>Europe_Sales_Records34[[#This Row],[Total Revenue]]/Europe_Sales_Records34[[#This Row],[Units Sold]]</f>
        <v>154.06</v>
      </c>
      <c r="X761">
        <v>618242.78</v>
      </c>
      <c r="Y761">
        <v>364902.09</v>
      </c>
      <c r="Z761" s="4">
        <f>Europe_Sales_Records34[[#This Row],[Total Profit]]/Europe_Sales_Records34[[#This Row],[Total Revenue]]</f>
        <v>0.40977541217707386</v>
      </c>
      <c r="AA761">
        <v>253340.69</v>
      </c>
    </row>
    <row r="762" spans="1:27" x14ac:dyDescent="0.3">
      <c r="A762" t="s">
        <v>14</v>
      </c>
      <c r="B762" t="s">
        <v>15</v>
      </c>
      <c r="C762" t="s">
        <v>28</v>
      </c>
      <c r="D762" t="s">
        <v>23</v>
      </c>
      <c r="E762" t="s">
        <v>54</v>
      </c>
      <c r="F762" t="s">
        <v>1187</v>
      </c>
      <c r="G762" s="2">
        <f t="shared" si="22"/>
        <v>41321</v>
      </c>
      <c r="H762">
        <f>DAY(Europe_Sales_Records34[[#This Row],[Order Date Fixed]])</f>
        <v>16</v>
      </c>
      <c r="I762" t="str">
        <f>TEXT(Europe_Sales_Records34[[#This Row],[Order Date Fixed]],"MMM")</f>
        <v>Feb</v>
      </c>
      <c r="J762">
        <f>YEAR(Europe_Sales_Records34[[#This Row],[Order Date Fixed]])</f>
        <v>2013</v>
      </c>
      <c r="K762" t="str">
        <f>TEXT(Europe_Sales_Records34[[#This Row],[Order Date Fixed]],"MMM-YYYY")</f>
        <v>Feb-2013</v>
      </c>
      <c r="L762">
        <v>444806230</v>
      </c>
      <c r="M762" s="2">
        <f t="shared" si="23"/>
        <v>41365</v>
      </c>
      <c r="N762">
        <f>DAY(Europe_Sales_Records34[[#This Row],[Ship Date Fixed]])</f>
        <v>1</v>
      </c>
      <c r="O762" t="str">
        <f>TEXT(Europe_Sales_Records34[[#This Row],[Ship Date Fixed]],"MMM")</f>
        <v>Apr</v>
      </c>
      <c r="P762">
        <f>YEAR(Europe_Sales_Records34[[#This Row],[Ship Date Fixed]])</f>
        <v>2013</v>
      </c>
      <c r="Q762" t="str">
        <f>TEXT(Europe_Sales_Records34[[#This Row],[Ship Date Fixed]],"MMM-YYYY")</f>
        <v>Apr-2013</v>
      </c>
      <c r="R762" t="s">
        <v>474</v>
      </c>
      <c r="S762" s="3">
        <f>Europe_Sales_Records34[[#This Row],[Ship Date Fixed]]-Europe_Sales_Records34[[#This Row],[Order Date Fixed]]</f>
        <v>44</v>
      </c>
      <c r="T762">
        <v>6903</v>
      </c>
      <c r="U762">
        <v>205.7</v>
      </c>
      <c r="V762">
        <v>117.11</v>
      </c>
      <c r="W762">
        <f>Europe_Sales_Records34[[#This Row],[Total Revenue]]/Europe_Sales_Records34[[#This Row],[Units Sold]]</f>
        <v>205.70000000000002</v>
      </c>
      <c r="X762">
        <v>1419947.1</v>
      </c>
      <c r="Y762">
        <v>808410.33</v>
      </c>
      <c r="Z762" s="4">
        <f>Europe_Sales_Records34[[#This Row],[Total Profit]]/Europe_Sales_Records34[[#This Row],[Total Revenue]]</f>
        <v>0.43067574137092851</v>
      </c>
      <c r="AA762">
        <v>611536.77</v>
      </c>
    </row>
    <row r="763" spans="1:27" x14ac:dyDescent="0.3">
      <c r="A763" t="s">
        <v>14</v>
      </c>
      <c r="B763" t="s">
        <v>80</v>
      </c>
      <c r="C763" t="s">
        <v>58</v>
      </c>
      <c r="D763" t="s">
        <v>23</v>
      </c>
      <c r="E763" t="s">
        <v>24</v>
      </c>
      <c r="F763" t="s">
        <v>1277</v>
      </c>
      <c r="G763" s="2">
        <f t="shared" si="22"/>
        <v>42812</v>
      </c>
      <c r="H763">
        <f>DAY(Europe_Sales_Records34[[#This Row],[Order Date Fixed]])</f>
        <v>18</v>
      </c>
      <c r="I763" t="str">
        <f>TEXT(Europe_Sales_Records34[[#This Row],[Order Date Fixed]],"MMM")</f>
        <v>Mar</v>
      </c>
      <c r="J763">
        <f>YEAR(Europe_Sales_Records34[[#This Row],[Order Date Fixed]])</f>
        <v>2017</v>
      </c>
      <c r="K763" t="str">
        <f>TEXT(Europe_Sales_Records34[[#This Row],[Order Date Fixed]],"MMM-YYYY")</f>
        <v>Mar-2017</v>
      </c>
      <c r="L763">
        <v>517097985</v>
      </c>
      <c r="M763" s="2">
        <f t="shared" si="23"/>
        <v>42839</v>
      </c>
      <c r="N763">
        <f>DAY(Europe_Sales_Records34[[#This Row],[Ship Date Fixed]])</f>
        <v>14</v>
      </c>
      <c r="O763" t="str">
        <f>TEXT(Europe_Sales_Records34[[#This Row],[Ship Date Fixed]],"MMM")</f>
        <v>Apr</v>
      </c>
      <c r="P763">
        <f>YEAR(Europe_Sales_Records34[[#This Row],[Ship Date Fixed]])</f>
        <v>2017</v>
      </c>
      <c r="Q763" t="str">
        <f>TEXT(Europe_Sales_Records34[[#This Row],[Ship Date Fixed]],"MMM-YYYY")</f>
        <v>Apr-2017</v>
      </c>
      <c r="R763" t="s">
        <v>1278</v>
      </c>
      <c r="S763" s="3">
        <f>Europe_Sales_Records34[[#This Row],[Ship Date Fixed]]-Europe_Sales_Records34[[#This Row],[Order Date Fixed]]</f>
        <v>27</v>
      </c>
      <c r="T763">
        <v>9640</v>
      </c>
      <c r="U763">
        <v>152.58000000000001</v>
      </c>
      <c r="V763">
        <v>97.44</v>
      </c>
      <c r="W763">
        <f>Europe_Sales_Records34[[#This Row],[Total Revenue]]/Europe_Sales_Records34[[#This Row],[Units Sold]]</f>
        <v>152.57999999999998</v>
      </c>
      <c r="X763">
        <v>1470871.2</v>
      </c>
      <c r="Y763">
        <v>939321.6</v>
      </c>
      <c r="Z763" s="4">
        <f>Europe_Sales_Records34[[#This Row],[Total Profit]]/Europe_Sales_Records34[[#This Row],[Total Revenue]]</f>
        <v>0.36138419189933152</v>
      </c>
      <c r="AA763">
        <v>531549.6</v>
      </c>
    </row>
    <row r="764" spans="1:27" x14ac:dyDescent="0.3">
      <c r="A764" t="s">
        <v>14</v>
      </c>
      <c r="B764" t="s">
        <v>67</v>
      </c>
      <c r="C764" t="s">
        <v>16</v>
      </c>
      <c r="D764" t="s">
        <v>17</v>
      </c>
      <c r="E764" t="s">
        <v>24</v>
      </c>
      <c r="F764" t="s">
        <v>1279</v>
      </c>
      <c r="G764" s="2">
        <f t="shared" si="22"/>
        <v>42304</v>
      </c>
      <c r="H764">
        <f>DAY(Europe_Sales_Records34[[#This Row],[Order Date Fixed]])</f>
        <v>27</v>
      </c>
      <c r="I764" t="str">
        <f>TEXT(Europe_Sales_Records34[[#This Row],[Order Date Fixed]],"MMM")</f>
        <v>Oct</v>
      </c>
      <c r="J764">
        <f>YEAR(Europe_Sales_Records34[[#This Row],[Order Date Fixed]])</f>
        <v>2015</v>
      </c>
      <c r="K764" t="str">
        <f>TEXT(Europe_Sales_Records34[[#This Row],[Order Date Fixed]],"MMM-YYYY")</f>
        <v>Oct-2015</v>
      </c>
      <c r="L764">
        <v>642953670</v>
      </c>
      <c r="M764" s="2">
        <f t="shared" si="23"/>
        <v>42347</v>
      </c>
      <c r="N764">
        <f>DAY(Europe_Sales_Records34[[#This Row],[Ship Date Fixed]])</f>
        <v>9</v>
      </c>
      <c r="O764" t="str">
        <f>TEXT(Europe_Sales_Records34[[#This Row],[Ship Date Fixed]],"MMM")</f>
        <v>Dec</v>
      </c>
      <c r="P764">
        <f>YEAR(Europe_Sales_Records34[[#This Row],[Ship Date Fixed]])</f>
        <v>2015</v>
      </c>
      <c r="Q764" t="str">
        <f>TEXT(Europe_Sales_Records34[[#This Row],[Ship Date Fixed]],"MMM-YYYY")</f>
        <v>Dec-2015</v>
      </c>
      <c r="R764" t="s">
        <v>527</v>
      </c>
      <c r="S764" s="3">
        <f>Europe_Sales_Records34[[#This Row],[Ship Date Fixed]]-Europe_Sales_Records34[[#This Row],[Order Date Fixed]]</f>
        <v>43</v>
      </c>
      <c r="T764">
        <v>3134</v>
      </c>
      <c r="U764">
        <v>47.45</v>
      </c>
      <c r="V764">
        <v>31.79</v>
      </c>
      <c r="W764">
        <f>Europe_Sales_Records34[[#This Row],[Total Revenue]]/Europe_Sales_Records34[[#This Row],[Units Sold]]</f>
        <v>47.449999999999996</v>
      </c>
      <c r="X764">
        <v>148708.29999999999</v>
      </c>
      <c r="Y764">
        <v>99629.86</v>
      </c>
      <c r="Z764" s="4">
        <f>Europe_Sales_Records34[[#This Row],[Total Profit]]/Europe_Sales_Records34[[#This Row],[Total Revenue]]</f>
        <v>0.33003161222339311</v>
      </c>
      <c r="AA764">
        <v>49078.44</v>
      </c>
    </row>
    <row r="765" spans="1:27" x14ac:dyDescent="0.3">
      <c r="A765" t="s">
        <v>14</v>
      </c>
      <c r="B765" t="s">
        <v>83</v>
      </c>
      <c r="C765" t="s">
        <v>58</v>
      </c>
      <c r="D765" t="s">
        <v>17</v>
      </c>
      <c r="E765" t="s">
        <v>24</v>
      </c>
      <c r="F765" t="s">
        <v>211</v>
      </c>
      <c r="G765" s="2">
        <f t="shared" si="22"/>
        <v>41869</v>
      </c>
      <c r="H765">
        <f>DAY(Europe_Sales_Records34[[#This Row],[Order Date Fixed]])</f>
        <v>18</v>
      </c>
      <c r="I765" t="str">
        <f>TEXT(Europe_Sales_Records34[[#This Row],[Order Date Fixed]],"MMM")</f>
        <v>Aug</v>
      </c>
      <c r="J765">
        <f>YEAR(Europe_Sales_Records34[[#This Row],[Order Date Fixed]])</f>
        <v>2014</v>
      </c>
      <c r="K765" t="str">
        <f>TEXT(Europe_Sales_Records34[[#This Row],[Order Date Fixed]],"MMM-YYYY")</f>
        <v>Aug-2014</v>
      </c>
      <c r="L765">
        <v>265191352</v>
      </c>
      <c r="M765" s="2">
        <f t="shared" si="23"/>
        <v>41908</v>
      </c>
      <c r="N765">
        <f>DAY(Europe_Sales_Records34[[#This Row],[Ship Date Fixed]])</f>
        <v>26</v>
      </c>
      <c r="O765" t="str">
        <f>TEXT(Europe_Sales_Records34[[#This Row],[Ship Date Fixed]],"MMM")</f>
        <v>Sep</v>
      </c>
      <c r="P765">
        <f>YEAR(Europe_Sales_Records34[[#This Row],[Ship Date Fixed]])</f>
        <v>2014</v>
      </c>
      <c r="Q765" t="str">
        <f>TEXT(Europe_Sales_Records34[[#This Row],[Ship Date Fixed]],"MMM-YYYY")</f>
        <v>Sep-2014</v>
      </c>
      <c r="R765" t="s">
        <v>1280</v>
      </c>
      <c r="S765" s="3">
        <f>Europe_Sales_Records34[[#This Row],[Ship Date Fixed]]-Europe_Sales_Records34[[#This Row],[Order Date Fixed]]</f>
        <v>39</v>
      </c>
      <c r="T765">
        <v>4869</v>
      </c>
      <c r="U765">
        <v>152.58000000000001</v>
      </c>
      <c r="V765">
        <v>97.44</v>
      </c>
      <c r="W765">
        <f>Europe_Sales_Records34[[#This Row],[Total Revenue]]/Europe_Sales_Records34[[#This Row],[Units Sold]]</f>
        <v>152.58000000000001</v>
      </c>
      <c r="X765">
        <v>742912.02</v>
      </c>
      <c r="Y765">
        <v>474435.36</v>
      </c>
      <c r="Z765" s="4">
        <f>Europe_Sales_Records34[[#This Row],[Total Profit]]/Europe_Sales_Records34[[#This Row],[Total Revenue]]</f>
        <v>0.36138419189933146</v>
      </c>
      <c r="AA765">
        <v>268476.65999999997</v>
      </c>
    </row>
    <row r="766" spans="1:27" x14ac:dyDescent="0.3">
      <c r="A766" t="s">
        <v>14</v>
      </c>
      <c r="B766" t="s">
        <v>80</v>
      </c>
      <c r="C766" t="s">
        <v>32</v>
      </c>
      <c r="D766" t="s">
        <v>23</v>
      </c>
      <c r="E766" t="s">
        <v>33</v>
      </c>
      <c r="F766" t="s">
        <v>1281</v>
      </c>
      <c r="G766" s="2">
        <f t="shared" si="22"/>
        <v>41441</v>
      </c>
      <c r="H766">
        <f>DAY(Europe_Sales_Records34[[#This Row],[Order Date Fixed]])</f>
        <v>16</v>
      </c>
      <c r="I766" t="str">
        <f>TEXT(Europe_Sales_Records34[[#This Row],[Order Date Fixed]],"MMM")</f>
        <v>Jun</v>
      </c>
      <c r="J766">
        <f>YEAR(Europe_Sales_Records34[[#This Row],[Order Date Fixed]])</f>
        <v>2013</v>
      </c>
      <c r="K766" t="str">
        <f>TEXT(Europe_Sales_Records34[[#This Row],[Order Date Fixed]],"MMM-YYYY")</f>
        <v>Jun-2013</v>
      </c>
      <c r="L766">
        <v>129127395</v>
      </c>
      <c r="M766" s="2">
        <f t="shared" si="23"/>
        <v>41445</v>
      </c>
      <c r="N766">
        <f>DAY(Europe_Sales_Records34[[#This Row],[Ship Date Fixed]])</f>
        <v>20</v>
      </c>
      <c r="O766" t="str">
        <f>TEXT(Europe_Sales_Records34[[#This Row],[Ship Date Fixed]],"MMM")</f>
        <v>Jun</v>
      </c>
      <c r="P766">
        <f>YEAR(Europe_Sales_Records34[[#This Row],[Ship Date Fixed]])</f>
        <v>2013</v>
      </c>
      <c r="Q766" t="str">
        <f>TEXT(Europe_Sales_Records34[[#This Row],[Ship Date Fixed]],"MMM-YYYY")</f>
        <v>Jun-2013</v>
      </c>
      <c r="R766" t="s">
        <v>276</v>
      </c>
      <c r="S766" s="3">
        <f>Europe_Sales_Records34[[#This Row],[Ship Date Fixed]]-Europe_Sales_Records34[[#This Row],[Order Date Fixed]]</f>
        <v>4</v>
      </c>
      <c r="T766">
        <v>520</v>
      </c>
      <c r="U766">
        <v>651.21</v>
      </c>
      <c r="V766">
        <v>524.96</v>
      </c>
      <c r="W766">
        <f>Europe_Sales_Records34[[#This Row],[Total Revenue]]/Europe_Sales_Records34[[#This Row],[Units Sold]]</f>
        <v>651.21</v>
      </c>
      <c r="X766">
        <v>338629.2</v>
      </c>
      <c r="Y766">
        <v>272979.20000000001</v>
      </c>
      <c r="Z766" s="4">
        <f>Europe_Sales_Records34[[#This Row],[Total Profit]]/Europe_Sales_Records34[[#This Row],[Total Revenue]]</f>
        <v>0.19386987300563566</v>
      </c>
      <c r="AA766">
        <v>65650</v>
      </c>
    </row>
    <row r="767" spans="1:27" x14ac:dyDescent="0.3">
      <c r="A767" t="s">
        <v>14</v>
      </c>
      <c r="B767" t="s">
        <v>83</v>
      </c>
      <c r="C767" t="s">
        <v>46</v>
      </c>
      <c r="D767" t="s">
        <v>17</v>
      </c>
      <c r="E767" t="s">
        <v>24</v>
      </c>
      <c r="F767" t="s">
        <v>401</v>
      </c>
      <c r="G767" s="2">
        <f t="shared" si="22"/>
        <v>40719</v>
      </c>
      <c r="H767">
        <f>DAY(Europe_Sales_Records34[[#This Row],[Order Date Fixed]])</f>
        <v>25</v>
      </c>
      <c r="I767" t="str">
        <f>TEXT(Europe_Sales_Records34[[#This Row],[Order Date Fixed]],"MMM")</f>
        <v>Jun</v>
      </c>
      <c r="J767">
        <f>YEAR(Europe_Sales_Records34[[#This Row],[Order Date Fixed]])</f>
        <v>2011</v>
      </c>
      <c r="K767" t="str">
        <f>TEXT(Europe_Sales_Records34[[#This Row],[Order Date Fixed]],"MMM-YYYY")</f>
        <v>Jun-2011</v>
      </c>
      <c r="L767">
        <v>392518174</v>
      </c>
      <c r="M767" s="2">
        <f t="shared" si="23"/>
        <v>40727</v>
      </c>
      <c r="N767">
        <f>DAY(Europe_Sales_Records34[[#This Row],[Ship Date Fixed]])</f>
        <v>3</v>
      </c>
      <c r="O767" t="str">
        <f>TEXT(Europe_Sales_Records34[[#This Row],[Ship Date Fixed]],"MMM")</f>
        <v>Jul</v>
      </c>
      <c r="P767">
        <f>YEAR(Europe_Sales_Records34[[#This Row],[Ship Date Fixed]])</f>
        <v>2011</v>
      </c>
      <c r="Q767" t="str">
        <f>TEXT(Europe_Sales_Records34[[#This Row],[Ship Date Fixed]],"MMM-YYYY")</f>
        <v>Jul-2011</v>
      </c>
      <c r="R767" t="s">
        <v>595</v>
      </c>
      <c r="S767" s="3">
        <f>Europe_Sales_Records34[[#This Row],[Ship Date Fixed]]-Europe_Sales_Records34[[#This Row],[Order Date Fixed]]</f>
        <v>8</v>
      </c>
      <c r="T767">
        <v>3705</v>
      </c>
      <c r="U767">
        <v>154.06</v>
      </c>
      <c r="V767">
        <v>90.93</v>
      </c>
      <c r="W767">
        <f>Europe_Sales_Records34[[#This Row],[Total Revenue]]/Europe_Sales_Records34[[#This Row],[Units Sold]]</f>
        <v>154.06</v>
      </c>
      <c r="X767">
        <v>570792.30000000005</v>
      </c>
      <c r="Y767">
        <v>336895.65</v>
      </c>
      <c r="Z767" s="4">
        <f>Europe_Sales_Records34[[#This Row],[Total Profit]]/Europe_Sales_Records34[[#This Row],[Total Revenue]]</f>
        <v>0.40977541217707381</v>
      </c>
      <c r="AA767">
        <v>233896.65</v>
      </c>
    </row>
    <row r="768" spans="1:27" x14ac:dyDescent="0.3">
      <c r="A768" t="s">
        <v>14</v>
      </c>
      <c r="B768" t="s">
        <v>100</v>
      </c>
      <c r="C768" t="s">
        <v>37</v>
      </c>
      <c r="D768" t="s">
        <v>23</v>
      </c>
      <c r="E768" t="s">
        <v>18</v>
      </c>
      <c r="F768" t="s">
        <v>954</v>
      </c>
      <c r="G768" s="2">
        <f t="shared" si="22"/>
        <v>42695</v>
      </c>
      <c r="H768">
        <f>DAY(Europe_Sales_Records34[[#This Row],[Order Date Fixed]])</f>
        <v>21</v>
      </c>
      <c r="I768" t="str">
        <f>TEXT(Europe_Sales_Records34[[#This Row],[Order Date Fixed]],"MMM")</f>
        <v>Nov</v>
      </c>
      <c r="J768">
        <f>YEAR(Europe_Sales_Records34[[#This Row],[Order Date Fixed]])</f>
        <v>2016</v>
      </c>
      <c r="K768" t="str">
        <f>TEXT(Europe_Sales_Records34[[#This Row],[Order Date Fixed]],"MMM-YYYY")</f>
        <v>Nov-2016</v>
      </c>
      <c r="L768">
        <v>121380746</v>
      </c>
      <c r="M768" s="2">
        <f t="shared" si="23"/>
        <v>42722</v>
      </c>
      <c r="N768">
        <f>DAY(Europe_Sales_Records34[[#This Row],[Ship Date Fixed]])</f>
        <v>18</v>
      </c>
      <c r="O768" t="str">
        <f>TEXT(Europe_Sales_Records34[[#This Row],[Ship Date Fixed]],"MMM")</f>
        <v>Dec</v>
      </c>
      <c r="P768">
        <f>YEAR(Europe_Sales_Records34[[#This Row],[Ship Date Fixed]])</f>
        <v>2016</v>
      </c>
      <c r="Q768" t="str">
        <f>TEXT(Europe_Sales_Records34[[#This Row],[Ship Date Fixed]],"MMM-YYYY")</f>
        <v>Dec-2016</v>
      </c>
      <c r="R768" t="s">
        <v>785</v>
      </c>
      <c r="S768" s="3">
        <f>Europe_Sales_Records34[[#This Row],[Ship Date Fixed]]-Europe_Sales_Records34[[#This Row],[Order Date Fixed]]</f>
        <v>27</v>
      </c>
      <c r="T768">
        <v>8115</v>
      </c>
      <c r="U768">
        <v>9.33</v>
      </c>
      <c r="V768">
        <v>6.92</v>
      </c>
      <c r="W768">
        <f>Europe_Sales_Records34[[#This Row],[Total Revenue]]/Europe_Sales_Records34[[#This Row],[Units Sold]]</f>
        <v>9.33</v>
      </c>
      <c r="X768">
        <v>75712.95</v>
      </c>
      <c r="Y768">
        <v>56155.8</v>
      </c>
      <c r="Z768" s="4">
        <f>Europe_Sales_Records34[[#This Row],[Total Profit]]/Europe_Sales_Records34[[#This Row],[Total Revenue]]</f>
        <v>0.25830653804930337</v>
      </c>
      <c r="AA768">
        <v>19557.150000000001</v>
      </c>
    </row>
    <row r="769" spans="1:27" x14ac:dyDescent="0.3">
      <c r="A769" t="s">
        <v>14</v>
      </c>
      <c r="B769" t="s">
        <v>70</v>
      </c>
      <c r="C769" t="s">
        <v>22</v>
      </c>
      <c r="D769" t="s">
        <v>17</v>
      </c>
      <c r="E769" t="s">
        <v>24</v>
      </c>
      <c r="F769" t="s">
        <v>1282</v>
      </c>
      <c r="G769" s="2">
        <f t="shared" si="22"/>
        <v>41767</v>
      </c>
      <c r="H769">
        <f>DAY(Europe_Sales_Records34[[#This Row],[Order Date Fixed]])</f>
        <v>8</v>
      </c>
      <c r="I769" t="str">
        <f>TEXT(Europe_Sales_Records34[[#This Row],[Order Date Fixed]],"MMM")</f>
        <v>May</v>
      </c>
      <c r="J769">
        <f>YEAR(Europe_Sales_Records34[[#This Row],[Order Date Fixed]])</f>
        <v>2014</v>
      </c>
      <c r="K769" t="str">
        <f>TEXT(Europe_Sales_Records34[[#This Row],[Order Date Fixed]],"MMM-YYYY")</f>
        <v>May-2014</v>
      </c>
      <c r="L769">
        <v>745467269</v>
      </c>
      <c r="M769" s="2">
        <f t="shared" si="23"/>
        <v>41813</v>
      </c>
      <c r="N769">
        <f>DAY(Europe_Sales_Records34[[#This Row],[Ship Date Fixed]])</f>
        <v>23</v>
      </c>
      <c r="O769" t="str">
        <f>TEXT(Europe_Sales_Records34[[#This Row],[Ship Date Fixed]],"MMM")</f>
        <v>Jun</v>
      </c>
      <c r="P769">
        <f>YEAR(Europe_Sales_Records34[[#This Row],[Ship Date Fixed]])</f>
        <v>2014</v>
      </c>
      <c r="Q769" t="str">
        <f>TEXT(Europe_Sales_Records34[[#This Row],[Ship Date Fixed]],"MMM-YYYY")</f>
        <v>Jun-2014</v>
      </c>
      <c r="R769" t="s">
        <v>797</v>
      </c>
      <c r="S769" s="3">
        <f>Europe_Sales_Records34[[#This Row],[Ship Date Fixed]]-Europe_Sales_Records34[[#This Row],[Order Date Fixed]]</f>
        <v>46</v>
      </c>
      <c r="T769">
        <v>9186</v>
      </c>
      <c r="U769">
        <v>109.28</v>
      </c>
      <c r="V769">
        <v>35.840000000000003</v>
      </c>
      <c r="W769">
        <f>Europe_Sales_Records34[[#This Row],[Total Revenue]]/Europe_Sales_Records34[[#This Row],[Units Sold]]</f>
        <v>109.28</v>
      </c>
      <c r="X769">
        <v>1003846.08</v>
      </c>
      <c r="Y769">
        <v>329226.23999999999</v>
      </c>
      <c r="Z769" s="4">
        <f>Europe_Sales_Records34[[#This Row],[Total Profit]]/Europe_Sales_Records34[[#This Row],[Total Revenue]]</f>
        <v>0.67203513909224011</v>
      </c>
      <c r="AA769">
        <v>674619.84</v>
      </c>
    </row>
    <row r="770" spans="1:27" x14ac:dyDescent="0.3">
      <c r="A770" t="s">
        <v>14</v>
      </c>
      <c r="B770" t="s">
        <v>31</v>
      </c>
      <c r="C770" t="s">
        <v>50</v>
      </c>
      <c r="D770" t="s">
        <v>17</v>
      </c>
      <c r="E770" t="s">
        <v>54</v>
      </c>
      <c r="F770" t="s">
        <v>1283</v>
      </c>
      <c r="G770" s="2">
        <f t="shared" ref="G770:G833" si="24">DATE(
  RIGHT(F770,4),
  LEFT(F770,FIND("/",F770)-1),
  MID(F770,FIND("/",F770)+1, FIND("/",F770,FIND("/",F770)+1)-FIND("/",F770)-1)
)</f>
        <v>41006</v>
      </c>
      <c r="H770">
        <f>DAY(Europe_Sales_Records34[[#This Row],[Order Date Fixed]])</f>
        <v>7</v>
      </c>
      <c r="I770" t="str">
        <f>TEXT(Europe_Sales_Records34[[#This Row],[Order Date Fixed]],"MMM")</f>
        <v>Apr</v>
      </c>
      <c r="J770">
        <f>YEAR(Europe_Sales_Records34[[#This Row],[Order Date Fixed]])</f>
        <v>2012</v>
      </c>
      <c r="K770" t="str">
        <f>TEXT(Europe_Sales_Records34[[#This Row],[Order Date Fixed]],"MMM-YYYY")</f>
        <v>Apr-2012</v>
      </c>
      <c r="L770">
        <v>948518216</v>
      </c>
      <c r="M770" s="2">
        <f t="shared" ref="M770:M833" si="25">DATE(
  RIGHT(R770,4),
  LEFT(R770,FIND("/",R770)-1),
  MID(
      R770,
      FIND("/",R770)+1,
      FIND("/",R770,FIND("/",R770)+1)-FIND("/",R770)-1
     )
)</f>
        <v>41033</v>
      </c>
      <c r="N770">
        <f>DAY(Europe_Sales_Records34[[#This Row],[Ship Date Fixed]])</f>
        <v>4</v>
      </c>
      <c r="O770" t="str">
        <f>TEXT(Europe_Sales_Records34[[#This Row],[Ship Date Fixed]],"MMM")</f>
        <v>May</v>
      </c>
      <c r="P770">
        <f>YEAR(Europe_Sales_Records34[[#This Row],[Ship Date Fixed]])</f>
        <v>2012</v>
      </c>
      <c r="Q770" t="str">
        <f>TEXT(Europe_Sales_Records34[[#This Row],[Ship Date Fixed]],"MMM-YYYY")</f>
        <v>May-2012</v>
      </c>
      <c r="R770" t="s">
        <v>881</v>
      </c>
      <c r="S770" s="3">
        <f>Europe_Sales_Records34[[#This Row],[Ship Date Fixed]]-Europe_Sales_Records34[[#This Row],[Order Date Fixed]]</f>
        <v>27</v>
      </c>
      <c r="T770">
        <v>6473</v>
      </c>
      <c r="U770">
        <v>421.89</v>
      </c>
      <c r="V770">
        <v>364.69</v>
      </c>
      <c r="W770">
        <f>Europe_Sales_Records34[[#This Row],[Total Revenue]]/Europe_Sales_Records34[[#This Row],[Units Sold]]</f>
        <v>421.89000000000004</v>
      </c>
      <c r="X770">
        <v>2730893.97</v>
      </c>
      <c r="Y770">
        <v>2360638.37</v>
      </c>
      <c r="Z770" s="4">
        <f>Europe_Sales_Records34[[#This Row],[Total Profit]]/Europe_Sales_Records34[[#This Row],[Total Revenue]]</f>
        <v>0.13558036455000116</v>
      </c>
      <c r="AA770">
        <v>370255.6</v>
      </c>
    </row>
    <row r="771" spans="1:27" x14ac:dyDescent="0.3">
      <c r="A771" t="s">
        <v>14</v>
      </c>
      <c r="B771" t="s">
        <v>53</v>
      </c>
      <c r="C771" t="s">
        <v>32</v>
      </c>
      <c r="D771" t="s">
        <v>17</v>
      </c>
      <c r="E771" t="s">
        <v>33</v>
      </c>
      <c r="F771" t="s">
        <v>1284</v>
      </c>
      <c r="G771" s="2">
        <f t="shared" si="24"/>
        <v>42842</v>
      </c>
      <c r="H771">
        <f>DAY(Europe_Sales_Records34[[#This Row],[Order Date Fixed]])</f>
        <v>17</v>
      </c>
      <c r="I771" t="str">
        <f>TEXT(Europe_Sales_Records34[[#This Row],[Order Date Fixed]],"MMM")</f>
        <v>Apr</v>
      </c>
      <c r="J771">
        <f>YEAR(Europe_Sales_Records34[[#This Row],[Order Date Fixed]])</f>
        <v>2017</v>
      </c>
      <c r="K771" t="str">
        <f>TEXT(Europe_Sales_Records34[[#This Row],[Order Date Fixed]],"MMM-YYYY")</f>
        <v>Apr-2017</v>
      </c>
      <c r="L771">
        <v>163744628</v>
      </c>
      <c r="M771" s="2">
        <f t="shared" si="25"/>
        <v>42856</v>
      </c>
      <c r="N771">
        <f>DAY(Europe_Sales_Records34[[#This Row],[Ship Date Fixed]])</f>
        <v>1</v>
      </c>
      <c r="O771" t="str">
        <f>TEXT(Europe_Sales_Records34[[#This Row],[Ship Date Fixed]],"MMM")</f>
        <v>May</v>
      </c>
      <c r="P771">
        <f>YEAR(Europe_Sales_Records34[[#This Row],[Ship Date Fixed]])</f>
        <v>2017</v>
      </c>
      <c r="Q771" t="str">
        <f>TEXT(Europe_Sales_Records34[[#This Row],[Ship Date Fixed]],"MMM-YYYY")</f>
        <v>May-2017</v>
      </c>
      <c r="R771" t="s">
        <v>654</v>
      </c>
      <c r="S771" s="3">
        <f>Europe_Sales_Records34[[#This Row],[Ship Date Fixed]]-Europe_Sales_Records34[[#This Row],[Order Date Fixed]]</f>
        <v>14</v>
      </c>
      <c r="T771">
        <v>4529</v>
      </c>
      <c r="U771">
        <v>651.21</v>
      </c>
      <c r="V771">
        <v>524.96</v>
      </c>
      <c r="W771">
        <f>Europe_Sales_Records34[[#This Row],[Total Revenue]]/Europe_Sales_Records34[[#This Row],[Units Sold]]</f>
        <v>651.20999999999992</v>
      </c>
      <c r="X771">
        <v>2949330.09</v>
      </c>
      <c r="Y771">
        <v>2377543.84</v>
      </c>
      <c r="Z771" s="4">
        <f>Europe_Sales_Records34[[#This Row],[Total Profit]]/Europe_Sales_Records34[[#This Row],[Total Revenue]]</f>
        <v>0.19386987300563568</v>
      </c>
      <c r="AA771">
        <v>571786.25</v>
      </c>
    </row>
    <row r="772" spans="1:27" x14ac:dyDescent="0.3">
      <c r="A772" t="s">
        <v>14</v>
      </c>
      <c r="B772" t="s">
        <v>183</v>
      </c>
      <c r="C772" t="s">
        <v>71</v>
      </c>
      <c r="D772" t="s">
        <v>17</v>
      </c>
      <c r="E772" t="s">
        <v>24</v>
      </c>
      <c r="F772" t="s">
        <v>504</v>
      </c>
      <c r="G772" s="2">
        <f t="shared" si="24"/>
        <v>40931</v>
      </c>
      <c r="H772">
        <f>DAY(Europe_Sales_Records34[[#This Row],[Order Date Fixed]])</f>
        <v>23</v>
      </c>
      <c r="I772" t="str">
        <f>TEXT(Europe_Sales_Records34[[#This Row],[Order Date Fixed]],"MMM")</f>
        <v>Jan</v>
      </c>
      <c r="J772">
        <f>YEAR(Europe_Sales_Records34[[#This Row],[Order Date Fixed]])</f>
        <v>2012</v>
      </c>
      <c r="K772" t="str">
        <f>TEXT(Europe_Sales_Records34[[#This Row],[Order Date Fixed]],"MMM-YYYY")</f>
        <v>Jan-2012</v>
      </c>
      <c r="L772">
        <v>706301438</v>
      </c>
      <c r="M772" s="2">
        <f t="shared" si="25"/>
        <v>40950</v>
      </c>
      <c r="N772">
        <f>DAY(Europe_Sales_Records34[[#This Row],[Ship Date Fixed]])</f>
        <v>11</v>
      </c>
      <c r="O772" t="str">
        <f>TEXT(Europe_Sales_Records34[[#This Row],[Ship Date Fixed]],"MMM")</f>
        <v>Feb</v>
      </c>
      <c r="P772">
        <f>YEAR(Europe_Sales_Records34[[#This Row],[Ship Date Fixed]])</f>
        <v>2012</v>
      </c>
      <c r="Q772" t="str">
        <f>TEXT(Europe_Sales_Records34[[#This Row],[Ship Date Fixed]],"MMM-YYYY")</f>
        <v>Feb-2012</v>
      </c>
      <c r="R772" t="s">
        <v>1285</v>
      </c>
      <c r="S772" s="3">
        <f>Europe_Sales_Records34[[#This Row],[Ship Date Fixed]]-Europe_Sales_Records34[[#This Row],[Order Date Fixed]]</f>
        <v>19</v>
      </c>
      <c r="T772">
        <v>9146</v>
      </c>
      <c r="U772">
        <v>668.27</v>
      </c>
      <c r="V772">
        <v>502.54</v>
      </c>
      <c r="W772">
        <f>Europe_Sales_Records34[[#This Row],[Total Revenue]]/Europe_Sales_Records34[[#This Row],[Units Sold]]</f>
        <v>668.27</v>
      </c>
      <c r="X772">
        <v>6111997.4199999999</v>
      </c>
      <c r="Y772">
        <v>4596230.84</v>
      </c>
      <c r="Z772" s="4">
        <f>Europe_Sales_Records34[[#This Row],[Total Profit]]/Europe_Sales_Records34[[#This Row],[Total Revenue]]</f>
        <v>0.24799856345489099</v>
      </c>
      <c r="AA772">
        <v>1515766.58</v>
      </c>
    </row>
    <row r="773" spans="1:27" x14ac:dyDescent="0.3">
      <c r="A773" t="s">
        <v>14</v>
      </c>
      <c r="B773" t="s">
        <v>40</v>
      </c>
      <c r="C773" t="s">
        <v>22</v>
      </c>
      <c r="D773" t="s">
        <v>23</v>
      </c>
      <c r="E773" t="s">
        <v>18</v>
      </c>
      <c r="F773" t="s">
        <v>511</v>
      </c>
      <c r="G773" s="2">
        <f t="shared" si="24"/>
        <v>41707</v>
      </c>
      <c r="H773">
        <f>DAY(Europe_Sales_Records34[[#This Row],[Order Date Fixed]])</f>
        <v>9</v>
      </c>
      <c r="I773" t="str">
        <f>TEXT(Europe_Sales_Records34[[#This Row],[Order Date Fixed]],"MMM")</f>
        <v>Mar</v>
      </c>
      <c r="J773">
        <f>YEAR(Europe_Sales_Records34[[#This Row],[Order Date Fixed]])</f>
        <v>2014</v>
      </c>
      <c r="K773" t="str">
        <f>TEXT(Europe_Sales_Records34[[#This Row],[Order Date Fixed]],"MMM-YYYY")</f>
        <v>Mar-2014</v>
      </c>
      <c r="L773">
        <v>234082448</v>
      </c>
      <c r="M773" s="2">
        <f t="shared" si="25"/>
        <v>41707</v>
      </c>
      <c r="N773">
        <f>DAY(Europe_Sales_Records34[[#This Row],[Ship Date Fixed]])</f>
        <v>9</v>
      </c>
      <c r="O773" t="str">
        <f>TEXT(Europe_Sales_Records34[[#This Row],[Ship Date Fixed]],"MMM")</f>
        <v>Mar</v>
      </c>
      <c r="P773">
        <f>YEAR(Europe_Sales_Records34[[#This Row],[Ship Date Fixed]])</f>
        <v>2014</v>
      </c>
      <c r="Q773" t="str">
        <f>TEXT(Europe_Sales_Records34[[#This Row],[Ship Date Fixed]],"MMM-YYYY")</f>
        <v>Mar-2014</v>
      </c>
      <c r="R773" t="s">
        <v>511</v>
      </c>
      <c r="S773" s="3">
        <f>Europe_Sales_Records34[[#This Row],[Ship Date Fixed]]-Europe_Sales_Records34[[#This Row],[Order Date Fixed]]</f>
        <v>0</v>
      </c>
      <c r="T773">
        <v>9053</v>
      </c>
      <c r="U773">
        <v>109.28</v>
      </c>
      <c r="V773">
        <v>35.840000000000003</v>
      </c>
      <c r="W773">
        <f>Europe_Sales_Records34[[#This Row],[Total Revenue]]/Europe_Sales_Records34[[#This Row],[Units Sold]]</f>
        <v>109.28</v>
      </c>
      <c r="X773">
        <v>989311.84</v>
      </c>
      <c r="Y773">
        <v>324459.52000000002</v>
      </c>
      <c r="Z773" s="4">
        <f>Europe_Sales_Records34[[#This Row],[Total Profit]]/Europe_Sales_Records34[[#This Row],[Total Revenue]]</f>
        <v>0.67203513909224011</v>
      </c>
      <c r="AA773">
        <v>664852.31999999995</v>
      </c>
    </row>
    <row r="774" spans="1:27" x14ac:dyDescent="0.3">
      <c r="A774" t="s">
        <v>14</v>
      </c>
      <c r="B774" t="s">
        <v>342</v>
      </c>
      <c r="C774" t="s">
        <v>50</v>
      </c>
      <c r="D774" t="s">
        <v>17</v>
      </c>
      <c r="E774" t="s">
        <v>33</v>
      </c>
      <c r="F774" t="s">
        <v>275</v>
      </c>
      <c r="G774" s="2">
        <f t="shared" si="24"/>
        <v>41143</v>
      </c>
      <c r="H774">
        <f>DAY(Europe_Sales_Records34[[#This Row],[Order Date Fixed]])</f>
        <v>22</v>
      </c>
      <c r="I774" t="str">
        <f>TEXT(Europe_Sales_Records34[[#This Row],[Order Date Fixed]],"MMM")</f>
        <v>Aug</v>
      </c>
      <c r="J774">
        <f>YEAR(Europe_Sales_Records34[[#This Row],[Order Date Fixed]])</f>
        <v>2012</v>
      </c>
      <c r="K774" t="str">
        <f>TEXT(Europe_Sales_Records34[[#This Row],[Order Date Fixed]],"MMM-YYYY")</f>
        <v>Aug-2012</v>
      </c>
      <c r="L774">
        <v>161607444</v>
      </c>
      <c r="M774" s="2">
        <f t="shared" si="25"/>
        <v>41185</v>
      </c>
      <c r="N774">
        <f>DAY(Europe_Sales_Records34[[#This Row],[Ship Date Fixed]])</f>
        <v>3</v>
      </c>
      <c r="O774" t="str">
        <f>TEXT(Europe_Sales_Records34[[#This Row],[Ship Date Fixed]],"MMM")</f>
        <v>Oct</v>
      </c>
      <c r="P774">
        <f>YEAR(Europe_Sales_Records34[[#This Row],[Ship Date Fixed]])</f>
        <v>2012</v>
      </c>
      <c r="Q774" t="str">
        <f>TEXT(Europe_Sales_Records34[[#This Row],[Ship Date Fixed]],"MMM-YYYY")</f>
        <v>Oct-2012</v>
      </c>
      <c r="R774" t="s">
        <v>733</v>
      </c>
      <c r="S774" s="3">
        <f>Europe_Sales_Records34[[#This Row],[Ship Date Fixed]]-Europe_Sales_Records34[[#This Row],[Order Date Fixed]]</f>
        <v>42</v>
      </c>
      <c r="T774">
        <v>2089</v>
      </c>
      <c r="U774">
        <v>421.89</v>
      </c>
      <c r="V774">
        <v>364.69</v>
      </c>
      <c r="W774">
        <f>Europe_Sales_Records34[[#This Row],[Total Revenue]]/Europe_Sales_Records34[[#This Row],[Units Sold]]</f>
        <v>421.89</v>
      </c>
      <c r="X774">
        <v>881328.21</v>
      </c>
      <c r="Y774">
        <v>761837.41</v>
      </c>
      <c r="Z774" s="4">
        <f>Europe_Sales_Records34[[#This Row],[Total Profit]]/Europe_Sales_Records34[[#This Row],[Total Revenue]]</f>
        <v>0.13558036455000119</v>
      </c>
      <c r="AA774">
        <v>119490.8</v>
      </c>
    </row>
    <row r="775" spans="1:27" x14ac:dyDescent="0.3">
      <c r="A775" t="s">
        <v>14</v>
      </c>
      <c r="B775" t="s">
        <v>138</v>
      </c>
      <c r="C775" t="s">
        <v>50</v>
      </c>
      <c r="D775" t="s">
        <v>17</v>
      </c>
      <c r="E775" t="s">
        <v>18</v>
      </c>
      <c r="F775" t="s">
        <v>1286</v>
      </c>
      <c r="G775" s="2">
        <f t="shared" si="24"/>
        <v>41826</v>
      </c>
      <c r="H775">
        <f>DAY(Europe_Sales_Records34[[#This Row],[Order Date Fixed]])</f>
        <v>6</v>
      </c>
      <c r="I775" t="str">
        <f>TEXT(Europe_Sales_Records34[[#This Row],[Order Date Fixed]],"MMM")</f>
        <v>Jul</v>
      </c>
      <c r="J775">
        <f>YEAR(Europe_Sales_Records34[[#This Row],[Order Date Fixed]])</f>
        <v>2014</v>
      </c>
      <c r="K775" t="str">
        <f>TEXT(Europe_Sales_Records34[[#This Row],[Order Date Fixed]],"MMM-YYYY")</f>
        <v>Jul-2014</v>
      </c>
      <c r="L775">
        <v>764483058</v>
      </c>
      <c r="M775" s="2">
        <f t="shared" si="25"/>
        <v>41856</v>
      </c>
      <c r="N775">
        <f>DAY(Europe_Sales_Records34[[#This Row],[Ship Date Fixed]])</f>
        <v>5</v>
      </c>
      <c r="O775" t="str">
        <f>TEXT(Europe_Sales_Records34[[#This Row],[Ship Date Fixed]],"MMM")</f>
        <v>Aug</v>
      </c>
      <c r="P775">
        <f>YEAR(Europe_Sales_Records34[[#This Row],[Ship Date Fixed]])</f>
        <v>2014</v>
      </c>
      <c r="Q775" t="str">
        <f>TEXT(Europe_Sales_Records34[[#This Row],[Ship Date Fixed]],"MMM-YYYY")</f>
        <v>Aug-2014</v>
      </c>
      <c r="R775" t="s">
        <v>1287</v>
      </c>
      <c r="S775" s="3">
        <f>Europe_Sales_Records34[[#This Row],[Ship Date Fixed]]-Europe_Sales_Records34[[#This Row],[Order Date Fixed]]</f>
        <v>30</v>
      </c>
      <c r="T775">
        <v>6380</v>
      </c>
      <c r="U775">
        <v>421.89</v>
      </c>
      <c r="V775">
        <v>364.69</v>
      </c>
      <c r="W775">
        <f>Europe_Sales_Records34[[#This Row],[Total Revenue]]/Europe_Sales_Records34[[#This Row],[Units Sold]]</f>
        <v>421.89000000000004</v>
      </c>
      <c r="X775">
        <v>2691658.2</v>
      </c>
      <c r="Y775">
        <v>2326722.2000000002</v>
      </c>
      <c r="Z775" s="4">
        <f>Europe_Sales_Records34[[#This Row],[Total Profit]]/Europe_Sales_Records34[[#This Row],[Total Revenue]]</f>
        <v>0.13558036455000116</v>
      </c>
      <c r="AA775">
        <v>364936</v>
      </c>
    </row>
    <row r="776" spans="1:27" x14ac:dyDescent="0.3">
      <c r="A776" t="s">
        <v>14</v>
      </c>
      <c r="B776" t="s">
        <v>223</v>
      </c>
      <c r="C776" t="s">
        <v>64</v>
      </c>
      <c r="D776" t="s">
        <v>17</v>
      </c>
      <c r="E776" t="s">
        <v>24</v>
      </c>
      <c r="F776" t="s">
        <v>1287</v>
      </c>
      <c r="G776" s="2">
        <f t="shared" si="24"/>
        <v>41856</v>
      </c>
      <c r="H776">
        <f>DAY(Europe_Sales_Records34[[#This Row],[Order Date Fixed]])</f>
        <v>5</v>
      </c>
      <c r="I776" t="str">
        <f>TEXT(Europe_Sales_Records34[[#This Row],[Order Date Fixed]],"MMM")</f>
        <v>Aug</v>
      </c>
      <c r="J776">
        <f>YEAR(Europe_Sales_Records34[[#This Row],[Order Date Fixed]])</f>
        <v>2014</v>
      </c>
      <c r="K776" t="str">
        <f>TEXT(Europe_Sales_Records34[[#This Row],[Order Date Fixed]],"MMM-YYYY")</f>
        <v>Aug-2014</v>
      </c>
      <c r="L776">
        <v>828993833</v>
      </c>
      <c r="M776" s="2">
        <f t="shared" si="25"/>
        <v>41884</v>
      </c>
      <c r="N776">
        <f>DAY(Europe_Sales_Records34[[#This Row],[Ship Date Fixed]])</f>
        <v>2</v>
      </c>
      <c r="O776" t="str">
        <f>TEXT(Europe_Sales_Records34[[#This Row],[Ship Date Fixed]],"MMM")</f>
        <v>Sep</v>
      </c>
      <c r="P776">
        <f>YEAR(Europe_Sales_Records34[[#This Row],[Ship Date Fixed]])</f>
        <v>2014</v>
      </c>
      <c r="Q776" t="str">
        <f>TEXT(Europe_Sales_Records34[[#This Row],[Ship Date Fixed]],"MMM-YYYY")</f>
        <v>Sep-2014</v>
      </c>
      <c r="R776" t="s">
        <v>1288</v>
      </c>
      <c r="S776" s="3">
        <f>Europe_Sales_Records34[[#This Row],[Ship Date Fixed]]-Europe_Sales_Records34[[#This Row],[Order Date Fixed]]</f>
        <v>28</v>
      </c>
      <c r="T776">
        <v>6552</v>
      </c>
      <c r="U776">
        <v>255.28</v>
      </c>
      <c r="V776">
        <v>159.41999999999999</v>
      </c>
      <c r="W776">
        <f>Europe_Sales_Records34[[#This Row],[Total Revenue]]/Europe_Sales_Records34[[#This Row],[Units Sold]]</f>
        <v>255.28</v>
      </c>
      <c r="X776">
        <v>1672594.56</v>
      </c>
      <c r="Y776">
        <v>1044519.84</v>
      </c>
      <c r="Z776" s="4">
        <f>Europe_Sales_Records34[[#This Row],[Total Profit]]/Europe_Sales_Records34[[#This Row],[Total Revenue]]</f>
        <v>0.37550924475086178</v>
      </c>
      <c r="AA776">
        <v>628074.72</v>
      </c>
    </row>
    <row r="777" spans="1:27" x14ac:dyDescent="0.3">
      <c r="A777" t="s">
        <v>14</v>
      </c>
      <c r="B777" t="s">
        <v>21</v>
      </c>
      <c r="C777" t="s">
        <v>50</v>
      </c>
      <c r="D777" t="s">
        <v>17</v>
      </c>
      <c r="E777" t="s">
        <v>18</v>
      </c>
      <c r="F777" t="s">
        <v>527</v>
      </c>
      <c r="G777" s="2">
        <f t="shared" si="24"/>
        <v>42347</v>
      </c>
      <c r="H777">
        <f>DAY(Europe_Sales_Records34[[#This Row],[Order Date Fixed]])</f>
        <v>9</v>
      </c>
      <c r="I777" t="str">
        <f>TEXT(Europe_Sales_Records34[[#This Row],[Order Date Fixed]],"MMM")</f>
        <v>Dec</v>
      </c>
      <c r="J777">
        <f>YEAR(Europe_Sales_Records34[[#This Row],[Order Date Fixed]])</f>
        <v>2015</v>
      </c>
      <c r="K777" t="str">
        <f>TEXT(Europe_Sales_Records34[[#This Row],[Order Date Fixed]],"MMM-YYYY")</f>
        <v>Dec-2015</v>
      </c>
      <c r="L777">
        <v>498946940</v>
      </c>
      <c r="M777" s="2">
        <f t="shared" si="25"/>
        <v>42380</v>
      </c>
      <c r="N777">
        <f>DAY(Europe_Sales_Records34[[#This Row],[Ship Date Fixed]])</f>
        <v>11</v>
      </c>
      <c r="O777" t="str">
        <f>TEXT(Europe_Sales_Records34[[#This Row],[Ship Date Fixed]],"MMM")</f>
        <v>Jan</v>
      </c>
      <c r="P777">
        <f>YEAR(Europe_Sales_Records34[[#This Row],[Ship Date Fixed]])</f>
        <v>2016</v>
      </c>
      <c r="Q777" t="str">
        <f>TEXT(Europe_Sales_Records34[[#This Row],[Ship Date Fixed]],"MMM-YYYY")</f>
        <v>Jan-2016</v>
      </c>
      <c r="R777" t="s">
        <v>1289</v>
      </c>
      <c r="S777" s="3">
        <f>Europe_Sales_Records34[[#This Row],[Ship Date Fixed]]-Europe_Sales_Records34[[#This Row],[Order Date Fixed]]</f>
        <v>33</v>
      </c>
      <c r="T777">
        <v>8342</v>
      </c>
      <c r="U777">
        <v>421.89</v>
      </c>
      <c r="V777">
        <v>364.69</v>
      </c>
      <c r="W777">
        <f>Europe_Sales_Records34[[#This Row],[Total Revenue]]/Europe_Sales_Records34[[#This Row],[Units Sold]]</f>
        <v>421.89</v>
      </c>
      <c r="X777">
        <v>3519406.38</v>
      </c>
      <c r="Y777">
        <v>3042243.98</v>
      </c>
      <c r="Z777" s="4">
        <f>Europe_Sales_Records34[[#This Row],[Total Profit]]/Europe_Sales_Records34[[#This Row],[Total Revenue]]</f>
        <v>0.13558036455000119</v>
      </c>
      <c r="AA777">
        <v>477162.4</v>
      </c>
    </row>
    <row r="778" spans="1:27" x14ac:dyDescent="0.3">
      <c r="A778" t="s">
        <v>14</v>
      </c>
      <c r="B778" t="s">
        <v>49</v>
      </c>
      <c r="C778" t="s">
        <v>102</v>
      </c>
      <c r="D778" t="s">
        <v>17</v>
      </c>
      <c r="E778" t="s">
        <v>24</v>
      </c>
      <c r="F778" t="s">
        <v>1290</v>
      </c>
      <c r="G778" s="2">
        <f t="shared" si="24"/>
        <v>41853</v>
      </c>
      <c r="H778">
        <f>DAY(Europe_Sales_Records34[[#This Row],[Order Date Fixed]])</f>
        <v>2</v>
      </c>
      <c r="I778" t="str">
        <f>TEXT(Europe_Sales_Records34[[#This Row],[Order Date Fixed]],"MMM")</f>
        <v>Aug</v>
      </c>
      <c r="J778">
        <f>YEAR(Europe_Sales_Records34[[#This Row],[Order Date Fixed]])</f>
        <v>2014</v>
      </c>
      <c r="K778" t="str">
        <f>TEXT(Europe_Sales_Records34[[#This Row],[Order Date Fixed]],"MMM-YYYY")</f>
        <v>Aug-2014</v>
      </c>
      <c r="L778">
        <v>287151563</v>
      </c>
      <c r="M778" s="2">
        <f t="shared" si="25"/>
        <v>41862</v>
      </c>
      <c r="N778">
        <f>DAY(Europe_Sales_Records34[[#This Row],[Ship Date Fixed]])</f>
        <v>11</v>
      </c>
      <c r="O778" t="str">
        <f>TEXT(Europe_Sales_Records34[[#This Row],[Ship Date Fixed]],"MMM")</f>
        <v>Aug</v>
      </c>
      <c r="P778">
        <f>YEAR(Europe_Sales_Records34[[#This Row],[Ship Date Fixed]])</f>
        <v>2014</v>
      </c>
      <c r="Q778" t="str">
        <f>TEXT(Europe_Sales_Records34[[#This Row],[Ship Date Fixed]],"MMM-YYYY")</f>
        <v>Aug-2014</v>
      </c>
      <c r="R778" t="s">
        <v>1096</v>
      </c>
      <c r="S778" s="3">
        <f>Europe_Sales_Records34[[#This Row],[Ship Date Fixed]]-Europe_Sales_Records34[[#This Row],[Order Date Fixed]]</f>
        <v>9</v>
      </c>
      <c r="T778">
        <v>3383</v>
      </c>
      <c r="U778">
        <v>81.73</v>
      </c>
      <c r="V778">
        <v>56.67</v>
      </c>
      <c r="W778">
        <f>Europe_Sales_Records34[[#This Row],[Total Revenue]]/Europe_Sales_Records34[[#This Row],[Units Sold]]</f>
        <v>81.73</v>
      </c>
      <c r="X778">
        <v>276492.59000000003</v>
      </c>
      <c r="Y778">
        <v>191714.61</v>
      </c>
      <c r="Z778" s="4">
        <f>Europe_Sales_Records34[[#This Row],[Total Profit]]/Europe_Sales_Records34[[#This Row],[Total Revenue]]</f>
        <v>0.30661935641747212</v>
      </c>
      <c r="AA778">
        <v>84777.98</v>
      </c>
    </row>
    <row r="779" spans="1:27" x14ac:dyDescent="0.3">
      <c r="A779" t="s">
        <v>14</v>
      </c>
      <c r="B779" t="s">
        <v>232</v>
      </c>
      <c r="C779" t="s">
        <v>32</v>
      </c>
      <c r="D779" t="s">
        <v>23</v>
      </c>
      <c r="E779" t="s">
        <v>18</v>
      </c>
      <c r="F779" t="s">
        <v>235</v>
      </c>
      <c r="G779" s="2">
        <f t="shared" si="24"/>
        <v>41416</v>
      </c>
      <c r="H779">
        <f>DAY(Europe_Sales_Records34[[#This Row],[Order Date Fixed]])</f>
        <v>22</v>
      </c>
      <c r="I779" t="str">
        <f>TEXT(Europe_Sales_Records34[[#This Row],[Order Date Fixed]],"MMM")</f>
        <v>May</v>
      </c>
      <c r="J779">
        <f>YEAR(Europe_Sales_Records34[[#This Row],[Order Date Fixed]])</f>
        <v>2013</v>
      </c>
      <c r="K779" t="str">
        <f>TEXT(Europe_Sales_Records34[[#This Row],[Order Date Fixed]],"MMM-YYYY")</f>
        <v>May-2013</v>
      </c>
      <c r="L779">
        <v>259006392</v>
      </c>
      <c r="M779" s="2">
        <f t="shared" si="25"/>
        <v>41431</v>
      </c>
      <c r="N779">
        <f>DAY(Europe_Sales_Records34[[#This Row],[Ship Date Fixed]])</f>
        <v>6</v>
      </c>
      <c r="O779" t="str">
        <f>TEXT(Europe_Sales_Records34[[#This Row],[Ship Date Fixed]],"MMM")</f>
        <v>Jun</v>
      </c>
      <c r="P779">
        <f>YEAR(Europe_Sales_Records34[[#This Row],[Ship Date Fixed]])</f>
        <v>2013</v>
      </c>
      <c r="Q779" t="str">
        <f>TEXT(Europe_Sales_Records34[[#This Row],[Ship Date Fixed]],"MMM-YYYY")</f>
        <v>Jun-2013</v>
      </c>
      <c r="R779" t="s">
        <v>1291</v>
      </c>
      <c r="S779" s="3">
        <f>Europe_Sales_Records34[[#This Row],[Ship Date Fixed]]-Europe_Sales_Records34[[#This Row],[Order Date Fixed]]</f>
        <v>15</v>
      </c>
      <c r="T779">
        <v>4602</v>
      </c>
      <c r="U779">
        <v>651.21</v>
      </c>
      <c r="V779">
        <v>524.96</v>
      </c>
      <c r="W779">
        <f>Europe_Sales_Records34[[#This Row],[Total Revenue]]/Europe_Sales_Records34[[#This Row],[Units Sold]]</f>
        <v>651.21</v>
      </c>
      <c r="X779">
        <v>2996868.42</v>
      </c>
      <c r="Y779">
        <v>2415865.92</v>
      </c>
      <c r="Z779" s="4">
        <f>Europe_Sales_Records34[[#This Row],[Total Profit]]/Europe_Sales_Records34[[#This Row],[Total Revenue]]</f>
        <v>0.19386987300563566</v>
      </c>
      <c r="AA779">
        <v>581002.5</v>
      </c>
    </row>
    <row r="780" spans="1:27" x14ac:dyDescent="0.3">
      <c r="A780" t="s">
        <v>14</v>
      </c>
      <c r="B780" t="s">
        <v>94</v>
      </c>
      <c r="C780" t="s">
        <v>46</v>
      </c>
      <c r="D780" t="s">
        <v>23</v>
      </c>
      <c r="E780" t="s">
        <v>18</v>
      </c>
      <c r="F780" t="s">
        <v>1292</v>
      </c>
      <c r="G780" s="2">
        <f t="shared" si="24"/>
        <v>41182</v>
      </c>
      <c r="H780">
        <f>DAY(Europe_Sales_Records34[[#This Row],[Order Date Fixed]])</f>
        <v>30</v>
      </c>
      <c r="I780" t="str">
        <f>TEXT(Europe_Sales_Records34[[#This Row],[Order Date Fixed]],"MMM")</f>
        <v>Sep</v>
      </c>
      <c r="J780">
        <f>YEAR(Europe_Sales_Records34[[#This Row],[Order Date Fixed]])</f>
        <v>2012</v>
      </c>
      <c r="K780" t="str">
        <f>TEXT(Europe_Sales_Records34[[#This Row],[Order Date Fixed]],"MMM-YYYY")</f>
        <v>Sep-2012</v>
      </c>
      <c r="L780">
        <v>556647908</v>
      </c>
      <c r="M780" s="2">
        <f t="shared" si="25"/>
        <v>41211</v>
      </c>
      <c r="N780">
        <f>DAY(Europe_Sales_Records34[[#This Row],[Ship Date Fixed]])</f>
        <v>29</v>
      </c>
      <c r="O780" t="str">
        <f>TEXT(Europe_Sales_Records34[[#This Row],[Ship Date Fixed]],"MMM")</f>
        <v>Oct</v>
      </c>
      <c r="P780">
        <f>YEAR(Europe_Sales_Records34[[#This Row],[Ship Date Fixed]])</f>
        <v>2012</v>
      </c>
      <c r="Q780" t="str">
        <f>TEXT(Europe_Sales_Records34[[#This Row],[Ship Date Fixed]],"MMM-YYYY")</f>
        <v>Oct-2012</v>
      </c>
      <c r="R780" t="s">
        <v>671</v>
      </c>
      <c r="S780" s="3">
        <f>Europe_Sales_Records34[[#This Row],[Ship Date Fixed]]-Europe_Sales_Records34[[#This Row],[Order Date Fixed]]</f>
        <v>29</v>
      </c>
      <c r="T780">
        <v>3341</v>
      </c>
      <c r="U780">
        <v>154.06</v>
      </c>
      <c r="V780">
        <v>90.93</v>
      </c>
      <c r="W780">
        <f>Europe_Sales_Records34[[#This Row],[Total Revenue]]/Europe_Sales_Records34[[#This Row],[Units Sold]]</f>
        <v>154.06</v>
      </c>
      <c r="X780">
        <v>514714.46</v>
      </c>
      <c r="Y780">
        <v>303797.13</v>
      </c>
      <c r="Z780" s="4">
        <f>Europe_Sales_Records34[[#This Row],[Total Profit]]/Europe_Sales_Records34[[#This Row],[Total Revenue]]</f>
        <v>0.40977541217707381</v>
      </c>
      <c r="AA780">
        <v>210917.33</v>
      </c>
    </row>
    <row r="781" spans="1:27" x14ac:dyDescent="0.3">
      <c r="A781" t="s">
        <v>14</v>
      </c>
      <c r="B781" t="s">
        <v>271</v>
      </c>
      <c r="C781" t="s">
        <v>46</v>
      </c>
      <c r="D781" t="s">
        <v>17</v>
      </c>
      <c r="E781" t="s">
        <v>24</v>
      </c>
      <c r="F781" t="s">
        <v>1293</v>
      </c>
      <c r="G781" s="2">
        <f t="shared" si="24"/>
        <v>40642</v>
      </c>
      <c r="H781">
        <f>DAY(Europe_Sales_Records34[[#This Row],[Order Date Fixed]])</f>
        <v>9</v>
      </c>
      <c r="I781" t="str">
        <f>TEXT(Europe_Sales_Records34[[#This Row],[Order Date Fixed]],"MMM")</f>
        <v>Apr</v>
      </c>
      <c r="J781">
        <f>YEAR(Europe_Sales_Records34[[#This Row],[Order Date Fixed]])</f>
        <v>2011</v>
      </c>
      <c r="K781" t="str">
        <f>TEXT(Europe_Sales_Records34[[#This Row],[Order Date Fixed]],"MMM-YYYY")</f>
        <v>Apr-2011</v>
      </c>
      <c r="L781">
        <v>923922574</v>
      </c>
      <c r="M781" s="2">
        <f t="shared" si="25"/>
        <v>40686</v>
      </c>
      <c r="N781">
        <f>DAY(Europe_Sales_Records34[[#This Row],[Ship Date Fixed]])</f>
        <v>23</v>
      </c>
      <c r="O781" t="str">
        <f>TEXT(Europe_Sales_Records34[[#This Row],[Ship Date Fixed]],"MMM")</f>
        <v>May</v>
      </c>
      <c r="P781">
        <f>YEAR(Europe_Sales_Records34[[#This Row],[Ship Date Fixed]])</f>
        <v>2011</v>
      </c>
      <c r="Q781" t="str">
        <f>TEXT(Europe_Sales_Records34[[#This Row],[Ship Date Fixed]],"MMM-YYYY")</f>
        <v>May-2011</v>
      </c>
      <c r="R781" t="s">
        <v>113</v>
      </c>
      <c r="S781" s="3">
        <f>Europe_Sales_Records34[[#This Row],[Ship Date Fixed]]-Europe_Sales_Records34[[#This Row],[Order Date Fixed]]</f>
        <v>44</v>
      </c>
      <c r="T781">
        <v>8076</v>
      </c>
      <c r="U781">
        <v>154.06</v>
      </c>
      <c r="V781">
        <v>90.93</v>
      </c>
      <c r="W781">
        <f>Europe_Sales_Records34[[#This Row],[Total Revenue]]/Europe_Sales_Records34[[#This Row],[Units Sold]]</f>
        <v>154.06</v>
      </c>
      <c r="X781">
        <v>1244188.56</v>
      </c>
      <c r="Y781">
        <v>734350.68</v>
      </c>
      <c r="Z781" s="4">
        <f>Europe_Sales_Records34[[#This Row],[Total Profit]]/Europe_Sales_Records34[[#This Row],[Total Revenue]]</f>
        <v>0.40977541217707386</v>
      </c>
      <c r="AA781">
        <v>509837.88</v>
      </c>
    </row>
    <row r="782" spans="1:27" x14ac:dyDescent="0.3">
      <c r="A782" t="s">
        <v>14</v>
      </c>
      <c r="B782" t="s">
        <v>61</v>
      </c>
      <c r="C782" t="s">
        <v>58</v>
      </c>
      <c r="D782" t="s">
        <v>17</v>
      </c>
      <c r="E782" t="s">
        <v>18</v>
      </c>
      <c r="F782" t="s">
        <v>1091</v>
      </c>
      <c r="G782" s="2">
        <f t="shared" si="24"/>
        <v>42739</v>
      </c>
      <c r="H782">
        <f>DAY(Europe_Sales_Records34[[#This Row],[Order Date Fixed]])</f>
        <v>4</v>
      </c>
      <c r="I782" t="str">
        <f>TEXT(Europe_Sales_Records34[[#This Row],[Order Date Fixed]],"MMM")</f>
        <v>Jan</v>
      </c>
      <c r="J782">
        <f>YEAR(Europe_Sales_Records34[[#This Row],[Order Date Fixed]])</f>
        <v>2017</v>
      </c>
      <c r="K782" t="str">
        <f>TEXT(Europe_Sales_Records34[[#This Row],[Order Date Fixed]],"MMM-YYYY")</f>
        <v>Jan-2017</v>
      </c>
      <c r="L782">
        <v>742100560</v>
      </c>
      <c r="M782" s="2">
        <f t="shared" si="25"/>
        <v>42752</v>
      </c>
      <c r="N782">
        <f>DAY(Europe_Sales_Records34[[#This Row],[Ship Date Fixed]])</f>
        <v>17</v>
      </c>
      <c r="O782" t="str">
        <f>TEXT(Europe_Sales_Records34[[#This Row],[Ship Date Fixed]],"MMM")</f>
        <v>Jan</v>
      </c>
      <c r="P782">
        <f>YEAR(Europe_Sales_Records34[[#This Row],[Ship Date Fixed]])</f>
        <v>2017</v>
      </c>
      <c r="Q782" t="str">
        <f>TEXT(Europe_Sales_Records34[[#This Row],[Ship Date Fixed]],"MMM-YYYY")</f>
        <v>Jan-2017</v>
      </c>
      <c r="R782" t="s">
        <v>1294</v>
      </c>
      <c r="S782" s="3">
        <f>Europe_Sales_Records34[[#This Row],[Ship Date Fixed]]-Europe_Sales_Records34[[#This Row],[Order Date Fixed]]</f>
        <v>13</v>
      </c>
      <c r="T782">
        <v>2902</v>
      </c>
      <c r="U782">
        <v>152.58000000000001</v>
      </c>
      <c r="V782">
        <v>97.44</v>
      </c>
      <c r="W782">
        <f>Europe_Sales_Records34[[#This Row],[Total Revenue]]/Europe_Sales_Records34[[#This Row],[Units Sold]]</f>
        <v>152.57999999999998</v>
      </c>
      <c r="X782">
        <v>442787.16</v>
      </c>
      <c r="Y782">
        <v>282770.88</v>
      </c>
      <c r="Z782" s="4">
        <f>Europe_Sales_Records34[[#This Row],[Total Profit]]/Europe_Sales_Records34[[#This Row],[Total Revenue]]</f>
        <v>0.36138419189933152</v>
      </c>
      <c r="AA782">
        <v>160016.28</v>
      </c>
    </row>
    <row r="783" spans="1:27" x14ac:dyDescent="0.3">
      <c r="A783" t="s">
        <v>14</v>
      </c>
      <c r="B783" t="s">
        <v>163</v>
      </c>
      <c r="C783" t="s">
        <v>37</v>
      </c>
      <c r="D783" t="s">
        <v>17</v>
      </c>
      <c r="E783" t="s">
        <v>54</v>
      </c>
      <c r="F783" t="s">
        <v>1295</v>
      </c>
      <c r="G783" s="2">
        <f t="shared" si="24"/>
        <v>41682</v>
      </c>
      <c r="H783">
        <f>DAY(Europe_Sales_Records34[[#This Row],[Order Date Fixed]])</f>
        <v>12</v>
      </c>
      <c r="I783" t="str">
        <f>TEXT(Europe_Sales_Records34[[#This Row],[Order Date Fixed]],"MMM")</f>
        <v>Feb</v>
      </c>
      <c r="J783">
        <f>YEAR(Europe_Sales_Records34[[#This Row],[Order Date Fixed]])</f>
        <v>2014</v>
      </c>
      <c r="K783" t="str">
        <f>TEXT(Europe_Sales_Records34[[#This Row],[Order Date Fixed]],"MMM-YYYY")</f>
        <v>Feb-2014</v>
      </c>
      <c r="L783">
        <v>605029380</v>
      </c>
      <c r="M783" s="2">
        <f t="shared" si="25"/>
        <v>41688</v>
      </c>
      <c r="N783">
        <f>DAY(Europe_Sales_Records34[[#This Row],[Ship Date Fixed]])</f>
        <v>18</v>
      </c>
      <c r="O783" t="str">
        <f>TEXT(Europe_Sales_Records34[[#This Row],[Ship Date Fixed]],"MMM")</f>
        <v>Feb</v>
      </c>
      <c r="P783">
        <f>YEAR(Europe_Sales_Records34[[#This Row],[Ship Date Fixed]])</f>
        <v>2014</v>
      </c>
      <c r="Q783" t="str">
        <f>TEXT(Europe_Sales_Records34[[#This Row],[Ship Date Fixed]],"MMM-YYYY")</f>
        <v>Feb-2014</v>
      </c>
      <c r="R783" t="s">
        <v>191</v>
      </c>
      <c r="S783" s="3">
        <f>Europe_Sales_Records34[[#This Row],[Ship Date Fixed]]-Europe_Sales_Records34[[#This Row],[Order Date Fixed]]</f>
        <v>6</v>
      </c>
      <c r="T783">
        <v>493</v>
      </c>
      <c r="U783">
        <v>9.33</v>
      </c>
      <c r="V783">
        <v>6.92</v>
      </c>
      <c r="W783">
        <f>Europe_Sales_Records34[[#This Row],[Total Revenue]]/Europe_Sales_Records34[[#This Row],[Units Sold]]</f>
        <v>9.33</v>
      </c>
      <c r="X783">
        <v>4599.6899999999996</v>
      </c>
      <c r="Y783">
        <v>3411.56</v>
      </c>
      <c r="Z783" s="4">
        <f>Europe_Sales_Records34[[#This Row],[Total Profit]]/Europe_Sales_Records34[[#This Row],[Total Revenue]]</f>
        <v>0.25830653804930337</v>
      </c>
      <c r="AA783">
        <v>1188.1300000000001</v>
      </c>
    </row>
    <row r="784" spans="1:27" x14ac:dyDescent="0.3">
      <c r="A784" t="s">
        <v>14</v>
      </c>
      <c r="B784" t="s">
        <v>105</v>
      </c>
      <c r="C784" t="s">
        <v>50</v>
      </c>
      <c r="D784" t="s">
        <v>23</v>
      </c>
      <c r="E784" t="s">
        <v>33</v>
      </c>
      <c r="F784" t="s">
        <v>1018</v>
      </c>
      <c r="G784" s="2">
        <f t="shared" si="24"/>
        <v>42897</v>
      </c>
      <c r="H784">
        <f>DAY(Europe_Sales_Records34[[#This Row],[Order Date Fixed]])</f>
        <v>11</v>
      </c>
      <c r="I784" t="str">
        <f>TEXT(Europe_Sales_Records34[[#This Row],[Order Date Fixed]],"MMM")</f>
        <v>Jun</v>
      </c>
      <c r="J784">
        <f>YEAR(Europe_Sales_Records34[[#This Row],[Order Date Fixed]])</f>
        <v>2017</v>
      </c>
      <c r="K784" t="str">
        <f>TEXT(Europe_Sales_Records34[[#This Row],[Order Date Fixed]],"MMM-YYYY")</f>
        <v>Jun-2017</v>
      </c>
      <c r="L784">
        <v>333304440</v>
      </c>
      <c r="M784" s="2">
        <f t="shared" si="25"/>
        <v>42921</v>
      </c>
      <c r="N784">
        <f>DAY(Europe_Sales_Records34[[#This Row],[Ship Date Fixed]])</f>
        <v>5</v>
      </c>
      <c r="O784" t="str">
        <f>TEXT(Europe_Sales_Records34[[#This Row],[Ship Date Fixed]],"MMM")</f>
        <v>Jul</v>
      </c>
      <c r="P784">
        <f>YEAR(Europe_Sales_Records34[[#This Row],[Ship Date Fixed]])</f>
        <v>2017</v>
      </c>
      <c r="Q784" t="str">
        <f>TEXT(Europe_Sales_Records34[[#This Row],[Ship Date Fixed]],"MMM-YYYY")</f>
        <v>Jul-2017</v>
      </c>
      <c r="R784" t="s">
        <v>1266</v>
      </c>
      <c r="S784" s="3">
        <f>Europe_Sales_Records34[[#This Row],[Ship Date Fixed]]-Europe_Sales_Records34[[#This Row],[Order Date Fixed]]</f>
        <v>24</v>
      </c>
      <c r="T784">
        <v>1046</v>
      </c>
      <c r="U784">
        <v>421.89</v>
      </c>
      <c r="V784">
        <v>364.69</v>
      </c>
      <c r="W784">
        <f>Europe_Sales_Records34[[#This Row],[Total Revenue]]/Europe_Sales_Records34[[#This Row],[Units Sold]]</f>
        <v>421.89</v>
      </c>
      <c r="X784">
        <v>441296.94</v>
      </c>
      <c r="Y784">
        <v>381465.74</v>
      </c>
      <c r="Z784" s="4">
        <f>Europe_Sales_Records34[[#This Row],[Total Profit]]/Europe_Sales_Records34[[#This Row],[Total Revenue]]</f>
        <v>0.13558036455000116</v>
      </c>
      <c r="AA784">
        <v>59831.199999999997</v>
      </c>
    </row>
    <row r="785" spans="1:27" x14ac:dyDescent="0.3">
      <c r="A785" t="s">
        <v>14</v>
      </c>
      <c r="B785" t="s">
        <v>70</v>
      </c>
      <c r="C785" t="s">
        <v>75</v>
      </c>
      <c r="D785" t="s">
        <v>17</v>
      </c>
      <c r="E785" t="s">
        <v>54</v>
      </c>
      <c r="F785" t="s">
        <v>1296</v>
      </c>
      <c r="G785" s="2">
        <f t="shared" si="24"/>
        <v>41885</v>
      </c>
      <c r="H785">
        <f>DAY(Europe_Sales_Records34[[#This Row],[Order Date Fixed]])</f>
        <v>3</v>
      </c>
      <c r="I785" t="str">
        <f>TEXT(Europe_Sales_Records34[[#This Row],[Order Date Fixed]],"MMM")</f>
        <v>Sep</v>
      </c>
      <c r="J785">
        <f>YEAR(Europe_Sales_Records34[[#This Row],[Order Date Fixed]])</f>
        <v>2014</v>
      </c>
      <c r="K785" t="str">
        <f>TEXT(Europe_Sales_Records34[[#This Row],[Order Date Fixed]],"MMM-YYYY")</f>
        <v>Sep-2014</v>
      </c>
      <c r="L785">
        <v>486345708</v>
      </c>
      <c r="M785" s="2">
        <f t="shared" si="25"/>
        <v>41923</v>
      </c>
      <c r="N785">
        <f>DAY(Europe_Sales_Records34[[#This Row],[Ship Date Fixed]])</f>
        <v>11</v>
      </c>
      <c r="O785" t="str">
        <f>TEXT(Europe_Sales_Records34[[#This Row],[Ship Date Fixed]],"MMM")</f>
        <v>Oct</v>
      </c>
      <c r="P785">
        <f>YEAR(Europe_Sales_Records34[[#This Row],[Ship Date Fixed]])</f>
        <v>2014</v>
      </c>
      <c r="Q785" t="str">
        <f>TEXT(Europe_Sales_Records34[[#This Row],[Ship Date Fixed]],"MMM-YYYY")</f>
        <v>Oct-2014</v>
      </c>
      <c r="R785" t="s">
        <v>1297</v>
      </c>
      <c r="S785" s="3">
        <f>Europe_Sales_Records34[[#This Row],[Ship Date Fixed]]-Europe_Sales_Records34[[#This Row],[Order Date Fixed]]</f>
        <v>38</v>
      </c>
      <c r="T785">
        <v>9357</v>
      </c>
      <c r="U785">
        <v>437.2</v>
      </c>
      <c r="V785">
        <v>263.33</v>
      </c>
      <c r="W785">
        <f>Europe_Sales_Records34[[#This Row],[Total Revenue]]/Europe_Sales_Records34[[#This Row],[Units Sold]]</f>
        <v>437.2</v>
      </c>
      <c r="X785">
        <v>4090880.4</v>
      </c>
      <c r="Y785">
        <v>2463978.81</v>
      </c>
      <c r="Z785" s="4">
        <f>Europe_Sales_Records34[[#This Row],[Total Profit]]/Europe_Sales_Records34[[#This Row],[Total Revenue]]</f>
        <v>0.3976898444647759</v>
      </c>
      <c r="AA785">
        <v>1626901.59</v>
      </c>
    </row>
    <row r="786" spans="1:27" x14ac:dyDescent="0.3">
      <c r="A786" t="s">
        <v>14</v>
      </c>
      <c r="B786" t="s">
        <v>100</v>
      </c>
      <c r="C786" t="s">
        <v>16</v>
      </c>
      <c r="D786" t="s">
        <v>23</v>
      </c>
      <c r="E786" t="s">
        <v>24</v>
      </c>
      <c r="F786" t="s">
        <v>1015</v>
      </c>
      <c r="G786" s="2">
        <f t="shared" si="24"/>
        <v>42490</v>
      </c>
      <c r="H786">
        <f>DAY(Europe_Sales_Records34[[#This Row],[Order Date Fixed]])</f>
        <v>30</v>
      </c>
      <c r="I786" t="str">
        <f>TEXT(Europe_Sales_Records34[[#This Row],[Order Date Fixed]],"MMM")</f>
        <v>Apr</v>
      </c>
      <c r="J786">
        <f>YEAR(Europe_Sales_Records34[[#This Row],[Order Date Fixed]])</f>
        <v>2016</v>
      </c>
      <c r="K786" t="str">
        <f>TEXT(Europe_Sales_Records34[[#This Row],[Order Date Fixed]],"MMM-YYYY")</f>
        <v>Apr-2016</v>
      </c>
      <c r="L786">
        <v>180358016</v>
      </c>
      <c r="M786" s="2">
        <f t="shared" si="25"/>
        <v>42506</v>
      </c>
      <c r="N786">
        <f>DAY(Europe_Sales_Records34[[#This Row],[Ship Date Fixed]])</f>
        <v>16</v>
      </c>
      <c r="O786" t="str">
        <f>TEXT(Europe_Sales_Records34[[#This Row],[Ship Date Fixed]],"MMM")</f>
        <v>May</v>
      </c>
      <c r="P786">
        <f>YEAR(Europe_Sales_Records34[[#This Row],[Ship Date Fixed]])</f>
        <v>2016</v>
      </c>
      <c r="Q786" t="str">
        <f>TEXT(Europe_Sales_Records34[[#This Row],[Ship Date Fixed]],"MMM-YYYY")</f>
        <v>May-2016</v>
      </c>
      <c r="R786" t="s">
        <v>1134</v>
      </c>
      <c r="S786" s="3">
        <f>Europe_Sales_Records34[[#This Row],[Ship Date Fixed]]-Europe_Sales_Records34[[#This Row],[Order Date Fixed]]</f>
        <v>16</v>
      </c>
      <c r="T786">
        <v>800</v>
      </c>
      <c r="U786">
        <v>47.45</v>
      </c>
      <c r="V786">
        <v>31.79</v>
      </c>
      <c r="W786">
        <f>Europe_Sales_Records34[[#This Row],[Total Revenue]]/Europe_Sales_Records34[[#This Row],[Units Sold]]</f>
        <v>47.45</v>
      </c>
      <c r="X786">
        <v>37960</v>
      </c>
      <c r="Y786">
        <v>25432</v>
      </c>
      <c r="Z786" s="4">
        <f>Europe_Sales_Records34[[#This Row],[Total Profit]]/Europe_Sales_Records34[[#This Row],[Total Revenue]]</f>
        <v>0.33003161222339306</v>
      </c>
      <c r="AA786">
        <v>12528</v>
      </c>
    </row>
    <row r="787" spans="1:27" x14ac:dyDescent="0.3">
      <c r="A787" t="s">
        <v>14</v>
      </c>
      <c r="B787" t="s">
        <v>364</v>
      </c>
      <c r="C787" t="s">
        <v>22</v>
      </c>
      <c r="D787" t="s">
        <v>23</v>
      </c>
      <c r="E787" t="s">
        <v>54</v>
      </c>
      <c r="F787" t="s">
        <v>1298</v>
      </c>
      <c r="G787" s="2">
        <f t="shared" si="24"/>
        <v>41108</v>
      </c>
      <c r="H787">
        <f>DAY(Europe_Sales_Records34[[#This Row],[Order Date Fixed]])</f>
        <v>18</v>
      </c>
      <c r="I787" t="str">
        <f>TEXT(Europe_Sales_Records34[[#This Row],[Order Date Fixed]],"MMM")</f>
        <v>Jul</v>
      </c>
      <c r="J787">
        <f>YEAR(Europe_Sales_Records34[[#This Row],[Order Date Fixed]])</f>
        <v>2012</v>
      </c>
      <c r="K787" t="str">
        <f>TEXT(Europe_Sales_Records34[[#This Row],[Order Date Fixed]],"MMM-YYYY")</f>
        <v>Jul-2012</v>
      </c>
      <c r="L787">
        <v>141846215</v>
      </c>
      <c r="M787" s="2">
        <f t="shared" si="25"/>
        <v>41137</v>
      </c>
      <c r="N787">
        <f>DAY(Europe_Sales_Records34[[#This Row],[Ship Date Fixed]])</f>
        <v>16</v>
      </c>
      <c r="O787" t="str">
        <f>TEXT(Europe_Sales_Records34[[#This Row],[Ship Date Fixed]],"MMM")</f>
        <v>Aug</v>
      </c>
      <c r="P787">
        <f>YEAR(Europe_Sales_Records34[[#This Row],[Ship Date Fixed]])</f>
        <v>2012</v>
      </c>
      <c r="Q787" t="str">
        <f>TEXT(Europe_Sales_Records34[[#This Row],[Ship Date Fixed]],"MMM-YYYY")</f>
        <v>Aug-2012</v>
      </c>
      <c r="R787" t="s">
        <v>1299</v>
      </c>
      <c r="S787" s="3">
        <f>Europe_Sales_Records34[[#This Row],[Ship Date Fixed]]-Europe_Sales_Records34[[#This Row],[Order Date Fixed]]</f>
        <v>29</v>
      </c>
      <c r="T787">
        <v>4302</v>
      </c>
      <c r="U787">
        <v>109.28</v>
      </c>
      <c r="V787">
        <v>35.840000000000003</v>
      </c>
      <c r="W787">
        <f>Europe_Sales_Records34[[#This Row],[Total Revenue]]/Europe_Sales_Records34[[#This Row],[Units Sold]]</f>
        <v>109.28</v>
      </c>
      <c r="X787">
        <v>470122.56</v>
      </c>
      <c r="Y787">
        <v>154183.67999999999</v>
      </c>
      <c r="Z787" s="4">
        <f>Europe_Sales_Records34[[#This Row],[Total Profit]]/Europe_Sales_Records34[[#This Row],[Total Revenue]]</f>
        <v>0.67203513909224011</v>
      </c>
      <c r="AA787">
        <v>315938.88</v>
      </c>
    </row>
    <row r="788" spans="1:27" x14ac:dyDescent="0.3">
      <c r="A788" t="s">
        <v>14</v>
      </c>
      <c r="B788" t="s">
        <v>146</v>
      </c>
      <c r="C788" t="s">
        <v>64</v>
      </c>
      <c r="D788" t="s">
        <v>17</v>
      </c>
      <c r="E788" t="s">
        <v>18</v>
      </c>
      <c r="F788" t="s">
        <v>1300</v>
      </c>
      <c r="G788" s="2">
        <f t="shared" si="24"/>
        <v>42895</v>
      </c>
      <c r="H788">
        <f>DAY(Europe_Sales_Records34[[#This Row],[Order Date Fixed]])</f>
        <v>9</v>
      </c>
      <c r="I788" t="str">
        <f>TEXT(Europe_Sales_Records34[[#This Row],[Order Date Fixed]],"MMM")</f>
        <v>Jun</v>
      </c>
      <c r="J788">
        <f>YEAR(Europe_Sales_Records34[[#This Row],[Order Date Fixed]])</f>
        <v>2017</v>
      </c>
      <c r="K788" t="str">
        <f>TEXT(Europe_Sales_Records34[[#This Row],[Order Date Fixed]],"MMM-YYYY")</f>
        <v>Jun-2017</v>
      </c>
      <c r="L788">
        <v>252541625</v>
      </c>
      <c r="M788" s="2">
        <f t="shared" si="25"/>
        <v>42921</v>
      </c>
      <c r="N788">
        <f>DAY(Europe_Sales_Records34[[#This Row],[Ship Date Fixed]])</f>
        <v>5</v>
      </c>
      <c r="O788" t="str">
        <f>TEXT(Europe_Sales_Records34[[#This Row],[Ship Date Fixed]],"MMM")</f>
        <v>Jul</v>
      </c>
      <c r="P788">
        <f>YEAR(Europe_Sales_Records34[[#This Row],[Ship Date Fixed]])</f>
        <v>2017</v>
      </c>
      <c r="Q788" t="str">
        <f>TEXT(Europe_Sales_Records34[[#This Row],[Ship Date Fixed]],"MMM-YYYY")</f>
        <v>Jul-2017</v>
      </c>
      <c r="R788" t="s">
        <v>1266</v>
      </c>
      <c r="S788" s="3">
        <f>Europe_Sales_Records34[[#This Row],[Ship Date Fixed]]-Europe_Sales_Records34[[#This Row],[Order Date Fixed]]</f>
        <v>26</v>
      </c>
      <c r="T788">
        <v>1534</v>
      </c>
      <c r="U788">
        <v>255.28</v>
      </c>
      <c r="V788">
        <v>159.41999999999999</v>
      </c>
      <c r="W788">
        <f>Europe_Sales_Records34[[#This Row],[Total Revenue]]/Europe_Sales_Records34[[#This Row],[Units Sold]]</f>
        <v>255.28</v>
      </c>
      <c r="X788">
        <v>391599.52</v>
      </c>
      <c r="Y788">
        <v>244550.28</v>
      </c>
      <c r="Z788" s="4">
        <f>Europe_Sales_Records34[[#This Row],[Total Profit]]/Europe_Sales_Records34[[#This Row],[Total Revenue]]</f>
        <v>0.37550924475086178</v>
      </c>
      <c r="AA788">
        <v>147049.24</v>
      </c>
    </row>
    <row r="789" spans="1:27" x14ac:dyDescent="0.3">
      <c r="A789" t="s">
        <v>14</v>
      </c>
      <c r="B789" t="s">
        <v>40</v>
      </c>
      <c r="C789" t="s">
        <v>75</v>
      </c>
      <c r="D789" t="s">
        <v>17</v>
      </c>
      <c r="E789" t="s">
        <v>18</v>
      </c>
      <c r="F789" t="s">
        <v>1301</v>
      </c>
      <c r="G789" s="2">
        <f t="shared" si="24"/>
        <v>41727</v>
      </c>
      <c r="H789">
        <f>DAY(Europe_Sales_Records34[[#This Row],[Order Date Fixed]])</f>
        <v>29</v>
      </c>
      <c r="I789" t="str">
        <f>TEXT(Europe_Sales_Records34[[#This Row],[Order Date Fixed]],"MMM")</f>
        <v>Mar</v>
      </c>
      <c r="J789">
        <f>YEAR(Europe_Sales_Records34[[#This Row],[Order Date Fixed]])</f>
        <v>2014</v>
      </c>
      <c r="K789" t="str">
        <f>TEXT(Europe_Sales_Records34[[#This Row],[Order Date Fixed]],"MMM-YYYY")</f>
        <v>Mar-2014</v>
      </c>
      <c r="L789">
        <v>614597785</v>
      </c>
      <c r="M789" s="2">
        <f t="shared" si="25"/>
        <v>41773</v>
      </c>
      <c r="N789">
        <f>DAY(Europe_Sales_Records34[[#This Row],[Ship Date Fixed]])</f>
        <v>14</v>
      </c>
      <c r="O789" t="str">
        <f>TEXT(Europe_Sales_Records34[[#This Row],[Ship Date Fixed]],"MMM")</f>
        <v>May</v>
      </c>
      <c r="P789">
        <f>YEAR(Europe_Sales_Records34[[#This Row],[Ship Date Fixed]])</f>
        <v>2014</v>
      </c>
      <c r="Q789" t="str">
        <f>TEXT(Europe_Sales_Records34[[#This Row],[Ship Date Fixed]],"MMM-YYYY")</f>
        <v>May-2014</v>
      </c>
      <c r="R789" t="s">
        <v>921</v>
      </c>
      <c r="S789" s="3">
        <f>Europe_Sales_Records34[[#This Row],[Ship Date Fixed]]-Europe_Sales_Records34[[#This Row],[Order Date Fixed]]</f>
        <v>46</v>
      </c>
      <c r="T789">
        <v>1997</v>
      </c>
      <c r="U789">
        <v>437.2</v>
      </c>
      <c r="V789">
        <v>263.33</v>
      </c>
      <c r="W789">
        <f>Europe_Sales_Records34[[#This Row],[Total Revenue]]/Europe_Sales_Records34[[#This Row],[Units Sold]]</f>
        <v>437.2</v>
      </c>
      <c r="X789">
        <v>873088.4</v>
      </c>
      <c r="Y789">
        <v>525870.01</v>
      </c>
      <c r="Z789" s="4">
        <f>Europe_Sales_Records34[[#This Row],[Total Profit]]/Europe_Sales_Records34[[#This Row],[Total Revenue]]</f>
        <v>0.39768984446477584</v>
      </c>
      <c r="AA789">
        <v>347218.39</v>
      </c>
    </row>
    <row r="790" spans="1:27" x14ac:dyDescent="0.3">
      <c r="A790" t="s">
        <v>14</v>
      </c>
      <c r="B790" t="s">
        <v>169</v>
      </c>
      <c r="C790" t="s">
        <v>102</v>
      </c>
      <c r="D790" t="s">
        <v>17</v>
      </c>
      <c r="E790" t="s">
        <v>54</v>
      </c>
      <c r="F790" t="s">
        <v>1302</v>
      </c>
      <c r="G790" s="2">
        <f t="shared" si="24"/>
        <v>40680</v>
      </c>
      <c r="H790">
        <f>DAY(Europe_Sales_Records34[[#This Row],[Order Date Fixed]])</f>
        <v>17</v>
      </c>
      <c r="I790" t="str">
        <f>TEXT(Europe_Sales_Records34[[#This Row],[Order Date Fixed]],"MMM")</f>
        <v>May</v>
      </c>
      <c r="J790">
        <f>YEAR(Europe_Sales_Records34[[#This Row],[Order Date Fixed]])</f>
        <v>2011</v>
      </c>
      <c r="K790" t="str">
        <f>TEXT(Europe_Sales_Records34[[#This Row],[Order Date Fixed]],"MMM-YYYY")</f>
        <v>May-2011</v>
      </c>
      <c r="L790">
        <v>861976850</v>
      </c>
      <c r="M790" s="2">
        <f t="shared" si="25"/>
        <v>40688</v>
      </c>
      <c r="N790">
        <f>DAY(Europe_Sales_Records34[[#This Row],[Ship Date Fixed]])</f>
        <v>25</v>
      </c>
      <c r="O790" t="str">
        <f>TEXT(Europe_Sales_Records34[[#This Row],[Ship Date Fixed]],"MMM")</f>
        <v>May</v>
      </c>
      <c r="P790">
        <f>YEAR(Europe_Sales_Records34[[#This Row],[Ship Date Fixed]])</f>
        <v>2011</v>
      </c>
      <c r="Q790" t="str">
        <f>TEXT(Europe_Sales_Records34[[#This Row],[Ship Date Fixed]],"MMM-YYYY")</f>
        <v>May-2011</v>
      </c>
      <c r="R790" t="s">
        <v>1303</v>
      </c>
      <c r="S790" s="3">
        <f>Europe_Sales_Records34[[#This Row],[Ship Date Fixed]]-Europe_Sales_Records34[[#This Row],[Order Date Fixed]]</f>
        <v>8</v>
      </c>
      <c r="T790">
        <v>6960</v>
      </c>
      <c r="U790">
        <v>81.73</v>
      </c>
      <c r="V790">
        <v>56.67</v>
      </c>
      <c r="W790">
        <f>Europe_Sales_Records34[[#This Row],[Total Revenue]]/Europe_Sales_Records34[[#This Row],[Units Sold]]</f>
        <v>81.73</v>
      </c>
      <c r="X790">
        <v>568840.80000000005</v>
      </c>
      <c r="Y790">
        <v>394423.2</v>
      </c>
      <c r="Z790" s="4">
        <f>Europe_Sales_Records34[[#This Row],[Total Profit]]/Europe_Sales_Records34[[#This Row],[Total Revenue]]</f>
        <v>0.30661935641747212</v>
      </c>
      <c r="AA790">
        <v>174417.6</v>
      </c>
    </row>
    <row r="791" spans="1:27" x14ac:dyDescent="0.3">
      <c r="A791" t="s">
        <v>14</v>
      </c>
      <c r="B791" t="s">
        <v>15</v>
      </c>
      <c r="C791" t="s">
        <v>22</v>
      </c>
      <c r="D791" t="s">
        <v>17</v>
      </c>
      <c r="E791" t="s">
        <v>33</v>
      </c>
      <c r="F791" t="s">
        <v>1304</v>
      </c>
      <c r="G791" s="2">
        <f t="shared" si="24"/>
        <v>41142</v>
      </c>
      <c r="H791">
        <f>DAY(Europe_Sales_Records34[[#This Row],[Order Date Fixed]])</f>
        <v>21</v>
      </c>
      <c r="I791" t="str">
        <f>TEXT(Europe_Sales_Records34[[#This Row],[Order Date Fixed]],"MMM")</f>
        <v>Aug</v>
      </c>
      <c r="J791">
        <f>YEAR(Europe_Sales_Records34[[#This Row],[Order Date Fixed]])</f>
        <v>2012</v>
      </c>
      <c r="K791" t="str">
        <f>TEXT(Europe_Sales_Records34[[#This Row],[Order Date Fixed]],"MMM-YYYY")</f>
        <v>Aug-2012</v>
      </c>
      <c r="L791">
        <v>631463515</v>
      </c>
      <c r="M791" s="2">
        <f t="shared" si="25"/>
        <v>41177</v>
      </c>
      <c r="N791">
        <f>DAY(Europe_Sales_Records34[[#This Row],[Ship Date Fixed]])</f>
        <v>25</v>
      </c>
      <c r="O791" t="str">
        <f>TEXT(Europe_Sales_Records34[[#This Row],[Ship Date Fixed]],"MMM")</f>
        <v>Sep</v>
      </c>
      <c r="P791">
        <f>YEAR(Europe_Sales_Records34[[#This Row],[Ship Date Fixed]])</f>
        <v>2012</v>
      </c>
      <c r="Q791" t="str">
        <f>TEXT(Europe_Sales_Records34[[#This Row],[Ship Date Fixed]],"MMM-YYYY")</f>
        <v>Sep-2012</v>
      </c>
      <c r="R791" t="s">
        <v>1305</v>
      </c>
      <c r="S791" s="3">
        <f>Europe_Sales_Records34[[#This Row],[Ship Date Fixed]]-Europe_Sales_Records34[[#This Row],[Order Date Fixed]]</f>
        <v>35</v>
      </c>
      <c r="T791">
        <v>2942</v>
      </c>
      <c r="U791">
        <v>109.28</v>
      </c>
      <c r="V791">
        <v>35.840000000000003</v>
      </c>
      <c r="W791">
        <f>Europe_Sales_Records34[[#This Row],[Total Revenue]]/Europe_Sales_Records34[[#This Row],[Units Sold]]</f>
        <v>109.28</v>
      </c>
      <c r="X791">
        <v>321501.76</v>
      </c>
      <c r="Y791">
        <v>105441.28</v>
      </c>
      <c r="Z791" s="4">
        <f>Europe_Sales_Records34[[#This Row],[Total Profit]]/Europe_Sales_Records34[[#This Row],[Total Revenue]]</f>
        <v>0.67203513909224011</v>
      </c>
      <c r="AA791">
        <v>216060.48</v>
      </c>
    </row>
    <row r="792" spans="1:27" x14ac:dyDescent="0.3">
      <c r="A792" t="s">
        <v>14</v>
      </c>
      <c r="B792" t="s">
        <v>146</v>
      </c>
      <c r="C792" t="s">
        <v>37</v>
      </c>
      <c r="D792" t="s">
        <v>23</v>
      </c>
      <c r="E792" t="s">
        <v>24</v>
      </c>
      <c r="F792" t="s">
        <v>1306</v>
      </c>
      <c r="G792" s="2">
        <f t="shared" si="24"/>
        <v>41484</v>
      </c>
      <c r="H792">
        <f>DAY(Europe_Sales_Records34[[#This Row],[Order Date Fixed]])</f>
        <v>29</v>
      </c>
      <c r="I792" t="str">
        <f>TEXT(Europe_Sales_Records34[[#This Row],[Order Date Fixed]],"MMM")</f>
        <v>Jul</v>
      </c>
      <c r="J792">
        <f>YEAR(Europe_Sales_Records34[[#This Row],[Order Date Fixed]])</f>
        <v>2013</v>
      </c>
      <c r="K792" t="str">
        <f>TEXT(Europe_Sales_Records34[[#This Row],[Order Date Fixed]],"MMM-YYYY")</f>
        <v>Jul-2013</v>
      </c>
      <c r="L792">
        <v>307305467</v>
      </c>
      <c r="M792" s="2">
        <f t="shared" si="25"/>
        <v>41496</v>
      </c>
      <c r="N792">
        <f>DAY(Europe_Sales_Records34[[#This Row],[Ship Date Fixed]])</f>
        <v>10</v>
      </c>
      <c r="O792" t="str">
        <f>TEXT(Europe_Sales_Records34[[#This Row],[Ship Date Fixed]],"MMM")</f>
        <v>Aug</v>
      </c>
      <c r="P792">
        <f>YEAR(Europe_Sales_Records34[[#This Row],[Ship Date Fixed]])</f>
        <v>2013</v>
      </c>
      <c r="Q792" t="str">
        <f>TEXT(Europe_Sales_Records34[[#This Row],[Ship Date Fixed]],"MMM-YYYY")</f>
        <v>Aug-2013</v>
      </c>
      <c r="R792" t="s">
        <v>1307</v>
      </c>
      <c r="S792" s="3">
        <f>Europe_Sales_Records34[[#This Row],[Ship Date Fixed]]-Europe_Sales_Records34[[#This Row],[Order Date Fixed]]</f>
        <v>12</v>
      </c>
      <c r="T792">
        <v>7371</v>
      </c>
      <c r="U792">
        <v>9.33</v>
      </c>
      <c r="V792">
        <v>6.92</v>
      </c>
      <c r="W792">
        <f>Europe_Sales_Records34[[#This Row],[Total Revenue]]/Europe_Sales_Records34[[#This Row],[Units Sold]]</f>
        <v>9.3299999999999983</v>
      </c>
      <c r="X792">
        <v>68771.429999999993</v>
      </c>
      <c r="Y792">
        <v>51007.32</v>
      </c>
      <c r="Z792" s="4">
        <f>Europe_Sales_Records34[[#This Row],[Total Profit]]/Europe_Sales_Records34[[#This Row],[Total Revenue]]</f>
        <v>0.25830653804930337</v>
      </c>
      <c r="AA792">
        <v>17764.11</v>
      </c>
    </row>
    <row r="793" spans="1:27" x14ac:dyDescent="0.3">
      <c r="A793" t="s">
        <v>14</v>
      </c>
      <c r="B793" t="s">
        <v>105</v>
      </c>
      <c r="C793" t="s">
        <v>28</v>
      </c>
      <c r="D793" t="s">
        <v>17</v>
      </c>
      <c r="E793" t="s">
        <v>54</v>
      </c>
      <c r="F793" t="s">
        <v>523</v>
      </c>
      <c r="G793" s="2">
        <f t="shared" si="24"/>
        <v>40729</v>
      </c>
      <c r="H793">
        <f>DAY(Europe_Sales_Records34[[#This Row],[Order Date Fixed]])</f>
        <v>5</v>
      </c>
      <c r="I793" t="str">
        <f>TEXT(Europe_Sales_Records34[[#This Row],[Order Date Fixed]],"MMM")</f>
        <v>Jul</v>
      </c>
      <c r="J793">
        <f>YEAR(Europe_Sales_Records34[[#This Row],[Order Date Fixed]])</f>
        <v>2011</v>
      </c>
      <c r="K793" t="str">
        <f>TEXT(Europe_Sales_Records34[[#This Row],[Order Date Fixed]],"MMM-YYYY")</f>
        <v>Jul-2011</v>
      </c>
      <c r="L793">
        <v>392676532</v>
      </c>
      <c r="M793" s="2">
        <f t="shared" si="25"/>
        <v>40761</v>
      </c>
      <c r="N793">
        <f>DAY(Europe_Sales_Records34[[#This Row],[Ship Date Fixed]])</f>
        <v>6</v>
      </c>
      <c r="O793" t="str">
        <f>TEXT(Europe_Sales_Records34[[#This Row],[Ship Date Fixed]],"MMM")</f>
        <v>Aug</v>
      </c>
      <c r="P793">
        <f>YEAR(Europe_Sales_Records34[[#This Row],[Ship Date Fixed]])</f>
        <v>2011</v>
      </c>
      <c r="Q793" t="str">
        <f>TEXT(Europe_Sales_Records34[[#This Row],[Ship Date Fixed]],"MMM-YYYY")</f>
        <v>Aug-2011</v>
      </c>
      <c r="R793" t="s">
        <v>320</v>
      </c>
      <c r="S793" s="3">
        <f>Europe_Sales_Records34[[#This Row],[Ship Date Fixed]]-Europe_Sales_Records34[[#This Row],[Order Date Fixed]]</f>
        <v>32</v>
      </c>
      <c r="T793">
        <v>567</v>
      </c>
      <c r="U793">
        <v>205.7</v>
      </c>
      <c r="V793">
        <v>117.11</v>
      </c>
      <c r="W793">
        <f>Europe_Sales_Records34[[#This Row],[Total Revenue]]/Europe_Sales_Records34[[#This Row],[Units Sold]]</f>
        <v>205.7</v>
      </c>
      <c r="X793">
        <v>116631.9</v>
      </c>
      <c r="Y793">
        <v>66401.37</v>
      </c>
      <c r="Z793" s="4">
        <f>Europe_Sales_Records34[[#This Row],[Total Profit]]/Europe_Sales_Records34[[#This Row],[Total Revenue]]</f>
        <v>0.43067574137092857</v>
      </c>
      <c r="AA793">
        <v>50230.53</v>
      </c>
    </row>
    <row r="794" spans="1:27" x14ac:dyDescent="0.3">
      <c r="A794" t="s">
        <v>14</v>
      </c>
      <c r="B794" t="s">
        <v>45</v>
      </c>
      <c r="C794" t="s">
        <v>64</v>
      </c>
      <c r="D794" t="s">
        <v>23</v>
      </c>
      <c r="E794" t="s">
        <v>33</v>
      </c>
      <c r="F794" t="s">
        <v>435</v>
      </c>
      <c r="G794" s="2">
        <f t="shared" si="24"/>
        <v>41055</v>
      </c>
      <c r="H794">
        <f>DAY(Europe_Sales_Records34[[#This Row],[Order Date Fixed]])</f>
        <v>26</v>
      </c>
      <c r="I794" t="str">
        <f>TEXT(Europe_Sales_Records34[[#This Row],[Order Date Fixed]],"MMM")</f>
        <v>May</v>
      </c>
      <c r="J794">
        <f>YEAR(Europe_Sales_Records34[[#This Row],[Order Date Fixed]])</f>
        <v>2012</v>
      </c>
      <c r="K794" t="str">
        <f>TEXT(Europe_Sales_Records34[[#This Row],[Order Date Fixed]],"MMM-YYYY")</f>
        <v>May-2012</v>
      </c>
      <c r="L794">
        <v>111063039</v>
      </c>
      <c r="M794" s="2">
        <f t="shared" si="25"/>
        <v>41103</v>
      </c>
      <c r="N794">
        <f>DAY(Europe_Sales_Records34[[#This Row],[Ship Date Fixed]])</f>
        <v>13</v>
      </c>
      <c r="O794" t="str">
        <f>TEXT(Europe_Sales_Records34[[#This Row],[Ship Date Fixed]],"MMM")</f>
        <v>Jul</v>
      </c>
      <c r="P794">
        <f>YEAR(Europe_Sales_Records34[[#This Row],[Ship Date Fixed]])</f>
        <v>2012</v>
      </c>
      <c r="Q794" t="str">
        <f>TEXT(Europe_Sales_Records34[[#This Row],[Ship Date Fixed]],"MMM-YYYY")</f>
        <v>Jul-2012</v>
      </c>
      <c r="R794" t="s">
        <v>1308</v>
      </c>
      <c r="S794" s="3">
        <f>Europe_Sales_Records34[[#This Row],[Ship Date Fixed]]-Europe_Sales_Records34[[#This Row],[Order Date Fixed]]</f>
        <v>48</v>
      </c>
      <c r="T794">
        <v>4876</v>
      </c>
      <c r="U794">
        <v>255.28</v>
      </c>
      <c r="V794">
        <v>159.41999999999999</v>
      </c>
      <c r="W794">
        <f>Europe_Sales_Records34[[#This Row],[Total Revenue]]/Europe_Sales_Records34[[#This Row],[Units Sold]]</f>
        <v>255.28</v>
      </c>
      <c r="X794">
        <v>1244745.28</v>
      </c>
      <c r="Y794">
        <v>777331.92</v>
      </c>
      <c r="Z794" s="4">
        <f>Europe_Sales_Records34[[#This Row],[Total Profit]]/Europe_Sales_Records34[[#This Row],[Total Revenue]]</f>
        <v>0.37550924475086178</v>
      </c>
      <c r="AA794">
        <v>467413.36</v>
      </c>
    </row>
    <row r="795" spans="1:27" x14ac:dyDescent="0.3">
      <c r="A795" t="s">
        <v>14</v>
      </c>
      <c r="B795" t="s">
        <v>166</v>
      </c>
      <c r="C795" t="s">
        <v>16</v>
      </c>
      <c r="D795" t="s">
        <v>23</v>
      </c>
      <c r="E795" t="s">
        <v>24</v>
      </c>
      <c r="F795" t="s">
        <v>1309</v>
      </c>
      <c r="G795" s="2">
        <f t="shared" si="24"/>
        <v>40882</v>
      </c>
      <c r="H795">
        <f>DAY(Europe_Sales_Records34[[#This Row],[Order Date Fixed]])</f>
        <v>5</v>
      </c>
      <c r="I795" t="str">
        <f>TEXT(Europe_Sales_Records34[[#This Row],[Order Date Fixed]],"MMM")</f>
        <v>Dec</v>
      </c>
      <c r="J795">
        <f>YEAR(Europe_Sales_Records34[[#This Row],[Order Date Fixed]])</f>
        <v>2011</v>
      </c>
      <c r="K795" t="str">
        <f>TEXT(Europe_Sales_Records34[[#This Row],[Order Date Fixed]],"MMM-YYYY")</f>
        <v>Dec-2011</v>
      </c>
      <c r="L795">
        <v>556263816</v>
      </c>
      <c r="M795" s="2">
        <f t="shared" si="25"/>
        <v>40884</v>
      </c>
      <c r="N795">
        <f>DAY(Europe_Sales_Records34[[#This Row],[Ship Date Fixed]])</f>
        <v>7</v>
      </c>
      <c r="O795" t="str">
        <f>TEXT(Europe_Sales_Records34[[#This Row],[Ship Date Fixed]],"MMM")</f>
        <v>Dec</v>
      </c>
      <c r="P795">
        <f>YEAR(Europe_Sales_Records34[[#This Row],[Ship Date Fixed]])</f>
        <v>2011</v>
      </c>
      <c r="Q795" t="str">
        <f>TEXT(Europe_Sales_Records34[[#This Row],[Ship Date Fixed]],"MMM-YYYY")</f>
        <v>Dec-2011</v>
      </c>
      <c r="R795" t="s">
        <v>782</v>
      </c>
      <c r="S795" s="3">
        <f>Europe_Sales_Records34[[#This Row],[Ship Date Fixed]]-Europe_Sales_Records34[[#This Row],[Order Date Fixed]]</f>
        <v>2</v>
      </c>
      <c r="T795">
        <v>9679</v>
      </c>
      <c r="U795">
        <v>47.45</v>
      </c>
      <c r="V795">
        <v>31.79</v>
      </c>
      <c r="W795">
        <f>Europe_Sales_Records34[[#This Row],[Total Revenue]]/Europe_Sales_Records34[[#This Row],[Units Sold]]</f>
        <v>47.449999999999996</v>
      </c>
      <c r="X795">
        <v>459268.55</v>
      </c>
      <c r="Y795">
        <v>307695.40999999997</v>
      </c>
      <c r="Z795" s="4">
        <f>Europe_Sales_Records34[[#This Row],[Total Profit]]/Europe_Sales_Records34[[#This Row],[Total Revenue]]</f>
        <v>0.33003161222339311</v>
      </c>
      <c r="AA795">
        <v>151573.14000000001</v>
      </c>
    </row>
    <row r="796" spans="1:27" x14ac:dyDescent="0.3">
      <c r="A796" t="s">
        <v>14</v>
      </c>
      <c r="B796" t="s">
        <v>183</v>
      </c>
      <c r="C796" t="s">
        <v>16</v>
      </c>
      <c r="D796" t="s">
        <v>23</v>
      </c>
      <c r="E796" t="s">
        <v>24</v>
      </c>
      <c r="F796" t="s">
        <v>1303</v>
      </c>
      <c r="G796" s="2">
        <f t="shared" si="24"/>
        <v>40688</v>
      </c>
      <c r="H796">
        <f>DAY(Europe_Sales_Records34[[#This Row],[Order Date Fixed]])</f>
        <v>25</v>
      </c>
      <c r="I796" t="str">
        <f>TEXT(Europe_Sales_Records34[[#This Row],[Order Date Fixed]],"MMM")</f>
        <v>May</v>
      </c>
      <c r="J796">
        <f>YEAR(Europe_Sales_Records34[[#This Row],[Order Date Fixed]])</f>
        <v>2011</v>
      </c>
      <c r="K796" t="str">
        <f>TEXT(Europe_Sales_Records34[[#This Row],[Order Date Fixed]],"MMM-YYYY")</f>
        <v>May-2011</v>
      </c>
      <c r="L796">
        <v>642123687</v>
      </c>
      <c r="M796" s="2">
        <f t="shared" si="25"/>
        <v>40693</v>
      </c>
      <c r="N796">
        <f>DAY(Europe_Sales_Records34[[#This Row],[Ship Date Fixed]])</f>
        <v>30</v>
      </c>
      <c r="O796" t="str">
        <f>TEXT(Europe_Sales_Records34[[#This Row],[Ship Date Fixed]],"MMM")</f>
        <v>May</v>
      </c>
      <c r="P796">
        <f>YEAR(Europe_Sales_Records34[[#This Row],[Ship Date Fixed]])</f>
        <v>2011</v>
      </c>
      <c r="Q796" t="str">
        <f>TEXT(Europe_Sales_Records34[[#This Row],[Ship Date Fixed]],"MMM-YYYY")</f>
        <v>May-2011</v>
      </c>
      <c r="R796" t="s">
        <v>1310</v>
      </c>
      <c r="S796" s="3">
        <f>Europe_Sales_Records34[[#This Row],[Ship Date Fixed]]-Europe_Sales_Records34[[#This Row],[Order Date Fixed]]</f>
        <v>5</v>
      </c>
      <c r="T796">
        <v>7523</v>
      </c>
      <c r="U796">
        <v>47.45</v>
      </c>
      <c r="V796">
        <v>31.79</v>
      </c>
      <c r="W796">
        <f>Europe_Sales_Records34[[#This Row],[Total Revenue]]/Europe_Sales_Records34[[#This Row],[Units Sold]]</f>
        <v>47.449999999999996</v>
      </c>
      <c r="X796">
        <v>356966.35</v>
      </c>
      <c r="Y796">
        <v>239156.17</v>
      </c>
      <c r="Z796" s="4">
        <f>Europe_Sales_Records34[[#This Row],[Total Profit]]/Europe_Sales_Records34[[#This Row],[Total Revenue]]</f>
        <v>0.33003161222339306</v>
      </c>
      <c r="AA796">
        <v>117810.18</v>
      </c>
    </row>
    <row r="797" spans="1:27" x14ac:dyDescent="0.3">
      <c r="A797" t="s">
        <v>14</v>
      </c>
      <c r="B797" t="s">
        <v>15</v>
      </c>
      <c r="C797" t="s">
        <v>16</v>
      </c>
      <c r="D797" t="s">
        <v>23</v>
      </c>
      <c r="E797" t="s">
        <v>24</v>
      </c>
      <c r="F797" t="s">
        <v>133</v>
      </c>
      <c r="G797" s="2">
        <f t="shared" si="24"/>
        <v>40300</v>
      </c>
      <c r="H797">
        <f>DAY(Europe_Sales_Records34[[#This Row],[Order Date Fixed]])</f>
        <v>2</v>
      </c>
      <c r="I797" t="str">
        <f>TEXT(Europe_Sales_Records34[[#This Row],[Order Date Fixed]],"MMM")</f>
        <v>May</v>
      </c>
      <c r="J797">
        <f>YEAR(Europe_Sales_Records34[[#This Row],[Order Date Fixed]])</f>
        <v>2010</v>
      </c>
      <c r="K797" t="str">
        <f>TEXT(Europe_Sales_Records34[[#This Row],[Order Date Fixed]],"MMM-YYYY")</f>
        <v>May-2010</v>
      </c>
      <c r="L797">
        <v>242168128</v>
      </c>
      <c r="M797" s="2">
        <f t="shared" si="25"/>
        <v>40301</v>
      </c>
      <c r="N797">
        <f>DAY(Europe_Sales_Records34[[#This Row],[Ship Date Fixed]])</f>
        <v>3</v>
      </c>
      <c r="O797" t="str">
        <f>TEXT(Europe_Sales_Records34[[#This Row],[Ship Date Fixed]],"MMM")</f>
        <v>May</v>
      </c>
      <c r="P797">
        <f>YEAR(Europe_Sales_Records34[[#This Row],[Ship Date Fixed]])</f>
        <v>2010</v>
      </c>
      <c r="Q797" t="str">
        <f>TEXT(Europe_Sales_Records34[[#This Row],[Ship Date Fixed]],"MMM-YYYY")</f>
        <v>May-2010</v>
      </c>
      <c r="R797" t="s">
        <v>1311</v>
      </c>
      <c r="S797" s="3">
        <f>Europe_Sales_Records34[[#This Row],[Ship Date Fixed]]-Europe_Sales_Records34[[#This Row],[Order Date Fixed]]</f>
        <v>1</v>
      </c>
      <c r="T797">
        <v>1785</v>
      </c>
      <c r="U797">
        <v>47.45</v>
      </c>
      <c r="V797">
        <v>31.79</v>
      </c>
      <c r="W797">
        <f>Europe_Sales_Records34[[#This Row],[Total Revenue]]/Europe_Sales_Records34[[#This Row],[Units Sold]]</f>
        <v>47.45</v>
      </c>
      <c r="X797">
        <v>84698.25</v>
      </c>
      <c r="Y797">
        <v>56745.15</v>
      </c>
      <c r="Z797" s="4">
        <f>Europe_Sales_Records34[[#This Row],[Total Profit]]/Europe_Sales_Records34[[#This Row],[Total Revenue]]</f>
        <v>0.330031612223393</v>
      </c>
      <c r="AA797">
        <v>27953.1</v>
      </c>
    </row>
    <row r="798" spans="1:27" x14ac:dyDescent="0.3">
      <c r="A798" t="s">
        <v>14</v>
      </c>
      <c r="B798" t="s">
        <v>232</v>
      </c>
      <c r="C798" t="s">
        <v>16</v>
      </c>
      <c r="D798" t="s">
        <v>17</v>
      </c>
      <c r="E798" t="s">
        <v>54</v>
      </c>
      <c r="F798" t="s">
        <v>125</v>
      </c>
      <c r="G798" s="2">
        <f t="shared" si="24"/>
        <v>42805</v>
      </c>
      <c r="H798">
        <f>DAY(Europe_Sales_Records34[[#This Row],[Order Date Fixed]])</f>
        <v>11</v>
      </c>
      <c r="I798" t="str">
        <f>TEXT(Europe_Sales_Records34[[#This Row],[Order Date Fixed]],"MMM")</f>
        <v>Mar</v>
      </c>
      <c r="J798">
        <f>YEAR(Europe_Sales_Records34[[#This Row],[Order Date Fixed]])</f>
        <v>2017</v>
      </c>
      <c r="K798" t="str">
        <f>TEXT(Europe_Sales_Records34[[#This Row],[Order Date Fixed]],"MMM-YYYY")</f>
        <v>Mar-2017</v>
      </c>
      <c r="L798">
        <v>192236125</v>
      </c>
      <c r="M798" s="2">
        <f t="shared" si="25"/>
        <v>42816</v>
      </c>
      <c r="N798">
        <f>DAY(Europe_Sales_Records34[[#This Row],[Ship Date Fixed]])</f>
        <v>22</v>
      </c>
      <c r="O798" t="str">
        <f>TEXT(Europe_Sales_Records34[[#This Row],[Ship Date Fixed]],"MMM")</f>
        <v>Mar</v>
      </c>
      <c r="P798">
        <f>YEAR(Europe_Sales_Records34[[#This Row],[Ship Date Fixed]])</f>
        <v>2017</v>
      </c>
      <c r="Q798" t="str">
        <f>TEXT(Europe_Sales_Records34[[#This Row],[Ship Date Fixed]],"MMM-YYYY")</f>
        <v>Mar-2017</v>
      </c>
      <c r="R798" t="s">
        <v>217</v>
      </c>
      <c r="S798" s="3">
        <f>Europe_Sales_Records34[[#This Row],[Ship Date Fixed]]-Europe_Sales_Records34[[#This Row],[Order Date Fixed]]</f>
        <v>11</v>
      </c>
      <c r="T798">
        <v>5796</v>
      </c>
      <c r="U798">
        <v>47.45</v>
      </c>
      <c r="V798">
        <v>31.79</v>
      </c>
      <c r="W798">
        <f>Europe_Sales_Records34[[#This Row],[Total Revenue]]/Europe_Sales_Records34[[#This Row],[Units Sold]]</f>
        <v>47.45</v>
      </c>
      <c r="X798">
        <v>275020.2</v>
      </c>
      <c r="Y798">
        <v>184254.84</v>
      </c>
      <c r="Z798" s="4">
        <f>Europe_Sales_Records34[[#This Row],[Total Profit]]/Europe_Sales_Records34[[#This Row],[Total Revenue]]</f>
        <v>0.33003161222339306</v>
      </c>
      <c r="AA798">
        <v>90765.36</v>
      </c>
    </row>
    <row r="799" spans="1:27" x14ac:dyDescent="0.3">
      <c r="A799" t="s">
        <v>14</v>
      </c>
      <c r="B799" t="s">
        <v>183</v>
      </c>
      <c r="C799" t="s">
        <v>58</v>
      </c>
      <c r="D799" t="s">
        <v>23</v>
      </c>
      <c r="E799" t="s">
        <v>33</v>
      </c>
      <c r="F799" t="s">
        <v>1312</v>
      </c>
      <c r="G799" s="2">
        <f t="shared" si="24"/>
        <v>42600</v>
      </c>
      <c r="H799">
        <f>DAY(Europe_Sales_Records34[[#This Row],[Order Date Fixed]])</f>
        <v>18</v>
      </c>
      <c r="I799" t="str">
        <f>TEXT(Europe_Sales_Records34[[#This Row],[Order Date Fixed]],"MMM")</f>
        <v>Aug</v>
      </c>
      <c r="J799">
        <f>YEAR(Europe_Sales_Records34[[#This Row],[Order Date Fixed]])</f>
        <v>2016</v>
      </c>
      <c r="K799" t="str">
        <f>TEXT(Europe_Sales_Records34[[#This Row],[Order Date Fixed]],"MMM-YYYY")</f>
        <v>Aug-2016</v>
      </c>
      <c r="L799">
        <v>957926118</v>
      </c>
      <c r="M799" s="2">
        <f t="shared" si="25"/>
        <v>42614</v>
      </c>
      <c r="N799">
        <f>DAY(Europe_Sales_Records34[[#This Row],[Ship Date Fixed]])</f>
        <v>1</v>
      </c>
      <c r="O799" t="str">
        <f>TEXT(Europe_Sales_Records34[[#This Row],[Ship Date Fixed]],"MMM")</f>
        <v>Sep</v>
      </c>
      <c r="P799">
        <f>YEAR(Europe_Sales_Records34[[#This Row],[Ship Date Fixed]])</f>
        <v>2016</v>
      </c>
      <c r="Q799" t="str">
        <f>TEXT(Europe_Sales_Records34[[#This Row],[Ship Date Fixed]],"MMM-YYYY")</f>
        <v>Sep-2016</v>
      </c>
      <c r="R799" t="s">
        <v>1313</v>
      </c>
      <c r="S799" s="3">
        <f>Europe_Sales_Records34[[#This Row],[Ship Date Fixed]]-Europe_Sales_Records34[[#This Row],[Order Date Fixed]]</f>
        <v>14</v>
      </c>
      <c r="T799">
        <v>480</v>
      </c>
      <c r="U799">
        <v>152.58000000000001</v>
      </c>
      <c r="V799">
        <v>97.44</v>
      </c>
      <c r="W799">
        <f>Europe_Sales_Records34[[#This Row],[Total Revenue]]/Europe_Sales_Records34[[#This Row],[Units Sold]]</f>
        <v>152.57999999999998</v>
      </c>
      <c r="X799">
        <v>73238.399999999994</v>
      </c>
      <c r="Y799">
        <v>46771.199999999997</v>
      </c>
      <c r="Z799" s="4">
        <f>Europe_Sales_Records34[[#This Row],[Total Profit]]/Europe_Sales_Records34[[#This Row],[Total Revenue]]</f>
        <v>0.36138419189933152</v>
      </c>
      <c r="AA799">
        <v>26467.200000000001</v>
      </c>
    </row>
    <row r="800" spans="1:27" x14ac:dyDescent="0.3">
      <c r="A800" t="s">
        <v>14</v>
      </c>
      <c r="B800" t="s">
        <v>27</v>
      </c>
      <c r="C800" t="s">
        <v>16</v>
      </c>
      <c r="D800" t="s">
        <v>23</v>
      </c>
      <c r="E800" t="s">
        <v>54</v>
      </c>
      <c r="F800" t="s">
        <v>1314</v>
      </c>
      <c r="G800" s="2">
        <f t="shared" si="24"/>
        <v>42688</v>
      </c>
      <c r="H800">
        <f>DAY(Europe_Sales_Records34[[#This Row],[Order Date Fixed]])</f>
        <v>14</v>
      </c>
      <c r="I800" t="str">
        <f>TEXT(Europe_Sales_Records34[[#This Row],[Order Date Fixed]],"MMM")</f>
        <v>Nov</v>
      </c>
      <c r="J800">
        <f>YEAR(Europe_Sales_Records34[[#This Row],[Order Date Fixed]])</f>
        <v>2016</v>
      </c>
      <c r="K800" t="str">
        <f>TEXT(Europe_Sales_Records34[[#This Row],[Order Date Fixed]],"MMM-YYYY")</f>
        <v>Nov-2016</v>
      </c>
      <c r="L800">
        <v>646691596</v>
      </c>
      <c r="M800" s="2">
        <f t="shared" si="25"/>
        <v>42717</v>
      </c>
      <c r="N800">
        <f>DAY(Europe_Sales_Records34[[#This Row],[Ship Date Fixed]])</f>
        <v>13</v>
      </c>
      <c r="O800" t="str">
        <f>TEXT(Europe_Sales_Records34[[#This Row],[Ship Date Fixed]],"MMM")</f>
        <v>Dec</v>
      </c>
      <c r="P800">
        <f>YEAR(Europe_Sales_Records34[[#This Row],[Ship Date Fixed]])</f>
        <v>2016</v>
      </c>
      <c r="Q800" t="str">
        <f>TEXT(Europe_Sales_Records34[[#This Row],[Ship Date Fixed]],"MMM-YYYY")</f>
        <v>Dec-2016</v>
      </c>
      <c r="R800" t="s">
        <v>806</v>
      </c>
      <c r="S800" s="3">
        <f>Europe_Sales_Records34[[#This Row],[Ship Date Fixed]]-Europe_Sales_Records34[[#This Row],[Order Date Fixed]]</f>
        <v>29</v>
      </c>
      <c r="T800">
        <v>9269</v>
      </c>
      <c r="U800">
        <v>47.45</v>
      </c>
      <c r="V800">
        <v>31.79</v>
      </c>
      <c r="W800">
        <f>Europe_Sales_Records34[[#This Row],[Total Revenue]]/Europe_Sales_Records34[[#This Row],[Units Sold]]</f>
        <v>47.449999999999996</v>
      </c>
      <c r="X800">
        <v>439814.05</v>
      </c>
      <c r="Y800">
        <v>294661.51</v>
      </c>
      <c r="Z800" s="4">
        <f>Europe_Sales_Records34[[#This Row],[Total Profit]]/Europe_Sales_Records34[[#This Row],[Total Revenue]]</f>
        <v>0.33003161222339306</v>
      </c>
      <c r="AA800">
        <v>145152.54</v>
      </c>
    </row>
    <row r="801" spans="1:27" x14ac:dyDescent="0.3">
      <c r="A801" t="s">
        <v>14</v>
      </c>
      <c r="B801" t="s">
        <v>74</v>
      </c>
      <c r="C801" t="s">
        <v>32</v>
      </c>
      <c r="D801" t="s">
        <v>17</v>
      </c>
      <c r="E801" t="s">
        <v>54</v>
      </c>
      <c r="F801" t="s">
        <v>1315</v>
      </c>
      <c r="G801" s="2">
        <f t="shared" si="24"/>
        <v>42342</v>
      </c>
      <c r="H801">
        <f>DAY(Europe_Sales_Records34[[#This Row],[Order Date Fixed]])</f>
        <v>4</v>
      </c>
      <c r="I801" t="str">
        <f>TEXT(Europe_Sales_Records34[[#This Row],[Order Date Fixed]],"MMM")</f>
        <v>Dec</v>
      </c>
      <c r="J801">
        <f>YEAR(Europe_Sales_Records34[[#This Row],[Order Date Fixed]])</f>
        <v>2015</v>
      </c>
      <c r="K801" t="str">
        <f>TEXT(Europe_Sales_Records34[[#This Row],[Order Date Fixed]],"MMM-YYYY")</f>
        <v>Dec-2015</v>
      </c>
      <c r="L801">
        <v>115363156</v>
      </c>
      <c r="M801" s="2">
        <f t="shared" si="25"/>
        <v>42379</v>
      </c>
      <c r="N801">
        <f>DAY(Europe_Sales_Records34[[#This Row],[Ship Date Fixed]])</f>
        <v>10</v>
      </c>
      <c r="O801" t="str">
        <f>TEXT(Europe_Sales_Records34[[#This Row],[Ship Date Fixed]],"MMM")</f>
        <v>Jan</v>
      </c>
      <c r="P801">
        <f>YEAR(Europe_Sales_Records34[[#This Row],[Ship Date Fixed]])</f>
        <v>2016</v>
      </c>
      <c r="Q801" t="str">
        <f>TEXT(Europe_Sales_Records34[[#This Row],[Ship Date Fixed]],"MMM-YYYY")</f>
        <v>Jan-2016</v>
      </c>
      <c r="R801" t="s">
        <v>693</v>
      </c>
      <c r="S801" s="3">
        <f>Europe_Sales_Records34[[#This Row],[Ship Date Fixed]]-Europe_Sales_Records34[[#This Row],[Order Date Fixed]]</f>
        <v>37</v>
      </c>
      <c r="T801">
        <v>7376</v>
      </c>
      <c r="U801">
        <v>651.21</v>
      </c>
      <c r="V801">
        <v>524.96</v>
      </c>
      <c r="W801">
        <f>Europe_Sales_Records34[[#This Row],[Total Revenue]]/Europe_Sales_Records34[[#This Row],[Units Sold]]</f>
        <v>651.21</v>
      </c>
      <c r="X801">
        <v>4803324.96</v>
      </c>
      <c r="Y801">
        <v>3872104.96</v>
      </c>
      <c r="Z801" s="4">
        <f>Europe_Sales_Records34[[#This Row],[Total Profit]]/Europe_Sales_Records34[[#This Row],[Total Revenue]]</f>
        <v>0.19386987300563566</v>
      </c>
      <c r="AA801">
        <v>931220</v>
      </c>
    </row>
    <row r="802" spans="1:27" x14ac:dyDescent="0.3">
      <c r="A802" t="s">
        <v>14</v>
      </c>
      <c r="B802" t="s">
        <v>257</v>
      </c>
      <c r="C802" t="s">
        <v>71</v>
      </c>
      <c r="D802" t="s">
        <v>17</v>
      </c>
      <c r="E802" t="s">
        <v>33</v>
      </c>
      <c r="F802" t="s">
        <v>1316</v>
      </c>
      <c r="G802" s="2">
        <f t="shared" si="24"/>
        <v>42811</v>
      </c>
      <c r="H802">
        <f>DAY(Europe_Sales_Records34[[#This Row],[Order Date Fixed]])</f>
        <v>17</v>
      </c>
      <c r="I802" t="str">
        <f>TEXT(Europe_Sales_Records34[[#This Row],[Order Date Fixed]],"MMM")</f>
        <v>Mar</v>
      </c>
      <c r="J802">
        <f>YEAR(Europe_Sales_Records34[[#This Row],[Order Date Fixed]])</f>
        <v>2017</v>
      </c>
      <c r="K802" t="str">
        <f>TEXT(Europe_Sales_Records34[[#This Row],[Order Date Fixed]],"MMM-YYYY")</f>
        <v>Mar-2017</v>
      </c>
      <c r="L802">
        <v>922564303</v>
      </c>
      <c r="M802" s="2">
        <f t="shared" si="25"/>
        <v>42827</v>
      </c>
      <c r="N802">
        <f>DAY(Europe_Sales_Records34[[#This Row],[Ship Date Fixed]])</f>
        <v>2</v>
      </c>
      <c r="O802" t="str">
        <f>TEXT(Europe_Sales_Records34[[#This Row],[Ship Date Fixed]],"MMM")</f>
        <v>Apr</v>
      </c>
      <c r="P802">
        <f>YEAR(Europe_Sales_Records34[[#This Row],[Ship Date Fixed]])</f>
        <v>2017</v>
      </c>
      <c r="Q802" t="str">
        <f>TEXT(Europe_Sales_Records34[[#This Row],[Ship Date Fixed]],"MMM-YYYY")</f>
        <v>Apr-2017</v>
      </c>
      <c r="R802" t="s">
        <v>1317</v>
      </c>
      <c r="S802" s="3">
        <f>Europe_Sales_Records34[[#This Row],[Ship Date Fixed]]-Europe_Sales_Records34[[#This Row],[Order Date Fixed]]</f>
        <v>16</v>
      </c>
      <c r="T802">
        <v>6134</v>
      </c>
      <c r="U802">
        <v>668.27</v>
      </c>
      <c r="V802">
        <v>502.54</v>
      </c>
      <c r="W802">
        <f>Europe_Sales_Records34[[#This Row],[Total Revenue]]/Europe_Sales_Records34[[#This Row],[Units Sold]]</f>
        <v>668.27</v>
      </c>
      <c r="X802">
        <v>4099168.18</v>
      </c>
      <c r="Y802">
        <v>3082580.36</v>
      </c>
      <c r="Z802" s="4">
        <f>Europe_Sales_Records34[[#This Row],[Total Profit]]/Europe_Sales_Records34[[#This Row],[Total Revenue]]</f>
        <v>0.24799856345489096</v>
      </c>
      <c r="AA802">
        <v>1016587.82</v>
      </c>
    </row>
    <row r="803" spans="1:27" x14ac:dyDescent="0.3">
      <c r="A803" t="s">
        <v>14</v>
      </c>
      <c r="B803" t="s">
        <v>31</v>
      </c>
      <c r="C803" t="s">
        <v>28</v>
      </c>
      <c r="D803" t="s">
        <v>17</v>
      </c>
      <c r="E803" t="s">
        <v>54</v>
      </c>
      <c r="F803" t="s">
        <v>250</v>
      </c>
      <c r="G803" s="2">
        <f t="shared" si="24"/>
        <v>40591</v>
      </c>
      <c r="H803">
        <f>DAY(Europe_Sales_Records34[[#This Row],[Order Date Fixed]])</f>
        <v>17</v>
      </c>
      <c r="I803" t="str">
        <f>TEXT(Europe_Sales_Records34[[#This Row],[Order Date Fixed]],"MMM")</f>
        <v>Feb</v>
      </c>
      <c r="J803">
        <f>YEAR(Europe_Sales_Records34[[#This Row],[Order Date Fixed]])</f>
        <v>2011</v>
      </c>
      <c r="K803" t="str">
        <f>TEXT(Europe_Sales_Records34[[#This Row],[Order Date Fixed]],"MMM-YYYY")</f>
        <v>Feb-2011</v>
      </c>
      <c r="L803">
        <v>928168189</v>
      </c>
      <c r="M803" s="2">
        <f t="shared" si="25"/>
        <v>40617</v>
      </c>
      <c r="N803">
        <f>DAY(Europe_Sales_Records34[[#This Row],[Ship Date Fixed]])</f>
        <v>15</v>
      </c>
      <c r="O803" t="str">
        <f>TEXT(Europe_Sales_Records34[[#This Row],[Ship Date Fixed]],"MMM")</f>
        <v>Mar</v>
      </c>
      <c r="P803">
        <f>YEAR(Europe_Sales_Records34[[#This Row],[Ship Date Fixed]])</f>
        <v>2011</v>
      </c>
      <c r="Q803" t="str">
        <f>TEXT(Europe_Sales_Records34[[#This Row],[Ship Date Fixed]],"MMM-YYYY")</f>
        <v>Mar-2011</v>
      </c>
      <c r="R803" t="s">
        <v>1203</v>
      </c>
      <c r="S803" s="3">
        <f>Europe_Sales_Records34[[#This Row],[Ship Date Fixed]]-Europe_Sales_Records34[[#This Row],[Order Date Fixed]]</f>
        <v>26</v>
      </c>
      <c r="T803">
        <v>4448</v>
      </c>
      <c r="U803">
        <v>205.7</v>
      </c>
      <c r="V803">
        <v>117.11</v>
      </c>
      <c r="W803">
        <f>Europe_Sales_Records34[[#This Row],[Total Revenue]]/Europe_Sales_Records34[[#This Row],[Units Sold]]</f>
        <v>205.7</v>
      </c>
      <c r="X803">
        <v>914953.6</v>
      </c>
      <c r="Y803">
        <v>520905.28</v>
      </c>
      <c r="Z803" s="4">
        <f>Europe_Sales_Records34[[#This Row],[Total Profit]]/Europe_Sales_Records34[[#This Row],[Total Revenue]]</f>
        <v>0.43067574137092857</v>
      </c>
      <c r="AA803">
        <v>394048.32</v>
      </c>
    </row>
    <row r="804" spans="1:27" x14ac:dyDescent="0.3">
      <c r="A804" t="s">
        <v>14</v>
      </c>
      <c r="B804" t="s">
        <v>110</v>
      </c>
      <c r="C804" t="s">
        <v>46</v>
      </c>
      <c r="D804" t="s">
        <v>23</v>
      </c>
      <c r="E804" t="s">
        <v>33</v>
      </c>
      <c r="F804" t="s">
        <v>1318</v>
      </c>
      <c r="G804" s="2">
        <f t="shared" si="24"/>
        <v>40620</v>
      </c>
      <c r="H804">
        <f>DAY(Europe_Sales_Records34[[#This Row],[Order Date Fixed]])</f>
        <v>18</v>
      </c>
      <c r="I804" t="str">
        <f>TEXT(Europe_Sales_Records34[[#This Row],[Order Date Fixed]],"MMM")</f>
        <v>Mar</v>
      </c>
      <c r="J804">
        <f>YEAR(Europe_Sales_Records34[[#This Row],[Order Date Fixed]])</f>
        <v>2011</v>
      </c>
      <c r="K804" t="str">
        <f>TEXT(Europe_Sales_Records34[[#This Row],[Order Date Fixed]],"MMM-YYYY")</f>
        <v>Mar-2011</v>
      </c>
      <c r="L804">
        <v>346498763</v>
      </c>
      <c r="M804" s="2">
        <f t="shared" si="25"/>
        <v>40635</v>
      </c>
      <c r="N804">
        <f>DAY(Europe_Sales_Records34[[#This Row],[Ship Date Fixed]])</f>
        <v>2</v>
      </c>
      <c r="O804" t="str">
        <f>TEXT(Europe_Sales_Records34[[#This Row],[Ship Date Fixed]],"MMM")</f>
        <v>Apr</v>
      </c>
      <c r="P804">
        <f>YEAR(Europe_Sales_Records34[[#This Row],[Ship Date Fixed]])</f>
        <v>2011</v>
      </c>
      <c r="Q804" t="str">
        <f>TEXT(Europe_Sales_Records34[[#This Row],[Ship Date Fixed]],"MMM-YYYY")</f>
        <v>Apr-2011</v>
      </c>
      <c r="R804" t="s">
        <v>1319</v>
      </c>
      <c r="S804" s="3">
        <f>Europe_Sales_Records34[[#This Row],[Ship Date Fixed]]-Europe_Sales_Records34[[#This Row],[Order Date Fixed]]</f>
        <v>15</v>
      </c>
      <c r="T804">
        <v>5539</v>
      </c>
      <c r="U804">
        <v>154.06</v>
      </c>
      <c r="V804">
        <v>90.93</v>
      </c>
      <c r="W804">
        <f>Europe_Sales_Records34[[#This Row],[Total Revenue]]/Europe_Sales_Records34[[#This Row],[Units Sold]]</f>
        <v>154.06</v>
      </c>
      <c r="X804">
        <v>853338.34</v>
      </c>
      <c r="Y804">
        <v>503661.27</v>
      </c>
      <c r="Z804" s="4">
        <f>Europe_Sales_Records34[[#This Row],[Total Profit]]/Europe_Sales_Records34[[#This Row],[Total Revenue]]</f>
        <v>0.40977541217707392</v>
      </c>
      <c r="AA804">
        <v>349677.07</v>
      </c>
    </row>
    <row r="805" spans="1:27" x14ac:dyDescent="0.3">
      <c r="A805" t="s">
        <v>14</v>
      </c>
      <c r="B805" t="s">
        <v>83</v>
      </c>
      <c r="C805" t="s">
        <v>16</v>
      </c>
      <c r="D805" t="s">
        <v>17</v>
      </c>
      <c r="E805" t="s">
        <v>54</v>
      </c>
      <c r="F805" t="s">
        <v>1320</v>
      </c>
      <c r="G805" s="2">
        <f t="shared" si="24"/>
        <v>42703</v>
      </c>
      <c r="H805">
        <f>DAY(Europe_Sales_Records34[[#This Row],[Order Date Fixed]])</f>
        <v>29</v>
      </c>
      <c r="I805" t="str">
        <f>TEXT(Europe_Sales_Records34[[#This Row],[Order Date Fixed]],"MMM")</f>
        <v>Nov</v>
      </c>
      <c r="J805">
        <f>YEAR(Europe_Sales_Records34[[#This Row],[Order Date Fixed]])</f>
        <v>2016</v>
      </c>
      <c r="K805" t="str">
        <f>TEXT(Europe_Sales_Records34[[#This Row],[Order Date Fixed]],"MMM-YYYY")</f>
        <v>Nov-2016</v>
      </c>
      <c r="L805">
        <v>797316300</v>
      </c>
      <c r="M805" s="2">
        <f t="shared" si="25"/>
        <v>42703</v>
      </c>
      <c r="N805">
        <f>DAY(Europe_Sales_Records34[[#This Row],[Ship Date Fixed]])</f>
        <v>29</v>
      </c>
      <c r="O805" t="str">
        <f>TEXT(Europe_Sales_Records34[[#This Row],[Ship Date Fixed]],"MMM")</f>
        <v>Nov</v>
      </c>
      <c r="P805">
        <f>YEAR(Europe_Sales_Records34[[#This Row],[Ship Date Fixed]])</f>
        <v>2016</v>
      </c>
      <c r="Q805" t="str">
        <f>TEXT(Europe_Sales_Records34[[#This Row],[Ship Date Fixed]],"MMM-YYYY")</f>
        <v>Nov-2016</v>
      </c>
      <c r="R805" t="s">
        <v>1320</v>
      </c>
      <c r="S805" s="3">
        <f>Europe_Sales_Records34[[#This Row],[Ship Date Fixed]]-Europe_Sales_Records34[[#This Row],[Order Date Fixed]]</f>
        <v>0</v>
      </c>
      <c r="T805">
        <v>2466</v>
      </c>
      <c r="U805">
        <v>47.45</v>
      </c>
      <c r="V805">
        <v>31.79</v>
      </c>
      <c r="W805">
        <f>Europe_Sales_Records34[[#This Row],[Total Revenue]]/Europe_Sales_Records34[[#This Row],[Units Sold]]</f>
        <v>47.449999999999996</v>
      </c>
      <c r="X805">
        <v>117011.7</v>
      </c>
      <c r="Y805">
        <v>78394.14</v>
      </c>
      <c r="Z805" s="4">
        <f>Europe_Sales_Records34[[#This Row],[Total Profit]]/Europe_Sales_Records34[[#This Row],[Total Revenue]]</f>
        <v>0.33003161222339306</v>
      </c>
      <c r="AA805">
        <v>38617.56</v>
      </c>
    </row>
    <row r="806" spans="1:27" x14ac:dyDescent="0.3">
      <c r="A806" t="s">
        <v>14</v>
      </c>
      <c r="B806" t="s">
        <v>271</v>
      </c>
      <c r="C806" t="s">
        <v>64</v>
      </c>
      <c r="D806" t="s">
        <v>23</v>
      </c>
      <c r="E806" t="s">
        <v>54</v>
      </c>
      <c r="F806" t="s">
        <v>1321</v>
      </c>
      <c r="G806" s="2">
        <f t="shared" si="24"/>
        <v>42112</v>
      </c>
      <c r="H806">
        <f>DAY(Europe_Sales_Records34[[#This Row],[Order Date Fixed]])</f>
        <v>18</v>
      </c>
      <c r="I806" t="str">
        <f>TEXT(Europe_Sales_Records34[[#This Row],[Order Date Fixed]],"MMM")</f>
        <v>Apr</v>
      </c>
      <c r="J806">
        <f>YEAR(Europe_Sales_Records34[[#This Row],[Order Date Fixed]])</f>
        <v>2015</v>
      </c>
      <c r="K806" t="str">
        <f>TEXT(Europe_Sales_Records34[[#This Row],[Order Date Fixed]],"MMM-YYYY")</f>
        <v>Apr-2015</v>
      </c>
      <c r="L806">
        <v>497506701</v>
      </c>
      <c r="M806" s="2">
        <f t="shared" si="25"/>
        <v>42134</v>
      </c>
      <c r="N806">
        <f>DAY(Europe_Sales_Records34[[#This Row],[Ship Date Fixed]])</f>
        <v>10</v>
      </c>
      <c r="O806" t="str">
        <f>TEXT(Europe_Sales_Records34[[#This Row],[Ship Date Fixed]],"MMM")</f>
        <v>May</v>
      </c>
      <c r="P806">
        <f>YEAR(Europe_Sales_Records34[[#This Row],[Ship Date Fixed]])</f>
        <v>2015</v>
      </c>
      <c r="Q806" t="str">
        <f>TEXT(Europe_Sales_Records34[[#This Row],[Ship Date Fixed]],"MMM-YYYY")</f>
        <v>May-2015</v>
      </c>
      <c r="R806" t="s">
        <v>1253</v>
      </c>
      <c r="S806" s="3">
        <f>Europe_Sales_Records34[[#This Row],[Ship Date Fixed]]-Europe_Sales_Records34[[#This Row],[Order Date Fixed]]</f>
        <v>22</v>
      </c>
      <c r="T806">
        <v>2144</v>
      </c>
      <c r="U806">
        <v>255.28</v>
      </c>
      <c r="V806">
        <v>159.41999999999999</v>
      </c>
      <c r="W806">
        <f>Europe_Sales_Records34[[#This Row],[Total Revenue]]/Europe_Sales_Records34[[#This Row],[Units Sold]]</f>
        <v>255.27999999999997</v>
      </c>
      <c r="X806">
        <v>547320.31999999995</v>
      </c>
      <c r="Y806">
        <v>341796.48</v>
      </c>
      <c r="Z806" s="4">
        <f>Europe_Sales_Records34[[#This Row],[Total Profit]]/Europe_Sales_Records34[[#This Row],[Total Revenue]]</f>
        <v>0.37550924475086184</v>
      </c>
      <c r="AA806">
        <v>205523.84</v>
      </c>
    </row>
    <row r="807" spans="1:27" x14ac:dyDescent="0.3">
      <c r="A807" t="s">
        <v>14</v>
      </c>
      <c r="B807" t="s">
        <v>220</v>
      </c>
      <c r="C807" t="s">
        <v>102</v>
      </c>
      <c r="D807" t="s">
        <v>23</v>
      </c>
      <c r="E807" t="s">
        <v>18</v>
      </c>
      <c r="F807" t="s">
        <v>1322</v>
      </c>
      <c r="G807" s="2">
        <f t="shared" si="24"/>
        <v>40334</v>
      </c>
      <c r="H807">
        <f>DAY(Europe_Sales_Records34[[#This Row],[Order Date Fixed]])</f>
        <v>5</v>
      </c>
      <c r="I807" t="str">
        <f>TEXT(Europe_Sales_Records34[[#This Row],[Order Date Fixed]],"MMM")</f>
        <v>Jun</v>
      </c>
      <c r="J807">
        <f>YEAR(Europe_Sales_Records34[[#This Row],[Order Date Fixed]])</f>
        <v>2010</v>
      </c>
      <c r="K807" t="str">
        <f>TEXT(Europe_Sales_Records34[[#This Row],[Order Date Fixed]],"MMM-YYYY")</f>
        <v>Jun-2010</v>
      </c>
      <c r="L807">
        <v>245556294</v>
      </c>
      <c r="M807" s="2">
        <f t="shared" si="25"/>
        <v>40354</v>
      </c>
      <c r="N807">
        <f>DAY(Europe_Sales_Records34[[#This Row],[Ship Date Fixed]])</f>
        <v>25</v>
      </c>
      <c r="O807" t="str">
        <f>TEXT(Europe_Sales_Records34[[#This Row],[Ship Date Fixed]],"MMM")</f>
        <v>Jun</v>
      </c>
      <c r="P807">
        <f>YEAR(Europe_Sales_Records34[[#This Row],[Ship Date Fixed]])</f>
        <v>2010</v>
      </c>
      <c r="Q807" t="str">
        <f>TEXT(Europe_Sales_Records34[[#This Row],[Ship Date Fixed]],"MMM-YYYY")</f>
        <v>Jun-2010</v>
      </c>
      <c r="R807" t="s">
        <v>1323</v>
      </c>
      <c r="S807" s="3">
        <f>Europe_Sales_Records34[[#This Row],[Ship Date Fixed]]-Europe_Sales_Records34[[#This Row],[Order Date Fixed]]</f>
        <v>20</v>
      </c>
      <c r="T807">
        <v>4419</v>
      </c>
      <c r="U807">
        <v>81.73</v>
      </c>
      <c r="V807">
        <v>56.67</v>
      </c>
      <c r="W807">
        <f>Europe_Sales_Records34[[#This Row],[Total Revenue]]/Europe_Sales_Records34[[#This Row],[Units Sold]]</f>
        <v>81.73</v>
      </c>
      <c r="X807">
        <v>361164.87</v>
      </c>
      <c r="Y807">
        <v>250424.73</v>
      </c>
      <c r="Z807" s="4">
        <f>Europe_Sales_Records34[[#This Row],[Total Profit]]/Europe_Sales_Records34[[#This Row],[Total Revenue]]</f>
        <v>0.30661935641747218</v>
      </c>
      <c r="AA807">
        <v>110740.14</v>
      </c>
    </row>
    <row r="808" spans="1:27" x14ac:dyDescent="0.3">
      <c r="A808" t="s">
        <v>14</v>
      </c>
      <c r="B808" t="s">
        <v>80</v>
      </c>
      <c r="C808" t="s">
        <v>102</v>
      </c>
      <c r="D808" t="s">
        <v>23</v>
      </c>
      <c r="E808" t="s">
        <v>33</v>
      </c>
      <c r="F808" t="s">
        <v>1251</v>
      </c>
      <c r="G808" s="2">
        <f t="shared" si="24"/>
        <v>41666</v>
      </c>
      <c r="H808">
        <f>DAY(Europe_Sales_Records34[[#This Row],[Order Date Fixed]])</f>
        <v>27</v>
      </c>
      <c r="I808" t="str">
        <f>TEXT(Europe_Sales_Records34[[#This Row],[Order Date Fixed]],"MMM")</f>
        <v>Jan</v>
      </c>
      <c r="J808">
        <f>YEAR(Europe_Sales_Records34[[#This Row],[Order Date Fixed]])</f>
        <v>2014</v>
      </c>
      <c r="K808" t="str">
        <f>TEXT(Europe_Sales_Records34[[#This Row],[Order Date Fixed]],"MMM-YYYY")</f>
        <v>Jan-2014</v>
      </c>
      <c r="L808">
        <v>716411006</v>
      </c>
      <c r="M808" s="2">
        <f t="shared" si="25"/>
        <v>41687</v>
      </c>
      <c r="N808">
        <f>DAY(Europe_Sales_Records34[[#This Row],[Ship Date Fixed]])</f>
        <v>17</v>
      </c>
      <c r="O808" t="str">
        <f>TEXT(Europe_Sales_Records34[[#This Row],[Ship Date Fixed]],"MMM")</f>
        <v>Feb</v>
      </c>
      <c r="P808">
        <f>YEAR(Europe_Sales_Records34[[#This Row],[Ship Date Fixed]])</f>
        <v>2014</v>
      </c>
      <c r="Q808" t="str">
        <f>TEXT(Europe_Sales_Records34[[#This Row],[Ship Date Fixed]],"MMM-YYYY")</f>
        <v>Feb-2014</v>
      </c>
      <c r="R808" t="s">
        <v>750</v>
      </c>
      <c r="S808" s="3">
        <f>Europe_Sales_Records34[[#This Row],[Ship Date Fixed]]-Europe_Sales_Records34[[#This Row],[Order Date Fixed]]</f>
        <v>21</v>
      </c>
      <c r="T808">
        <v>792</v>
      </c>
      <c r="U808">
        <v>81.73</v>
      </c>
      <c r="V808">
        <v>56.67</v>
      </c>
      <c r="W808">
        <f>Europe_Sales_Records34[[#This Row],[Total Revenue]]/Europe_Sales_Records34[[#This Row],[Units Sold]]</f>
        <v>81.73</v>
      </c>
      <c r="X808">
        <v>64730.16</v>
      </c>
      <c r="Y808">
        <v>44882.64</v>
      </c>
      <c r="Z808" s="4">
        <f>Europe_Sales_Records34[[#This Row],[Total Profit]]/Europe_Sales_Records34[[#This Row],[Total Revenue]]</f>
        <v>0.30661935641747218</v>
      </c>
      <c r="AA808">
        <v>19847.52</v>
      </c>
    </row>
    <row r="809" spans="1:27" x14ac:dyDescent="0.3">
      <c r="A809" t="s">
        <v>14</v>
      </c>
      <c r="B809" t="s">
        <v>92</v>
      </c>
      <c r="C809" t="s">
        <v>32</v>
      </c>
      <c r="D809" t="s">
        <v>23</v>
      </c>
      <c r="E809" t="s">
        <v>24</v>
      </c>
      <c r="F809" t="s">
        <v>1245</v>
      </c>
      <c r="G809" s="2">
        <f t="shared" si="24"/>
        <v>42309</v>
      </c>
      <c r="H809">
        <f>DAY(Europe_Sales_Records34[[#This Row],[Order Date Fixed]])</f>
        <v>1</v>
      </c>
      <c r="I809" t="str">
        <f>TEXT(Europe_Sales_Records34[[#This Row],[Order Date Fixed]],"MMM")</f>
        <v>Nov</v>
      </c>
      <c r="J809">
        <f>YEAR(Europe_Sales_Records34[[#This Row],[Order Date Fixed]])</f>
        <v>2015</v>
      </c>
      <c r="K809" t="str">
        <f>TEXT(Europe_Sales_Records34[[#This Row],[Order Date Fixed]],"MMM-YYYY")</f>
        <v>Nov-2015</v>
      </c>
      <c r="L809">
        <v>186597907</v>
      </c>
      <c r="M809" s="2">
        <f t="shared" si="25"/>
        <v>42353</v>
      </c>
      <c r="N809">
        <f>DAY(Europe_Sales_Records34[[#This Row],[Ship Date Fixed]])</f>
        <v>15</v>
      </c>
      <c r="O809" t="str">
        <f>TEXT(Europe_Sales_Records34[[#This Row],[Ship Date Fixed]],"MMM")</f>
        <v>Dec</v>
      </c>
      <c r="P809">
        <f>YEAR(Europe_Sales_Records34[[#This Row],[Ship Date Fixed]])</f>
        <v>2015</v>
      </c>
      <c r="Q809" t="str">
        <f>TEXT(Europe_Sales_Records34[[#This Row],[Ship Date Fixed]],"MMM-YYYY")</f>
        <v>Dec-2015</v>
      </c>
      <c r="R809" t="s">
        <v>1324</v>
      </c>
      <c r="S809" s="3">
        <f>Europe_Sales_Records34[[#This Row],[Ship Date Fixed]]-Europe_Sales_Records34[[#This Row],[Order Date Fixed]]</f>
        <v>44</v>
      </c>
      <c r="T809">
        <v>7322</v>
      </c>
      <c r="U809">
        <v>651.21</v>
      </c>
      <c r="V809">
        <v>524.96</v>
      </c>
      <c r="W809">
        <f>Europe_Sales_Records34[[#This Row],[Total Revenue]]/Europe_Sales_Records34[[#This Row],[Units Sold]]</f>
        <v>651.21</v>
      </c>
      <c r="X809">
        <v>4768159.62</v>
      </c>
      <c r="Y809">
        <v>3843757.12</v>
      </c>
      <c r="Z809" s="4">
        <f>Europe_Sales_Records34[[#This Row],[Total Profit]]/Europe_Sales_Records34[[#This Row],[Total Revenue]]</f>
        <v>0.19386987300563566</v>
      </c>
      <c r="AA809">
        <v>924402.5</v>
      </c>
    </row>
    <row r="810" spans="1:27" x14ac:dyDescent="0.3">
      <c r="A810" t="s">
        <v>14</v>
      </c>
      <c r="B810" t="s">
        <v>122</v>
      </c>
      <c r="C810" t="s">
        <v>46</v>
      </c>
      <c r="D810" t="s">
        <v>23</v>
      </c>
      <c r="E810" t="s">
        <v>33</v>
      </c>
      <c r="F810" t="s">
        <v>1325</v>
      </c>
      <c r="G810" s="2">
        <f t="shared" si="24"/>
        <v>42505</v>
      </c>
      <c r="H810">
        <f>DAY(Europe_Sales_Records34[[#This Row],[Order Date Fixed]])</f>
        <v>15</v>
      </c>
      <c r="I810" t="str">
        <f>TEXT(Europe_Sales_Records34[[#This Row],[Order Date Fixed]],"MMM")</f>
        <v>May</v>
      </c>
      <c r="J810">
        <f>YEAR(Europe_Sales_Records34[[#This Row],[Order Date Fixed]])</f>
        <v>2016</v>
      </c>
      <c r="K810" t="str">
        <f>TEXT(Europe_Sales_Records34[[#This Row],[Order Date Fixed]],"MMM-YYYY")</f>
        <v>May-2016</v>
      </c>
      <c r="L810">
        <v>848737466</v>
      </c>
      <c r="M810" s="2">
        <f t="shared" si="25"/>
        <v>42521</v>
      </c>
      <c r="N810">
        <f>DAY(Europe_Sales_Records34[[#This Row],[Ship Date Fixed]])</f>
        <v>31</v>
      </c>
      <c r="O810" t="str">
        <f>TEXT(Europe_Sales_Records34[[#This Row],[Ship Date Fixed]],"MMM")</f>
        <v>May</v>
      </c>
      <c r="P810">
        <f>YEAR(Europe_Sales_Records34[[#This Row],[Ship Date Fixed]])</f>
        <v>2016</v>
      </c>
      <c r="Q810" t="str">
        <f>TEXT(Europe_Sales_Records34[[#This Row],[Ship Date Fixed]],"MMM-YYYY")</f>
        <v>May-2016</v>
      </c>
      <c r="R810" t="s">
        <v>1326</v>
      </c>
      <c r="S810" s="3">
        <f>Europe_Sales_Records34[[#This Row],[Ship Date Fixed]]-Europe_Sales_Records34[[#This Row],[Order Date Fixed]]</f>
        <v>16</v>
      </c>
      <c r="T810">
        <v>9132</v>
      </c>
      <c r="U810">
        <v>154.06</v>
      </c>
      <c r="V810">
        <v>90.93</v>
      </c>
      <c r="W810">
        <f>Europe_Sales_Records34[[#This Row],[Total Revenue]]/Europe_Sales_Records34[[#This Row],[Units Sold]]</f>
        <v>154.06</v>
      </c>
      <c r="X810">
        <v>1406875.92</v>
      </c>
      <c r="Y810">
        <v>830372.76</v>
      </c>
      <c r="Z810" s="4">
        <f>Europe_Sales_Records34[[#This Row],[Total Profit]]/Europe_Sales_Records34[[#This Row],[Total Revenue]]</f>
        <v>0.40977541217707392</v>
      </c>
      <c r="AA810">
        <v>576503.16</v>
      </c>
    </row>
    <row r="811" spans="1:27" x14ac:dyDescent="0.3">
      <c r="A811" t="s">
        <v>14</v>
      </c>
      <c r="B811" t="s">
        <v>163</v>
      </c>
      <c r="C811" t="s">
        <v>32</v>
      </c>
      <c r="D811" t="s">
        <v>23</v>
      </c>
      <c r="E811" t="s">
        <v>54</v>
      </c>
      <c r="F811" t="s">
        <v>1327</v>
      </c>
      <c r="G811" s="2">
        <f t="shared" si="24"/>
        <v>41574</v>
      </c>
      <c r="H811">
        <f>DAY(Europe_Sales_Records34[[#This Row],[Order Date Fixed]])</f>
        <v>27</v>
      </c>
      <c r="I811" t="str">
        <f>TEXT(Europe_Sales_Records34[[#This Row],[Order Date Fixed]],"MMM")</f>
        <v>Oct</v>
      </c>
      <c r="J811">
        <f>YEAR(Europe_Sales_Records34[[#This Row],[Order Date Fixed]])</f>
        <v>2013</v>
      </c>
      <c r="K811" t="str">
        <f>TEXT(Europe_Sales_Records34[[#This Row],[Order Date Fixed]],"MMM-YYYY")</f>
        <v>Oct-2013</v>
      </c>
      <c r="L811">
        <v>130754315</v>
      </c>
      <c r="M811" s="2">
        <f t="shared" si="25"/>
        <v>41580</v>
      </c>
      <c r="N811">
        <f>DAY(Europe_Sales_Records34[[#This Row],[Ship Date Fixed]])</f>
        <v>2</v>
      </c>
      <c r="O811" t="str">
        <f>TEXT(Europe_Sales_Records34[[#This Row],[Ship Date Fixed]],"MMM")</f>
        <v>Nov</v>
      </c>
      <c r="P811">
        <f>YEAR(Europe_Sales_Records34[[#This Row],[Ship Date Fixed]])</f>
        <v>2013</v>
      </c>
      <c r="Q811" t="str">
        <f>TEXT(Europe_Sales_Records34[[#This Row],[Ship Date Fixed]],"MMM-YYYY")</f>
        <v>Nov-2013</v>
      </c>
      <c r="R811" t="s">
        <v>489</v>
      </c>
      <c r="S811" s="3">
        <f>Europe_Sales_Records34[[#This Row],[Ship Date Fixed]]-Europe_Sales_Records34[[#This Row],[Order Date Fixed]]</f>
        <v>6</v>
      </c>
      <c r="T811">
        <v>1962</v>
      </c>
      <c r="U811">
        <v>651.21</v>
      </c>
      <c r="V811">
        <v>524.96</v>
      </c>
      <c r="W811">
        <f>Europe_Sales_Records34[[#This Row],[Total Revenue]]/Europe_Sales_Records34[[#This Row],[Units Sold]]</f>
        <v>651.21</v>
      </c>
      <c r="X811">
        <v>1277674.02</v>
      </c>
      <c r="Y811">
        <v>1029971.52</v>
      </c>
      <c r="Z811" s="4">
        <f>Europe_Sales_Records34[[#This Row],[Total Profit]]/Europe_Sales_Records34[[#This Row],[Total Revenue]]</f>
        <v>0.19386987300563566</v>
      </c>
      <c r="AA811">
        <v>247702.5</v>
      </c>
    </row>
    <row r="812" spans="1:27" x14ac:dyDescent="0.3">
      <c r="A812" t="s">
        <v>14</v>
      </c>
      <c r="B812" t="s">
        <v>67</v>
      </c>
      <c r="C812" t="s">
        <v>32</v>
      </c>
      <c r="D812" t="s">
        <v>17</v>
      </c>
      <c r="E812" t="s">
        <v>24</v>
      </c>
      <c r="F812" t="s">
        <v>1328</v>
      </c>
      <c r="G812" s="2">
        <f t="shared" si="24"/>
        <v>40576</v>
      </c>
      <c r="H812">
        <f>DAY(Europe_Sales_Records34[[#This Row],[Order Date Fixed]])</f>
        <v>2</v>
      </c>
      <c r="I812" t="str">
        <f>TEXT(Europe_Sales_Records34[[#This Row],[Order Date Fixed]],"MMM")</f>
        <v>Feb</v>
      </c>
      <c r="J812">
        <f>YEAR(Europe_Sales_Records34[[#This Row],[Order Date Fixed]])</f>
        <v>2011</v>
      </c>
      <c r="K812" t="str">
        <f>TEXT(Europe_Sales_Records34[[#This Row],[Order Date Fixed]],"MMM-YYYY")</f>
        <v>Feb-2011</v>
      </c>
      <c r="L812">
        <v>719293630</v>
      </c>
      <c r="M812" s="2">
        <f t="shared" si="25"/>
        <v>40599</v>
      </c>
      <c r="N812">
        <f>DAY(Europe_Sales_Records34[[#This Row],[Ship Date Fixed]])</f>
        <v>25</v>
      </c>
      <c r="O812" t="str">
        <f>TEXT(Europe_Sales_Records34[[#This Row],[Ship Date Fixed]],"MMM")</f>
        <v>Feb</v>
      </c>
      <c r="P812">
        <f>YEAR(Europe_Sales_Records34[[#This Row],[Ship Date Fixed]])</f>
        <v>2011</v>
      </c>
      <c r="Q812" t="str">
        <f>TEXT(Europe_Sales_Records34[[#This Row],[Ship Date Fixed]],"MMM-YYYY")</f>
        <v>Feb-2011</v>
      </c>
      <c r="R812" t="s">
        <v>186</v>
      </c>
      <c r="S812" s="3">
        <f>Europe_Sales_Records34[[#This Row],[Ship Date Fixed]]-Europe_Sales_Records34[[#This Row],[Order Date Fixed]]</f>
        <v>23</v>
      </c>
      <c r="T812">
        <v>3824</v>
      </c>
      <c r="U812">
        <v>651.21</v>
      </c>
      <c r="V812">
        <v>524.96</v>
      </c>
      <c r="W812">
        <f>Europe_Sales_Records34[[#This Row],[Total Revenue]]/Europe_Sales_Records34[[#This Row],[Units Sold]]</f>
        <v>651.21</v>
      </c>
      <c r="X812">
        <v>2490227.04</v>
      </c>
      <c r="Y812">
        <v>2007447.04</v>
      </c>
      <c r="Z812" s="4">
        <f>Europe_Sales_Records34[[#This Row],[Total Profit]]/Europe_Sales_Records34[[#This Row],[Total Revenue]]</f>
        <v>0.19386987300563566</v>
      </c>
      <c r="AA812">
        <v>482780</v>
      </c>
    </row>
    <row r="813" spans="1:27" x14ac:dyDescent="0.3">
      <c r="A813" t="s">
        <v>14</v>
      </c>
      <c r="B813" t="s">
        <v>132</v>
      </c>
      <c r="C813" t="s">
        <v>32</v>
      </c>
      <c r="D813" t="s">
        <v>17</v>
      </c>
      <c r="E813" t="s">
        <v>18</v>
      </c>
      <c r="F813" t="s">
        <v>1329</v>
      </c>
      <c r="G813" s="2">
        <f t="shared" si="24"/>
        <v>40670</v>
      </c>
      <c r="H813">
        <f>DAY(Europe_Sales_Records34[[#This Row],[Order Date Fixed]])</f>
        <v>7</v>
      </c>
      <c r="I813" t="str">
        <f>TEXT(Europe_Sales_Records34[[#This Row],[Order Date Fixed]],"MMM")</f>
        <v>May</v>
      </c>
      <c r="J813">
        <f>YEAR(Europe_Sales_Records34[[#This Row],[Order Date Fixed]])</f>
        <v>2011</v>
      </c>
      <c r="K813" t="str">
        <f>TEXT(Europe_Sales_Records34[[#This Row],[Order Date Fixed]],"MMM-YYYY")</f>
        <v>May-2011</v>
      </c>
      <c r="L813">
        <v>616775310</v>
      </c>
      <c r="M813" s="2">
        <f t="shared" si="25"/>
        <v>40687</v>
      </c>
      <c r="N813">
        <f>DAY(Europe_Sales_Records34[[#This Row],[Ship Date Fixed]])</f>
        <v>24</v>
      </c>
      <c r="O813" t="str">
        <f>TEXT(Europe_Sales_Records34[[#This Row],[Ship Date Fixed]],"MMM")</f>
        <v>May</v>
      </c>
      <c r="P813">
        <f>YEAR(Europe_Sales_Records34[[#This Row],[Ship Date Fixed]])</f>
        <v>2011</v>
      </c>
      <c r="Q813" t="str">
        <f>TEXT(Europe_Sales_Records34[[#This Row],[Ship Date Fixed]],"MMM-YYYY")</f>
        <v>May-2011</v>
      </c>
      <c r="R813" t="s">
        <v>1002</v>
      </c>
      <c r="S813" s="3">
        <f>Europe_Sales_Records34[[#This Row],[Ship Date Fixed]]-Europe_Sales_Records34[[#This Row],[Order Date Fixed]]</f>
        <v>17</v>
      </c>
      <c r="T813">
        <v>6375</v>
      </c>
      <c r="U813">
        <v>651.21</v>
      </c>
      <c r="V813">
        <v>524.96</v>
      </c>
      <c r="W813">
        <f>Europe_Sales_Records34[[#This Row],[Total Revenue]]/Europe_Sales_Records34[[#This Row],[Units Sold]]</f>
        <v>651.21</v>
      </c>
      <c r="X813">
        <v>4151463.75</v>
      </c>
      <c r="Y813">
        <v>3346620</v>
      </c>
      <c r="Z813" s="4">
        <f>Europe_Sales_Records34[[#This Row],[Total Profit]]/Europe_Sales_Records34[[#This Row],[Total Revenue]]</f>
        <v>0.19386987300563566</v>
      </c>
      <c r="AA813">
        <v>804843.75</v>
      </c>
    </row>
    <row r="814" spans="1:27" x14ac:dyDescent="0.3">
      <c r="A814" t="s">
        <v>14</v>
      </c>
      <c r="B814" t="s">
        <v>53</v>
      </c>
      <c r="C814" t="s">
        <v>37</v>
      </c>
      <c r="D814" t="s">
        <v>17</v>
      </c>
      <c r="E814" t="s">
        <v>33</v>
      </c>
      <c r="F814" t="s">
        <v>170</v>
      </c>
      <c r="G814" s="2">
        <f t="shared" si="24"/>
        <v>40441</v>
      </c>
      <c r="H814">
        <f>DAY(Europe_Sales_Records34[[#This Row],[Order Date Fixed]])</f>
        <v>20</v>
      </c>
      <c r="I814" t="str">
        <f>TEXT(Europe_Sales_Records34[[#This Row],[Order Date Fixed]],"MMM")</f>
        <v>Sep</v>
      </c>
      <c r="J814">
        <f>YEAR(Europe_Sales_Records34[[#This Row],[Order Date Fixed]])</f>
        <v>2010</v>
      </c>
      <c r="K814" t="str">
        <f>TEXT(Europe_Sales_Records34[[#This Row],[Order Date Fixed]],"MMM-YYYY")</f>
        <v>Sep-2010</v>
      </c>
      <c r="L814">
        <v>591287887</v>
      </c>
      <c r="M814" s="2">
        <f t="shared" si="25"/>
        <v>40453</v>
      </c>
      <c r="N814">
        <f>DAY(Europe_Sales_Records34[[#This Row],[Ship Date Fixed]])</f>
        <v>2</v>
      </c>
      <c r="O814" t="str">
        <f>TEXT(Europe_Sales_Records34[[#This Row],[Ship Date Fixed]],"MMM")</f>
        <v>Oct</v>
      </c>
      <c r="P814">
        <f>YEAR(Europe_Sales_Records34[[#This Row],[Ship Date Fixed]])</f>
        <v>2010</v>
      </c>
      <c r="Q814" t="str">
        <f>TEXT(Europe_Sales_Records34[[#This Row],[Ship Date Fixed]],"MMM-YYYY")</f>
        <v>Oct-2010</v>
      </c>
      <c r="R814" t="s">
        <v>1330</v>
      </c>
      <c r="S814" s="3">
        <f>Europe_Sales_Records34[[#This Row],[Ship Date Fixed]]-Europe_Sales_Records34[[#This Row],[Order Date Fixed]]</f>
        <v>12</v>
      </c>
      <c r="T814">
        <v>4080</v>
      </c>
      <c r="U814">
        <v>9.33</v>
      </c>
      <c r="V814">
        <v>6.92</v>
      </c>
      <c r="W814">
        <f>Europe_Sales_Records34[[#This Row],[Total Revenue]]/Europe_Sales_Records34[[#This Row],[Units Sold]]</f>
        <v>9.33</v>
      </c>
      <c r="X814">
        <v>38066.400000000001</v>
      </c>
      <c r="Y814">
        <v>28233.599999999999</v>
      </c>
      <c r="Z814" s="4">
        <f>Europe_Sales_Records34[[#This Row],[Total Profit]]/Europe_Sales_Records34[[#This Row],[Total Revenue]]</f>
        <v>0.25830653804930331</v>
      </c>
      <c r="AA814">
        <v>9832.7999999999993</v>
      </c>
    </row>
    <row r="815" spans="1:27" x14ac:dyDescent="0.3">
      <c r="A815" t="s">
        <v>14</v>
      </c>
      <c r="B815" t="s">
        <v>185</v>
      </c>
      <c r="C815" t="s">
        <v>22</v>
      </c>
      <c r="D815" t="s">
        <v>23</v>
      </c>
      <c r="E815" t="s">
        <v>24</v>
      </c>
      <c r="F815" t="s">
        <v>1331</v>
      </c>
      <c r="G815" s="2">
        <f t="shared" si="24"/>
        <v>40286</v>
      </c>
      <c r="H815">
        <f>DAY(Europe_Sales_Records34[[#This Row],[Order Date Fixed]])</f>
        <v>18</v>
      </c>
      <c r="I815" t="str">
        <f>TEXT(Europe_Sales_Records34[[#This Row],[Order Date Fixed]],"MMM")</f>
        <v>Apr</v>
      </c>
      <c r="J815">
        <f>YEAR(Europe_Sales_Records34[[#This Row],[Order Date Fixed]])</f>
        <v>2010</v>
      </c>
      <c r="K815" t="str">
        <f>TEXT(Europe_Sales_Records34[[#This Row],[Order Date Fixed]],"MMM-YYYY")</f>
        <v>Apr-2010</v>
      </c>
      <c r="L815">
        <v>334539973</v>
      </c>
      <c r="M815" s="2">
        <f t="shared" si="25"/>
        <v>40309</v>
      </c>
      <c r="N815">
        <f>DAY(Europe_Sales_Records34[[#This Row],[Ship Date Fixed]])</f>
        <v>11</v>
      </c>
      <c r="O815" t="str">
        <f>TEXT(Europe_Sales_Records34[[#This Row],[Ship Date Fixed]],"MMM")</f>
        <v>May</v>
      </c>
      <c r="P815">
        <f>YEAR(Europe_Sales_Records34[[#This Row],[Ship Date Fixed]])</f>
        <v>2010</v>
      </c>
      <c r="Q815" t="str">
        <f>TEXT(Europe_Sales_Records34[[#This Row],[Ship Date Fixed]],"MMM-YYYY")</f>
        <v>May-2010</v>
      </c>
      <c r="R815" t="s">
        <v>1332</v>
      </c>
      <c r="S815" s="3">
        <f>Europe_Sales_Records34[[#This Row],[Ship Date Fixed]]-Europe_Sales_Records34[[#This Row],[Order Date Fixed]]</f>
        <v>23</v>
      </c>
      <c r="T815">
        <v>6667</v>
      </c>
      <c r="U815">
        <v>109.28</v>
      </c>
      <c r="V815">
        <v>35.840000000000003</v>
      </c>
      <c r="W815">
        <f>Europe_Sales_Records34[[#This Row],[Total Revenue]]/Europe_Sales_Records34[[#This Row],[Units Sold]]</f>
        <v>109.28</v>
      </c>
      <c r="X815">
        <v>728569.76</v>
      </c>
      <c r="Y815">
        <v>238945.28</v>
      </c>
      <c r="Z815" s="4">
        <f>Europe_Sales_Records34[[#This Row],[Total Profit]]/Europe_Sales_Records34[[#This Row],[Total Revenue]]</f>
        <v>0.67203513909224011</v>
      </c>
      <c r="AA815">
        <v>489624.48</v>
      </c>
    </row>
    <row r="816" spans="1:27" x14ac:dyDescent="0.3">
      <c r="A816" t="s">
        <v>14</v>
      </c>
      <c r="B816" t="s">
        <v>264</v>
      </c>
      <c r="C816" t="s">
        <v>58</v>
      </c>
      <c r="D816" t="s">
        <v>17</v>
      </c>
      <c r="E816" t="s">
        <v>18</v>
      </c>
      <c r="F816" t="s">
        <v>413</v>
      </c>
      <c r="G816" s="2">
        <f t="shared" si="24"/>
        <v>42385</v>
      </c>
      <c r="H816">
        <f>DAY(Europe_Sales_Records34[[#This Row],[Order Date Fixed]])</f>
        <v>16</v>
      </c>
      <c r="I816" t="str">
        <f>TEXT(Europe_Sales_Records34[[#This Row],[Order Date Fixed]],"MMM")</f>
        <v>Jan</v>
      </c>
      <c r="J816">
        <f>YEAR(Europe_Sales_Records34[[#This Row],[Order Date Fixed]])</f>
        <v>2016</v>
      </c>
      <c r="K816" t="str">
        <f>TEXT(Europe_Sales_Records34[[#This Row],[Order Date Fixed]],"MMM-YYYY")</f>
        <v>Jan-2016</v>
      </c>
      <c r="L816">
        <v>403665006</v>
      </c>
      <c r="M816" s="2">
        <f t="shared" si="25"/>
        <v>42419</v>
      </c>
      <c r="N816">
        <f>DAY(Europe_Sales_Records34[[#This Row],[Ship Date Fixed]])</f>
        <v>19</v>
      </c>
      <c r="O816" t="str">
        <f>TEXT(Europe_Sales_Records34[[#This Row],[Ship Date Fixed]],"MMM")</f>
        <v>Feb</v>
      </c>
      <c r="P816">
        <f>YEAR(Europe_Sales_Records34[[#This Row],[Ship Date Fixed]])</f>
        <v>2016</v>
      </c>
      <c r="Q816" t="str">
        <f>TEXT(Europe_Sales_Records34[[#This Row],[Ship Date Fixed]],"MMM-YYYY")</f>
        <v>Feb-2016</v>
      </c>
      <c r="R816" t="s">
        <v>727</v>
      </c>
      <c r="S816" s="3">
        <f>Europe_Sales_Records34[[#This Row],[Ship Date Fixed]]-Europe_Sales_Records34[[#This Row],[Order Date Fixed]]</f>
        <v>34</v>
      </c>
      <c r="T816">
        <v>2300</v>
      </c>
      <c r="U816">
        <v>152.58000000000001</v>
      </c>
      <c r="V816">
        <v>97.44</v>
      </c>
      <c r="W816">
        <f>Europe_Sales_Records34[[#This Row],[Total Revenue]]/Europe_Sales_Records34[[#This Row],[Units Sold]]</f>
        <v>152.58000000000001</v>
      </c>
      <c r="X816">
        <v>350934</v>
      </c>
      <c r="Y816">
        <v>224112</v>
      </c>
      <c r="Z816" s="4">
        <f>Europe_Sales_Records34[[#This Row],[Total Profit]]/Europe_Sales_Records34[[#This Row],[Total Revenue]]</f>
        <v>0.36138419189933152</v>
      </c>
      <c r="AA816">
        <v>126822</v>
      </c>
    </row>
    <row r="817" spans="1:27" x14ac:dyDescent="0.3">
      <c r="A817" t="s">
        <v>14</v>
      </c>
      <c r="B817" t="s">
        <v>89</v>
      </c>
      <c r="C817" t="s">
        <v>75</v>
      </c>
      <c r="D817" t="s">
        <v>17</v>
      </c>
      <c r="E817" t="s">
        <v>54</v>
      </c>
      <c r="F817" t="s">
        <v>1333</v>
      </c>
      <c r="G817" s="2">
        <f t="shared" si="24"/>
        <v>40646</v>
      </c>
      <c r="H817">
        <f>DAY(Europe_Sales_Records34[[#This Row],[Order Date Fixed]])</f>
        <v>13</v>
      </c>
      <c r="I817" t="str">
        <f>TEXT(Europe_Sales_Records34[[#This Row],[Order Date Fixed]],"MMM")</f>
        <v>Apr</v>
      </c>
      <c r="J817">
        <f>YEAR(Europe_Sales_Records34[[#This Row],[Order Date Fixed]])</f>
        <v>2011</v>
      </c>
      <c r="K817" t="str">
        <f>TEXT(Europe_Sales_Records34[[#This Row],[Order Date Fixed]],"MMM-YYYY")</f>
        <v>Apr-2011</v>
      </c>
      <c r="L817">
        <v>892042911</v>
      </c>
      <c r="M817" s="2">
        <f t="shared" si="25"/>
        <v>40675</v>
      </c>
      <c r="N817">
        <f>DAY(Europe_Sales_Records34[[#This Row],[Ship Date Fixed]])</f>
        <v>12</v>
      </c>
      <c r="O817" t="str">
        <f>TEXT(Europe_Sales_Records34[[#This Row],[Ship Date Fixed]],"MMM")</f>
        <v>May</v>
      </c>
      <c r="P817">
        <f>YEAR(Europe_Sales_Records34[[#This Row],[Ship Date Fixed]])</f>
        <v>2011</v>
      </c>
      <c r="Q817" t="str">
        <f>TEXT(Europe_Sales_Records34[[#This Row],[Ship Date Fixed]],"MMM-YYYY")</f>
        <v>May-2011</v>
      </c>
      <c r="R817" t="s">
        <v>1334</v>
      </c>
      <c r="S817" s="3">
        <f>Europe_Sales_Records34[[#This Row],[Ship Date Fixed]]-Europe_Sales_Records34[[#This Row],[Order Date Fixed]]</f>
        <v>29</v>
      </c>
      <c r="T817">
        <v>4175</v>
      </c>
      <c r="U817">
        <v>437.2</v>
      </c>
      <c r="V817">
        <v>263.33</v>
      </c>
      <c r="W817">
        <f>Europe_Sales_Records34[[#This Row],[Total Revenue]]/Europe_Sales_Records34[[#This Row],[Units Sold]]</f>
        <v>437.2</v>
      </c>
      <c r="X817">
        <v>1825310</v>
      </c>
      <c r="Y817">
        <v>1099402.75</v>
      </c>
      <c r="Z817" s="4">
        <f>Europe_Sales_Records34[[#This Row],[Total Profit]]/Europe_Sales_Records34[[#This Row],[Total Revenue]]</f>
        <v>0.39768984446477584</v>
      </c>
      <c r="AA817">
        <v>725907.25</v>
      </c>
    </row>
    <row r="818" spans="1:27" x14ac:dyDescent="0.3">
      <c r="A818" t="s">
        <v>14</v>
      </c>
      <c r="B818" t="s">
        <v>94</v>
      </c>
      <c r="C818" t="s">
        <v>71</v>
      </c>
      <c r="D818" t="s">
        <v>23</v>
      </c>
      <c r="E818" t="s">
        <v>18</v>
      </c>
      <c r="F818" t="s">
        <v>1335</v>
      </c>
      <c r="G818" s="2">
        <f t="shared" si="24"/>
        <v>42581</v>
      </c>
      <c r="H818">
        <f>DAY(Europe_Sales_Records34[[#This Row],[Order Date Fixed]])</f>
        <v>30</v>
      </c>
      <c r="I818" t="str">
        <f>TEXT(Europe_Sales_Records34[[#This Row],[Order Date Fixed]],"MMM")</f>
        <v>Jul</v>
      </c>
      <c r="J818">
        <f>YEAR(Europe_Sales_Records34[[#This Row],[Order Date Fixed]])</f>
        <v>2016</v>
      </c>
      <c r="K818" t="str">
        <f>TEXT(Europe_Sales_Records34[[#This Row],[Order Date Fixed]],"MMM-YYYY")</f>
        <v>Jul-2016</v>
      </c>
      <c r="L818">
        <v>394356667</v>
      </c>
      <c r="M818" s="2">
        <f t="shared" si="25"/>
        <v>42586</v>
      </c>
      <c r="N818">
        <f>DAY(Europe_Sales_Records34[[#This Row],[Ship Date Fixed]])</f>
        <v>4</v>
      </c>
      <c r="O818" t="str">
        <f>TEXT(Europe_Sales_Records34[[#This Row],[Ship Date Fixed]],"MMM")</f>
        <v>Aug</v>
      </c>
      <c r="P818">
        <f>YEAR(Europe_Sales_Records34[[#This Row],[Ship Date Fixed]])</f>
        <v>2016</v>
      </c>
      <c r="Q818" t="str">
        <f>TEXT(Europe_Sales_Records34[[#This Row],[Ship Date Fixed]],"MMM-YYYY")</f>
        <v>Aug-2016</v>
      </c>
      <c r="R818" t="s">
        <v>1336</v>
      </c>
      <c r="S818" s="3">
        <f>Europe_Sales_Records34[[#This Row],[Ship Date Fixed]]-Europe_Sales_Records34[[#This Row],[Order Date Fixed]]</f>
        <v>5</v>
      </c>
      <c r="T818">
        <v>7756</v>
      </c>
      <c r="U818">
        <v>668.27</v>
      </c>
      <c r="V818">
        <v>502.54</v>
      </c>
      <c r="W818">
        <f>Europe_Sales_Records34[[#This Row],[Total Revenue]]/Europe_Sales_Records34[[#This Row],[Units Sold]]</f>
        <v>668.27</v>
      </c>
      <c r="X818">
        <v>5183102.12</v>
      </c>
      <c r="Y818">
        <v>3897700.24</v>
      </c>
      <c r="Z818" s="4">
        <f>Europe_Sales_Records34[[#This Row],[Total Profit]]/Europe_Sales_Records34[[#This Row],[Total Revenue]]</f>
        <v>0.24799856345489096</v>
      </c>
      <c r="AA818">
        <v>1285401.8799999999</v>
      </c>
    </row>
    <row r="819" spans="1:27" x14ac:dyDescent="0.3">
      <c r="A819" t="s">
        <v>14</v>
      </c>
      <c r="B819" t="s">
        <v>115</v>
      </c>
      <c r="C819" t="s">
        <v>37</v>
      </c>
      <c r="D819" t="s">
        <v>17</v>
      </c>
      <c r="E819" t="s">
        <v>24</v>
      </c>
      <c r="F819" t="s">
        <v>1007</v>
      </c>
      <c r="G819" s="2">
        <f t="shared" si="24"/>
        <v>41028</v>
      </c>
      <c r="H819">
        <f>DAY(Europe_Sales_Records34[[#This Row],[Order Date Fixed]])</f>
        <v>29</v>
      </c>
      <c r="I819" t="str">
        <f>TEXT(Europe_Sales_Records34[[#This Row],[Order Date Fixed]],"MMM")</f>
        <v>Apr</v>
      </c>
      <c r="J819">
        <f>YEAR(Europe_Sales_Records34[[#This Row],[Order Date Fixed]])</f>
        <v>2012</v>
      </c>
      <c r="K819" t="str">
        <f>TEXT(Europe_Sales_Records34[[#This Row],[Order Date Fixed]],"MMM-YYYY")</f>
        <v>Apr-2012</v>
      </c>
      <c r="L819">
        <v>752792918</v>
      </c>
      <c r="M819" s="2">
        <f t="shared" si="25"/>
        <v>41041</v>
      </c>
      <c r="N819">
        <f>DAY(Europe_Sales_Records34[[#This Row],[Ship Date Fixed]])</f>
        <v>12</v>
      </c>
      <c r="O819" t="str">
        <f>TEXT(Europe_Sales_Records34[[#This Row],[Ship Date Fixed]],"MMM")</f>
        <v>May</v>
      </c>
      <c r="P819">
        <f>YEAR(Europe_Sales_Records34[[#This Row],[Ship Date Fixed]])</f>
        <v>2012</v>
      </c>
      <c r="Q819" t="str">
        <f>TEXT(Europe_Sales_Records34[[#This Row],[Ship Date Fixed]],"MMM-YYYY")</f>
        <v>May-2012</v>
      </c>
      <c r="R819" t="s">
        <v>1337</v>
      </c>
      <c r="S819" s="3">
        <f>Europe_Sales_Records34[[#This Row],[Ship Date Fixed]]-Europe_Sales_Records34[[#This Row],[Order Date Fixed]]</f>
        <v>13</v>
      </c>
      <c r="T819">
        <v>7008</v>
      </c>
      <c r="U819">
        <v>9.33</v>
      </c>
      <c r="V819">
        <v>6.92</v>
      </c>
      <c r="W819">
        <f>Europe_Sales_Records34[[#This Row],[Total Revenue]]/Europe_Sales_Records34[[#This Row],[Units Sold]]</f>
        <v>9.33</v>
      </c>
      <c r="X819">
        <v>65384.639999999999</v>
      </c>
      <c r="Y819">
        <v>48495.360000000001</v>
      </c>
      <c r="Z819" s="4">
        <f>Europe_Sales_Records34[[#This Row],[Total Profit]]/Europe_Sales_Records34[[#This Row],[Total Revenue]]</f>
        <v>0.25830653804930331</v>
      </c>
      <c r="AA819">
        <v>16889.28</v>
      </c>
    </row>
    <row r="820" spans="1:27" x14ac:dyDescent="0.3">
      <c r="A820" t="s">
        <v>14</v>
      </c>
      <c r="B820" t="s">
        <v>21</v>
      </c>
      <c r="C820" t="s">
        <v>46</v>
      </c>
      <c r="D820" t="s">
        <v>23</v>
      </c>
      <c r="E820" t="s">
        <v>18</v>
      </c>
      <c r="F820" t="s">
        <v>194</v>
      </c>
      <c r="G820" s="2">
        <f t="shared" si="24"/>
        <v>40970</v>
      </c>
      <c r="H820">
        <f>DAY(Europe_Sales_Records34[[#This Row],[Order Date Fixed]])</f>
        <v>2</v>
      </c>
      <c r="I820" t="str">
        <f>TEXT(Europe_Sales_Records34[[#This Row],[Order Date Fixed]],"MMM")</f>
        <v>Mar</v>
      </c>
      <c r="J820">
        <f>YEAR(Europe_Sales_Records34[[#This Row],[Order Date Fixed]])</f>
        <v>2012</v>
      </c>
      <c r="K820" t="str">
        <f>TEXT(Europe_Sales_Records34[[#This Row],[Order Date Fixed]],"MMM-YYYY")</f>
        <v>Mar-2012</v>
      </c>
      <c r="L820">
        <v>760619390</v>
      </c>
      <c r="M820" s="2">
        <f t="shared" si="25"/>
        <v>41015</v>
      </c>
      <c r="N820">
        <f>DAY(Europe_Sales_Records34[[#This Row],[Ship Date Fixed]])</f>
        <v>16</v>
      </c>
      <c r="O820" t="str">
        <f>TEXT(Europe_Sales_Records34[[#This Row],[Ship Date Fixed]],"MMM")</f>
        <v>Apr</v>
      </c>
      <c r="P820">
        <f>YEAR(Europe_Sales_Records34[[#This Row],[Ship Date Fixed]])</f>
        <v>2012</v>
      </c>
      <c r="Q820" t="str">
        <f>TEXT(Europe_Sales_Records34[[#This Row],[Ship Date Fixed]],"MMM-YYYY")</f>
        <v>Apr-2012</v>
      </c>
      <c r="R820" t="s">
        <v>1338</v>
      </c>
      <c r="S820" s="3">
        <f>Europe_Sales_Records34[[#This Row],[Ship Date Fixed]]-Europe_Sales_Records34[[#This Row],[Order Date Fixed]]</f>
        <v>45</v>
      </c>
      <c r="T820">
        <v>3035</v>
      </c>
      <c r="U820">
        <v>154.06</v>
      </c>
      <c r="V820">
        <v>90.93</v>
      </c>
      <c r="W820">
        <f>Europe_Sales_Records34[[#This Row],[Total Revenue]]/Europe_Sales_Records34[[#This Row],[Units Sold]]</f>
        <v>154.06</v>
      </c>
      <c r="X820">
        <v>467572.1</v>
      </c>
      <c r="Y820">
        <v>275972.55</v>
      </c>
      <c r="Z820" s="4">
        <f>Europe_Sales_Records34[[#This Row],[Total Profit]]/Europe_Sales_Records34[[#This Row],[Total Revenue]]</f>
        <v>0.40977541217707386</v>
      </c>
      <c r="AA820">
        <v>191599.55</v>
      </c>
    </row>
    <row r="821" spans="1:27" x14ac:dyDescent="0.3">
      <c r="A821" t="s">
        <v>14</v>
      </c>
      <c r="B821" t="s">
        <v>74</v>
      </c>
      <c r="C821" t="s">
        <v>16</v>
      </c>
      <c r="D821" t="s">
        <v>23</v>
      </c>
      <c r="E821" t="s">
        <v>24</v>
      </c>
      <c r="F821" t="s">
        <v>287</v>
      </c>
      <c r="G821" s="2">
        <f t="shared" si="24"/>
        <v>41689</v>
      </c>
      <c r="H821">
        <f>DAY(Europe_Sales_Records34[[#This Row],[Order Date Fixed]])</f>
        <v>19</v>
      </c>
      <c r="I821" t="str">
        <f>TEXT(Europe_Sales_Records34[[#This Row],[Order Date Fixed]],"MMM")</f>
        <v>Feb</v>
      </c>
      <c r="J821">
        <f>YEAR(Europe_Sales_Records34[[#This Row],[Order Date Fixed]])</f>
        <v>2014</v>
      </c>
      <c r="K821" t="str">
        <f>TEXT(Europe_Sales_Records34[[#This Row],[Order Date Fixed]],"MMM-YYYY")</f>
        <v>Feb-2014</v>
      </c>
      <c r="L821">
        <v>343889510</v>
      </c>
      <c r="M821" s="2">
        <f t="shared" si="25"/>
        <v>41731</v>
      </c>
      <c r="N821">
        <f>DAY(Europe_Sales_Records34[[#This Row],[Ship Date Fixed]])</f>
        <v>2</v>
      </c>
      <c r="O821" t="str">
        <f>TEXT(Europe_Sales_Records34[[#This Row],[Ship Date Fixed]],"MMM")</f>
        <v>Apr</v>
      </c>
      <c r="P821">
        <f>YEAR(Europe_Sales_Records34[[#This Row],[Ship Date Fixed]])</f>
        <v>2014</v>
      </c>
      <c r="Q821" t="str">
        <f>TEXT(Europe_Sales_Records34[[#This Row],[Ship Date Fixed]],"MMM-YYYY")</f>
        <v>Apr-2014</v>
      </c>
      <c r="R821" t="s">
        <v>1339</v>
      </c>
      <c r="S821" s="3">
        <f>Europe_Sales_Records34[[#This Row],[Ship Date Fixed]]-Europe_Sales_Records34[[#This Row],[Order Date Fixed]]</f>
        <v>42</v>
      </c>
      <c r="T821">
        <v>3403</v>
      </c>
      <c r="U821">
        <v>47.45</v>
      </c>
      <c r="V821">
        <v>31.79</v>
      </c>
      <c r="W821">
        <f>Europe_Sales_Records34[[#This Row],[Total Revenue]]/Europe_Sales_Records34[[#This Row],[Units Sold]]</f>
        <v>47.45</v>
      </c>
      <c r="X821">
        <v>161472.35</v>
      </c>
      <c r="Y821">
        <v>108181.37</v>
      </c>
      <c r="Z821" s="4">
        <f>Europe_Sales_Records34[[#This Row],[Total Profit]]/Europe_Sales_Records34[[#This Row],[Total Revenue]]</f>
        <v>0.33003161222339306</v>
      </c>
      <c r="AA821">
        <v>53290.98</v>
      </c>
    </row>
    <row r="822" spans="1:27" x14ac:dyDescent="0.3">
      <c r="A822" t="s">
        <v>14</v>
      </c>
      <c r="B822" t="s">
        <v>100</v>
      </c>
      <c r="C822" t="s">
        <v>64</v>
      </c>
      <c r="D822" t="s">
        <v>17</v>
      </c>
      <c r="E822" t="s">
        <v>33</v>
      </c>
      <c r="F822" t="s">
        <v>338</v>
      </c>
      <c r="G822" s="2">
        <f t="shared" si="24"/>
        <v>41085</v>
      </c>
      <c r="H822">
        <f>DAY(Europe_Sales_Records34[[#This Row],[Order Date Fixed]])</f>
        <v>25</v>
      </c>
      <c r="I822" t="str">
        <f>TEXT(Europe_Sales_Records34[[#This Row],[Order Date Fixed]],"MMM")</f>
        <v>Jun</v>
      </c>
      <c r="J822">
        <f>YEAR(Europe_Sales_Records34[[#This Row],[Order Date Fixed]])</f>
        <v>2012</v>
      </c>
      <c r="K822" t="str">
        <f>TEXT(Europe_Sales_Records34[[#This Row],[Order Date Fixed]],"MMM-YYYY")</f>
        <v>Jun-2012</v>
      </c>
      <c r="L822">
        <v>398104035</v>
      </c>
      <c r="M822" s="2">
        <f t="shared" si="25"/>
        <v>41133</v>
      </c>
      <c r="N822">
        <f>DAY(Europe_Sales_Records34[[#This Row],[Ship Date Fixed]])</f>
        <v>12</v>
      </c>
      <c r="O822" t="str">
        <f>TEXT(Europe_Sales_Records34[[#This Row],[Ship Date Fixed]],"MMM")</f>
        <v>Aug</v>
      </c>
      <c r="P822">
        <f>YEAR(Europe_Sales_Records34[[#This Row],[Ship Date Fixed]])</f>
        <v>2012</v>
      </c>
      <c r="Q822" t="str">
        <f>TEXT(Europe_Sales_Records34[[#This Row],[Ship Date Fixed]],"MMM-YYYY")</f>
        <v>Aug-2012</v>
      </c>
      <c r="R822" t="s">
        <v>799</v>
      </c>
      <c r="S822" s="3">
        <f>Europe_Sales_Records34[[#This Row],[Ship Date Fixed]]-Europe_Sales_Records34[[#This Row],[Order Date Fixed]]</f>
        <v>48</v>
      </c>
      <c r="T822">
        <v>6686</v>
      </c>
      <c r="U822">
        <v>255.28</v>
      </c>
      <c r="V822">
        <v>159.41999999999999</v>
      </c>
      <c r="W822">
        <f>Europe_Sales_Records34[[#This Row],[Total Revenue]]/Europe_Sales_Records34[[#This Row],[Units Sold]]</f>
        <v>255.28</v>
      </c>
      <c r="X822">
        <v>1706802.08</v>
      </c>
      <c r="Y822">
        <v>1065882.1200000001</v>
      </c>
      <c r="Z822" s="4">
        <f>Europe_Sales_Records34[[#This Row],[Total Profit]]/Europe_Sales_Records34[[#This Row],[Total Revenue]]</f>
        <v>0.37550924475086178</v>
      </c>
      <c r="AA822">
        <v>640919.96</v>
      </c>
    </row>
    <row r="823" spans="1:27" x14ac:dyDescent="0.3">
      <c r="A823" t="s">
        <v>14</v>
      </c>
      <c r="B823" t="s">
        <v>97</v>
      </c>
      <c r="C823" t="s">
        <v>50</v>
      </c>
      <c r="D823" t="s">
        <v>17</v>
      </c>
      <c r="E823" t="s">
        <v>24</v>
      </c>
      <c r="F823" t="s">
        <v>1340</v>
      </c>
      <c r="G823" s="2">
        <f t="shared" si="24"/>
        <v>41907</v>
      </c>
      <c r="H823">
        <f>DAY(Europe_Sales_Records34[[#This Row],[Order Date Fixed]])</f>
        <v>25</v>
      </c>
      <c r="I823" t="str">
        <f>TEXT(Europe_Sales_Records34[[#This Row],[Order Date Fixed]],"MMM")</f>
        <v>Sep</v>
      </c>
      <c r="J823">
        <f>YEAR(Europe_Sales_Records34[[#This Row],[Order Date Fixed]])</f>
        <v>2014</v>
      </c>
      <c r="K823" t="str">
        <f>TEXT(Europe_Sales_Records34[[#This Row],[Order Date Fixed]],"MMM-YYYY")</f>
        <v>Sep-2014</v>
      </c>
      <c r="L823">
        <v>631460940</v>
      </c>
      <c r="M823" s="2">
        <f t="shared" si="25"/>
        <v>41917</v>
      </c>
      <c r="N823">
        <f>DAY(Europe_Sales_Records34[[#This Row],[Ship Date Fixed]])</f>
        <v>5</v>
      </c>
      <c r="O823" t="str">
        <f>TEXT(Europe_Sales_Records34[[#This Row],[Ship Date Fixed]],"MMM")</f>
        <v>Oct</v>
      </c>
      <c r="P823">
        <f>YEAR(Europe_Sales_Records34[[#This Row],[Ship Date Fixed]])</f>
        <v>2014</v>
      </c>
      <c r="Q823" t="str">
        <f>TEXT(Europe_Sales_Records34[[#This Row],[Ship Date Fixed]],"MMM-YYYY")</f>
        <v>Oct-2014</v>
      </c>
      <c r="R823" t="s">
        <v>1341</v>
      </c>
      <c r="S823" s="3">
        <f>Europe_Sales_Records34[[#This Row],[Ship Date Fixed]]-Europe_Sales_Records34[[#This Row],[Order Date Fixed]]</f>
        <v>10</v>
      </c>
      <c r="T823">
        <v>2180</v>
      </c>
      <c r="U823">
        <v>421.89</v>
      </c>
      <c r="V823">
        <v>364.69</v>
      </c>
      <c r="W823">
        <f>Europe_Sales_Records34[[#This Row],[Total Revenue]]/Europe_Sales_Records34[[#This Row],[Units Sold]]</f>
        <v>421.89</v>
      </c>
      <c r="X823">
        <v>919720.2</v>
      </c>
      <c r="Y823">
        <v>795024.2</v>
      </c>
      <c r="Z823" s="4">
        <f>Europe_Sales_Records34[[#This Row],[Total Profit]]/Europe_Sales_Records34[[#This Row],[Total Revenue]]</f>
        <v>0.13558036455000119</v>
      </c>
      <c r="AA823">
        <v>124696</v>
      </c>
    </row>
    <row r="824" spans="1:27" x14ac:dyDescent="0.3">
      <c r="A824" t="s">
        <v>14</v>
      </c>
      <c r="B824" t="s">
        <v>146</v>
      </c>
      <c r="C824" t="s">
        <v>58</v>
      </c>
      <c r="D824" t="s">
        <v>17</v>
      </c>
      <c r="E824" t="s">
        <v>24</v>
      </c>
      <c r="F824" t="s">
        <v>1342</v>
      </c>
      <c r="G824" s="2">
        <f t="shared" si="24"/>
        <v>40299</v>
      </c>
      <c r="H824">
        <f>DAY(Europe_Sales_Records34[[#This Row],[Order Date Fixed]])</f>
        <v>1</v>
      </c>
      <c r="I824" t="str">
        <f>TEXT(Europe_Sales_Records34[[#This Row],[Order Date Fixed]],"MMM")</f>
        <v>May</v>
      </c>
      <c r="J824">
        <f>YEAR(Europe_Sales_Records34[[#This Row],[Order Date Fixed]])</f>
        <v>2010</v>
      </c>
      <c r="K824" t="str">
        <f>TEXT(Europe_Sales_Records34[[#This Row],[Order Date Fixed]],"MMM-YYYY")</f>
        <v>May-2010</v>
      </c>
      <c r="L824">
        <v>489848029</v>
      </c>
      <c r="M824" s="2">
        <f t="shared" si="25"/>
        <v>40318</v>
      </c>
      <c r="N824">
        <f>DAY(Europe_Sales_Records34[[#This Row],[Ship Date Fixed]])</f>
        <v>20</v>
      </c>
      <c r="O824" t="str">
        <f>TEXT(Europe_Sales_Records34[[#This Row],[Ship Date Fixed]],"MMM")</f>
        <v>May</v>
      </c>
      <c r="P824">
        <f>YEAR(Europe_Sales_Records34[[#This Row],[Ship Date Fixed]])</f>
        <v>2010</v>
      </c>
      <c r="Q824" t="str">
        <f>TEXT(Europe_Sales_Records34[[#This Row],[Ship Date Fixed]],"MMM-YYYY")</f>
        <v>May-2010</v>
      </c>
      <c r="R824" t="s">
        <v>319</v>
      </c>
      <c r="S824" s="3">
        <f>Europe_Sales_Records34[[#This Row],[Ship Date Fixed]]-Europe_Sales_Records34[[#This Row],[Order Date Fixed]]</f>
        <v>19</v>
      </c>
      <c r="T824">
        <v>5772</v>
      </c>
      <c r="U824">
        <v>152.58000000000001</v>
      </c>
      <c r="V824">
        <v>97.44</v>
      </c>
      <c r="W824">
        <f>Europe_Sales_Records34[[#This Row],[Total Revenue]]/Europe_Sales_Records34[[#This Row],[Units Sold]]</f>
        <v>152.58000000000001</v>
      </c>
      <c r="X824">
        <v>880691.76</v>
      </c>
      <c r="Y824">
        <v>562423.68000000005</v>
      </c>
      <c r="Z824" s="4">
        <f>Europe_Sales_Records34[[#This Row],[Total Profit]]/Europe_Sales_Records34[[#This Row],[Total Revenue]]</f>
        <v>0.36138419189933152</v>
      </c>
      <c r="AA824">
        <v>318268.08</v>
      </c>
    </row>
    <row r="825" spans="1:27" x14ac:dyDescent="0.3">
      <c r="A825" t="s">
        <v>14</v>
      </c>
      <c r="B825" t="s">
        <v>257</v>
      </c>
      <c r="C825" t="s">
        <v>32</v>
      </c>
      <c r="D825" t="s">
        <v>23</v>
      </c>
      <c r="E825" t="s">
        <v>33</v>
      </c>
      <c r="F825" t="s">
        <v>1343</v>
      </c>
      <c r="G825" s="2">
        <f t="shared" si="24"/>
        <v>42701</v>
      </c>
      <c r="H825">
        <f>DAY(Europe_Sales_Records34[[#This Row],[Order Date Fixed]])</f>
        <v>27</v>
      </c>
      <c r="I825" t="str">
        <f>TEXT(Europe_Sales_Records34[[#This Row],[Order Date Fixed]],"MMM")</f>
        <v>Nov</v>
      </c>
      <c r="J825">
        <f>YEAR(Europe_Sales_Records34[[#This Row],[Order Date Fixed]])</f>
        <v>2016</v>
      </c>
      <c r="K825" t="str">
        <f>TEXT(Europe_Sales_Records34[[#This Row],[Order Date Fixed]],"MMM-YYYY")</f>
        <v>Nov-2016</v>
      </c>
      <c r="L825">
        <v>797788369</v>
      </c>
      <c r="M825" s="2">
        <f t="shared" si="25"/>
        <v>42702</v>
      </c>
      <c r="N825">
        <f>DAY(Europe_Sales_Records34[[#This Row],[Ship Date Fixed]])</f>
        <v>28</v>
      </c>
      <c r="O825" t="str">
        <f>TEXT(Europe_Sales_Records34[[#This Row],[Ship Date Fixed]],"MMM")</f>
        <v>Nov</v>
      </c>
      <c r="P825">
        <f>YEAR(Europe_Sales_Records34[[#This Row],[Ship Date Fixed]])</f>
        <v>2016</v>
      </c>
      <c r="Q825" t="str">
        <f>TEXT(Europe_Sales_Records34[[#This Row],[Ship Date Fixed]],"MMM-YYYY")</f>
        <v>Nov-2016</v>
      </c>
      <c r="R825" t="s">
        <v>900</v>
      </c>
      <c r="S825" s="3">
        <f>Europe_Sales_Records34[[#This Row],[Ship Date Fixed]]-Europe_Sales_Records34[[#This Row],[Order Date Fixed]]</f>
        <v>1</v>
      </c>
      <c r="T825">
        <v>2162</v>
      </c>
      <c r="U825">
        <v>651.21</v>
      </c>
      <c r="V825">
        <v>524.96</v>
      </c>
      <c r="W825">
        <f>Europe_Sales_Records34[[#This Row],[Total Revenue]]/Europe_Sales_Records34[[#This Row],[Units Sold]]</f>
        <v>651.21</v>
      </c>
      <c r="X825">
        <v>1407916.02</v>
      </c>
      <c r="Y825">
        <v>1134963.52</v>
      </c>
      <c r="Z825" s="4">
        <f>Europe_Sales_Records34[[#This Row],[Total Profit]]/Europe_Sales_Records34[[#This Row],[Total Revenue]]</f>
        <v>0.19386987300563566</v>
      </c>
      <c r="AA825">
        <v>272952.5</v>
      </c>
    </row>
    <row r="826" spans="1:27" x14ac:dyDescent="0.3">
      <c r="A826" t="s">
        <v>14</v>
      </c>
      <c r="B826" t="s">
        <v>94</v>
      </c>
      <c r="C826" t="s">
        <v>102</v>
      </c>
      <c r="D826" t="s">
        <v>23</v>
      </c>
      <c r="E826" t="s">
        <v>18</v>
      </c>
      <c r="F826" t="s">
        <v>1344</v>
      </c>
      <c r="G826" s="2">
        <f t="shared" si="24"/>
        <v>41430</v>
      </c>
      <c r="H826">
        <f>DAY(Europe_Sales_Records34[[#This Row],[Order Date Fixed]])</f>
        <v>5</v>
      </c>
      <c r="I826" t="str">
        <f>TEXT(Europe_Sales_Records34[[#This Row],[Order Date Fixed]],"MMM")</f>
        <v>Jun</v>
      </c>
      <c r="J826">
        <f>YEAR(Europe_Sales_Records34[[#This Row],[Order Date Fixed]])</f>
        <v>2013</v>
      </c>
      <c r="K826" t="str">
        <f>TEXT(Europe_Sales_Records34[[#This Row],[Order Date Fixed]],"MMM-YYYY")</f>
        <v>Jun-2013</v>
      </c>
      <c r="L826">
        <v>430687510</v>
      </c>
      <c r="M826" s="2">
        <f t="shared" si="25"/>
        <v>41435</v>
      </c>
      <c r="N826">
        <f>DAY(Europe_Sales_Records34[[#This Row],[Ship Date Fixed]])</f>
        <v>10</v>
      </c>
      <c r="O826" t="str">
        <f>TEXT(Europe_Sales_Records34[[#This Row],[Ship Date Fixed]],"MMM")</f>
        <v>Jun</v>
      </c>
      <c r="P826">
        <f>YEAR(Europe_Sales_Records34[[#This Row],[Ship Date Fixed]])</f>
        <v>2013</v>
      </c>
      <c r="Q826" t="str">
        <f>TEXT(Europe_Sales_Records34[[#This Row],[Ship Date Fixed]],"MMM-YYYY")</f>
        <v>Jun-2013</v>
      </c>
      <c r="R826" t="s">
        <v>854</v>
      </c>
      <c r="S826" s="3">
        <f>Europe_Sales_Records34[[#This Row],[Ship Date Fixed]]-Europe_Sales_Records34[[#This Row],[Order Date Fixed]]</f>
        <v>5</v>
      </c>
      <c r="T826">
        <v>8860</v>
      </c>
      <c r="U826">
        <v>81.73</v>
      </c>
      <c r="V826">
        <v>56.67</v>
      </c>
      <c r="W826">
        <f>Europe_Sales_Records34[[#This Row],[Total Revenue]]/Europe_Sales_Records34[[#This Row],[Units Sold]]</f>
        <v>81.73</v>
      </c>
      <c r="X826">
        <v>724127.8</v>
      </c>
      <c r="Y826">
        <v>502096.2</v>
      </c>
      <c r="Z826" s="4">
        <f>Europe_Sales_Records34[[#This Row],[Total Profit]]/Europe_Sales_Records34[[#This Row],[Total Revenue]]</f>
        <v>0.30661935641747218</v>
      </c>
      <c r="AA826">
        <v>222031.6</v>
      </c>
    </row>
    <row r="827" spans="1:27" x14ac:dyDescent="0.3">
      <c r="A827" t="s">
        <v>14</v>
      </c>
      <c r="B827" t="s">
        <v>86</v>
      </c>
      <c r="C827" t="s">
        <v>102</v>
      </c>
      <c r="D827" t="s">
        <v>23</v>
      </c>
      <c r="E827" t="s">
        <v>54</v>
      </c>
      <c r="F827" t="s">
        <v>1345</v>
      </c>
      <c r="G827" s="2">
        <f t="shared" si="24"/>
        <v>42046</v>
      </c>
      <c r="H827">
        <f>DAY(Europe_Sales_Records34[[#This Row],[Order Date Fixed]])</f>
        <v>11</v>
      </c>
      <c r="I827" t="str">
        <f>TEXT(Europe_Sales_Records34[[#This Row],[Order Date Fixed]],"MMM")</f>
        <v>Feb</v>
      </c>
      <c r="J827">
        <f>YEAR(Europe_Sales_Records34[[#This Row],[Order Date Fixed]])</f>
        <v>2015</v>
      </c>
      <c r="K827" t="str">
        <f>TEXT(Europe_Sales_Records34[[#This Row],[Order Date Fixed]],"MMM-YYYY")</f>
        <v>Feb-2015</v>
      </c>
      <c r="L827">
        <v>667054498</v>
      </c>
      <c r="M827" s="2">
        <f t="shared" si="25"/>
        <v>42047</v>
      </c>
      <c r="N827">
        <f>DAY(Europe_Sales_Records34[[#This Row],[Ship Date Fixed]])</f>
        <v>12</v>
      </c>
      <c r="O827" t="str">
        <f>TEXT(Europe_Sales_Records34[[#This Row],[Ship Date Fixed]],"MMM")</f>
        <v>Feb</v>
      </c>
      <c r="P827">
        <f>YEAR(Europe_Sales_Records34[[#This Row],[Ship Date Fixed]])</f>
        <v>2015</v>
      </c>
      <c r="Q827" t="str">
        <f>TEXT(Europe_Sales_Records34[[#This Row],[Ship Date Fixed]],"MMM-YYYY")</f>
        <v>Feb-2015</v>
      </c>
      <c r="R827" t="s">
        <v>1346</v>
      </c>
      <c r="S827" s="3">
        <f>Europe_Sales_Records34[[#This Row],[Ship Date Fixed]]-Europe_Sales_Records34[[#This Row],[Order Date Fixed]]</f>
        <v>1</v>
      </c>
      <c r="T827">
        <v>5104</v>
      </c>
      <c r="U827">
        <v>81.73</v>
      </c>
      <c r="V827">
        <v>56.67</v>
      </c>
      <c r="W827">
        <f>Europe_Sales_Records34[[#This Row],[Total Revenue]]/Europe_Sales_Records34[[#This Row],[Units Sold]]</f>
        <v>81.72999999999999</v>
      </c>
      <c r="X827">
        <v>417149.92</v>
      </c>
      <c r="Y827">
        <v>289243.68</v>
      </c>
      <c r="Z827" s="4">
        <f>Europe_Sales_Records34[[#This Row],[Total Profit]]/Europe_Sales_Records34[[#This Row],[Total Revenue]]</f>
        <v>0.30661935641747218</v>
      </c>
      <c r="AA827">
        <v>127906.24000000001</v>
      </c>
    </row>
    <row r="828" spans="1:27" x14ac:dyDescent="0.3">
      <c r="A828" t="s">
        <v>14</v>
      </c>
      <c r="B828" t="s">
        <v>127</v>
      </c>
      <c r="C828" t="s">
        <v>28</v>
      </c>
      <c r="D828" t="s">
        <v>23</v>
      </c>
      <c r="E828" t="s">
        <v>54</v>
      </c>
      <c r="F828" t="s">
        <v>1106</v>
      </c>
      <c r="G828" s="2">
        <f t="shared" si="24"/>
        <v>41896</v>
      </c>
      <c r="H828">
        <f>DAY(Europe_Sales_Records34[[#This Row],[Order Date Fixed]])</f>
        <v>14</v>
      </c>
      <c r="I828" t="str">
        <f>TEXT(Europe_Sales_Records34[[#This Row],[Order Date Fixed]],"MMM")</f>
        <v>Sep</v>
      </c>
      <c r="J828">
        <f>YEAR(Europe_Sales_Records34[[#This Row],[Order Date Fixed]])</f>
        <v>2014</v>
      </c>
      <c r="K828" t="str">
        <f>TEXT(Europe_Sales_Records34[[#This Row],[Order Date Fixed]],"MMM-YYYY")</f>
        <v>Sep-2014</v>
      </c>
      <c r="L828">
        <v>666921460</v>
      </c>
      <c r="M828" s="2">
        <f t="shared" si="25"/>
        <v>41922</v>
      </c>
      <c r="N828">
        <f>DAY(Europe_Sales_Records34[[#This Row],[Ship Date Fixed]])</f>
        <v>10</v>
      </c>
      <c r="O828" t="str">
        <f>TEXT(Europe_Sales_Records34[[#This Row],[Ship Date Fixed]],"MMM")</f>
        <v>Oct</v>
      </c>
      <c r="P828">
        <f>YEAR(Europe_Sales_Records34[[#This Row],[Ship Date Fixed]])</f>
        <v>2014</v>
      </c>
      <c r="Q828" t="str">
        <f>TEXT(Europe_Sales_Records34[[#This Row],[Ship Date Fixed]],"MMM-YYYY")</f>
        <v>Oct-2014</v>
      </c>
      <c r="R828" t="s">
        <v>1347</v>
      </c>
      <c r="S828" s="3">
        <f>Europe_Sales_Records34[[#This Row],[Ship Date Fixed]]-Europe_Sales_Records34[[#This Row],[Order Date Fixed]]</f>
        <v>26</v>
      </c>
      <c r="T828">
        <v>5735</v>
      </c>
      <c r="U828">
        <v>205.7</v>
      </c>
      <c r="V828">
        <v>117.11</v>
      </c>
      <c r="W828">
        <f>Europe_Sales_Records34[[#This Row],[Total Revenue]]/Europe_Sales_Records34[[#This Row],[Units Sold]]</f>
        <v>205.7</v>
      </c>
      <c r="X828">
        <v>1179689.5</v>
      </c>
      <c r="Y828">
        <v>671625.85</v>
      </c>
      <c r="Z828" s="4">
        <f>Europe_Sales_Records34[[#This Row],[Total Profit]]/Europe_Sales_Records34[[#This Row],[Total Revenue]]</f>
        <v>0.43067574137092857</v>
      </c>
      <c r="AA828">
        <v>508063.65</v>
      </c>
    </row>
    <row r="829" spans="1:27" x14ac:dyDescent="0.3">
      <c r="A829" t="s">
        <v>14</v>
      </c>
      <c r="B829" t="s">
        <v>27</v>
      </c>
      <c r="C829" t="s">
        <v>32</v>
      </c>
      <c r="D829" t="s">
        <v>23</v>
      </c>
      <c r="E829" t="s">
        <v>33</v>
      </c>
      <c r="F829" t="s">
        <v>1348</v>
      </c>
      <c r="G829" s="2">
        <f t="shared" si="24"/>
        <v>41710</v>
      </c>
      <c r="H829">
        <f>DAY(Europe_Sales_Records34[[#This Row],[Order Date Fixed]])</f>
        <v>12</v>
      </c>
      <c r="I829" t="str">
        <f>TEXT(Europe_Sales_Records34[[#This Row],[Order Date Fixed]],"MMM")</f>
        <v>Mar</v>
      </c>
      <c r="J829">
        <f>YEAR(Europe_Sales_Records34[[#This Row],[Order Date Fixed]])</f>
        <v>2014</v>
      </c>
      <c r="K829" t="str">
        <f>TEXT(Europe_Sales_Records34[[#This Row],[Order Date Fixed]],"MMM-YYYY")</f>
        <v>Mar-2014</v>
      </c>
      <c r="L829">
        <v>861252868</v>
      </c>
      <c r="M829" s="2">
        <f t="shared" si="25"/>
        <v>41726</v>
      </c>
      <c r="N829">
        <f>DAY(Europe_Sales_Records34[[#This Row],[Ship Date Fixed]])</f>
        <v>28</v>
      </c>
      <c r="O829" t="str">
        <f>TEXT(Europe_Sales_Records34[[#This Row],[Ship Date Fixed]],"MMM")</f>
        <v>Mar</v>
      </c>
      <c r="P829">
        <f>YEAR(Europe_Sales_Records34[[#This Row],[Ship Date Fixed]])</f>
        <v>2014</v>
      </c>
      <c r="Q829" t="str">
        <f>TEXT(Europe_Sales_Records34[[#This Row],[Ship Date Fixed]],"MMM-YYYY")</f>
        <v>Mar-2014</v>
      </c>
      <c r="R829" t="s">
        <v>1349</v>
      </c>
      <c r="S829" s="3">
        <f>Europe_Sales_Records34[[#This Row],[Ship Date Fixed]]-Europe_Sales_Records34[[#This Row],[Order Date Fixed]]</f>
        <v>16</v>
      </c>
      <c r="T829">
        <v>2717</v>
      </c>
      <c r="U829">
        <v>651.21</v>
      </c>
      <c r="V829">
        <v>524.96</v>
      </c>
      <c r="W829">
        <f>Europe_Sales_Records34[[#This Row],[Total Revenue]]/Europe_Sales_Records34[[#This Row],[Units Sold]]</f>
        <v>651.21</v>
      </c>
      <c r="X829">
        <v>1769337.57</v>
      </c>
      <c r="Y829">
        <v>1426316.32</v>
      </c>
      <c r="Z829" s="4">
        <f>Europe_Sales_Records34[[#This Row],[Total Profit]]/Europe_Sales_Records34[[#This Row],[Total Revenue]]</f>
        <v>0.19386987300563566</v>
      </c>
      <c r="AA829">
        <v>343021.25</v>
      </c>
    </row>
    <row r="830" spans="1:27" x14ac:dyDescent="0.3">
      <c r="A830" t="s">
        <v>14</v>
      </c>
      <c r="B830" t="s">
        <v>257</v>
      </c>
      <c r="C830" t="s">
        <v>64</v>
      </c>
      <c r="D830" t="s">
        <v>23</v>
      </c>
      <c r="E830" t="s">
        <v>18</v>
      </c>
      <c r="F830" t="s">
        <v>768</v>
      </c>
      <c r="G830" s="2">
        <f t="shared" si="24"/>
        <v>42879</v>
      </c>
      <c r="H830">
        <f>DAY(Europe_Sales_Records34[[#This Row],[Order Date Fixed]])</f>
        <v>24</v>
      </c>
      <c r="I830" t="str">
        <f>TEXT(Europe_Sales_Records34[[#This Row],[Order Date Fixed]],"MMM")</f>
        <v>May</v>
      </c>
      <c r="J830">
        <f>YEAR(Europe_Sales_Records34[[#This Row],[Order Date Fixed]])</f>
        <v>2017</v>
      </c>
      <c r="K830" t="str">
        <f>TEXT(Europe_Sales_Records34[[#This Row],[Order Date Fixed]],"MMM-YYYY")</f>
        <v>May-2017</v>
      </c>
      <c r="L830">
        <v>126948583</v>
      </c>
      <c r="M830" s="2">
        <f t="shared" si="25"/>
        <v>42925</v>
      </c>
      <c r="N830">
        <f>DAY(Europe_Sales_Records34[[#This Row],[Ship Date Fixed]])</f>
        <v>9</v>
      </c>
      <c r="O830" t="str">
        <f>TEXT(Europe_Sales_Records34[[#This Row],[Ship Date Fixed]],"MMM")</f>
        <v>Jul</v>
      </c>
      <c r="P830">
        <f>YEAR(Europe_Sales_Records34[[#This Row],[Ship Date Fixed]])</f>
        <v>2017</v>
      </c>
      <c r="Q830" t="str">
        <f>TEXT(Europe_Sales_Records34[[#This Row],[Ship Date Fixed]],"MMM-YYYY")</f>
        <v>Jul-2017</v>
      </c>
      <c r="R830" t="s">
        <v>1350</v>
      </c>
      <c r="S830" s="3">
        <f>Europe_Sales_Records34[[#This Row],[Ship Date Fixed]]-Europe_Sales_Records34[[#This Row],[Order Date Fixed]]</f>
        <v>46</v>
      </c>
      <c r="T830">
        <v>5762</v>
      </c>
      <c r="U830">
        <v>255.28</v>
      </c>
      <c r="V830">
        <v>159.41999999999999</v>
      </c>
      <c r="W830">
        <f>Europe_Sales_Records34[[#This Row],[Total Revenue]]/Europe_Sales_Records34[[#This Row],[Units Sold]]</f>
        <v>255.28000000000003</v>
      </c>
      <c r="X830">
        <v>1470923.36</v>
      </c>
      <c r="Y830">
        <v>918578.04</v>
      </c>
      <c r="Z830" s="4">
        <f>Europe_Sales_Records34[[#This Row],[Total Profit]]/Europe_Sales_Records34[[#This Row],[Total Revenue]]</f>
        <v>0.37550924475086173</v>
      </c>
      <c r="AA830">
        <v>552345.31999999995</v>
      </c>
    </row>
    <row r="831" spans="1:27" x14ac:dyDescent="0.3">
      <c r="A831" t="s">
        <v>14</v>
      </c>
      <c r="B831" t="s">
        <v>36</v>
      </c>
      <c r="C831" t="s">
        <v>22</v>
      </c>
      <c r="D831" t="s">
        <v>17</v>
      </c>
      <c r="E831" t="s">
        <v>54</v>
      </c>
      <c r="F831" t="s">
        <v>1351</v>
      </c>
      <c r="G831" s="2">
        <f t="shared" si="24"/>
        <v>41433</v>
      </c>
      <c r="H831">
        <f>DAY(Europe_Sales_Records34[[#This Row],[Order Date Fixed]])</f>
        <v>8</v>
      </c>
      <c r="I831" t="str">
        <f>TEXT(Europe_Sales_Records34[[#This Row],[Order Date Fixed]],"MMM")</f>
        <v>Jun</v>
      </c>
      <c r="J831">
        <f>YEAR(Europe_Sales_Records34[[#This Row],[Order Date Fixed]])</f>
        <v>2013</v>
      </c>
      <c r="K831" t="str">
        <f>TEXT(Europe_Sales_Records34[[#This Row],[Order Date Fixed]],"MMM-YYYY")</f>
        <v>Jun-2013</v>
      </c>
      <c r="L831">
        <v>353191840</v>
      </c>
      <c r="M831" s="2">
        <f t="shared" si="25"/>
        <v>41464</v>
      </c>
      <c r="N831">
        <f>DAY(Europe_Sales_Records34[[#This Row],[Ship Date Fixed]])</f>
        <v>9</v>
      </c>
      <c r="O831" t="str">
        <f>TEXT(Europe_Sales_Records34[[#This Row],[Ship Date Fixed]],"MMM")</f>
        <v>Jul</v>
      </c>
      <c r="P831">
        <f>YEAR(Europe_Sales_Records34[[#This Row],[Ship Date Fixed]])</f>
        <v>2013</v>
      </c>
      <c r="Q831" t="str">
        <f>TEXT(Europe_Sales_Records34[[#This Row],[Ship Date Fixed]],"MMM-YYYY")</f>
        <v>Jul-2013</v>
      </c>
      <c r="R831" t="s">
        <v>796</v>
      </c>
      <c r="S831" s="3">
        <f>Europe_Sales_Records34[[#This Row],[Ship Date Fixed]]-Europe_Sales_Records34[[#This Row],[Order Date Fixed]]</f>
        <v>31</v>
      </c>
      <c r="T831">
        <v>6169</v>
      </c>
      <c r="U831">
        <v>109.28</v>
      </c>
      <c r="V831">
        <v>35.840000000000003</v>
      </c>
      <c r="W831">
        <f>Europe_Sales_Records34[[#This Row],[Total Revenue]]/Europe_Sales_Records34[[#This Row],[Units Sold]]</f>
        <v>109.27999999999999</v>
      </c>
      <c r="X831">
        <v>674148.32</v>
      </c>
      <c r="Y831">
        <v>221096.95999999999</v>
      </c>
      <c r="Z831" s="4">
        <f>Europe_Sales_Records34[[#This Row],[Total Profit]]/Europe_Sales_Records34[[#This Row],[Total Revenue]]</f>
        <v>0.67203513909224011</v>
      </c>
      <c r="AA831">
        <v>453051.36</v>
      </c>
    </row>
    <row r="832" spans="1:27" x14ac:dyDescent="0.3">
      <c r="A832" t="s">
        <v>14</v>
      </c>
      <c r="B832" t="s">
        <v>57</v>
      </c>
      <c r="C832" t="s">
        <v>46</v>
      </c>
      <c r="D832" t="s">
        <v>23</v>
      </c>
      <c r="E832" t="s">
        <v>33</v>
      </c>
      <c r="F832" t="s">
        <v>632</v>
      </c>
      <c r="G832" s="2">
        <f t="shared" si="24"/>
        <v>42864</v>
      </c>
      <c r="H832">
        <f>DAY(Europe_Sales_Records34[[#This Row],[Order Date Fixed]])</f>
        <v>9</v>
      </c>
      <c r="I832" t="str">
        <f>TEXT(Europe_Sales_Records34[[#This Row],[Order Date Fixed]],"MMM")</f>
        <v>May</v>
      </c>
      <c r="J832">
        <f>YEAR(Europe_Sales_Records34[[#This Row],[Order Date Fixed]])</f>
        <v>2017</v>
      </c>
      <c r="K832" t="str">
        <f>TEXT(Europe_Sales_Records34[[#This Row],[Order Date Fixed]],"MMM-YYYY")</f>
        <v>May-2017</v>
      </c>
      <c r="L832">
        <v>259032571</v>
      </c>
      <c r="M832" s="2">
        <f t="shared" si="25"/>
        <v>42868</v>
      </c>
      <c r="N832">
        <f>DAY(Europe_Sales_Records34[[#This Row],[Ship Date Fixed]])</f>
        <v>13</v>
      </c>
      <c r="O832" t="str">
        <f>TEXT(Europe_Sales_Records34[[#This Row],[Ship Date Fixed]],"MMM")</f>
        <v>May</v>
      </c>
      <c r="P832">
        <f>YEAR(Europe_Sales_Records34[[#This Row],[Ship Date Fixed]])</f>
        <v>2017</v>
      </c>
      <c r="Q832" t="str">
        <f>TEXT(Europe_Sales_Records34[[#This Row],[Ship Date Fixed]],"MMM-YYYY")</f>
        <v>May-2017</v>
      </c>
      <c r="R832" t="s">
        <v>1352</v>
      </c>
      <c r="S832" s="3">
        <f>Europe_Sales_Records34[[#This Row],[Ship Date Fixed]]-Europe_Sales_Records34[[#This Row],[Order Date Fixed]]</f>
        <v>4</v>
      </c>
      <c r="T832">
        <v>2349</v>
      </c>
      <c r="U832">
        <v>154.06</v>
      </c>
      <c r="V832">
        <v>90.93</v>
      </c>
      <c r="W832">
        <f>Europe_Sales_Records34[[#This Row],[Total Revenue]]/Europe_Sales_Records34[[#This Row],[Units Sold]]</f>
        <v>154.06</v>
      </c>
      <c r="X832">
        <v>361886.94</v>
      </c>
      <c r="Y832">
        <v>213594.57</v>
      </c>
      <c r="Z832" s="4">
        <f>Europe_Sales_Records34[[#This Row],[Total Profit]]/Europe_Sales_Records34[[#This Row],[Total Revenue]]</f>
        <v>0.40977541217707386</v>
      </c>
      <c r="AA832">
        <v>148292.37</v>
      </c>
    </row>
    <row r="833" spans="1:27" x14ac:dyDescent="0.3">
      <c r="A833" t="s">
        <v>14</v>
      </c>
      <c r="B833" t="s">
        <v>364</v>
      </c>
      <c r="C833" t="s">
        <v>50</v>
      </c>
      <c r="D833" t="s">
        <v>17</v>
      </c>
      <c r="E833" t="s">
        <v>33</v>
      </c>
      <c r="F833" t="s">
        <v>677</v>
      </c>
      <c r="G833" s="2">
        <f t="shared" si="24"/>
        <v>41854</v>
      </c>
      <c r="H833">
        <f>DAY(Europe_Sales_Records34[[#This Row],[Order Date Fixed]])</f>
        <v>3</v>
      </c>
      <c r="I833" t="str">
        <f>TEXT(Europe_Sales_Records34[[#This Row],[Order Date Fixed]],"MMM")</f>
        <v>Aug</v>
      </c>
      <c r="J833">
        <f>YEAR(Europe_Sales_Records34[[#This Row],[Order Date Fixed]])</f>
        <v>2014</v>
      </c>
      <c r="K833" t="str">
        <f>TEXT(Europe_Sales_Records34[[#This Row],[Order Date Fixed]],"MMM-YYYY")</f>
        <v>Aug-2014</v>
      </c>
      <c r="L833">
        <v>517514264</v>
      </c>
      <c r="M833" s="2">
        <f t="shared" si="25"/>
        <v>41886</v>
      </c>
      <c r="N833">
        <f>DAY(Europe_Sales_Records34[[#This Row],[Ship Date Fixed]])</f>
        <v>4</v>
      </c>
      <c r="O833" t="str">
        <f>TEXT(Europe_Sales_Records34[[#This Row],[Ship Date Fixed]],"MMM")</f>
        <v>Sep</v>
      </c>
      <c r="P833">
        <f>YEAR(Europe_Sales_Records34[[#This Row],[Ship Date Fixed]])</f>
        <v>2014</v>
      </c>
      <c r="Q833" t="str">
        <f>TEXT(Europe_Sales_Records34[[#This Row],[Ship Date Fixed]],"MMM-YYYY")</f>
        <v>Sep-2014</v>
      </c>
      <c r="R833" t="s">
        <v>1074</v>
      </c>
      <c r="S833" s="3">
        <f>Europe_Sales_Records34[[#This Row],[Ship Date Fixed]]-Europe_Sales_Records34[[#This Row],[Order Date Fixed]]</f>
        <v>32</v>
      </c>
      <c r="T833">
        <v>2826</v>
      </c>
      <c r="U833">
        <v>421.89</v>
      </c>
      <c r="V833">
        <v>364.69</v>
      </c>
      <c r="W833">
        <f>Europe_Sales_Records34[[#This Row],[Total Revenue]]/Europe_Sales_Records34[[#This Row],[Units Sold]]</f>
        <v>421.89</v>
      </c>
      <c r="X833">
        <v>1192261.1399999999</v>
      </c>
      <c r="Y833">
        <v>1030613.94</v>
      </c>
      <c r="Z833" s="4">
        <f>Europe_Sales_Records34[[#This Row],[Total Profit]]/Europe_Sales_Records34[[#This Row],[Total Revenue]]</f>
        <v>0.13558036455000122</v>
      </c>
      <c r="AA833">
        <v>161647.20000000001</v>
      </c>
    </row>
    <row r="834" spans="1:27" x14ac:dyDescent="0.3">
      <c r="A834" t="s">
        <v>14</v>
      </c>
      <c r="B834" t="s">
        <v>94</v>
      </c>
      <c r="C834" t="s">
        <v>75</v>
      </c>
      <c r="D834" t="s">
        <v>17</v>
      </c>
      <c r="E834" t="s">
        <v>54</v>
      </c>
      <c r="F834" t="s">
        <v>1353</v>
      </c>
      <c r="G834" s="2">
        <f t="shared" ref="G834:G897" si="26">DATE(
  RIGHT(F834,4),
  LEFT(F834,FIND("/",F834)-1),
  MID(F834,FIND("/",F834)+1, FIND("/",F834,FIND("/",F834)+1)-FIND("/",F834)-1)
)</f>
        <v>42431</v>
      </c>
      <c r="H834">
        <f>DAY(Europe_Sales_Records34[[#This Row],[Order Date Fixed]])</f>
        <v>2</v>
      </c>
      <c r="I834" t="str">
        <f>TEXT(Europe_Sales_Records34[[#This Row],[Order Date Fixed]],"MMM")</f>
        <v>Mar</v>
      </c>
      <c r="J834">
        <f>YEAR(Europe_Sales_Records34[[#This Row],[Order Date Fixed]])</f>
        <v>2016</v>
      </c>
      <c r="K834" t="str">
        <f>TEXT(Europe_Sales_Records34[[#This Row],[Order Date Fixed]],"MMM-YYYY")</f>
        <v>Mar-2016</v>
      </c>
      <c r="L834">
        <v>624940383</v>
      </c>
      <c r="M834" s="2">
        <f t="shared" ref="M834:M897" si="27">DATE(
  RIGHT(R834,4),
  LEFT(R834,FIND("/",R834)-1),
  MID(
      R834,
      FIND("/",R834)+1,
      FIND("/",R834,FIND("/",R834)+1)-FIND("/",R834)-1
     )
)</f>
        <v>42459</v>
      </c>
      <c r="N834">
        <f>DAY(Europe_Sales_Records34[[#This Row],[Ship Date Fixed]])</f>
        <v>30</v>
      </c>
      <c r="O834" t="str">
        <f>TEXT(Europe_Sales_Records34[[#This Row],[Ship Date Fixed]],"MMM")</f>
        <v>Mar</v>
      </c>
      <c r="P834">
        <f>YEAR(Europe_Sales_Records34[[#This Row],[Ship Date Fixed]])</f>
        <v>2016</v>
      </c>
      <c r="Q834" t="str">
        <f>TEXT(Europe_Sales_Records34[[#This Row],[Ship Date Fixed]],"MMM-YYYY")</f>
        <v>Mar-2016</v>
      </c>
      <c r="R834" t="s">
        <v>1354</v>
      </c>
      <c r="S834" s="3">
        <f>Europe_Sales_Records34[[#This Row],[Ship Date Fixed]]-Europe_Sales_Records34[[#This Row],[Order Date Fixed]]</f>
        <v>28</v>
      </c>
      <c r="T834">
        <v>2602</v>
      </c>
      <c r="U834">
        <v>437.2</v>
      </c>
      <c r="V834">
        <v>263.33</v>
      </c>
      <c r="W834">
        <f>Europe_Sales_Records34[[#This Row],[Total Revenue]]/Europe_Sales_Records34[[#This Row],[Units Sold]]</f>
        <v>437.2</v>
      </c>
      <c r="X834">
        <v>1137594.3999999999</v>
      </c>
      <c r="Y834">
        <v>685184.66</v>
      </c>
      <c r="Z834" s="4">
        <f>Europe_Sales_Records34[[#This Row],[Total Profit]]/Europe_Sales_Records34[[#This Row],[Total Revenue]]</f>
        <v>0.39768984446477584</v>
      </c>
      <c r="AA834">
        <v>452409.74</v>
      </c>
    </row>
    <row r="835" spans="1:27" x14ac:dyDescent="0.3">
      <c r="A835" t="s">
        <v>14</v>
      </c>
      <c r="B835" t="s">
        <v>100</v>
      </c>
      <c r="C835" t="s">
        <v>75</v>
      </c>
      <c r="D835" t="s">
        <v>23</v>
      </c>
      <c r="E835" t="s">
        <v>18</v>
      </c>
      <c r="F835" t="s">
        <v>499</v>
      </c>
      <c r="G835" s="2">
        <f t="shared" si="26"/>
        <v>40837</v>
      </c>
      <c r="H835">
        <f>DAY(Europe_Sales_Records34[[#This Row],[Order Date Fixed]])</f>
        <v>21</v>
      </c>
      <c r="I835" t="str">
        <f>TEXT(Europe_Sales_Records34[[#This Row],[Order Date Fixed]],"MMM")</f>
        <v>Oct</v>
      </c>
      <c r="J835">
        <f>YEAR(Europe_Sales_Records34[[#This Row],[Order Date Fixed]])</f>
        <v>2011</v>
      </c>
      <c r="K835" t="str">
        <f>TEXT(Europe_Sales_Records34[[#This Row],[Order Date Fixed]],"MMM-YYYY")</f>
        <v>Oct-2011</v>
      </c>
      <c r="L835">
        <v>567751824</v>
      </c>
      <c r="M835" s="2">
        <f t="shared" si="27"/>
        <v>40868</v>
      </c>
      <c r="N835">
        <f>DAY(Europe_Sales_Records34[[#This Row],[Ship Date Fixed]])</f>
        <v>21</v>
      </c>
      <c r="O835" t="str">
        <f>TEXT(Europe_Sales_Records34[[#This Row],[Ship Date Fixed]],"MMM")</f>
        <v>Nov</v>
      </c>
      <c r="P835">
        <f>YEAR(Europe_Sales_Records34[[#This Row],[Ship Date Fixed]])</f>
        <v>2011</v>
      </c>
      <c r="Q835" t="str">
        <f>TEXT(Europe_Sales_Records34[[#This Row],[Ship Date Fixed]],"MMM-YYYY")</f>
        <v>Nov-2011</v>
      </c>
      <c r="R835" t="s">
        <v>345</v>
      </c>
      <c r="S835" s="3">
        <f>Europe_Sales_Records34[[#This Row],[Ship Date Fixed]]-Europe_Sales_Records34[[#This Row],[Order Date Fixed]]</f>
        <v>31</v>
      </c>
      <c r="T835">
        <v>9236</v>
      </c>
      <c r="U835">
        <v>437.2</v>
      </c>
      <c r="V835">
        <v>263.33</v>
      </c>
      <c r="W835">
        <f>Europe_Sales_Records34[[#This Row],[Total Revenue]]/Europe_Sales_Records34[[#This Row],[Units Sold]]</f>
        <v>437.20000000000005</v>
      </c>
      <c r="X835">
        <v>4037979.2</v>
      </c>
      <c r="Y835">
        <v>2432115.88</v>
      </c>
      <c r="Z835" s="4">
        <f>Europe_Sales_Records34[[#This Row],[Total Profit]]/Europe_Sales_Records34[[#This Row],[Total Revenue]]</f>
        <v>0.39768984446477584</v>
      </c>
      <c r="AA835">
        <v>1605863.32</v>
      </c>
    </row>
    <row r="836" spans="1:27" x14ac:dyDescent="0.3">
      <c r="A836" t="s">
        <v>14</v>
      </c>
      <c r="B836" t="s">
        <v>166</v>
      </c>
      <c r="C836" t="s">
        <v>37</v>
      </c>
      <c r="D836" t="s">
        <v>17</v>
      </c>
      <c r="E836" t="s">
        <v>54</v>
      </c>
      <c r="F836" t="s">
        <v>1355</v>
      </c>
      <c r="G836" s="2">
        <f t="shared" si="26"/>
        <v>41249</v>
      </c>
      <c r="H836">
        <f>DAY(Europe_Sales_Records34[[#This Row],[Order Date Fixed]])</f>
        <v>6</v>
      </c>
      <c r="I836" t="str">
        <f>TEXT(Europe_Sales_Records34[[#This Row],[Order Date Fixed]],"MMM")</f>
        <v>Dec</v>
      </c>
      <c r="J836">
        <f>YEAR(Europe_Sales_Records34[[#This Row],[Order Date Fixed]])</f>
        <v>2012</v>
      </c>
      <c r="K836" t="str">
        <f>TEXT(Europe_Sales_Records34[[#This Row],[Order Date Fixed]],"MMM-YYYY")</f>
        <v>Dec-2012</v>
      </c>
      <c r="L836">
        <v>262177836</v>
      </c>
      <c r="M836" s="2">
        <f t="shared" si="27"/>
        <v>41290</v>
      </c>
      <c r="N836">
        <f>DAY(Europe_Sales_Records34[[#This Row],[Ship Date Fixed]])</f>
        <v>16</v>
      </c>
      <c r="O836" t="str">
        <f>TEXT(Europe_Sales_Records34[[#This Row],[Ship Date Fixed]],"MMM")</f>
        <v>Jan</v>
      </c>
      <c r="P836">
        <f>YEAR(Europe_Sales_Records34[[#This Row],[Ship Date Fixed]])</f>
        <v>2013</v>
      </c>
      <c r="Q836" t="str">
        <f>TEXT(Europe_Sales_Records34[[#This Row],[Ship Date Fixed]],"MMM-YYYY")</f>
        <v>Jan-2013</v>
      </c>
      <c r="R836" t="s">
        <v>1356</v>
      </c>
      <c r="S836" s="3">
        <f>Europe_Sales_Records34[[#This Row],[Ship Date Fixed]]-Europe_Sales_Records34[[#This Row],[Order Date Fixed]]</f>
        <v>41</v>
      </c>
      <c r="T836">
        <v>3103</v>
      </c>
      <c r="U836">
        <v>9.33</v>
      </c>
      <c r="V836">
        <v>6.92</v>
      </c>
      <c r="W836">
        <f>Europe_Sales_Records34[[#This Row],[Total Revenue]]/Europe_Sales_Records34[[#This Row],[Units Sold]]</f>
        <v>9.33</v>
      </c>
      <c r="X836">
        <v>28950.99</v>
      </c>
      <c r="Y836">
        <v>21472.76</v>
      </c>
      <c r="Z836" s="4">
        <f>Europe_Sales_Records34[[#This Row],[Total Profit]]/Europe_Sales_Records34[[#This Row],[Total Revenue]]</f>
        <v>0.25830653804930331</v>
      </c>
      <c r="AA836">
        <v>7478.23</v>
      </c>
    </row>
    <row r="837" spans="1:27" x14ac:dyDescent="0.3">
      <c r="A837" t="s">
        <v>14</v>
      </c>
      <c r="B837" t="s">
        <v>232</v>
      </c>
      <c r="C837" t="s">
        <v>71</v>
      </c>
      <c r="D837" t="s">
        <v>23</v>
      </c>
      <c r="E837" t="s">
        <v>33</v>
      </c>
      <c r="F837" t="s">
        <v>1357</v>
      </c>
      <c r="G837" s="2">
        <f t="shared" si="26"/>
        <v>42515</v>
      </c>
      <c r="H837">
        <f>DAY(Europe_Sales_Records34[[#This Row],[Order Date Fixed]])</f>
        <v>25</v>
      </c>
      <c r="I837" t="str">
        <f>TEXT(Europe_Sales_Records34[[#This Row],[Order Date Fixed]],"MMM")</f>
        <v>May</v>
      </c>
      <c r="J837">
        <f>YEAR(Europe_Sales_Records34[[#This Row],[Order Date Fixed]])</f>
        <v>2016</v>
      </c>
      <c r="K837" t="str">
        <f>TEXT(Europe_Sales_Records34[[#This Row],[Order Date Fixed]],"MMM-YYYY")</f>
        <v>May-2016</v>
      </c>
      <c r="L837">
        <v>582560193</v>
      </c>
      <c r="M837" s="2">
        <f t="shared" si="27"/>
        <v>42518</v>
      </c>
      <c r="N837">
        <f>DAY(Europe_Sales_Records34[[#This Row],[Ship Date Fixed]])</f>
        <v>28</v>
      </c>
      <c r="O837" t="str">
        <f>TEXT(Europe_Sales_Records34[[#This Row],[Ship Date Fixed]],"MMM")</f>
        <v>May</v>
      </c>
      <c r="P837">
        <f>YEAR(Europe_Sales_Records34[[#This Row],[Ship Date Fixed]])</f>
        <v>2016</v>
      </c>
      <c r="Q837" t="str">
        <f>TEXT(Europe_Sales_Records34[[#This Row],[Ship Date Fixed]],"MMM-YYYY")</f>
        <v>May-2016</v>
      </c>
      <c r="R837" t="s">
        <v>1358</v>
      </c>
      <c r="S837" s="3">
        <f>Europe_Sales_Records34[[#This Row],[Ship Date Fixed]]-Europe_Sales_Records34[[#This Row],[Order Date Fixed]]</f>
        <v>3</v>
      </c>
      <c r="T837">
        <v>1362</v>
      </c>
      <c r="U837">
        <v>668.27</v>
      </c>
      <c r="V837">
        <v>502.54</v>
      </c>
      <c r="W837">
        <f>Europe_Sales_Records34[[#This Row],[Total Revenue]]/Europe_Sales_Records34[[#This Row],[Units Sold]]</f>
        <v>668.27</v>
      </c>
      <c r="X837">
        <v>910183.74</v>
      </c>
      <c r="Y837">
        <v>684459.48</v>
      </c>
      <c r="Z837" s="4">
        <f>Europe_Sales_Records34[[#This Row],[Total Profit]]/Europe_Sales_Records34[[#This Row],[Total Revenue]]</f>
        <v>0.24799856345489099</v>
      </c>
      <c r="AA837">
        <v>225724.26</v>
      </c>
    </row>
    <row r="838" spans="1:27" x14ac:dyDescent="0.3">
      <c r="A838" t="s">
        <v>14</v>
      </c>
      <c r="B838" t="s">
        <v>132</v>
      </c>
      <c r="C838" t="s">
        <v>46</v>
      </c>
      <c r="D838" t="s">
        <v>23</v>
      </c>
      <c r="E838" t="s">
        <v>54</v>
      </c>
      <c r="F838" t="s">
        <v>1359</v>
      </c>
      <c r="G838" s="2">
        <f t="shared" si="26"/>
        <v>41821</v>
      </c>
      <c r="H838">
        <f>DAY(Europe_Sales_Records34[[#This Row],[Order Date Fixed]])</f>
        <v>1</v>
      </c>
      <c r="I838" t="str">
        <f>TEXT(Europe_Sales_Records34[[#This Row],[Order Date Fixed]],"MMM")</f>
        <v>Jul</v>
      </c>
      <c r="J838">
        <f>YEAR(Europe_Sales_Records34[[#This Row],[Order Date Fixed]])</f>
        <v>2014</v>
      </c>
      <c r="K838" t="str">
        <f>TEXT(Europe_Sales_Records34[[#This Row],[Order Date Fixed]],"MMM-YYYY")</f>
        <v>Jul-2014</v>
      </c>
      <c r="L838">
        <v>139949357</v>
      </c>
      <c r="M838" s="2">
        <f t="shared" si="27"/>
        <v>41834</v>
      </c>
      <c r="N838">
        <f>DAY(Europe_Sales_Records34[[#This Row],[Ship Date Fixed]])</f>
        <v>14</v>
      </c>
      <c r="O838" t="str">
        <f>TEXT(Europe_Sales_Records34[[#This Row],[Ship Date Fixed]],"MMM")</f>
        <v>Jul</v>
      </c>
      <c r="P838">
        <f>YEAR(Europe_Sales_Records34[[#This Row],[Ship Date Fixed]])</f>
        <v>2014</v>
      </c>
      <c r="Q838" t="str">
        <f>TEXT(Europe_Sales_Records34[[#This Row],[Ship Date Fixed]],"MMM-YYYY")</f>
        <v>Jul-2014</v>
      </c>
      <c r="R838" t="s">
        <v>583</v>
      </c>
      <c r="S838" s="3">
        <f>Europe_Sales_Records34[[#This Row],[Ship Date Fixed]]-Europe_Sales_Records34[[#This Row],[Order Date Fixed]]</f>
        <v>13</v>
      </c>
      <c r="T838">
        <v>2980</v>
      </c>
      <c r="U838">
        <v>154.06</v>
      </c>
      <c r="V838">
        <v>90.93</v>
      </c>
      <c r="W838">
        <f>Europe_Sales_Records34[[#This Row],[Total Revenue]]/Europe_Sales_Records34[[#This Row],[Units Sold]]</f>
        <v>154.06</v>
      </c>
      <c r="X838">
        <v>459098.8</v>
      </c>
      <c r="Y838">
        <v>270971.40000000002</v>
      </c>
      <c r="Z838" s="4">
        <f>Europe_Sales_Records34[[#This Row],[Total Profit]]/Europe_Sales_Records34[[#This Row],[Total Revenue]]</f>
        <v>0.40977541217707386</v>
      </c>
      <c r="AA838">
        <v>188127.4</v>
      </c>
    </row>
    <row r="839" spans="1:27" x14ac:dyDescent="0.3">
      <c r="A839" t="s">
        <v>14</v>
      </c>
      <c r="B839" t="s">
        <v>141</v>
      </c>
      <c r="C839" t="s">
        <v>22</v>
      </c>
      <c r="D839" t="s">
        <v>17</v>
      </c>
      <c r="E839" t="s">
        <v>54</v>
      </c>
      <c r="F839" t="s">
        <v>1360</v>
      </c>
      <c r="G839" s="2">
        <f t="shared" si="26"/>
        <v>42072</v>
      </c>
      <c r="H839">
        <f>DAY(Europe_Sales_Records34[[#This Row],[Order Date Fixed]])</f>
        <v>9</v>
      </c>
      <c r="I839" t="str">
        <f>TEXT(Europe_Sales_Records34[[#This Row],[Order Date Fixed]],"MMM")</f>
        <v>Mar</v>
      </c>
      <c r="J839">
        <f>YEAR(Europe_Sales_Records34[[#This Row],[Order Date Fixed]])</f>
        <v>2015</v>
      </c>
      <c r="K839" t="str">
        <f>TEXT(Europe_Sales_Records34[[#This Row],[Order Date Fixed]],"MMM-YYYY")</f>
        <v>Mar-2015</v>
      </c>
      <c r="L839">
        <v>470503079</v>
      </c>
      <c r="M839" s="2">
        <f t="shared" si="27"/>
        <v>42084</v>
      </c>
      <c r="N839">
        <f>DAY(Europe_Sales_Records34[[#This Row],[Ship Date Fixed]])</f>
        <v>21</v>
      </c>
      <c r="O839" t="str">
        <f>TEXT(Europe_Sales_Records34[[#This Row],[Ship Date Fixed]],"MMM")</f>
        <v>Mar</v>
      </c>
      <c r="P839">
        <f>YEAR(Europe_Sales_Records34[[#This Row],[Ship Date Fixed]])</f>
        <v>2015</v>
      </c>
      <c r="Q839" t="str">
        <f>TEXT(Europe_Sales_Records34[[#This Row],[Ship Date Fixed]],"MMM-YYYY")</f>
        <v>Mar-2015</v>
      </c>
      <c r="R839" t="s">
        <v>932</v>
      </c>
      <c r="S839" s="3">
        <f>Europe_Sales_Records34[[#This Row],[Ship Date Fixed]]-Europe_Sales_Records34[[#This Row],[Order Date Fixed]]</f>
        <v>12</v>
      </c>
      <c r="T839">
        <v>1172</v>
      </c>
      <c r="U839">
        <v>109.28</v>
      </c>
      <c r="V839">
        <v>35.840000000000003</v>
      </c>
      <c r="W839">
        <f>Europe_Sales_Records34[[#This Row],[Total Revenue]]/Europe_Sales_Records34[[#This Row],[Units Sold]]</f>
        <v>109.28</v>
      </c>
      <c r="X839">
        <v>128076.16</v>
      </c>
      <c r="Y839">
        <v>42004.480000000003</v>
      </c>
      <c r="Z839" s="4">
        <f>Europe_Sales_Records34[[#This Row],[Total Profit]]/Europe_Sales_Records34[[#This Row],[Total Revenue]]</f>
        <v>0.67203513909224</v>
      </c>
      <c r="AA839">
        <v>86071.679999999993</v>
      </c>
    </row>
    <row r="840" spans="1:27" x14ac:dyDescent="0.3">
      <c r="A840" t="s">
        <v>14</v>
      </c>
      <c r="B840" t="s">
        <v>27</v>
      </c>
      <c r="C840" t="s">
        <v>16</v>
      </c>
      <c r="D840" t="s">
        <v>17</v>
      </c>
      <c r="E840" t="s">
        <v>18</v>
      </c>
      <c r="F840" t="s">
        <v>1253</v>
      </c>
      <c r="G840" s="2">
        <f t="shared" si="26"/>
        <v>42134</v>
      </c>
      <c r="H840">
        <f>DAY(Europe_Sales_Records34[[#This Row],[Order Date Fixed]])</f>
        <v>10</v>
      </c>
      <c r="I840" t="str">
        <f>TEXT(Europe_Sales_Records34[[#This Row],[Order Date Fixed]],"MMM")</f>
        <v>May</v>
      </c>
      <c r="J840">
        <f>YEAR(Europe_Sales_Records34[[#This Row],[Order Date Fixed]])</f>
        <v>2015</v>
      </c>
      <c r="K840" t="str">
        <f>TEXT(Europe_Sales_Records34[[#This Row],[Order Date Fixed]],"MMM-YYYY")</f>
        <v>May-2015</v>
      </c>
      <c r="L840">
        <v>413951814</v>
      </c>
      <c r="M840" s="2">
        <f t="shared" si="27"/>
        <v>42155</v>
      </c>
      <c r="N840">
        <f>DAY(Europe_Sales_Records34[[#This Row],[Ship Date Fixed]])</f>
        <v>31</v>
      </c>
      <c r="O840" t="str">
        <f>TEXT(Europe_Sales_Records34[[#This Row],[Ship Date Fixed]],"MMM")</f>
        <v>May</v>
      </c>
      <c r="P840">
        <f>YEAR(Europe_Sales_Records34[[#This Row],[Ship Date Fixed]])</f>
        <v>2015</v>
      </c>
      <c r="Q840" t="str">
        <f>TEXT(Europe_Sales_Records34[[#This Row],[Ship Date Fixed]],"MMM-YYYY")</f>
        <v>May-2015</v>
      </c>
      <c r="R840" t="s">
        <v>1260</v>
      </c>
      <c r="S840" s="3">
        <f>Europe_Sales_Records34[[#This Row],[Ship Date Fixed]]-Europe_Sales_Records34[[#This Row],[Order Date Fixed]]</f>
        <v>21</v>
      </c>
      <c r="T840">
        <v>6395</v>
      </c>
      <c r="U840">
        <v>47.45</v>
      </c>
      <c r="V840">
        <v>31.79</v>
      </c>
      <c r="W840">
        <f>Europe_Sales_Records34[[#This Row],[Total Revenue]]/Europe_Sales_Records34[[#This Row],[Units Sold]]</f>
        <v>47.45</v>
      </c>
      <c r="X840">
        <v>303442.75</v>
      </c>
      <c r="Y840">
        <v>203297.05</v>
      </c>
      <c r="Z840" s="4">
        <f>Europe_Sales_Records34[[#This Row],[Total Profit]]/Europe_Sales_Records34[[#This Row],[Total Revenue]]</f>
        <v>0.33003161222339306</v>
      </c>
      <c r="AA840">
        <v>100145.7</v>
      </c>
    </row>
    <row r="841" spans="1:27" x14ac:dyDescent="0.3">
      <c r="A841" t="s">
        <v>14</v>
      </c>
      <c r="B841" t="s">
        <v>196</v>
      </c>
      <c r="C841" t="s">
        <v>32</v>
      </c>
      <c r="D841" t="s">
        <v>17</v>
      </c>
      <c r="E841" t="s">
        <v>33</v>
      </c>
      <c r="F841" t="s">
        <v>589</v>
      </c>
      <c r="G841" s="2">
        <f t="shared" si="26"/>
        <v>40409</v>
      </c>
      <c r="H841">
        <f>DAY(Europe_Sales_Records34[[#This Row],[Order Date Fixed]])</f>
        <v>19</v>
      </c>
      <c r="I841" t="str">
        <f>TEXT(Europe_Sales_Records34[[#This Row],[Order Date Fixed]],"MMM")</f>
        <v>Aug</v>
      </c>
      <c r="J841">
        <f>YEAR(Europe_Sales_Records34[[#This Row],[Order Date Fixed]])</f>
        <v>2010</v>
      </c>
      <c r="K841" t="str">
        <f>TEXT(Europe_Sales_Records34[[#This Row],[Order Date Fixed]],"MMM-YYYY")</f>
        <v>Aug-2010</v>
      </c>
      <c r="L841">
        <v>433734500</v>
      </c>
      <c r="M841" s="2">
        <f t="shared" si="27"/>
        <v>40429</v>
      </c>
      <c r="N841">
        <f>DAY(Europe_Sales_Records34[[#This Row],[Ship Date Fixed]])</f>
        <v>8</v>
      </c>
      <c r="O841" t="str">
        <f>TEXT(Europe_Sales_Records34[[#This Row],[Ship Date Fixed]],"MMM")</f>
        <v>Sep</v>
      </c>
      <c r="P841">
        <f>YEAR(Europe_Sales_Records34[[#This Row],[Ship Date Fixed]])</f>
        <v>2010</v>
      </c>
      <c r="Q841" t="str">
        <f>TEXT(Europe_Sales_Records34[[#This Row],[Ship Date Fixed]],"MMM-YYYY")</f>
        <v>Sep-2010</v>
      </c>
      <c r="R841" t="s">
        <v>1361</v>
      </c>
      <c r="S841" s="3">
        <f>Europe_Sales_Records34[[#This Row],[Ship Date Fixed]]-Europe_Sales_Records34[[#This Row],[Order Date Fixed]]</f>
        <v>20</v>
      </c>
      <c r="T841">
        <v>532</v>
      </c>
      <c r="U841">
        <v>651.21</v>
      </c>
      <c r="V841">
        <v>524.96</v>
      </c>
      <c r="W841">
        <f>Europe_Sales_Records34[[#This Row],[Total Revenue]]/Europe_Sales_Records34[[#This Row],[Units Sold]]</f>
        <v>651.20999999999992</v>
      </c>
      <c r="X841">
        <v>346443.72</v>
      </c>
      <c r="Y841">
        <v>279278.71999999997</v>
      </c>
      <c r="Z841" s="4">
        <f>Europe_Sales_Records34[[#This Row],[Total Profit]]/Europe_Sales_Records34[[#This Row],[Total Revenue]]</f>
        <v>0.19386987300563568</v>
      </c>
      <c r="AA841">
        <v>67165</v>
      </c>
    </row>
    <row r="842" spans="1:27" x14ac:dyDescent="0.3">
      <c r="A842" t="s">
        <v>14</v>
      </c>
      <c r="B842" t="s">
        <v>74</v>
      </c>
      <c r="C842" t="s">
        <v>32</v>
      </c>
      <c r="D842" t="s">
        <v>23</v>
      </c>
      <c r="E842" t="s">
        <v>18</v>
      </c>
      <c r="F842" t="s">
        <v>553</v>
      </c>
      <c r="G842" s="2">
        <f t="shared" si="26"/>
        <v>41227</v>
      </c>
      <c r="H842">
        <f>DAY(Europe_Sales_Records34[[#This Row],[Order Date Fixed]])</f>
        <v>14</v>
      </c>
      <c r="I842" t="str">
        <f>TEXT(Europe_Sales_Records34[[#This Row],[Order Date Fixed]],"MMM")</f>
        <v>Nov</v>
      </c>
      <c r="J842">
        <f>YEAR(Europe_Sales_Records34[[#This Row],[Order Date Fixed]])</f>
        <v>2012</v>
      </c>
      <c r="K842" t="str">
        <f>TEXT(Europe_Sales_Records34[[#This Row],[Order Date Fixed]],"MMM-YYYY")</f>
        <v>Nov-2012</v>
      </c>
      <c r="L842">
        <v>624348151</v>
      </c>
      <c r="M842" s="2">
        <f t="shared" si="27"/>
        <v>41251</v>
      </c>
      <c r="N842">
        <f>DAY(Europe_Sales_Records34[[#This Row],[Ship Date Fixed]])</f>
        <v>8</v>
      </c>
      <c r="O842" t="str">
        <f>TEXT(Europe_Sales_Records34[[#This Row],[Ship Date Fixed]],"MMM")</f>
        <v>Dec</v>
      </c>
      <c r="P842">
        <f>YEAR(Europe_Sales_Records34[[#This Row],[Ship Date Fixed]])</f>
        <v>2012</v>
      </c>
      <c r="Q842" t="str">
        <f>TEXT(Europe_Sales_Records34[[#This Row],[Ship Date Fixed]],"MMM-YYYY")</f>
        <v>Dec-2012</v>
      </c>
      <c r="R842" t="s">
        <v>1362</v>
      </c>
      <c r="S842" s="3">
        <f>Europe_Sales_Records34[[#This Row],[Ship Date Fixed]]-Europe_Sales_Records34[[#This Row],[Order Date Fixed]]</f>
        <v>24</v>
      </c>
      <c r="T842">
        <v>7347</v>
      </c>
      <c r="U842">
        <v>651.21</v>
      </c>
      <c r="V842">
        <v>524.96</v>
      </c>
      <c r="W842">
        <f>Europe_Sales_Records34[[#This Row],[Total Revenue]]/Europe_Sales_Records34[[#This Row],[Units Sold]]</f>
        <v>651.21</v>
      </c>
      <c r="X842">
        <v>4784439.87</v>
      </c>
      <c r="Y842">
        <v>3856881.12</v>
      </c>
      <c r="Z842" s="4">
        <f>Europe_Sales_Records34[[#This Row],[Total Profit]]/Europe_Sales_Records34[[#This Row],[Total Revenue]]</f>
        <v>0.19386987300563566</v>
      </c>
      <c r="AA842">
        <v>927558.75</v>
      </c>
    </row>
    <row r="843" spans="1:27" x14ac:dyDescent="0.3">
      <c r="A843" t="s">
        <v>14</v>
      </c>
      <c r="B843" t="s">
        <v>89</v>
      </c>
      <c r="C843" t="s">
        <v>22</v>
      </c>
      <c r="D843" t="s">
        <v>17</v>
      </c>
      <c r="E843" t="s">
        <v>24</v>
      </c>
      <c r="F843" t="s">
        <v>1363</v>
      </c>
      <c r="G843" s="2">
        <f t="shared" si="26"/>
        <v>40980</v>
      </c>
      <c r="H843">
        <f>DAY(Europe_Sales_Records34[[#This Row],[Order Date Fixed]])</f>
        <v>12</v>
      </c>
      <c r="I843" t="str">
        <f>TEXT(Europe_Sales_Records34[[#This Row],[Order Date Fixed]],"MMM")</f>
        <v>Mar</v>
      </c>
      <c r="J843">
        <f>YEAR(Europe_Sales_Records34[[#This Row],[Order Date Fixed]])</f>
        <v>2012</v>
      </c>
      <c r="K843" t="str">
        <f>TEXT(Europe_Sales_Records34[[#This Row],[Order Date Fixed]],"MMM-YYYY")</f>
        <v>Mar-2012</v>
      </c>
      <c r="L843">
        <v>109914195</v>
      </c>
      <c r="M843" s="2">
        <f t="shared" si="27"/>
        <v>41015</v>
      </c>
      <c r="N843">
        <f>DAY(Europe_Sales_Records34[[#This Row],[Ship Date Fixed]])</f>
        <v>16</v>
      </c>
      <c r="O843" t="str">
        <f>TEXT(Europe_Sales_Records34[[#This Row],[Ship Date Fixed]],"MMM")</f>
        <v>Apr</v>
      </c>
      <c r="P843">
        <f>YEAR(Europe_Sales_Records34[[#This Row],[Ship Date Fixed]])</f>
        <v>2012</v>
      </c>
      <c r="Q843" t="str">
        <f>TEXT(Europe_Sales_Records34[[#This Row],[Ship Date Fixed]],"MMM-YYYY")</f>
        <v>Apr-2012</v>
      </c>
      <c r="R843" t="s">
        <v>1338</v>
      </c>
      <c r="S843" s="3">
        <f>Europe_Sales_Records34[[#This Row],[Ship Date Fixed]]-Europe_Sales_Records34[[#This Row],[Order Date Fixed]]</f>
        <v>35</v>
      </c>
      <c r="T843">
        <v>4908</v>
      </c>
      <c r="U843">
        <v>109.28</v>
      </c>
      <c r="V843">
        <v>35.840000000000003</v>
      </c>
      <c r="W843">
        <f>Europe_Sales_Records34[[#This Row],[Total Revenue]]/Europe_Sales_Records34[[#This Row],[Units Sold]]</f>
        <v>109.28</v>
      </c>
      <c r="X843">
        <v>536346.24</v>
      </c>
      <c r="Y843">
        <v>175902.72</v>
      </c>
      <c r="Z843" s="4">
        <f>Europe_Sales_Records34[[#This Row],[Total Profit]]/Europe_Sales_Records34[[#This Row],[Total Revenue]]</f>
        <v>0.67203513909224011</v>
      </c>
      <c r="AA843">
        <v>360443.52</v>
      </c>
    </row>
    <row r="844" spans="1:27" x14ac:dyDescent="0.3">
      <c r="A844" t="s">
        <v>14</v>
      </c>
      <c r="B844" t="s">
        <v>364</v>
      </c>
      <c r="C844" t="s">
        <v>58</v>
      </c>
      <c r="D844" t="s">
        <v>23</v>
      </c>
      <c r="E844" t="s">
        <v>18</v>
      </c>
      <c r="F844" t="s">
        <v>1364</v>
      </c>
      <c r="G844" s="2">
        <f t="shared" si="26"/>
        <v>40329</v>
      </c>
      <c r="H844">
        <f>DAY(Europe_Sales_Records34[[#This Row],[Order Date Fixed]])</f>
        <v>31</v>
      </c>
      <c r="I844" t="str">
        <f>TEXT(Europe_Sales_Records34[[#This Row],[Order Date Fixed]],"MMM")</f>
        <v>May</v>
      </c>
      <c r="J844">
        <f>YEAR(Europe_Sales_Records34[[#This Row],[Order Date Fixed]])</f>
        <v>2010</v>
      </c>
      <c r="K844" t="str">
        <f>TEXT(Europe_Sales_Records34[[#This Row],[Order Date Fixed]],"MMM-YYYY")</f>
        <v>May-2010</v>
      </c>
      <c r="L844">
        <v>947073256</v>
      </c>
      <c r="M844" s="2">
        <f t="shared" si="27"/>
        <v>40341</v>
      </c>
      <c r="N844">
        <f>DAY(Europe_Sales_Records34[[#This Row],[Ship Date Fixed]])</f>
        <v>12</v>
      </c>
      <c r="O844" t="str">
        <f>TEXT(Europe_Sales_Records34[[#This Row],[Ship Date Fixed]],"MMM")</f>
        <v>Jun</v>
      </c>
      <c r="P844">
        <f>YEAR(Europe_Sales_Records34[[#This Row],[Ship Date Fixed]])</f>
        <v>2010</v>
      </c>
      <c r="Q844" t="str">
        <f>TEXT(Europe_Sales_Records34[[#This Row],[Ship Date Fixed]],"MMM-YYYY")</f>
        <v>Jun-2010</v>
      </c>
      <c r="R844" t="s">
        <v>713</v>
      </c>
      <c r="S844" s="3">
        <f>Europe_Sales_Records34[[#This Row],[Ship Date Fixed]]-Europe_Sales_Records34[[#This Row],[Order Date Fixed]]</f>
        <v>12</v>
      </c>
      <c r="T844">
        <v>8878</v>
      </c>
      <c r="U844">
        <v>152.58000000000001</v>
      </c>
      <c r="V844">
        <v>97.44</v>
      </c>
      <c r="W844">
        <f>Europe_Sales_Records34[[#This Row],[Total Revenue]]/Europe_Sales_Records34[[#This Row],[Units Sold]]</f>
        <v>152.58000000000001</v>
      </c>
      <c r="X844">
        <v>1354605.24</v>
      </c>
      <c r="Y844">
        <v>865072.32</v>
      </c>
      <c r="Z844" s="4">
        <f>Europe_Sales_Records34[[#This Row],[Total Profit]]/Europe_Sales_Records34[[#This Row],[Total Revenue]]</f>
        <v>0.36138419189933146</v>
      </c>
      <c r="AA844">
        <v>489532.92</v>
      </c>
    </row>
    <row r="845" spans="1:27" x14ac:dyDescent="0.3">
      <c r="A845" t="s">
        <v>14</v>
      </c>
      <c r="B845" t="s">
        <v>21</v>
      </c>
      <c r="C845" t="s">
        <v>102</v>
      </c>
      <c r="D845" t="s">
        <v>23</v>
      </c>
      <c r="E845" t="s">
        <v>33</v>
      </c>
      <c r="F845" t="s">
        <v>1365</v>
      </c>
      <c r="G845" s="2">
        <f t="shared" si="26"/>
        <v>41844</v>
      </c>
      <c r="H845">
        <f>DAY(Europe_Sales_Records34[[#This Row],[Order Date Fixed]])</f>
        <v>24</v>
      </c>
      <c r="I845" t="str">
        <f>TEXT(Europe_Sales_Records34[[#This Row],[Order Date Fixed]],"MMM")</f>
        <v>Jul</v>
      </c>
      <c r="J845">
        <f>YEAR(Europe_Sales_Records34[[#This Row],[Order Date Fixed]])</f>
        <v>2014</v>
      </c>
      <c r="K845" t="str">
        <f>TEXT(Europe_Sales_Records34[[#This Row],[Order Date Fixed]],"MMM-YYYY")</f>
        <v>Jul-2014</v>
      </c>
      <c r="L845">
        <v>409514796</v>
      </c>
      <c r="M845" s="2">
        <f t="shared" si="27"/>
        <v>41889</v>
      </c>
      <c r="N845">
        <f>DAY(Europe_Sales_Records34[[#This Row],[Ship Date Fixed]])</f>
        <v>7</v>
      </c>
      <c r="O845" t="str">
        <f>TEXT(Europe_Sales_Records34[[#This Row],[Ship Date Fixed]],"MMM")</f>
        <v>Sep</v>
      </c>
      <c r="P845">
        <f>YEAR(Europe_Sales_Records34[[#This Row],[Ship Date Fixed]])</f>
        <v>2014</v>
      </c>
      <c r="Q845" t="str">
        <f>TEXT(Europe_Sales_Records34[[#This Row],[Ship Date Fixed]],"MMM-YYYY")</f>
        <v>Sep-2014</v>
      </c>
      <c r="R845" t="s">
        <v>934</v>
      </c>
      <c r="S845" s="3">
        <f>Europe_Sales_Records34[[#This Row],[Ship Date Fixed]]-Europe_Sales_Records34[[#This Row],[Order Date Fixed]]</f>
        <v>45</v>
      </c>
      <c r="T845">
        <v>3383</v>
      </c>
      <c r="U845">
        <v>81.73</v>
      </c>
      <c r="V845">
        <v>56.67</v>
      </c>
      <c r="W845">
        <f>Europe_Sales_Records34[[#This Row],[Total Revenue]]/Europe_Sales_Records34[[#This Row],[Units Sold]]</f>
        <v>81.73</v>
      </c>
      <c r="X845">
        <v>276492.59000000003</v>
      </c>
      <c r="Y845">
        <v>191714.61</v>
      </c>
      <c r="Z845" s="4">
        <f>Europe_Sales_Records34[[#This Row],[Total Profit]]/Europe_Sales_Records34[[#This Row],[Total Revenue]]</f>
        <v>0.30661935641747212</v>
      </c>
      <c r="AA845">
        <v>84777.98</v>
      </c>
    </row>
    <row r="846" spans="1:27" x14ac:dyDescent="0.3">
      <c r="A846" t="s">
        <v>14</v>
      </c>
      <c r="B846" t="s">
        <v>80</v>
      </c>
      <c r="C846" t="s">
        <v>32</v>
      </c>
      <c r="D846" t="s">
        <v>23</v>
      </c>
      <c r="E846" t="s">
        <v>33</v>
      </c>
      <c r="F846" t="s">
        <v>1364</v>
      </c>
      <c r="G846" s="2">
        <f t="shared" si="26"/>
        <v>40329</v>
      </c>
      <c r="H846">
        <f>DAY(Europe_Sales_Records34[[#This Row],[Order Date Fixed]])</f>
        <v>31</v>
      </c>
      <c r="I846" t="str">
        <f>TEXT(Europe_Sales_Records34[[#This Row],[Order Date Fixed]],"MMM")</f>
        <v>May</v>
      </c>
      <c r="J846">
        <f>YEAR(Europe_Sales_Records34[[#This Row],[Order Date Fixed]])</f>
        <v>2010</v>
      </c>
      <c r="K846" t="str">
        <f>TEXT(Europe_Sales_Records34[[#This Row],[Order Date Fixed]],"MMM-YYYY")</f>
        <v>May-2010</v>
      </c>
      <c r="L846">
        <v>182228696</v>
      </c>
      <c r="M846" s="2">
        <f t="shared" si="27"/>
        <v>40371</v>
      </c>
      <c r="N846">
        <f>DAY(Europe_Sales_Records34[[#This Row],[Ship Date Fixed]])</f>
        <v>12</v>
      </c>
      <c r="O846" t="str">
        <f>TEXT(Europe_Sales_Records34[[#This Row],[Ship Date Fixed]],"MMM")</f>
        <v>Jul</v>
      </c>
      <c r="P846">
        <f>YEAR(Europe_Sales_Records34[[#This Row],[Ship Date Fixed]])</f>
        <v>2010</v>
      </c>
      <c r="Q846" t="str">
        <f>TEXT(Europe_Sales_Records34[[#This Row],[Ship Date Fixed]],"MMM-YYYY")</f>
        <v>Jul-2010</v>
      </c>
      <c r="R846" t="s">
        <v>493</v>
      </c>
      <c r="S846" s="3">
        <f>Europe_Sales_Records34[[#This Row],[Ship Date Fixed]]-Europe_Sales_Records34[[#This Row],[Order Date Fixed]]</f>
        <v>42</v>
      </c>
      <c r="T846">
        <v>4375</v>
      </c>
      <c r="U846">
        <v>651.21</v>
      </c>
      <c r="V846">
        <v>524.96</v>
      </c>
      <c r="W846">
        <f>Europe_Sales_Records34[[#This Row],[Total Revenue]]/Europe_Sales_Records34[[#This Row],[Units Sold]]</f>
        <v>651.21</v>
      </c>
      <c r="X846">
        <v>2849043.75</v>
      </c>
      <c r="Y846">
        <v>2296700</v>
      </c>
      <c r="Z846" s="4">
        <f>Europe_Sales_Records34[[#This Row],[Total Profit]]/Europe_Sales_Records34[[#This Row],[Total Revenue]]</f>
        <v>0.19386987300563566</v>
      </c>
      <c r="AA846">
        <v>552343.75</v>
      </c>
    </row>
    <row r="847" spans="1:27" x14ac:dyDescent="0.3">
      <c r="A847" t="s">
        <v>14</v>
      </c>
      <c r="B847" t="s">
        <v>21</v>
      </c>
      <c r="C847" t="s">
        <v>71</v>
      </c>
      <c r="D847" t="s">
        <v>23</v>
      </c>
      <c r="E847" t="s">
        <v>18</v>
      </c>
      <c r="F847" t="s">
        <v>1366</v>
      </c>
      <c r="G847" s="2">
        <f t="shared" si="26"/>
        <v>41318</v>
      </c>
      <c r="H847">
        <f>DAY(Europe_Sales_Records34[[#This Row],[Order Date Fixed]])</f>
        <v>13</v>
      </c>
      <c r="I847" t="str">
        <f>TEXT(Europe_Sales_Records34[[#This Row],[Order Date Fixed]],"MMM")</f>
        <v>Feb</v>
      </c>
      <c r="J847">
        <f>YEAR(Europe_Sales_Records34[[#This Row],[Order Date Fixed]])</f>
        <v>2013</v>
      </c>
      <c r="K847" t="str">
        <f>TEXT(Europe_Sales_Records34[[#This Row],[Order Date Fixed]],"MMM-YYYY")</f>
        <v>Feb-2013</v>
      </c>
      <c r="L847">
        <v>723893725</v>
      </c>
      <c r="M847" s="2">
        <f t="shared" si="27"/>
        <v>41344</v>
      </c>
      <c r="N847">
        <f>DAY(Europe_Sales_Records34[[#This Row],[Ship Date Fixed]])</f>
        <v>11</v>
      </c>
      <c r="O847" t="str">
        <f>TEXT(Europe_Sales_Records34[[#This Row],[Ship Date Fixed]],"MMM")</f>
        <v>Mar</v>
      </c>
      <c r="P847">
        <f>YEAR(Europe_Sales_Records34[[#This Row],[Ship Date Fixed]])</f>
        <v>2013</v>
      </c>
      <c r="Q847" t="str">
        <f>TEXT(Europe_Sales_Records34[[#This Row],[Ship Date Fixed]],"MMM-YYYY")</f>
        <v>Mar-2013</v>
      </c>
      <c r="R847" t="s">
        <v>147</v>
      </c>
      <c r="S847" s="3">
        <f>Europe_Sales_Records34[[#This Row],[Ship Date Fixed]]-Europe_Sales_Records34[[#This Row],[Order Date Fixed]]</f>
        <v>26</v>
      </c>
      <c r="T847">
        <v>5095</v>
      </c>
      <c r="U847">
        <v>668.27</v>
      </c>
      <c r="V847">
        <v>502.54</v>
      </c>
      <c r="W847">
        <f>Europe_Sales_Records34[[#This Row],[Total Revenue]]/Europe_Sales_Records34[[#This Row],[Units Sold]]</f>
        <v>668.27</v>
      </c>
      <c r="X847">
        <v>3404835.65</v>
      </c>
      <c r="Y847">
        <v>2560441.2999999998</v>
      </c>
      <c r="Z847" s="4">
        <f>Europe_Sales_Records34[[#This Row],[Total Profit]]/Europe_Sales_Records34[[#This Row],[Total Revenue]]</f>
        <v>0.24799856345489099</v>
      </c>
      <c r="AA847">
        <v>844394.35</v>
      </c>
    </row>
    <row r="848" spans="1:27" x14ac:dyDescent="0.3">
      <c r="A848" t="s">
        <v>14</v>
      </c>
      <c r="B848" t="s">
        <v>115</v>
      </c>
      <c r="C848" t="s">
        <v>58</v>
      </c>
      <c r="D848" t="s">
        <v>17</v>
      </c>
      <c r="E848" t="s">
        <v>33</v>
      </c>
      <c r="F848" t="s">
        <v>1068</v>
      </c>
      <c r="G848" s="2">
        <f t="shared" si="26"/>
        <v>42441</v>
      </c>
      <c r="H848">
        <f>DAY(Europe_Sales_Records34[[#This Row],[Order Date Fixed]])</f>
        <v>12</v>
      </c>
      <c r="I848" t="str">
        <f>TEXT(Europe_Sales_Records34[[#This Row],[Order Date Fixed]],"MMM")</f>
        <v>Mar</v>
      </c>
      <c r="J848">
        <f>YEAR(Europe_Sales_Records34[[#This Row],[Order Date Fixed]])</f>
        <v>2016</v>
      </c>
      <c r="K848" t="str">
        <f>TEXT(Europe_Sales_Records34[[#This Row],[Order Date Fixed]],"MMM-YYYY")</f>
        <v>Mar-2016</v>
      </c>
      <c r="L848">
        <v>392217338</v>
      </c>
      <c r="M848" s="2">
        <f t="shared" si="27"/>
        <v>42444</v>
      </c>
      <c r="N848">
        <f>DAY(Europe_Sales_Records34[[#This Row],[Ship Date Fixed]])</f>
        <v>15</v>
      </c>
      <c r="O848" t="str">
        <f>TEXT(Europe_Sales_Records34[[#This Row],[Ship Date Fixed]],"MMM")</f>
        <v>Mar</v>
      </c>
      <c r="P848">
        <f>YEAR(Europe_Sales_Records34[[#This Row],[Ship Date Fixed]])</f>
        <v>2016</v>
      </c>
      <c r="Q848" t="str">
        <f>TEXT(Europe_Sales_Records34[[#This Row],[Ship Date Fixed]],"MMM-YYYY")</f>
        <v>Mar-2016</v>
      </c>
      <c r="R848" t="s">
        <v>749</v>
      </c>
      <c r="S848" s="3">
        <f>Europe_Sales_Records34[[#This Row],[Ship Date Fixed]]-Europe_Sales_Records34[[#This Row],[Order Date Fixed]]</f>
        <v>3</v>
      </c>
      <c r="T848">
        <v>4681</v>
      </c>
      <c r="U848">
        <v>152.58000000000001</v>
      </c>
      <c r="V848">
        <v>97.44</v>
      </c>
      <c r="W848">
        <f>Europe_Sales_Records34[[#This Row],[Total Revenue]]/Europe_Sales_Records34[[#This Row],[Units Sold]]</f>
        <v>152.57999999999998</v>
      </c>
      <c r="X848">
        <v>714226.98</v>
      </c>
      <c r="Y848">
        <v>456116.64</v>
      </c>
      <c r="Z848" s="4">
        <f>Europe_Sales_Records34[[#This Row],[Total Profit]]/Europe_Sales_Records34[[#This Row],[Total Revenue]]</f>
        <v>0.36138419189933152</v>
      </c>
      <c r="AA848">
        <v>258110.34</v>
      </c>
    </row>
    <row r="849" spans="1:27" x14ac:dyDescent="0.3">
      <c r="A849" t="s">
        <v>14</v>
      </c>
      <c r="B849" t="s">
        <v>342</v>
      </c>
      <c r="C849" t="s">
        <v>64</v>
      </c>
      <c r="D849" t="s">
        <v>17</v>
      </c>
      <c r="E849" t="s">
        <v>18</v>
      </c>
      <c r="F849" t="s">
        <v>1367</v>
      </c>
      <c r="G849" s="2">
        <f t="shared" si="26"/>
        <v>42054</v>
      </c>
      <c r="H849">
        <f>DAY(Europe_Sales_Records34[[#This Row],[Order Date Fixed]])</f>
        <v>19</v>
      </c>
      <c r="I849" t="str">
        <f>TEXT(Europe_Sales_Records34[[#This Row],[Order Date Fixed]],"MMM")</f>
        <v>Feb</v>
      </c>
      <c r="J849">
        <f>YEAR(Europe_Sales_Records34[[#This Row],[Order Date Fixed]])</f>
        <v>2015</v>
      </c>
      <c r="K849" t="str">
        <f>TEXT(Europe_Sales_Records34[[#This Row],[Order Date Fixed]],"MMM-YYYY")</f>
        <v>Feb-2015</v>
      </c>
      <c r="L849">
        <v>108407437</v>
      </c>
      <c r="M849" s="2">
        <f t="shared" si="27"/>
        <v>42090</v>
      </c>
      <c r="N849">
        <f>DAY(Europe_Sales_Records34[[#This Row],[Ship Date Fixed]])</f>
        <v>27</v>
      </c>
      <c r="O849" t="str">
        <f>TEXT(Europe_Sales_Records34[[#This Row],[Ship Date Fixed]],"MMM")</f>
        <v>Mar</v>
      </c>
      <c r="P849">
        <f>YEAR(Europe_Sales_Records34[[#This Row],[Ship Date Fixed]])</f>
        <v>2015</v>
      </c>
      <c r="Q849" t="str">
        <f>TEXT(Europe_Sales_Records34[[#This Row],[Ship Date Fixed]],"MMM-YYYY")</f>
        <v>Mar-2015</v>
      </c>
      <c r="R849" t="s">
        <v>1368</v>
      </c>
      <c r="S849" s="3">
        <f>Europe_Sales_Records34[[#This Row],[Ship Date Fixed]]-Europe_Sales_Records34[[#This Row],[Order Date Fixed]]</f>
        <v>36</v>
      </c>
      <c r="T849">
        <v>9025</v>
      </c>
      <c r="U849">
        <v>255.28</v>
      </c>
      <c r="V849">
        <v>159.41999999999999</v>
      </c>
      <c r="W849">
        <f>Europe_Sales_Records34[[#This Row],[Total Revenue]]/Europe_Sales_Records34[[#This Row],[Units Sold]]</f>
        <v>255.28</v>
      </c>
      <c r="X849">
        <v>2303902</v>
      </c>
      <c r="Y849">
        <v>1438765.5</v>
      </c>
      <c r="Z849" s="4">
        <f>Europe_Sales_Records34[[#This Row],[Total Profit]]/Europe_Sales_Records34[[#This Row],[Total Revenue]]</f>
        <v>0.37550924475086178</v>
      </c>
      <c r="AA849">
        <v>865136.5</v>
      </c>
    </row>
    <row r="850" spans="1:27" x14ac:dyDescent="0.3">
      <c r="A850" t="s">
        <v>14</v>
      </c>
      <c r="B850" t="s">
        <v>223</v>
      </c>
      <c r="C850" t="s">
        <v>58</v>
      </c>
      <c r="D850" t="s">
        <v>17</v>
      </c>
      <c r="E850" t="s">
        <v>33</v>
      </c>
      <c r="F850" t="s">
        <v>1369</v>
      </c>
      <c r="G850" s="2">
        <f t="shared" si="26"/>
        <v>42724</v>
      </c>
      <c r="H850">
        <f>DAY(Europe_Sales_Records34[[#This Row],[Order Date Fixed]])</f>
        <v>20</v>
      </c>
      <c r="I850" t="str">
        <f>TEXT(Europe_Sales_Records34[[#This Row],[Order Date Fixed]],"MMM")</f>
        <v>Dec</v>
      </c>
      <c r="J850">
        <f>YEAR(Europe_Sales_Records34[[#This Row],[Order Date Fixed]])</f>
        <v>2016</v>
      </c>
      <c r="K850" t="str">
        <f>TEXT(Europe_Sales_Records34[[#This Row],[Order Date Fixed]],"MMM-YYYY")</f>
        <v>Dec-2016</v>
      </c>
      <c r="L850">
        <v>358594453</v>
      </c>
      <c r="M850" s="2">
        <f t="shared" si="27"/>
        <v>42768</v>
      </c>
      <c r="N850">
        <f>DAY(Europe_Sales_Records34[[#This Row],[Ship Date Fixed]])</f>
        <v>2</v>
      </c>
      <c r="O850" t="str">
        <f>TEXT(Europe_Sales_Records34[[#This Row],[Ship Date Fixed]],"MMM")</f>
        <v>Feb</v>
      </c>
      <c r="P850">
        <f>YEAR(Europe_Sales_Records34[[#This Row],[Ship Date Fixed]])</f>
        <v>2017</v>
      </c>
      <c r="Q850" t="str">
        <f>TEXT(Europe_Sales_Records34[[#This Row],[Ship Date Fixed]],"MMM-YYYY")</f>
        <v>Feb-2017</v>
      </c>
      <c r="R850" t="s">
        <v>1370</v>
      </c>
      <c r="S850" s="3">
        <f>Europe_Sales_Records34[[#This Row],[Ship Date Fixed]]-Europe_Sales_Records34[[#This Row],[Order Date Fixed]]</f>
        <v>44</v>
      </c>
      <c r="T850">
        <v>4922</v>
      </c>
      <c r="U850">
        <v>152.58000000000001</v>
      </c>
      <c r="V850">
        <v>97.44</v>
      </c>
      <c r="W850">
        <f>Europe_Sales_Records34[[#This Row],[Total Revenue]]/Europe_Sales_Records34[[#This Row],[Units Sold]]</f>
        <v>152.58000000000001</v>
      </c>
      <c r="X850">
        <v>750998.76</v>
      </c>
      <c r="Y850">
        <v>479599.68</v>
      </c>
      <c r="Z850" s="4">
        <f>Europe_Sales_Records34[[#This Row],[Total Profit]]/Europe_Sales_Records34[[#This Row],[Total Revenue]]</f>
        <v>0.36138419189933152</v>
      </c>
      <c r="AA850">
        <v>271399.08</v>
      </c>
    </row>
    <row r="851" spans="1:27" x14ac:dyDescent="0.3">
      <c r="A851" t="s">
        <v>14</v>
      </c>
      <c r="B851" t="s">
        <v>127</v>
      </c>
      <c r="C851" t="s">
        <v>58</v>
      </c>
      <c r="D851" t="s">
        <v>17</v>
      </c>
      <c r="E851" t="s">
        <v>18</v>
      </c>
      <c r="F851" t="s">
        <v>1371</v>
      </c>
      <c r="G851" s="2">
        <f t="shared" si="26"/>
        <v>41428</v>
      </c>
      <c r="H851">
        <f>DAY(Europe_Sales_Records34[[#This Row],[Order Date Fixed]])</f>
        <v>3</v>
      </c>
      <c r="I851" t="str">
        <f>TEXT(Europe_Sales_Records34[[#This Row],[Order Date Fixed]],"MMM")</f>
        <v>Jun</v>
      </c>
      <c r="J851">
        <f>YEAR(Europe_Sales_Records34[[#This Row],[Order Date Fixed]])</f>
        <v>2013</v>
      </c>
      <c r="K851" t="str">
        <f>TEXT(Europe_Sales_Records34[[#This Row],[Order Date Fixed]],"MMM-YYYY")</f>
        <v>Jun-2013</v>
      </c>
      <c r="L851">
        <v>784397923</v>
      </c>
      <c r="M851" s="2">
        <f t="shared" si="27"/>
        <v>41440</v>
      </c>
      <c r="N851">
        <f>DAY(Europe_Sales_Records34[[#This Row],[Ship Date Fixed]])</f>
        <v>15</v>
      </c>
      <c r="O851" t="str">
        <f>TEXT(Europe_Sales_Records34[[#This Row],[Ship Date Fixed]],"MMM")</f>
        <v>Jun</v>
      </c>
      <c r="P851">
        <f>YEAR(Europe_Sales_Records34[[#This Row],[Ship Date Fixed]])</f>
        <v>2013</v>
      </c>
      <c r="Q851" t="str">
        <f>TEXT(Europe_Sales_Records34[[#This Row],[Ship Date Fixed]],"MMM-YYYY")</f>
        <v>Jun-2013</v>
      </c>
      <c r="R851" t="s">
        <v>795</v>
      </c>
      <c r="S851" s="3">
        <f>Europe_Sales_Records34[[#This Row],[Ship Date Fixed]]-Europe_Sales_Records34[[#This Row],[Order Date Fixed]]</f>
        <v>12</v>
      </c>
      <c r="T851">
        <v>9631</v>
      </c>
      <c r="U851">
        <v>152.58000000000001</v>
      </c>
      <c r="V851">
        <v>97.44</v>
      </c>
      <c r="W851">
        <f>Europe_Sales_Records34[[#This Row],[Total Revenue]]/Europe_Sales_Records34[[#This Row],[Units Sold]]</f>
        <v>152.57999999999998</v>
      </c>
      <c r="X851">
        <v>1469497.98</v>
      </c>
      <c r="Y851">
        <v>938444.64</v>
      </c>
      <c r="Z851" s="4">
        <f>Europe_Sales_Records34[[#This Row],[Total Profit]]/Europe_Sales_Records34[[#This Row],[Total Revenue]]</f>
        <v>0.36138419189933146</v>
      </c>
      <c r="AA851">
        <v>531053.34</v>
      </c>
    </row>
    <row r="852" spans="1:27" x14ac:dyDescent="0.3">
      <c r="A852" t="s">
        <v>14</v>
      </c>
      <c r="B852" t="s">
        <v>105</v>
      </c>
      <c r="C852" t="s">
        <v>50</v>
      </c>
      <c r="D852" t="s">
        <v>17</v>
      </c>
      <c r="E852" t="s">
        <v>24</v>
      </c>
      <c r="F852" t="s">
        <v>1300</v>
      </c>
      <c r="G852" s="2">
        <f t="shared" si="26"/>
        <v>42895</v>
      </c>
      <c r="H852">
        <f>DAY(Europe_Sales_Records34[[#This Row],[Order Date Fixed]])</f>
        <v>9</v>
      </c>
      <c r="I852" t="str">
        <f>TEXT(Europe_Sales_Records34[[#This Row],[Order Date Fixed]],"MMM")</f>
        <v>Jun</v>
      </c>
      <c r="J852">
        <f>YEAR(Europe_Sales_Records34[[#This Row],[Order Date Fixed]])</f>
        <v>2017</v>
      </c>
      <c r="K852" t="str">
        <f>TEXT(Europe_Sales_Records34[[#This Row],[Order Date Fixed]],"MMM-YYYY")</f>
        <v>Jun-2017</v>
      </c>
      <c r="L852">
        <v>111246287</v>
      </c>
      <c r="M852" s="2">
        <f t="shared" si="27"/>
        <v>42918</v>
      </c>
      <c r="N852">
        <f>DAY(Europe_Sales_Records34[[#This Row],[Ship Date Fixed]])</f>
        <v>2</v>
      </c>
      <c r="O852" t="str">
        <f>TEXT(Europe_Sales_Records34[[#This Row],[Ship Date Fixed]],"MMM")</f>
        <v>Jul</v>
      </c>
      <c r="P852">
        <f>YEAR(Europe_Sales_Records34[[#This Row],[Ship Date Fixed]])</f>
        <v>2017</v>
      </c>
      <c r="Q852" t="str">
        <f>TEXT(Europe_Sales_Records34[[#This Row],[Ship Date Fixed]],"MMM-YYYY")</f>
        <v>Jul-2017</v>
      </c>
      <c r="R852" t="s">
        <v>1072</v>
      </c>
      <c r="S852" s="3">
        <f>Europe_Sales_Records34[[#This Row],[Ship Date Fixed]]-Europe_Sales_Records34[[#This Row],[Order Date Fixed]]</f>
        <v>23</v>
      </c>
      <c r="T852">
        <v>9103</v>
      </c>
      <c r="U852">
        <v>421.89</v>
      </c>
      <c r="V852">
        <v>364.69</v>
      </c>
      <c r="W852">
        <f>Europe_Sales_Records34[[#This Row],[Total Revenue]]/Europe_Sales_Records34[[#This Row],[Units Sold]]</f>
        <v>421.89</v>
      </c>
      <c r="X852">
        <v>3840464.67</v>
      </c>
      <c r="Y852">
        <v>3319773.07</v>
      </c>
      <c r="Z852" s="4">
        <f>Europe_Sales_Records34[[#This Row],[Total Profit]]/Europe_Sales_Records34[[#This Row],[Total Revenue]]</f>
        <v>0.13558036455000119</v>
      </c>
      <c r="AA852">
        <v>520691.6</v>
      </c>
    </row>
    <row r="853" spans="1:27" x14ac:dyDescent="0.3">
      <c r="A853" t="s">
        <v>14</v>
      </c>
      <c r="B853" t="s">
        <v>89</v>
      </c>
      <c r="C853" t="s">
        <v>46</v>
      </c>
      <c r="D853" t="s">
        <v>23</v>
      </c>
      <c r="E853" t="s">
        <v>33</v>
      </c>
      <c r="F853" t="s">
        <v>727</v>
      </c>
      <c r="G853" s="2">
        <f t="shared" si="26"/>
        <v>42419</v>
      </c>
      <c r="H853">
        <f>DAY(Europe_Sales_Records34[[#This Row],[Order Date Fixed]])</f>
        <v>19</v>
      </c>
      <c r="I853" t="str">
        <f>TEXT(Europe_Sales_Records34[[#This Row],[Order Date Fixed]],"MMM")</f>
        <v>Feb</v>
      </c>
      <c r="J853">
        <f>YEAR(Europe_Sales_Records34[[#This Row],[Order Date Fixed]])</f>
        <v>2016</v>
      </c>
      <c r="K853" t="str">
        <f>TEXT(Europe_Sales_Records34[[#This Row],[Order Date Fixed]],"MMM-YYYY")</f>
        <v>Feb-2016</v>
      </c>
      <c r="L853">
        <v>777018630</v>
      </c>
      <c r="M853" s="2">
        <f t="shared" si="27"/>
        <v>42448</v>
      </c>
      <c r="N853">
        <f>DAY(Europe_Sales_Records34[[#This Row],[Ship Date Fixed]])</f>
        <v>19</v>
      </c>
      <c r="O853" t="str">
        <f>TEXT(Europe_Sales_Records34[[#This Row],[Ship Date Fixed]],"MMM")</f>
        <v>Mar</v>
      </c>
      <c r="P853">
        <f>YEAR(Europe_Sales_Records34[[#This Row],[Ship Date Fixed]])</f>
        <v>2016</v>
      </c>
      <c r="Q853" t="str">
        <f>TEXT(Europe_Sales_Records34[[#This Row],[Ship Date Fixed]],"MMM-YYYY")</f>
        <v>Mar-2016</v>
      </c>
      <c r="R853" t="s">
        <v>1372</v>
      </c>
      <c r="S853" s="3">
        <f>Europe_Sales_Records34[[#This Row],[Ship Date Fixed]]-Europe_Sales_Records34[[#This Row],[Order Date Fixed]]</f>
        <v>29</v>
      </c>
      <c r="T853">
        <v>5935</v>
      </c>
      <c r="U853">
        <v>154.06</v>
      </c>
      <c r="V853">
        <v>90.93</v>
      </c>
      <c r="W853">
        <f>Europe_Sales_Records34[[#This Row],[Total Revenue]]/Europe_Sales_Records34[[#This Row],[Units Sold]]</f>
        <v>154.06</v>
      </c>
      <c r="X853">
        <v>914346.1</v>
      </c>
      <c r="Y853">
        <v>539669.55000000005</v>
      </c>
      <c r="Z853" s="4">
        <f>Europe_Sales_Records34[[#This Row],[Total Profit]]/Europe_Sales_Records34[[#This Row],[Total Revenue]]</f>
        <v>0.40977541217707386</v>
      </c>
      <c r="AA853">
        <v>374676.55</v>
      </c>
    </row>
    <row r="854" spans="1:27" x14ac:dyDescent="0.3">
      <c r="A854" t="s">
        <v>14</v>
      </c>
      <c r="B854" t="s">
        <v>146</v>
      </c>
      <c r="C854" t="s">
        <v>22</v>
      </c>
      <c r="D854" t="s">
        <v>17</v>
      </c>
      <c r="E854" t="s">
        <v>54</v>
      </c>
      <c r="F854" t="s">
        <v>302</v>
      </c>
      <c r="G854" s="2">
        <f t="shared" si="26"/>
        <v>41518</v>
      </c>
      <c r="H854">
        <f>DAY(Europe_Sales_Records34[[#This Row],[Order Date Fixed]])</f>
        <v>1</v>
      </c>
      <c r="I854" t="str">
        <f>TEXT(Europe_Sales_Records34[[#This Row],[Order Date Fixed]],"MMM")</f>
        <v>Sep</v>
      </c>
      <c r="J854">
        <f>YEAR(Europe_Sales_Records34[[#This Row],[Order Date Fixed]])</f>
        <v>2013</v>
      </c>
      <c r="K854" t="str">
        <f>TEXT(Europe_Sales_Records34[[#This Row],[Order Date Fixed]],"MMM-YYYY")</f>
        <v>Sep-2013</v>
      </c>
      <c r="L854">
        <v>601588857</v>
      </c>
      <c r="M854" s="2">
        <f t="shared" si="27"/>
        <v>41527</v>
      </c>
      <c r="N854">
        <f>DAY(Europe_Sales_Records34[[#This Row],[Ship Date Fixed]])</f>
        <v>10</v>
      </c>
      <c r="O854" t="str">
        <f>TEXT(Europe_Sales_Records34[[#This Row],[Ship Date Fixed]],"MMM")</f>
        <v>Sep</v>
      </c>
      <c r="P854">
        <f>YEAR(Europe_Sales_Records34[[#This Row],[Ship Date Fixed]])</f>
        <v>2013</v>
      </c>
      <c r="Q854" t="str">
        <f>TEXT(Europe_Sales_Records34[[#This Row],[Ship Date Fixed]],"MMM-YYYY")</f>
        <v>Sep-2013</v>
      </c>
      <c r="R854" t="s">
        <v>357</v>
      </c>
      <c r="S854" s="3">
        <f>Europe_Sales_Records34[[#This Row],[Ship Date Fixed]]-Europe_Sales_Records34[[#This Row],[Order Date Fixed]]</f>
        <v>9</v>
      </c>
      <c r="T854">
        <v>2366</v>
      </c>
      <c r="U854">
        <v>109.28</v>
      </c>
      <c r="V854">
        <v>35.840000000000003</v>
      </c>
      <c r="W854">
        <f>Europe_Sales_Records34[[#This Row],[Total Revenue]]/Europe_Sales_Records34[[#This Row],[Units Sold]]</f>
        <v>109.28</v>
      </c>
      <c r="X854">
        <v>258556.48</v>
      </c>
      <c r="Y854">
        <v>84797.440000000002</v>
      </c>
      <c r="Z854" s="4">
        <f>Europe_Sales_Records34[[#This Row],[Total Profit]]/Europe_Sales_Records34[[#This Row],[Total Revenue]]</f>
        <v>0.67203513909224011</v>
      </c>
      <c r="AA854">
        <v>173759.04</v>
      </c>
    </row>
    <row r="855" spans="1:27" x14ac:dyDescent="0.3">
      <c r="A855" t="s">
        <v>14</v>
      </c>
      <c r="B855" t="s">
        <v>70</v>
      </c>
      <c r="C855" t="s">
        <v>46</v>
      </c>
      <c r="D855" t="s">
        <v>17</v>
      </c>
      <c r="E855" t="s">
        <v>33</v>
      </c>
      <c r="F855" t="s">
        <v>1373</v>
      </c>
      <c r="G855" s="2">
        <f t="shared" si="26"/>
        <v>41715</v>
      </c>
      <c r="H855">
        <f>DAY(Europe_Sales_Records34[[#This Row],[Order Date Fixed]])</f>
        <v>17</v>
      </c>
      <c r="I855" t="str">
        <f>TEXT(Europe_Sales_Records34[[#This Row],[Order Date Fixed]],"MMM")</f>
        <v>Mar</v>
      </c>
      <c r="J855">
        <f>YEAR(Europe_Sales_Records34[[#This Row],[Order Date Fixed]])</f>
        <v>2014</v>
      </c>
      <c r="K855" t="str">
        <f>TEXT(Europe_Sales_Records34[[#This Row],[Order Date Fixed]],"MMM-YYYY")</f>
        <v>Mar-2014</v>
      </c>
      <c r="L855">
        <v>249039304</v>
      </c>
      <c r="M855" s="2">
        <f t="shared" si="27"/>
        <v>41760</v>
      </c>
      <c r="N855">
        <f>DAY(Europe_Sales_Records34[[#This Row],[Ship Date Fixed]])</f>
        <v>1</v>
      </c>
      <c r="O855" t="str">
        <f>TEXT(Europe_Sales_Records34[[#This Row],[Ship Date Fixed]],"MMM")</f>
        <v>May</v>
      </c>
      <c r="P855">
        <f>YEAR(Europe_Sales_Records34[[#This Row],[Ship Date Fixed]])</f>
        <v>2014</v>
      </c>
      <c r="Q855" t="str">
        <f>TEXT(Europe_Sales_Records34[[#This Row],[Ship Date Fixed]],"MMM-YYYY")</f>
        <v>May-2014</v>
      </c>
      <c r="R855" t="s">
        <v>1374</v>
      </c>
      <c r="S855" s="3">
        <f>Europe_Sales_Records34[[#This Row],[Ship Date Fixed]]-Europe_Sales_Records34[[#This Row],[Order Date Fixed]]</f>
        <v>45</v>
      </c>
      <c r="T855">
        <v>5119</v>
      </c>
      <c r="U855">
        <v>154.06</v>
      </c>
      <c r="V855">
        <v>90.93</v>
      </c>
      <c r="W855">
        <f>Europe_Sales_Records34[[#This Row],[Total Revenue]]/Europe_Sales_Records34[[#This Row],[Units Sold]]</f>
        <v>154.06</v>
      </c>
      <c r="X855">
        <v>788633.14</v>
      </c>
      <c r="Y855">
        <v>465470.67</v>
      </c>
      <c r="Z855" s="4">
        <f>Europe_Sales_Records34[[#This Row],[Total Profit]]/Europe_Sales_Records34[[#This Row],[Total Revenue]]</f>
        <v>0.40977541217707381</v>
      </c>
      <c r="AA855">
        <v>323162.46999999997</v>
      </c>
    </row>
    <row r="856" spans="1:27" x14ac:dyDescent="0.3">
      <c r="A856" t="s">
        <v>14</v>
      </c>
      <c r="B856" t="s">
        <v>127</v>
      </c>
      <c r="C856" t="s">
        <v>28</v>
      </c>
      <c r="D856" t="s">
        <v>23</v>
      </c>
      <c r="E856" t="s">
        <v>18</v>
      </c>
      <c r="F856" t="s">
        <v>1117</v>
      </c>
      <c r="G856" s="2">
        <f t="shared" si="26"/>
        <v>42338</v>
      </c>
      <c r="H856">
        <f>DAY(Europe_Sales_Records34[[#This Row],[Order Date Fixed]])</f>
        <v>30</v>
      </c>
      <c r="I856" t="str">
        <f>TEXT(Europe_Sales_Records34[[#This Row],[Order Date Fixed]],"MMM")</f>
        <v>Nov</v>
      </c>
      <c r="J856">
        <f>YEAR(Europe_Sales_Records34[[#This Row],[Order Date Fixed]])</f>
        <v>2015</v>
      </c>
      <c r="K856" t="str">
        <f>TEXT(Europe_Sales_Records34[[#This Row],[Order Date Fixed]],"MMM-YYYY")</f>
        <v>Nov-2015</v>
      </c>
      <c r="L856">
        <v>905947482</v>
      </c>
      <c r="M856" s="2">
        <f t="shared" si="27"/>
        <v>42387</v>
      </c>
      <c r="N856">
        <f>DAY(Europe_Sales_Records34[[#This Row],[Ship Date Fixed]])</f>
        <v>18</v>
      </c>
      <c r="O856" t="str">
        <f>TEXT(Europe_Sales_Records34[[#This Row],[Ship Date Fixed]],"MMM")</f>
        <v>Jan</v>
      </c>
      <c r="P856">
        <f>YEAR(Europe_Sales_Records34[[#This Row],[Ship Date Fixed]])</f>
        <v>2016</v>
      </c>
      <c r="Q856" t="str">
        <f>TEXT(Europe_Sales_Records34[[#This Row],[Ship Date Fixed]],"MMM-YYYY")</f>
        <v>Jan-2016</v>
      </c>
      <c r="R856" t="s">
        <v>1375</v>
      </c>
      <c r="S856" s="3">
        <f>Europe_Sales_Records34[[#This Row],[Ship Date Fixed]]-Europe_Sales_Records34[[#This Row],[Order Date Fixed]]</f>
        <v>49</v>
      </c>
      <c r="T856">
        <v>8847</v>
      </c>
      <c r="U856">
        <v>205.7</v>
      </c>
      <c r="V856">
        <v>117.11</v>
      </c>
      <c r="W856">
        <f>Europe_Sales_Records34[[#This Row],[Total Revenue]]/Europe_Sales_Records34[[#This Row],[Units Sold]]</f>
        <v>205.7</v>
      </c>
      <c r="X856">
        <v>1819827.9</v>
      </c>
      <c r="Y856">
        <v>1036072.17</v>
      </c>
      <c r="Z856" s="4">
        <f>Europe_Sales_Records34[[#This Row],[Total Profit]]/Europe_Sales_Records34[[#This Row],[Total Revenue]]</f>
        <v>0.43067574137092857</v>
      </c>
      <c r="AA856">
        <v>783755.73</v>
      </c>
    </row>
    <row r="857" spans="1:27" x14ac:dyDescent="0.3">
      <c r="A857" t="s">
        <v>14</v>
      </c>
      <c r="B857" t="s">
        <v>185</v>
      </c>
      <c r="C857" t="s">
        <v>46</v>
      </c>
      <c r="D857" t="s">
        <v>23</v>
      </c>
      <c r="E857" t="s">
        <v>54</v>
      </c>
      <c r="F857" t="s">
        <v>902</v>
      </c>
      <c r="G857" s="2">
        <f t="shared" si="26"/>
        <v>40746</v>
      </c>
      <c r="H857">
        <f>DAY(Europe_Sales_Records34[[#This Row],[Order Date Fixed]])</f>
        <v>22</v>
      </c>
      <c r="I857" t="str">
        <f>TEXT(Europe_Sales_Records34[[#This Row],[Order Date Fixed]],"MMM")</f>
        <v>Jul</v>
      </c>
      <c r="J857">
        <f>YEAR(Europe_Sales_Records34[[#This Row],[Order Date Fixed]])</f>
        <v>2011</v>
      </c>
      <c r="K857" t="str">
        <f>TEXT(Europe_Sales_Records34[[#This Row],[Order Date Fixed]],"MMM-YYYY")</f>
        <v>Jul-2011</v>
      </c>
      <c r="L857">
        <v>359893071</v>
      </c>
      <c r="M857" s="2">
        <f t="shared" si="27"/>
        <v>40761</v>
      </c>
      <c r="N857">
        <f>DAY(Europe_Sales_Records34[[#This Row],[Ship Date Fixed]])</f>
        <v>6</v>
      </c>
      <c r="O857" t="str">
        <f>TEXT(Europe_Sales_Records34[[#This Row],[Ship Date Fixed]],"MMM")</f>
        <v>Aug</v>
      </c>
      <c r="P857">
        <f>YEAR(Europe_Sales_Records34[[#This Row],[Ship Date Fixed]])</f>
        <v>2011</v>
      </c>
      <c r="Q857" t="str">
        <f>TEXT(Europe_Sales_Records34[[#This Row],[Ship Date Fixed]],"MMM-YYYY")</f>
        <v>Aug-2011</v>
      </c>
      <c r="R857" t="s">
        <v>320</v>
      </c>
      <c r="S857" s="3">
        <f>Europe_Sales_Records34[[#This Row],[Ship Date Fixed]]-Europe_Sales_Records34[[#This Row],[Order Date Fixed]]</f>
        <v>15</v>
      </c>
      <c r="T857">
        <v>9212</v>
      </c>
      <c r="U857">
        <v>154.06</v>
      </c>
      <c r="V857">
        <v>90.93</v>
      </c>
      <c r="W857">
        <f>Europe_Sales_Records34[[#This Row],[Total Revenue]]/Europe_Sales_Records34[[#This Row],[Units Sold]]</f>
        <v>154.06</v>
      </c>
      <c r="X857">
        <v>1419200.72</v>
      </c>
      <c r="Y857">
        <v>837647.16</v>
      </c>
      <c r="Z857" s="4">
        <f>Europe_Sales_Records34[[#This Row],[Total Profit]]/Europe_Sales_Records34[[#This Row],[Total Revenue]]</f>
        <v>0.40977541217707392</v>
      </c>
      <c r="AA857">
        <v>581553.56000000006</v>
      </c>
    </row>
    <row r="858" spans="1:27" x14ac:dyDescent="0.3">
      <c r="A858" t="s">
        <v>14</v>
      </c>
      <c r="B858" t="s">
        <v>89</v>
      </c>
      <c r="C858" t="s">
        <v>75</v>
      </c>
      <c r="D858" t="s">
        <v>17</v>
      </c>
      <c r="E858" t="s">
        <v>24</v>
      </c>
      <c r="F858" t="s">
        <v>1376</v>
      </c>
      <c r="G858" s="2">
        <f t="shared" si="26"/>
        <v>42571</v>
      </c>
      <c r="H858">
        <f>DAY(Europe_Sales_Records34[[#This Row],[Order Date Fixed]])</f>
        <v>20</v>
      </c>
      <c r="I858" t="str">
        <f>TEXT(Europe_Sales_Records34[[#This Row],[Order Date Fixed]],"MMM")</f>
        <v>Jul</v>
      </c>
      <c r="J858">
        <f>YEAR(Europe_Sales_Records34[[#This Row],[Order Date Fixed]])</f>
        <v>2016</v>
      </c>
      <c r="K858" t="str">
        <f>TEXT(Europe_Sales_Records34[[#This Row],[Order Date Fixed]],"MMM-YYYY")</f>
        <v>Jul-2016</v>
      </c>
      <c r="L858">
        <v>284310567</v>
      </c>
      <c r="M858" s="2">
        <f t="shared" si="27"/>
        <v>42615</v>
      </c>
      <c r="N858">
        <f>DAY(Europe_Sales_Records34[[#This Row],[Ship Date Fixed]])</f>
        <v>2</v>
      </c>
      <c r="O858" t="str">
        <f>TEXT(Europe_Sales_Records34[[#This Row],[Ship Date Fixed]],"MMM")</f>
        <v>Sep</v>
      </c>
      <c r="P858">
        <f>YEAR(Europe_Sales_Records34[[#This Row],[Ship Date Fixed]])</f>
        <v>2016</v>
      </c>
      <c r="Q858" t="str">
        <f>TEXT(Europe_Sales_Records34[[#This Row],[Ship Date Fixed]],"MMM-YYYY")</f>
        <v>Sep-2016</v>
      </c>
      <c r="R858" t="s">
        <v>1377</v>
      </c>
      <c r="S858" s="3">
        <f>Europe_Sales_Records34[[#This Row],[Ship Date Fixed]]-Europe_Sales_Records34[[#This Row],[Order Date Fixed]]</f>
        <v>44</v>
      </c>
      <c r="T858">
        <v>2670</v>
      </c>
      <c r="U858">
        <v>437.2</v>
      </c>
      <c r="V858">
        <v>263.33</v>
      </c>
      <c r="W858">
        <f>Europe_Sales_Records34[[#This Row],[Total Revenue]]/Europe_Sales_Records34[[#This Row],[Units Sold]]</f>
        <v>437.2</v>
      </c>
      <c r="X858">
        <v>1167324</v>
      </c>
      <c r="Y858">
        <v>703091.1</v>
      </c>
      <c r="Z858" s="4">
        <f>Europe_Sales_Records34[[#This Row],[Total Profit]]/Europe_Sales_Records34[[#This Row],[Total Revenue]]</f>
        <v>0.39768984446477584</v>
      </c>
      <c r="AA858">
        <v>464232.9</v>
      </c>
    </row>
    <row r="859" spans="1:27" x14ac:dyDescent="0.3">
      <c r="A859" t="s">
        <v>14</v>
      </c>
      <c r="B859" t="s">
        <v>21</v>
      </c>
      <c r="C859" t="s">
        <v>46</v>
      </c>
      <c r="D859" t="s">
        <v>17</v>
      </c>
      <c r="E859" t="s">
        <v>24</v>
      </c>
      <c r="F859" t="s">
        <v>1019</v>
      </c>
      <c r="G859" s="2">
        <f t="shared" si="26"/>
        <v>40945</v>
      </c>
      <c r="H859">
        <f>DAY(Europe_Sales_Records34[[#This Row],[Order Date Fixed]])</f>
        <v>6</v>
      </c>
      <c r="I859" t="str">
        <f>TEXT(Europe_Sales_Records34[[#This Row],[Order Date Fixed]],"MMM")</f>
        <v>Feb</v>
      </c>
      <c r="J859">
        <f>YEAR(Europe_Sales_Records34[[#This Row],[Order Date Fixed]])</f>
        <v>2012</v>
      </c>
      <c r="K859" t="str">
        <f>TEXT(Europe_Sales_Records34[[#This Row],[Order Date Fixed]],"MMM-YYYY")</f>
        <v>Feb-2012</v>
      </c>
      <c r="L859">
        <v>942372310</v>
      </c>
      <c r="M859" s="2">
        <f t="shared" si="27"/>
        <v>40958</v>
      </c>
      <c r="N859">
        <f>DAY(Europe_Sales_Records34[[#This Row],[Ship Date Fixed]])</f>
        <v>19</v>
      </c>
      <c r="O859" t="str">
        <f>TEXT(Europe_Sales_Records34[[#This Row],[Ship Date Fixed]],"MMM")</f>
        <v>Feb</v>
      </c>
      <c r="P859">
        <f>YEAR(Europe_Sales_Records34[[#This Row],[Ship Date Fixed]])</f>
        <v>2012</v>
      </c>
      <c r="Q859" t="str">
        <f>TEXT(Europe_Sales_Records34[[#This Row],[Ship Date Fixed]],"MMM-YYYY")</f>
        <v>Feb-2012</v>
      </c>
      <c r="R859" t="s">
        <v>1378</v>
      </c>
      <c r="S859" s="3">
        <f>Europe_Sales_Records34[[#This Row],[Ship Date Fixed]]-Europe_Sales_Records34[[#This Row],[Order Date Fixed]]</f>
        <v>13</v>
      </c>
      <c r="T859">
        <v>7763</v>
      </c>
      <c r="U859">
        <v>154.06</v>
      </c>
      <c r="V859">
        <v>90.93</v>
      </c>
      <c r="W859">
        <f>Europe_Sales_Records34[[#This Row],[Total Revenue]]/Europe_Sales_Records34[[#This Row],[Units Sold]]</f>
        <v>154.06</v>
      </c>
      <c r="X859">
        <v>1195967.78</v>
      </c>
      <c r="Y859">
        <v>705889.59</v>
      </c>
      <c r="Z859" s="4">
        <f>Europe_Sales_Records34[[#This Row],[Total Profit]]/Europe_Sales_Records34[[#This Row],[Total Revenue]]</f>
        <v>0.40977541217707386</v>
      </c>
      <c r="AA859">
        <v>490078.19</v>
      </c>
    </row>
    <row r="860" spans="1:27" x14ac:dyDescent="0.3">
      <c r="A860" t="s">
        <v>14</v>
      </c>
      <c r="B860" t="s">
        <v>181</v>
      </c>
      <c r="C860" t="s">
        <v>50</v>
      </c>
      <c r="D860" t="s">
        <v>23</v>
      </c>
      <c r="E860" t="s">
        <v>18</v>
      </c>
      <c r="F860" t="s">
        <v>431</v>
      </c>
      <c r="G860" s="2">
        <f t="shared" si="26"/>
        <v>42079</v>
      </c>
      <c r="H860">
        <f>DAY(Europe_Sales_Records34[[#This Row],[Order Date Fixed]])</f>
        <v>16</v>
      </c>
      <c r="I860" t="str">
        <f>TEXT(Europe_Sales_Records34[[#This Row],[Order Date Fixed]],"MMM")</f>
        <v>Mar</v>
      </c>
      <c r="J860">
        <f>YEAR(Europe_Sales_Records34[[#This Row],[Order Date Fixed]])</f>
        <v>2015</v>
      </c>
      <c r="K860" t="str">
        <f>TEXT(Europe_Sales_Records34[[#This Row],[Order Date Fixed]],"MMM-YYYY")</f>
        <v>Mar-2015</v>
      </c>
      <c r="L860">
        <v>604124295</v>
      </c>
      <c r="M860" s="2">
        <f t="shared" si="27"/>
        <v>42096</v>
      </c>
      <c r="N860">
        <f>DAY(Europe_Sales_Records34[[#This Row],[Ship Date Fixed]])</f>
        <v>2</v>
      </c>
      <c r="O860" t="str">
        <f>TEXT(Europe_Sales_Records34[[#This Row],[Ship Date Fixed]],"MMM")</f>
        <v>Apr</v>
      </c>
      <c r="P860">
        <f>YEAR(Europe_Sales_Records34[[#This Row],[Ship Date Fixed]])</f>
        <v>2015</v>
      </c>
      <c r="Q860" t="str">
        <f>TEXT(Europe_Sales_Records34[[#This Row],[Ship Date Fixed]],"MMM-YYYY")</f>
        <v>Apr-2015</v>
      </c>
      <c r="R860" t="s">
        <v>1379</v>
      </c>
      <c r="S860" s="3">
        <f>Europe_Sales_Records34[[#This Row],[Ship Date Fixed]]-Europe_Sales_Records34[[#This Row],[Order Date Fixed]]</f>
        <v>17</v>
      </c>
      <c r="T860">
        <v>2659</v>
      </c>
      <c r="U860">
        <v>421.89</v>
      </c>
      <c r="V860">
        <v>364.69</v>
      </c>
      <c r="W860">
        <f>Europe_Sales_Records34[[#This Row],[Total Revenue]]/Europe_Sales_Records34[[#This Row],[Units Sold]]</f>
        <v>421.89</v>
      </c>
      <c r="X860">
        <v>1121805.51</v>
      </c>
      <c r="Y860">
        <v>969710.71</v>
      </c>
      <c r="Z860" s="4">
        <f>Europe_Sales_Records34[[#This Row],[Total Profit]]/Europe_Sales_Records34[[#This Row],[Total Revenue]]</f>
        <v>0.13558036455000116</v>
      </c>
      <c r="AA860">
        <v>152094.79999999999</v>
      </c>
    </row>
    <row r="861" spans="1:27" x14ac:dyDescent="0.3">
      <c r="A861" t="s">
        <v>14</v>
      </c>
      <c r="B861" t="s">
        <v>132</v>
      </c>
      <c r="C861" t="s">
        <v>37</v>
      </c>
      <c r="D861" t="s">
        <v>23</v>
      </c>
      <c r="E861" t="s">
        <v>18</v>
      </c>
      <c r="F861" t="s">
        <v>1380</v>
      </c>
      <c r="G861" s="2">
        <f t="shared" si="26"/>
        <v>42070</v>
      </c>
      <c r="H861">
        <f>DAY(Europe_Sales_Records34[[#This Row],[Order Date Fixed]])</f>
        <v>7</v>
      </c>
      <c r="I861" t="str">
        <f>TEXT(Europe_Sales_Records34[[#This Row],[Order Date Fixed]],"MMM")</f>
        <v>Mar</v>
      </c>
      <c r="J861">
        <f>YEAR(Europe_Sales_Records34[[#This Row],[Order Date Fixed]])</f>
        <v>2015</v>
      </c>
      <c r="K861" t="str">
        <f>TEXT(Europe_Sales_Records34[[#This Row],[Order Date Fixed]],"MMM-YYYY")</f>
        <v>Mar-2015</v>
      </c>
      <c r="L861">
        <v>720229613</v>
      </c>
      <c r="M861" s="2">
        <f t="shared" si="27"/>
        <v>42074</v>
      </c>
      <c r="N861">
        <f>DAY(Europe_Sales_Records34[[#This Row],[Ship Date Fixed]])</f>
        <v>11</v>
      </c>
      <c r="O861" t="str">
        <f>TEXT(Europe_Sales_Records34[[#This Row],[Ship Date Fixed]],"MMM")</f>
        <v>Mar</v>
      </c>
      <c r="P861">
        <f>YEAR(Europe_Sales_Records34[[#This Row],[Ship Date Fixed]])</f>
        <v>2015</v>
      </c>
      <c r="Q861" t="str">
        <f>TEXT(Europe_Sales_Records34[[#This Row],[Ship Date Fixed]],"MMM-YYYY")</f>
        <v>Mar-2015</v>
      </c>
      <c r="R861" t="s">
        <v>1262</v>
      </c>
      <c r="S861" s="3">
        <f>Europe_Sales_Records34[[#This Row],[Ship Date Fixed]]-Europe_Sales_Records34[[#This Row],[Order Date Fixed]]</f>
        <v>4</v>
      </c>
      <c r="T861">
        <v>803</v>
      </c>
      <c r="U861">
        <v>9.33</v>
      </c>
      <c r="V861">
        <v>6.92</v>
      </c>
      <c r="W861">
        <f>Europe_Sales_Records34[[#This Row],[Total Revenue]]/Europe_Sales_Records34[[#This Row],[Units Sold]]</f>
        <v>9.33</v>
      </c>
      <c r="X861">
        <v>7491.99</v>
      </c>
      <c r="Y861">
        <v>5556.76</v>
      </c>
      <c r="Z861" s="4">
        <f>Europe_Sales_Records34[[#This Row],[Total Profit]]/Europe_Sales_Records34[[#This Row],[Total Revenue]]</f>
        <v>0.25830653804930331</v>
      </c>
      <c r="AA861">
        <v>1935.23</v>
      </c>
    </row>
    <row r="862" spans="1:27" x14ac:dyDescent="0.3">
      <c r="A862" t="s">
        <v>14</v>
      </c>
      <c r="B862" t="s">
        <v>27</v>
      </c>
      <c r="C862" t="s">
        <v>102</v>
      </c>
      <c r="D862" t="s">
        <v>23</v>
      </c>
      <c r="E862" t="s">
        <v>24</v>
      </c>
      <c r="F862" t="s">
        <v>1381</v>
      </c>
      <c r="G862" s="2">
        <f t="shared" si="26"/>
        <v>41851</v>
      </c>
      <c r="H862">
        <f>DAY(Europe_Sales_Records34[[#This Row],[Order Date Fixed]])</f>
        <v>31</v>
      </c>
      <c r="I862" t="str">
        <f>TEXT(Europe_Sales_Records34[[#This Row],[Order Date Fixed]],"MMM")</f>
        <v>Jul</v>
      </c>
      <c r="J862">
        <f>YEAR(Europe_Sales_Records34[[#This Row],[Order Date Fixed]])</f>
        <v>2014</v>
      </c>
      <c r="K862" t="str">
        <f>TEXT(Europe_Sales_Records34[[#This Row],[Order Date Fixed]],"MMM-YYYY")</f>
        <v>Jul-2014</v>
      </c>
      <c r="L862">
        <v>967258059</v>
      </c>
      <c r="M862" s="2">
        <f t="shared" si="27"/>
        <v>41859</v>
      </c>
      <c r="N862">
        <f>DAY(Europe_Sales_Records34[[#This Row],[Ship Date Fixed]])</f>
        <v>8</v>
      </c>
      <c r="O862" t="str">
        <f>TEXT(Europe_Sales_Records34[[#This Row],[Ship Date Fixed]],"MMM")</f>
        <v>Aug</v>
      </c>
      <c r="P862">
        <f>YEAR(Europe_Sales_Records34[[#This Row],[Ship Date Fixed]])</f>
        <v>2014</v>
      </c>
      <c r="Q862" t="str">
        <f>TEXT(Europe_Sales_Records34[[#This Row],[Ship Date Fixed]],"MMM-YYYY")</f>
        <v>Aug-2014</v>
      </c>
      <c r="R862" t="s">
        <v>1382</v>
      </c>
      <c r="S862" s="3">
        <f>Europe_Sales_Records34[[#This Row],[Ship Date Fixed]]-Europe_Sales_Records34[[#This Row],[Order Date Fixed]]</f>
        <v>8</v>
      </c>
      <c r="T862">
        <v>2009</v>
      </c>
      <c r="U862">
        <v>81.73</v>
      </c>
      <c r="V862">
        <v>56.67</v>
      </c>
      <c r="W862">
        <f>Europe_Sales_Records34[[#This Row],[Total Revenue]]/Europe_Sales_Records34[[#This Row],[Units Sold]]</f>
        <v>81.73</v>
      </c>
      <c r="X862">
        <v>164195.57</v>
      </c>
      <c r="Y862">
        <v>113850.03</v>
      </c>
      <c r="Z862" s="4">
        <f>Europe_Sales_Records34[[#This Row],[Total Profit]]/Europe_Sales_Records34[[#This Row],[Total Revenue]]</f>
        <v>0.30661935641747218</v>
      </c>
      <c r="AA862">
        <v>50345.54</v>
      </c>
    </row>
    <row r="863" spans="1:27" x14ac:dyDescent="0.3">
      <c r="A863" t="s">
        <v>14</v>
      </c>
      <c r="B863" t="s">
        <v>89</v>
      </c>
      <c r="C863" t="s">
        <v>28</v>
      </c>
      <c r="D863" t="s">
        <v>17</v>
      </c>
      <c r="E863" t="s">
        <v>24</v>
      </c>
      <c r="F863" t="s">
        <v>594</v>
      </c>
      <c r="G863" s="2">
        <f t="shared" si="26"/>
        <v>40704</v>
      </c>
      <c r="H863">
        <f>DAY(Europe_Sales_Records34[[#This Row],[Order Date Fixed]])</f>
        <v>10</v>
      </c>
      <c r="I863" t="str">
        <f>TEXT(Europe_Sales_Records34[[#This Row],[Order Date Fixed]],"MMM")</f>
        <v>Jun</v>
      </c>
      <c r="J863">
        <f>YEAR(Europe_Sales_Records34[[#This Row],[Order Date Fixed]])</f>
        <v>2011</v>
      </c>
      <c r="K863" t="str">
        <f>TEXT(Europe_Sales_Records34[[#This Row],[Order Date Fixed]],"MMM-YYYY")</f>
        <v>Jun-2011</v>
      </c>
      <c r="L863">
        <v>520390880</v>
      </c>
      <c r="M863" s="2">
        <f t="shared" si="27"/>
        <v>40748</v>
      </c>
      <c r="N863">
        <f>DAY(Europe_Sales_Records34[[#This Row],[Ship Date Fixed]])</f>
        <v>24</v>
      </c>
      <c r="O863" t="str">
        <f>TEXT(Europe_Sales_Records34[[#This Row],[Ship Date Fixed]],"MMM")</f>
        <v>Jul</v>
      </c>
      <c r="P863">
        <f>YEAR(Europe_Sales_Records34[[#This Row],[Ship Date Fixed]])</f>
        <v>2011</v>
      </c>
      <c r="Q863" t="str">
        <f>TEXT(Europe_Sales_Records34[[#This Row],[Ship Date Fixed]],"MMM-YYYY")</f>
        <v>Jul-2011</v>
      </c>
      <c r="R863" t="s">
        <v>1064</v>
      </c>
      <c r="S863" s="3">
        <f>Europe_Sales_Records34[[#This Row],[Ship Date Fixed]]-Europe_Sales_Records34[[#This Row],[Order Date Fixed]]</f>
        <v>44</v>
      </c>
      <c r="T863">
        <v>4080</v>
      </c>
      <c r="U863">
        <v>205.7</v>
      </c>
      <c r="V863">
        <v>117.11</v>
      </c>
      <c r="W863">
        <f>Europe_Sales_Records34[[#This Row],[Total Revenue]]/Europe_Sales_Records34[[#This Row],[Units Sold]]</f>
        <v>205.7</v>
      </c>
      <c r="X863">
        <v>839256</v>
      </c>
      <c r="Y863">
        <v>477808.8</v>
      </c>
      <c r="Z863" s="4">
        <f>Europe_Sales_Records34[[#This Row],[Total Profit]]/Europe_Sales_Records34[[#This Row],[Total Revenue]]</f>
        <v>0.43067574137092857</v>
      </c>
      <c r="AA863">
        <v>361447.2</v>
      </c>
    </row>
    <row r="864" spans="1:27" x14ac:dyDescent="0.3">
      <c r="A864" t="s">
        <v>14</v>
      </c>
      <c r="B864" t="s">
        <v>21</v>
      </c>
      <c r="C864" t="s">
        <v>37</v>
      </c>
      <c r="D864" t="s">
        <v>17</v>
      </c>
      <c r="E864" t="s">
        <v>33</v>
      </c>
      <c r="F864" t="s">
        <v>1383</v>
      </c>
      <c r="G864" s="2">
        <f t="shared" si="26"/>
        <v>42658</v>
      </c>
      <c r="H864">
        <f>DAY(Europe_Sales_Records34[[#This Row],[Order Date Fixed]])</f>
        <v>15</v>
      </c>
      <c r="I864" t="str">
        <f>TEXT(Europe_Sales_Records34[[#This Row],[Order Date Fixed]],"MMM")</f>
        <v>Oct</v>
      </c>
      <c r="J864">
        <f>YEAR(Europe_Sales_Records34[[#This Row],[Order Date Fixed]])</f>
        <v>2016</v>
      </c>
      <c r="K864" t="str">
        <f>TEXT(Europe_Sales_Records34[[#This Row],[Order Date Fixed]],"MMM-YYYY")</f>
        <v>Oct-2016</v>
      </c>
      <c r="L864">
        <v>623821580</v>
      </c>
      <c r="M864" s="2">
        <f t="shared" si="27"/>
        <v>42674</v>
      </c>
      <c r="N864">
        <f>DAY(Europe_Sales_Records34[[#This Row],[Ship Date Fixed]])</f>
        <v>31</v>
      </c>
      <c r="O864" t="str">
        <f>TEXT(Europe_Sales_Records34[[#This Row],[Ship Date Fixed]],"MMM")</f>
        <v>Oct</v>
      </c>
      <c r="P864">
        <f>YEAR(Europe_Sales_Records34[[#This Row],[Ship Date Fixed]])</f>
        <v>2016</v>
      </c>
      <c r="Q864" t="str">
        <f>TEXT(Europe_Sales_Records34[[#This Row],[Ship Date Fixed]],"MMM-YYYY")</f>
        <v>Oct-2016</v>
      </c>
      <c r="R864" t="s">
        <v>1384</v>
      </c>
      <c r="S864" s="3">
        <f>Europe_Sales_Records34[[#This Row],[Ship Date Fixed]]-Europe_Sales_Records34[[#This Row],[Order Date Fixed]]</f>
        <v>16</v>
      </c>
      <c r="T864">
        <v>1523</v>
      </c>
      <c r="U864">
        <v>9.33</v>
      </c>
      <c r="V864">
        <v>6.92</v>
      </c>
      <c r="W864">
        <f>Europe_Sales_Records34[[#This Row],[Total Revenue]]/Europe_Sales_Records34[[#This Row],[Units Sold]]</f>
        <v>9.33</v>
      </c>
      <c r="X864">
        <v>14209.59</v>
      </c>
      <c r="Y864">
        <v>10539.16</v>
      </c>
      <c r="Z864" s="4">
        <f>Europe_Sales_Records34[[#This Row],[Total Profit]]/Europe_Sales_Records34[[#This Row],[Total Revenue]]</f>
        <v>0.25830653804930331</v>
      </c>
      <c r="AA864">
        <v>3670.43</v>
      </c>
    </row>
    <row r="865" spans="1:27" x14ac:dyDescent="0.3">
      <c r="A865" t="s">
        <v>14</v>
      </c>
      <c r="B865" t="s">
        <v>31</v>
      </c>
      <c r="C865" t="s">
        <v>50</v>
      </c>
      <c r="D865" t="s">
        <v>23</v>
      </c>
      <c r="E865" t="s">
        <v>18</v>
      </c>
      <c r="F865" t="s">
        <v>949</v>
      </c>
      <c r="G865" s="2">
        <f t="shared" si="26"/>
        <v>40379</v>
      </c>
      <c r="H865">
        <f>DAY(Europe_Sales_Records34[[#This Row],[Order Date Fixed]])</f>
        <v>20</v>
      </c>
      <c r="I865" t="str">
        <f>TEXT(Europe_Sales_Records34[[#This Row],[Order Date Fixed]],"MMM")</f>
        <v>Jul</v>
      </c>
      <c r="J865">
        <f>YEAR(Europe_Sales_Records34[[#This Row],[Order Date Fixed]])</f>
        <v>2010</v>
      </c>
      <c r="K865" t="str">
        <f>TEXT(Europe_Sales_Records34[[#This Row],[Order Date Fixed]],"MMM-YYYY")</f>
        <v>Jul-2010</v>
      </c>
      <c r="L865">
        <v>273662412</v>
      </c>
      <c r="M865" s="2">
        <f t="shared" si="27"/>
        <v>40382</v>
      </c>
      <c r="N865">
        <f>DAY(Europe_Sales_Records34[[#This Row],[Ship Date Fixed]])</f>
        <v>23</v>
      </c>
      <c r="O865" t="str">
        <f>TEXT(Europe_Sales_Records34[[#This Row],[Ship Date Fixed]],"MMM")</f>
        <v>Jul</v>
      </c>
      <c r="P865">
        <f>YEAR(Europe_Sales_Records34[[#This Row],[Ship Date Fixed]])</f>
        <v>2010</v>
      </c>
      <c r="Q865" t="str">
        <f>TEXT(Europe_Sales_Records34[[#This Row],[Ship Date Fixed]],"MMM-YYYY")</f>
        <v>Jul-2010</v>
      </c>
      <c r="R865" t="s">
        <v>1385</v>
      </c>
      <c r="S865" s="3">
        <f>Europe_Sales_Records34[[#This Row],[Ship Date Fixed]]-Europe_Sales_Records34[[#This Row],[Order Date Fixed]]</f>
        <v>3</v>
      </c>
      <c r="T865">
        <v>1644</v>
      </c>
      <c r="U865">
        <v>421.89</v>
      </c>
      <c r="V865">
        <v>364.69</v>
      </c>
      <c r="W865">
        <f>Europe_Sales_Records34[[#This Row],[Total Revenue]]/Europe_Sales_Records34[[#This Row],[Units Sold]]</f>
        <v>421.89000000000004</v>
      </c>
      <c r="X865">
        <v>693587.16</v>
      </c>
      <c r="Y865">
        <v>599550.36</v>
      </c>
      <c r="Z865" s="4">
        <f>Europe_Sales_Records34[[#This Row],[Total Profit]]/Europe_Sales_Records34[[#This Row],[Total Revenue]]</f>
        <v>0.13558036455000119</v>
      </c>
      <c r="AA865">
        <v>94036.800000000003</v>
      </c>
    </row>
    <row r="866" spans="1:27" x14ac:dyDescent="0.3">
      <c r="A866" t="s">
        <v>14</v>
      </c>
      <c r="B866" t="s">
        <v>132</v>
      </c>
      <c r="C866" t="s">
        <v>46</v>
      </c>
      <c r="D866" t="s">
        <v>17</v>
      </c>
      <c r="E866" t="s">
        <v>24</v>
      </c>
      <c r="F866" t="s">
        <v>68</v>
      </c>
      <c r="G866" s="2">
        <f t="shared" si="26"/>
        <v>42802</v>
      </c>
      <c r="H866">
        <f>DAY(Europe_Sales_Records34[[#This Row],[Order Date Fixed]])</f>
        <v>8</v>
      </c>
      <c r="I866" t="str">
        <f>TEXT(Europe_Sales_Records34[[#This Row],[Order Date Fixed]],"MMM")</f>
        <v>Mar</v>
      </c>
      <c r="J866">
        <f>YEAR(Europe_Sales_Records34[[#This Row],[Order Date Fixed]])</f>
        <v>2017</v>
      </c>
      <c r="K866" t="str">
        <f>TEXT(Europe_Sales_Records34[[#This Row],[Order Date Fixed]],"MMM-YYYY")</f>
        <v>Mar-2017</v>
      </c>
      <c r="L866">
        <v>941061675</v>
      </c>
      <c r="M866" s="2">
        <f t="shared" si="27"/>
        <v>42814</v>
      </c>
      <c r="N866">
        <f>DAY(Europe_Sales_Records34[[#This Row],[Ship Date Fixed]])</f>
        <v>20</v>
      </c>
      <c r="O866" t="str">
        <f>TEXT(Europe_Sales_Records34[[#This Row],[Ship Date Fixed]],"MMM")</f>
        <v>Mar</v>
      </c>
      <c r="P866">
        <f>YEAR(Europe_Sales_Records34[[#This Row],[Ship Date Fixed]])</f>
        <v>2017</v>
      </c>
      <c r="Q866" t="str">
        <f>TEXT(Europe_Sales_Records34[[#This Row],[Ship Date Fixed]],"MMM-YYYY")</f>
        <v>Mar-2017</v>
      </c>
      <c r="R866" t="s">
        <v>1386</v>
      </c>
      <c r="S866" s="3">
        <f>Europe_Sales_Records34[[#This Row],[Ship Date Fixed]]-Europe_Sales_Records34[[#This Row],[Order Date Fixed]]</f>
        <v>12</v>
      </c>
      <c r="T866">
        <v>9917</v>
      </c>
      <c r="U866">
        <v>154.06</v>
      </c>
      <c r="V866">
        <v>90.93</v>
      </c>
      <c r="W866">
        <f>Europe_Sales_Records34[[#This Row],[Total Revenue]]/Europe_Sales_Records34[[#This Row],[Units Sold]]</f>
        <v>154.06</v>
      </c>
      <c r="X866">
        <v>1527813.02</v>
      </c>
      <c r="Y866">
        <v>901752.81</v>
      </c>
      <c r="Z866" s="4">
        <f>Europe_Sales_Records34[[#This Row],[Total Profit]]/Europe_Sales_Records34[[#This Row],[Total Revenue]]</f>
        <v>0.40977541217707386</v>
      </c>
      <c r="AA866">
        <v>626060.21</v>
      </c>
    </row>
    <row r="867" spans="1:27" x14ac:dyDescent="0.3">
      <c r="A867" t="s">
        <v>14</v>
      </c>
      <c r="B867" t="s">
        <v>146</v>
      </c>
      <c r="C867" t="s">
        <v>50</v>
      </c>
      <c r="D867" t="s">
        <v>23</v>
      </c>
      <c r="E867" t="s">
        <v>24</v>
      </c>
      <c r="F867" t="s">
        <v>945</v>
      </c>
      <c r="G867" s="2">
        <f t="shared" si="26"/>
        <v>41615</v>
      </c>
      <c r="H867">
        <f>DAY(Europe_Sales_Records34[[#This Row],[Order Date Fixed]])</f>
        <v>7</v>
      </c>
      <c r="I867" t="str">
        <f>TEXT(Europe_Sales_Records34[[#This Row],[Order Date Fixed]],"MMM")</f>
        <v>Dec</v>
      </c>
      <c r="J867">
        <f>YEAR(Europe_Sales_Records34[[#This Row],[Order Date Fixed]])</f>
        <v>2013</v>
      </c>
      <c r="K867" t="str">
        <f>TEXT(Europe_Sales_Records34[[#This Row],[Order Date Fixed]],"MMM-YYYY")</f>
        <v>Dec-2013</v>
      </c>
      <c r="L867">
        <v>421456849</v>
      </c>
      <c r="M867" s="2">
        <f t="shared" si="27"/>
        <v>41618</v>
      </c>
      <c r="N867">
        <f>DAY(Europe_Sales_Records34[[#This Row],[Ship Date Fixed]])</f>
        <v>10</v>
      </c>
      <c r="O867" t="str">
        <f>TEXT(Europe_Sales_Records34[[#This Row],[Ship Date Fixed]],"MMM")</f>
        <v>Dec</v>
      </c>
      <c r="P867">
        <f>YEAR(Europe_Sales_Records34[[#This Row],[Ship Date Fixed]])</f>
        <v>2013</v>
      </c>
      <c r="Q867" t="str">
        <f>TEXT(Europe_Sales_Records34[[#This Row],[Ship Date Fixed]],"MMM-YYYY")</f>
        <v>Dec-2013</v>
      </c>
      <c r="R867" t="s">
        <v>1387</v>
      </c>
      <c r="S867" s="3">
        <f>Europe_Sales_Records34[[#This Row],[Ship Date Fixed]]-Europe_Sales_Records34[[#This Row],[Order Date Fixed]]</f>
        <v>3</v>
      </c>
      <c r="T867">
        <v>7302</v>
      </c>
      <c r="U867">
        <v>421.89</v>
      </c>
      <c r="V867">
        <v>364.69</v>
      </c>
      <c r="W867">
        <f>Europe_Sales_Records34[[#This Row],[Total Revenue]]/Europe_Sales_Records34[[#This Row],[Units Sold]]</f>
        <v>421.89</v>
      </c>
      <c r="X867">
        <v>3080640.78</v>
      </c>
      <c r="Y867">
        <v>2662966.38</v>
      </c>
      <c r="Z867" s="4">
        <f>Europe_Sales_Records34[[#This Row],[Total Profit]]/Europe_Sales_Records34[[#This Row],[Total Revenue]]</f>
        <v>0.13558036455000119</v>
      </c>
      <c r="AA867">
        <v>417674.4</v>
      </c>
    </row>
    <row r="868" spans="1:27" x14ac:dyDescent="0.3">
      <c r="A868" t="s">
        <v>14</v>
      </c>
      <c r="B868" t="s">
        <v>220</v>
      </c>
      <c r="C868" t="s">
        <v>75</v>
      </c>
      <c r="D868" t="s">
        <v>23</v>
      </c>
      <c r="E868" t="s">
        <v>54</v>
      </c>
      <c r="F868" t="s">
        <v>1388</v>
      </c>
      <c r="G868" s="2">
        <f t="shared" si="26"/>
        <v>41009</v>
      </c>
      <c r="H868">
        <f>DAY(Europe_Sales_Records34[[#This Row],[Order Date Fixed]])</f>
        <v>10</v>
      </c>
      <c r="I868" t="str">
        <f>TEXT(Europe_Sales_Records34[[#This Row],[Order Date Fixed]],"MMM")</f>
        <v>Apr</v>
      </c>
      <c r="J868">
        <f>YEAR(Europe_Sales_Records34[[#This Row],[Order Date Fixed]])</f>
        <v>2012</v>
      </c>
      <c r="K868" t="str">
        <f>TEXT(Europe_Sales_Records34[[#This Row],[Order Date Fixed]],"MMM-YYYY")</f>
        <v>Apr-2012</v>
      </c>
      <c r="L868">
        <v>291160714</v>
      </c>
      <c r="M868" s="2">
        <f t="shared" si="27"/>
        <v>41055</v>
      </c>
      <c r="N868">
        <f>DAY(Europe_Sales_Records34[[#This Row],[Ship Date Fixed]])</f>
        <v>26</v>
      </c>
      <c r="O868" t="str">
        <f>TEXT(Europe_Sales_Records34[[#This Row],[Ship Date Fixed]],"MMM")</f>
        <v>May</v>
      </c>
      <c r="P868">
        <f>YEAR(Europe_Sales_Records34[[#This Row],[Ship Date Fixed]])</f>
        <v>2012</v>
      </c>
      <c r="Q868" t="str">
        <f>TEXT(Europe_Sales_Records34[[#This Row],[Ship Date Fixed]],"MMM-YYYY")</f>
        <v>May-2012</v>
      </c>
      <c r="R868" t="s">
        <v>435</v>
      </c>
      <c r="S868" s="3">
        <f>Europe_Sales_Records34[[#This Row],[Ship Date Fixed]]-Europe_Sales_Records34[[#This Row],[Order Date Fixed]]</f>
        <v>46</v>
      </c>
      <c r="T868">
        <v>9780</v>
      </c>
      <c r="U868">
        <v>437.2</v>
      </c>
      <c r="V868">
        <v>263.33</v>
      </c>
      <c r="W868">
        <f>Europe_Sales_Records34[[#This Row],[Total Revenue]]/Europe_Sales_Records34[[#This Row],[Units Sold]]</f>
        <v>437.2</v>
      </c>
      <c r="X868">
        <v>4275816</v>
      </c>
      <c r="Y868">
        <v>2575367.4</v>
      </c>
      <c r="Z868" s="4">
        <f>Europe_Sales_Records34[[#This Row],[Total Profit]]/Europe_Sales_Records34[[#This Row],[Total Revenue]]</f>
        <v>0.39768984446477584</v>
      </c>
      <c r="AA868">
        <v>1700448.6</v>
      </c>
    </row>
    <row r="869" spans="1:27" x14ac:dyDescent="0.3">
      <c r="A869" t="s">
        <v>14</v>
      </c>
      <c r="B869" t="s">
        <v>364</v>
      </c>
      <c r="C869" t="s">
        <v>37</v>
      </c>
      <c r="D869" t="s">
        <v>17</v>
      </c>
      <c r="E869" t="s">
        <v>24</v>
      </c>
      <c r="F869" t="s">
        <v>87</v>
      </c>
      <c r="G869" s="2">
        <f t="shared" si="26"/>
        <v>41660</v>
      </c>
      <c r="H869">
        <f>DAY(Europe_Sales_Records34[[#This Row],[Order Date Fixed]])</f>
        <v>21</v>
      </c>
      <c r="I869" t="str">
        <f>TEXT(Europe_Sales_Records34[[#This Row],[Order Date Fixed]],"MMM")</f>
        <v>Jan</v>
      </c>
      <c r="J869">
        <f>YEAR(Europe_Sales_Records34[[#This Row],[Order Date Fixed]])</f>
        <v>2014</v>
      </c>
      <c r="K869" t="str">
        <f>TEXT(Europe_Sales_Records34[[#This Row],[Order Date Fixed]],"MMM-YYYY")</f>
        <v>Jan-2014</v>
      </c>
      <c r="L869">
        <v>724085128</v>
      </c>
      <c r="M869" s="2">
        <f t="shared" si="27"/>
        <v>41680</v>
      </c>
      <c r="N869">
        <f>DAY(Europe_Sales_Records34[[#This Row],[Ship Date Fixed]])</f>
        <v>10</v>
      </c>
      <c r="O869" t="str">
        <f>TEXT(Europe_Sales_Records34[[#This Row],[Ship Date Fixed]],"MMM")</f>
        <v>Feb</v>
      </c>
      <c r="P869">
        <f>YEAR(Europe_Sales_Records34[[#This Row],[Ship Date Fixed]])</f>
        <v>2014</v>
      </c>
      <c r="Q869" t="str">
        <f>TEXT(Europe_Sales_Records34[[#This Row],[Ship Date Fixed]],"MMM-YYYY")</f>
        <v>Feb-2014</v>
      </c>
      <c r="R869" t="s">
        <v>333</v>
      </c>
      <c r="S869" s="3">
        <f>Europe_Sales_Records34[[#This Row],[Ship Date Fixed]]-Europe_Sales_Records34[[#This Row],[Order Date Fixed]]</f>
        <v>20</v>
      </c>
      <c r="T869">
        <v>1735</v>
      </c>
      <c r="U869">
        <v>9.33</v>
      </c>
      <c r="V869">
        <v>6.92</v>
      </c>
      <c r="W869">
        <f>Europe_Sales_Records34[[#This Row],[Total Revenue]]/Europe_Sales_Records34[[#This Row],[Units Sold]]</f>
        <v>9.33</v>
      </c>
      <c r="X869">
        <v>16187.55</v>
      </c>
      <c r="Y869">
        <v>12006.2</v>
      </c>
      <c r="Z869" s="4">
        <f>Europe_Sales_Records34[[#This Row],[Total Profit]]/Europe_Sales_Records34[[#This Row],[Total Revenue]]</f>
        <v>0.25830653804930337</v>
      </c>
      <c r="AA869">
        <v>4181.3500000000004</v>
      </c>
    </row>
    <row r="870" spans="1:27" x14ac:dyDescent="0.3">
      <c r="A870" t="s">
        <v>14</v>
      </c>
      <c r="B870" t="s">
        <v>45</v>
      </c>
      <c r="C870" t="s">
        <v>46</v>
      </c>
      <c r="D870" t="s">
        <v>23</v>
      </c>
      <c r="E870" t="s">
        <v>24</v>
      </c>
      <c r="F870" t="s">
        <v>1389</v>
      </c>
      <c r="G870" s="2">
        <f t="shared" si="26"/>
        <v>41912</v>
      </c>
      <c r="H870">
        <f>DAY(Europe_Sales_Records34[[#This Row],[Order Date Fixed]])</f>
        <v>30</v>
      </c>
      <c r="I870" t="str">
        <f>TEXT(Europe_Sales_Records34[[#This Row],[Order Date Fixed]],"MMM")</f>
        <v>Sep</v>
      </c>
      <c r="J870">
        <f>YEAR(Europe_Sales_Records34[[#This Row],[Order Date Fixed]])</f>
        <v>2014</v>
      </c>
      <c r="K870" t="str">
        <f>TEXT(Europe_Sales_Records34[[#This Row],[Order Date Fixed]],"MMM-YYYY")</f>
        <v>Sep-2014</v>
      </c>
      <c r="L870">
        <v>742569196</v>
      </c>
      <c r="M870" s="2">
        <f t="shared" si="27"/>
        <v>41960</v>
      </c>
      <c r="N870">
        <f>DAY(Europe_Sales_Records34[[#This Row],[Ship Date Fixed]])</f>
        <v>17</v>
      </c>
      <c r="O870" t="str">
        <f>TEXT(Europe_Sales_Records34[[#This Row],[Ship Date Fixed]],"MMM")</f>
        <v>Nov</v>
      </c>
      <c r="P870">
        <f>YEAR(Europe_Sales_Records34[[#This Row],[Ship Date Fixed]])</f>
        <v>2014</v>
      </c>
      <c r="Q870" t="str">
        <f>TEXT(Europe_Sales_Records34[[#This Row],[Ship Date Fixed]],"MMM-YYYY")</f>
        <v>Nov-2014</v>
      </c>
      <c r="R870" t="s">
        <v>1390</v>
      </c>
      <c r="S870" s="3">
        <f>Europe_Sales_Records34[[#This Row],[Ship Date Fixed]]-Europe_Sales_Records34[[#This Row],[Order Date Fixed]]</f>
        <v>48</v>
      </c>
      <c r="T870">
        <v>1581</v>
      </c>
      <c r="U870">
        <v>154.06</v>
      </c>
      <c r="V870">
        <v>90.93</v>
      </c>
      <c r="W870">
        <f>Europe_Sales_Records34[[#This Row],[Total Revenue]]/Europe_Sales_Records34[[#This Row],[Units Sold]]</f>
        <v>154.06</v>
      </c>
      <c r="X870">
        <v>243568.86</v>
      </c>
      <c r="Y870">
        <v>143760.32999999999</v>
      </c>
      <c r="Z870" s="4">
        <f>Europe_Sales_Records34[[#This Row],[Total Profit]]/Europe_Sales_Records34[[#This Row],[Total Revenue]]</f>
        <v>0.40977541217707386</v>
      </c>
      <c r="AA870">
        <v>99808.53</v>
      </c>
    </row>
    <row r="871" spans="1:27" x14ac:dyDescent="0.3">
      <c r="A871" t="s">
        <v>14</v>
      </c>
      <c r="B871" t="s">
        <v>89</v>
      </c>
      <c r="C871" t="s">
        <v>71</v>
      </c>
      <c r="D871" t="s">
        <v>23</v>
      </c>
      <c r="E871" t="s">
        <v>24</v>
      </c>
      <c r="F871" t="s">
        <v>1224</v>
      </c>
      <c r="G871" s="2">
        <f t="shared" si="26"/>
        <v>42580</v>
      </c>
      <c r="H871">
        <f>DAY(Europe_Sales_Records34[[#This Row],[Order Date Fixed]])</f>
        <v>29</v>
      </c>
      <c r="I871" t="str">
        <f>TEXT(Europe_Sales_Records34[[#This Row],[Order Date Fixed]],"MMM")</f>
        <v>Jul</v>
      </c>
      <c r="J871">
        <f>YEAR(Europe_Sales_Records34[[#This Row],[Order Date Fixed]])</f>
        <v>2016</v>
      </c>
      <c r="K871" t="str">
        <f>TEXT(Europe_Sales_Records34[[#This Row],[Order Date Fixed]],"MMM-YYYY")</f>
        <v>Jul-2016</v>
      </c>
      <c r="L871">
        <v>760346877</v>
      </c>
      <c r="M871" s="2">
        <f t="shared" si="27"/>
        <v>42588</v>
      </c>
      <c r="N871">
        <f>DAY(Europe_Sales_Records34[[#This Row],[Ship Date Fixed]])</f>
        <v>6</v>
      </c>
      <c r="O871" t="str">
        <f>TEXT(Europe_Sales_Records34[[#This Row],[Ship Date Fixed]],"MMM")</f>
        <v>Aug</v>
      </c>
      <c r="P871">
        <f>YEAR(Europe_Sales_Records34[[#This Row],[Ship Date Fixed]])</f>
        <v>2016</v>
      </c>
      <c r="Q871" t="str">
        <f>TEXT(Europe_Sales_Records34[[#This Row],[Ship Date Fixed]],"MMM-YYYY")</f>
        <v>Aug-2016</v>
      </c>
      <c r="R871" t="s">
        <v>1391</v>
      </c>
      <c r="S871" s="3">
        <f>Europe_Sales_Records34[[#This Row],[Ship Date Fixed]]-Europe_Sales_Records34[[#This Row],[Order Date Fixed]]</f>
        <v>8</v>
      </c>
      <c r="T871">
        <v>2392</v>
      </c>
      <c r="U871">
        <v>668.27</v>
      </c>
      <c r="V871">
        <v>502.54</v>
      </c>
      <c r="W871">
        <f>Europe_Sales_Records34[[#This Row],[Total Revenue]]/Europe_Sales_Records34[[#This Row],[Units Sold]]</f>
        <v>668.27</v>
      </c>
      <c r="X871">
        <v>1598501.84</v>
      </c>
      <c r="Y871">
        <v>1202075.68</v>
      </c>
      <c r="Z871" s="4">
        <f>Europe_Sales_Records34[[#This Row],[Total Profit]]/Europe_Sales_Records34[[#This Row],[Total Revenue]]</f>
        <v>0.24799856345489096</v>
      </c>
      <c r="AA871">
        <v>396426.16</v>
      </c>
    </row>
    <row r="872" spans="1:27" x14ac:dyDescent="0.3">
      <c r="A872" t="s">
        <v>14</v>
      </c>
      <c r="B872" t="s">
        <v>146</v>
      </c>
      <c r="C872" t="s">
        <v>75</v>
      </c>
      <c r="D872" t="s">
        <v>23</v>
      </c>
      <c r="E872" t="s">
        <v>24</v>
      </c>
      <c r="F872" t="s">
        <v>1138</v>
      </c>
      <c r="G872" s="2">
        <f t="shared" si="26"/>
        <v>42313</v>
      </c>
      <c r="H872">
        <f>DAY(Europe_Sales_Records34[[#This Row],[Order Date Fixed]])</f>
        <v>5</v>
      </c>
      <c r="I872" t="str">
        <f>TEXT(Europe_Sales_Records34[[#This Row],[Order Date Fixed]],"MMM")</f>
        <v>Nov</v>
      </c>
      <c r="J872">
        <f>YEAR(Europe_Sales_Records34[[#This Row],[Order Date Fixed]])</f>
        <v>2015</v>
      </c>
      <c r="K872" t="str">
        <f>TEXT(Europe_Sales_Records34[[#This Row],[Order Date Fixed]],"MMM-YYYY")</f>
        <v>Nov-2015</v>
      </c>
      <c r="L872">
        <v>260630738</v>
      </c>
      <c r="M872" s="2">
        <f t="shared" si="27"/>
        <v>42357</v>
      </c>
      <c r="N872">
        <f>DAY(Europe_Sales_Records34[[#This Row],[Ship Date Fixed]])</f>
        <v>19</v>
      </c>
      <c r="O872" t="str">
        <f>TEXT(Europe_Sales_Records34[[#This Row],[Ship Date Fixed]],"MMM")</f>
        <v>Dec</v>
      </c>
      <c r="P872">
        <f>YEAR(Europe_Sales_Records34[[#This Row],[Ship Date Fixed]])</f>
        <v>2015</v>
      </c>
      <c r="Q872" t="str">
        <f>TEXT(Europe_Sales_Records34[[#This Row],[Ship Date Fixed]],"MMM-YYYY")</f>
        <v>Dec-2015</v>
      </c>
      <c r="R872" t="s">
        <v>1392</v>
      </c>
      <c r="S872" s="3">
        <f>Europe_Sales_Records34[[#This Row],[Ship Date Fixed]]-Europe_Sales_Records34[[#This Row],[Order Date Fixed]]</f>
        <v>44</v>
      </c>
      <c r="T872">
        <v>5282</v>
      </c>
      <c r="U872">
        <v>437.2</v>
      </c>
      <c r="V872">
        <v>263.33</v>
      </c>
      <c r="W872">
        <f>Europe_Sales_Records34[[#This Row],[Total Revenue]]/Europe_Sales_Records34[[#This Row],[Units Sold]]</f>
        <v>437.2</v>
      </c>
      <c r="X872">
        <v>2309290.4</v>
      </c>
      <c r="Y872">
        <v>1390909.06</v>
      </c>
      <c r="Z872" s="4">
        <f>Europe_Sales_Records34[[#This Row],[Total Profit]]/Europe_Sales_Records34[[#This Row],[Total Revenue]]</f>
        <v>0.39768984446477584</v>
      </c>
      <c r="AA872">
        <v>918381.34</v>
      </c>
    </row>
    <row r="873" spans="1:27" x14ac:dyDescent="0.3">
      <c r="A873" t="s">
        <v>14</v>
      </c>
      <c r="B873" t="s">
        <v>166</v>
      </c>
      <c r="C873" t="s">
        <v>50</v>
      </c>
      <c r="D873" t="s">
        <v>23</v>
      </c>
      <c r="E873" t="s">
        <v>54</v>
      </c>
      <c r="F873" t="s">
        <v>1393</v>
      </c>
      <c r="G873" s="2">
        <f t="shared" si="26"/>
        <v>41366</v>
      </c>
      <c r="H873">
        <f>DAY(Europe_Sales_Records34[[#This Row],[Order Date Fixed]])</f>
        <v>2</v>
      </c>
      <c r="I873" t="str">
        <f>TEXT(Europe_Sales_Records34[[#This Row],[Order Date Fixed]],"MMM")</f>
        <v>Apr</v>
      </c>
      <c r="J873">
        <f>YEAR(Europe_Sales_Records34[[#This Row],[Order Date Fixed]])</f>
        <v>2013</v>
      </c>
      <c r="K873" t="str">
        <f>TEXT(Europe_Sales_Records34[[#This Row],[Order Date Fixed]],"MMM-YYYY")</f>
        <v>Apr-2013</v>
      </c>
      <c r="L873">
        <v>462561166</v>
      </c>
      <c r="M873" s="2">
        <f t="shared" si="27"/>
        <v>41396</v>
      </c>
      <c r="N873">
        <f>DAY(Europe_Sales_Records34[[#This Row],[Ship Date Fixed]])</f>
        <v>2</v>
      </c>
      <c r="O873" t="str">
        <f>TEXT(Europe_Sales_Records34[[#This Row],[Ship Date Fixed]],"MMM")</f>
        <v>May</v>
      </c>
      <c r="P873">
        <f>YEAR(Europe_Sales_Records34[[#This Row],[Ship Date Fixed]])</f>
        <v>2013</v>
      </c>
      <c r="Q873" t="str">
        <f>TEXT(Europe_Sales_Records34[[#This Row],[Ship Date Fixed]],"MMM-YYYY")</f>
        <v>May-2013</v>
      </c>
      <c r="R873" t="s">
        <v>1394</v>
      </c>
      <c r="S873" s="3">
        <f>Europe_Sales_Records34[[#This Row],[Ship Date Fixed]]-Europe_Sales_Records34[[#This Row],[Order Date Fixed]]</f>
        <v>30</v>
      </c>
      <c r="T873">
        <v>983</v>
      </c>
      <c r="U873">
        <v>421.89</v>
      </c>
      <c r="V873">
        <v>364.69</v>
      </c>
      <c r="W873">
        <f>Europe_Sales_Records34[[#This Row],[Total Revenue]]/Europe_Sales_Records34[[#This Row],[Units Sold]]</f>
        <v>421.89</v>
      </c>
      <c r="X873">
        <v>414717.87</v>
      </c>
      <c r="Y873">
        <v>358490.27</v>
      </c>
      <c r="Z873" s="4">
        <f>Europe_Sales_Records34[[#This Row],[Total Profit]]/Europe_Sales_Records34[[#This Row],[Total Revenue]]</f>
        <v>0.13558036455000119</v>
      </c>
      <c r="AA873">
        <v>56227.6</v>
      </c>
    </row>
    <row r="874" spans="1:27" x14ac:dyDescent="0.3">
      <c r="A874" t="s">
        <v>14</v>
      </c>
      <c r="B874" t="s">
        <v>67</v>
      </c>
      <c r="C874" t="s">
        <v>102</v>
      </c>
      <c r="D874" t="s">
        <v>17</v>
      </c>
      <c r="E874" t="s">
        <v>54</v>
      </c>
      <c r="F874" t="s">
        <v>1395</v>
      </c>
      <c r="G874" s="2">
        <f t="shared" si="26"/>
        <v>41914</v>
      </c>
      <c r="H874">
        <f>DAY(Europe_Sales_Records34[[#This Row],[Order Date Fixed]])</f>
        <v>2</v>
      </c>
      <c r="I874" t="str">
        <f>TEXT(Europe_Sales_Records34[[#This Row],[Order Date Fixed]],"MMM")</f>
        <v>Oct</v>
      </c>
      <c r="J874">
        <f>YEAR(Europe_Sales_Records34[[#This Row],[Order Date Fixed]])</f>
        <v>2014</v>
      </c>
      <c r="K874" t="str">
        <f>TEXT(Europe_Sales_Records34[[#This Row],[Order Date Fixed]],"MMM-YYYY")</f>
        <v>Oct-2014</v>
      </c>
      <c r="L874">
        <v>353475940</v>
      </c>
      <c r="M874" s="2">
        <f t="shared" si="27"/>
        <v>41916</v>
      </c>
      <c r="N874">
        <f>DAY(Europe_Sales_Records34[[#This Row],[Ship Date Fixed]])</f>
        <v>4</v>
      </c>
      <c r="O874" t="str">
        <f>TEXT(Europe_Sales_Records34[[#This Row],[Ship Date Fixed]],"MMM")</f>
        <v>Oct</v>
      </c>
      <c r="P874">
        <f>YEAR(Europe_Sales_Records34[[#This Row],[Ship Date Fixed]])</f>
        <v>2014</v>
      </c>
      <c r="Q874" t="str">
        <f>TEXT(Europe_Sales_Records34[[#This Row],[Ship Date Fixed]],"MMM-YYYY")</f>
        <v>Oct-2014</v>
      </c>
      <c r="R874" t="s">
        <v>1396</v>
      </c>
      <c r="S874" s="3">
        <f>Europe_Sales_Records34[[#This Row],[Ship Date Fixed]]-Europe_Sales_Records34[[#This Row],[Order Date Fixed]]</f>
        <v>2</v>
      </c>
      <c r="T874">
        <v>240</v>
      </c>
      <c r="U874">
        <v>81.73</v>
      </c>
      <c r="V874">
        <v>56.67</v>
      </c>
      <c r="W874">
        <f>Europe_Sales_Records34[[#This Row],[Total Revenue]]/Europe_Sales_Records34[[#This Row],[Units Sold]]</f>
        <v>81.73</v>
      </c>
      <c r="X874">
        <v>19615.2</v>
      </c>
      <c r="Y874">
        <v>13600.8</v>
      </c>
      <c r="Z874" s="4">
        <f>Europe_Sales_Records34[[#This Row],[Total Profit]]/Europe_Sales_Records34[[#This Row],[Total Revenue]]</f>
        <v>0.30661935641747212</v>
      </c>
      <c r="AA874">
        <v>6014.4</v>
      </c>
    </row>
    <row r="875" spans="1:27" x14ac:dyDescent="0.3">
      <c r="A875" t="s">
        <v>14</v>
      </c>
      <c r="B875" t="s">
        <v>122</v>
      </c>
      <c r="C875" t="s">
        <v>16</v>
      </c>
      <c r="D875" t="s">
        <v>23</v>
      </c>
      <c r="E875" t="s">
        <v>54</v>
      </c>
      <c r="F875" t="s">
        <v>1397</v>
      </c>
      <c r="G875" s="2">
        <f t="shared" si="26"/>
        <v>40699</v>
      </c>
      <c r="H875">
        <f>DAY(Europe_Sales_Records34[[#This Row],[Order Date Fixed]])</f>
        <v>5</v>
      </c>
      <c r="I875" t="str">
        <f>TEXT(Europe_Sales_Records34[[#This Row],[Order Date Fixed]],"MMM")</f>
        <v>Jun</v>
      </c>
      <c r="J875">
        <f>YEAR(Europe_Sales_Records34[[#This Row],[Order Date Fixed]])</f>
        <v>2011</v>
      </c>
      <c r="K875" t="str">
        <f>TEXT(Europe_Sales_Records34[[#This Row],[Order Date Fixed]],"MMM-YYYY")</f>
        <v>Jun-2011</v>
      </c>
      <c r="L875">
        <v>432031619</v>
      </c>
      <c r="M875" s="2">
        <f t="shared" si="27"/>
        <v>40723</v>
      </c>
      <c r="N875">
        <f>DAY(Europe_Sales_Records34[[#This Row],[Ship Date Fixed]])</f>
        <v>29</v>
      </c>
      <c r="O875" t="str">
        <f>TEXT(Europe_Sales_Records34[[#This Row],[Ship Date Fixed]],"MMM")</f>
        <v>Jun</v>
      </c>
      <c r="P875">
        <f>YEAR(Europe_Sales_Records34[[#This Row],[Ship Date Fixed]])</f>
        <v>2011</v>
      </c>
      <c r="Q875" t="str">
        <f>TEXT(Europe_Sales_Records34[[#This Row],[Ship Date Fixed]],"MMM-YYYY")</f>
        <v>Jun-2011</v>
      </c>
      <c r="R875" t="s">
        <v>1398</v>
      </c>
      <c r="S875" s="3">
        <f>Europe_Sales_Records34[[#This Row],[Ship Date Fixed]]-Europe_Sales_Records34[[#This Row],[Order Date Fixed]]</f>
        <v>24</v>
      </c>
      <c r="T875">
        <v>6612</v>
      </c>
      <c r="U875">
        <v>47.45</v>
      </c>
      <c r="V875">
        <v>31.79</v>
      </c>
      <c r="W875">
        <f>Europe_Sales_Records34[[#This Row],[Total Revenue]]/Europe_Sales_Records34[[#This Row],[Units Sold]]</f>
        <v>47.45</v>
      </c>
      <c r="X875">
        <v>313739.40000000002</v>
      </c>
      <c r="Y875">
        <v>210195.48</v>
      </c>
      <c r="Z875" s="4">
        <f>Europe_Sales_Records34[[#This Row],[Total Profit]]/Europe_Sales_Records34[[#This Row],[Total Revenue]]</f>
        <v>0.330031612223393</v>
      </c>
      <c r="AA875">
        <v>103543.92</v>
      </c>
    </row>
    <row r="876" spans="1:27" x14ac:dyDescent="0.3">
      <c r="A876" t="s">
        <v>14</v>
      </c>
      <c r="B876" t="s">
        <v>122</v>
      </c>
      <c r="C876" t="s">
        <v>71</v>
      </c>
      <c r="D876" t="s">
        <v>23</v>
      </c>
      <c r="E876" t="s">
        <v>33</v>
      </c>
      <c r="F876" t="s">
        <v>1378</v>
      </c>
      <c r="G876" s="2">
        <f t="shared" si="26"/>
        <v>40958</v>
      </c>
      <c r="H876">
        <f>DAY(Europe_Sales_Records34[[#This Row],[Order Date Fixed]])</f>
        <v>19</v>
      </c>
      <c r="I876" t="str">
        <f>TEXT(Europe_Sales_Records34[[#This Row],[Order Date Fixed]],"MMM")</f>
        <v>Feb</v>
      </c>
      <c r="J876">
        <f>YEAR(Europe_Sales_Records34[[#This Row],[Order Date Fixed]])</f>
        <v>2012</v>
      </c>
      <c r="K876" t="str">
        <f>TEXT(Europe_Sales_Records34[[#This Row],[Order Date Fixed]],"MMM-YYYY")</f>
        <v>Feb-2012</v>
      </c>
      <c r="L876">
        <v>104165685</v>
      </c>
      <c r="M876" s="2">
        <f t="shared" si="27"/>
        <v>40974</v>
      </c>
      <c r="N876">
        <f>DAY(Europe_Sales_Records34[[#This Row],[Ship Date Fixed]])</f>
        <v>6</v>
      </c>
      <c r="O876" t="str">
        <f>TEXT(Europe_Sales_Records34[[#This Row],[Ship Date Fixed]],"MMM")</f>
        <v>Mar</v>
      </c>
      <c r="P876">
        <f>YEAR(Europe_Sales_Records34[[#This Row],[Ship Date Fixed]])</f>
        <v>2012</v>
      </c>
      <c r="Q876" t="str">
        <f>TEXT(Europe_Sales_Records34[[#This Row],[Ship Date Fixed]],"MMM-YYYY")</f>
        <v>Mar-2012</v>
      </c>
      <c r="R876" t="s">
        <v>1399</v>
      </c>
      <c r="S876" s="3">
        <f>Europe_Sales_Records34[[#This Row],[Ship Date Fixed]]-Europe_Sales_Records34[[#This Row],[Order Date Fixed]]</f>
        <v>16</v>
      </c>
      <c r="T876">
        <v>3796</v>
      </c>
      <c r="U876">
        <v>668.27</v>
      </c>
      <c r="V876">
        <v>502.54</v>
      </c>
      <c r="W876">
        <f>Europe_Sales_Records34[[#This Row],[Total Revenue]]/Europe_Sales_Records34[[#This Row],[Units Sold]]</f>
        <v>668.27</v>
      </c>
      <c r="X876">
        <v>2536752.92</v>
      </c>
      <c r="Y876">
        <v>1907641.84</v>
      </c>
      <c r="Z876" s="4">
        <f>Europe_Sales_Records34[[#This Row],[Total Profit]]/Europe_Sales_Records34[[#This Row],[Total Revenue]]</f>
        <v>0.24799856345489099</v>
      </c>
      <c r="AA876">
        <v>629111.07999999996</v>
      </c>
    </row>
    <row r="877" spans="1:27" x14ac:dyDescent="0.3">
      <c r="A877" t="s">
        <v>14</v>
      </c>
      <c r="B877" t="s">
        <v>74</v>
      </c>
      <c r="C877" t="s">
        <v>102</v>
      </c>
      <c r="D877" t="s">
        <v>23</v>
      </c>
      <c r="E877" t="s">
        <v>24</v>
      </c>
      <c r="F877" t="s">
        <v>472</v>
      </c>
      <c r="G877" s="2">
        <f t="shared" si="26"/>
        <v>40600</v>
      </c>
      <c r="H877">
        <f>DAY(Europe_Sales_Records34[[#This Row],[Order Date Fixed]])</f>
        <v>26</v>
      </c>
      <c r="I877" t="str">
        <f>TEXT(Europe_Sales_Records34[[#This Row],[Order Date Fixed]],"MMM")</f>
        <v>Feb</v>
      </c>
      <c r="J877">
        <f>YEAR(Europe_Sales_Records34[[#This Row],[Order Date Fixed]])</f>
        <v>2011</v>
      </c>
      <c r="K877" t="str">
        <f>TEXT(Europe_Sales_Records34[[#This Row],[Order Date Fixed]],"MMM-YYYY")</f>
        <v>Feb-2011</v>
      </c>
      <c r="L877">
        <v>762117564</v>
      </c>
      <c r="M877" s="2">
        <f t="shared" si="27"/>
        <v>40630</v>
      </c>
      <c r="N877">
        <f>DAY(Europe_Sales_Records34[[#This Row],[Ship Date Fixed]])</f>
        <v>28</v>
      </c>
      <c r="O877" t="str">
        <f>TEXT(Europe_Sales_Records34[[#This Row],[Ship Date Fixed]],"MMM")</f>
        <v>Mar</v>
      </c>
      <c r="P877">
        <f>YEAR(Europe_Sales_Records34[[#This Row],[Ship Date Fixed]])</f>
        <v>2011</v>
      </c>
      <c r="Q877" t="str">
        <f>TEXT(Europe_Sales_Records34[[#This Row],[Ship Date Fixed]],"MMM-YYYY")</f>
        <v>Mar-2011</v>
      </c>
      <c r="R877" t="s">
        <v>187</v>
      </c>
      <c r="S877" s="3">
        <f>Europe_Sales_Records34[[#This Row],[Ship Date Fixed]]-Europe_Sales_Records34[[#This Row],[Order Date Fixed]]</f>
        <v>30</v>
      </c>
      <c r="T877">
        <v>6378</v>
      </c>
      <c r="U877">
        <v>81.73</v>
      </c>
      <c r="V877">
        <v>56.67</v>
      </c>
      <c r="W877">
        <f>Europe_Sales_Records34[[#This Row],[Total Revenue]]/Europe_Sales_Records34[[#This Row],[Units Sold]]</f>
        <v>81.73</v>
      </c>
      <c r="X877">
        <v>521273.94</v>
      </c>
      <c r="Y877">
        <v>361441.26</v>
      </c>
      <c r="Z877" s="4">
        <f>Europe_Sales_Records34[[#This Row],[Total Profit]]/Europe_Sales_Records34[[#This Row],[Total Revenue]]</f>
        <v>0.30661935641747212</v>
      </c>
      <c r="AA877">
        <v>159832.68</v>
      </c>
    </row>
    <row r="878" spans="1:27" x14ac:dyDescent="0.3">
      <c r="A878" t="s">
        <v>14</v>
      </c>
      <c r="B878" t="s">
        <v>53</v>
      </c>
      <c r="C878" t="s">
        <v>58</v>
      </c>
      <c r="D878" t="s">
        <v>17</v>
      </c>
      <c r="E878" t="s">
        <v>54</v>
      </c>
      <c r="F878" t="s">
        <v>1400</v>
      </c>
      <c r="G878" s="2">
        <f t="shared" si="26"/>
        <v>41343</v>
      </c>
      <c r="H878">
        <f>DAY(Europe_Sales_Records34[[#This Row],[Order Date Fixed]])</f>
        <v>10</v>
      </c>
      <c r="I878" t="str">
        <f>TEXT(Europe_Sales_Records34[[#This Row],[Order Date Fixed]],"MMM")</f>
        <v>Mar</v>
      </c>
      <c r="J878">
        <f>YEAR(Europe_Sales_Records34[[#This Row],[Order Date Fixed]])</f>
        <v>2013</v>
      </c>
      <c r="K878" t="str">
        <f>TEXT(Europe_Sales_Records34[[#This Row],[Order Date Fixed]],"MMM-YYYY")</f>
        <v>Mar-2013</v>
      </c>
      <c r="L878">
        <v>918364179</v>
      </c>
      <c r="M878" s="2">
        <f t="shared" si="27"/>
        <v>41375</v>
      </c>
      <c r="N878">
        <f>DAY(Europe_Sales_Records34[[#This Row],[Ship Date Fixed]])</f>
        <v>11</v>
      </c>
      <c r="O878" t="str">
        <f>TEXT(Europe_Sales_Records34[[#This Row],[Ship Date Fixed]],"MMM")</f>
        <v>Apr</v>
      </c>
      <c r="P878">
        <f>YEAR(Europe_Sales_Records34[[#This Row],[Ship Date Fixed]])</f>
        <v>2013</v>
      </c>
      <c r="Q878" t="str">
        <f>TEXT(Europe_Sales_Records34[[#This Row],[Ship Date Fixed]],"MMM-YYYY")</f>
        <v>Apr-2013</v>
      </c>
      <c r="R878" t="s">
        <v>688</v>
      </c>
      <c r="S878" s="3">
        <f>Europe_Sales_Records34[[#This Row],[Ship Date Fixed]]-Europe_Sales_Records34[[#This Row],[Order Date Fixed]]</f>
        <v>32</v>
      </c>
      <c r="T878">
        <v>3223</v>
      </c>
      <c r="U878">
        <v>152.58000000000001</v>
      </c>
      <c r="V878">
        <v>97.44</v>
      </c>
      <c r="W878">
        <f>Europe_Sales_Records34[[#This Row],[Total Revenue]]/Europe_Sales_Records34[[#This Row],[Units Sold]]</f>
        <v>152.58000000000001</v>
      </c>
      <c r="X878">
        <v>491765.34</v>
      </c>
      <c r="Y878">
        <v>314049.12</v>
      </c>
      <c r="Z878" s="4">
        <f>Europe_Sales_Records34[[#This Row],[Total Profit]]/Europe_Sales_Records34[[#This Row],[Total Revenue]]</f>
        <v>0.36138419189933146</v>
      </c>
      <c r="AA878">
        <v>177716.22</v>
      </c>
    </row>
    <row r="879" spans="1:27" x14ac:dyDescent="0.3">
      <c r="A879" t="s">
        <v>14</v>
      </c>
      <c r="B879" t="s">
        <v>364</v>
      </c>
      <c r="C879" t="s">
        <v>50</v>
      </c>
      <c r="D879" t="s">
        <v>23</v>
      </c>
      <c r="E879" t="s">
        <v>24</v>
      </c>
      <c r="F879" t="s">
        <v>1401</v>
      </c>
      <c r="G879" s="2">
        <f t="shared" si="26"/>
        <v>40651</v>
      </c>
      <c r="H879">
        <f>DAY(Europe_Sales_Records34[[#This Row],[Order Date Fixed]])</f>
        <v>18</v>
      </c>
      <c r="I879" t="str">
        <f>TEXT(Europe_Sales_Records34[[#This Row],[Order Date Fixed]],"MMM")</f>
        <v>Apr</v>
      </c>
      <c r="J879">
        <f>YEAR(Europe_Sales_Records34[[#This Row],[Order Date Fixed]])</f>
        <v>2011</v>
      </c>
      <c r="K879" t="str">
        <f>TEXT(Europe_Sales_Records34[[#This Row],[Order Date Fixed]],"MMM-YYYY")</f>
        <v>Apr-2011</v>
      </c>
      <c r="L879">
        <v>913729751</v>
      </c>
      <c r="M879" s="2">
        <f t="shared" si="27"/>
        <v>40672</v>
      </c>
      <c r="N879">
        <f>DAY(Europe_Sales_Records34[[#This Row],[Ship Date Fixed]])</f>
        <v>9</v>
      </c>
      <c r="O879" t="str">
        <f>TEXT(Europe_Sales_Records34[[#This Row],[Ship Date Fixed]],"MMM")</f>
        <v>May</v>
      </c>
      <c r="P879">
        <f>YEAR(Europe_Sales_Records34[[#This Row],[Ship Date Fixed]])</f>
        <v>2011</v>
      </c>
      <c r="Q879" t="str">
        <f>TEXT(Europe_Sales_Records34[[#This Row],[Ship Date Fixed]],"MMM-YYYY")</f>
        <v>May-2011</v>
      </c>
      <c r="R879" t="s">
        <v>1402</v>
      </c>
      <c r="S879" s="3">
        <f>Europe_Sales_Records34[[#This Row],[Ship Date Fixed]]-Europe_Sales_Records34[[#This Row],[Order Date Fixed]]</f>
        <v>21</v>
      </c>
      <c r="T879">
        <v>1793</v>
      </c>
      <c r="U879">
        <v>421.89</v>
      </c>
      <c r="V879">
        <v>364.69</v>
      </c>
      <c r="W879">
        <f>Europe_Sales_Records34[[#This Row],[Total Revenue]]/Europe_Sales_Records34[[#This Row],[Units Sold]]</f>
        <v>421.89</v>
      </c>
      <c r="X879">
        <v>756448.77</v>
      </c>
      <c r="Y879">
        <v>653889.17000000004</v>
      </c>
      <c r="Z879" s="4">
        <f>Europe_Sales_Records34[[#This Row],[Total Profit]]/Europe_Sales_Records34[[#This Row],[Total Revenue]]</f>
        <v>0.13558036455000119</v>
      </c>
      <c r="AA879">
        <v>102559.6</v>
      </c>
    </row>
    <row r="880" spans="1:27" x14ac:dyDescent="0.3">
      <c r="A880" t="s">
        <v>14</v>
      </c>
      <c r="B880" t="s">
        <v>122</v>
      </c>
      <c r="C880" t="s">
        <v>58</v>
      </c>
      <c r="D880" t="s">
        <v>23</v>
      </c>
      <c r="E880" t="s">
        <v>54</v>
      </c>
      <c r="F880" t="s">
        <v>910</v>
      </c>
      <c r="G880" s="2">
        <f t="shared" si="26"/>
        <v>40602</v>
      </c>
      <c r="H880">
        <f>DAY(Europe_Sales_Records34[[#This Row],[Order Date Fixed]])</f>
        <v>28</v>
      </c>
      <c r="I880" t="str">
        <f>TEXT(Europe_Sales_Records34[[#This Row],[Order Date Fixed]],"MMM")</f>
        <v>Feb</v>
      </c>
      <c r="J880">
        <f>YEAR(Europe_Sales_Records34[[#This Row],[Order Date Fixed]])</f>
        <v>2011</v>
      </c>
      <c r="K880" t="str">
        <f>TEXT(Europe_Sales_Records34[[#This Row],[Order Date Fixed]],"MMM-YYYY")</f>
        <v>Feb-2011</v>
      </c>
      <c r="L880">
        <v>196346127</v>
      </c>
      <c r="M880" s="2">
        <f t="shared" si="27"/>
        <v>40645</v>
      </c>
      <c r="N880">
        <f>DAY(Europe_Sales_Records34[[#This Row],[Ship Date Fixed]])</f>
        <v>12</v>
      </c>
      <c r="O880" t="str">
        <f>TEXT(Europe_Sales_Records34[[#This Row],[Ship Date Fixed]],"MMM")</f>
        <v>Apr</v>
      </c>
      <c r="P880">
        <f>YEAR(Europe_Sales_Records34[[#This Row],[Ship Date Fixed]])</f>
        <v>2011</v>
      </c>
      <c r="Q880" t="str">
        <f>TEXT(Europe_Sales_Records34[[#This Row],[Ship Date Fixed]],"MMM-YYYY")</f>
        <v>Apr-2011</v>
      </c>
      <c r="R880" t="s">
        <v>1403</v>
      </c>
      <c r="S880" s="3">
        <f>Europe_Sales_Records34[[#This Row],[Ship Date Fixed]]-Europe_Sales_Records34[[#This Row],[Order Date Fixed]]</f>
        <v>43</v>
      </c>
      <c r="T880">
        <v>2037</v>
      </c>
      <c r="U880">
        <v>152.58000000000001</v>
      </c>
      <c r="V880">
        <v>97.44</v>
      </c>
      <c r="W880">
        <f>Europe_Sales_Records34[[#This Row],[Total Revenue]]/Europe_Sales_Records34[[#This Row],[Units Sold]]</f>
        <v>152.58000000000001</v>
      </c>
      <c r="X880">
        <v>310805.46000000002</v>
      </c>
      <c r="Y880">
        <v>198485.28</v>
      </c>
      <c r="Z880" s="4">
        <f>Europe_Sales_Records34[[#This Row],[Total Profit]]/Europe_Sales_Records34[[#This Row],[Total Revenue]]</f>
        <v>0.36138419189933146</v>
      </c>
      <c r="AA880">
        <v>112320.18</v>
      </c>
    </row>
    <row r="881" spans="1:27" x14ac:dyDescent="0.3">
      <c r="A881" t="s">
        <v>14</v>
      </c>
      <c r="B881" t="s">
        <v>105</v>
      </c>
      <c r="C881" t="s">
        <v>102</v>
      </c>
      <c r="D881" t="s">
        <v>23</v>
      </c>
      <c r="E881" t="s">
        <v>24</v>
      </c>
      <c r="F881" t="s">
        <v>1404</v>
      </c>
      <c r="G881" s="2">
        <f t="shared" si="26"/>
        <v>41994</v>
      </c>
      <c r="H881">
        <f>DAY(Europe_Sales_Records34[[#This Row],[Order Date Fixed]])</f>
        <v>21</v>
      </c>
      <c r="I881" t="str">
        <f>TEXT(Europe_Sales_Records34[[#This Row],[Order Date Fixed]],"MMM")</f>
        <v>Dec</v>
      </c>
      <c r="J881">
        <f>YEAR(Europe_Sales_Records34[[#This Row],[Order Date Fixed]])</f>
        <v>2014</v>
      </c>
      <c r="K881" t="str">
        <f>TEXT(Europe_Sales_Records34[[#This Row],[Order Date Fixed]],"MMM-YYYY")</f>
        <v>Dec-2014</v>
      </c>
      <c r="L881">
        <v>553107821</v>
      </c>
      <c r="M881" s="2">
        <f t="shared" si="27"/>
        <v>42017</v>
      </c>
      <c r="N881">
        <f>DAY(Europe_Sales_Records34[[#This Row],[Ship Date Fixed]])</f>
        <v>13</v>
      </c>
      <c r="O881" t="str">
        <f>TEXT(Europe_Sales_Records34[[#This Row],[Ship Date Fixed]],"MMM")</f>
        <v>Jan</v>
      </c>
      <c r="P881">
        <f>YEAR(Europe_Sales_Records34[[#This Row],[Ship Date Fixed]])</f>
        <v>2015</v>
      </c>
      <c r="Q881" t="str">
        <f>TEXT(Europe_Sales_Records34[[#This Row],[Ship Date Fixed]],"MMM-YYYY")</f>
        <v>Jan-2015</v>
      </c>
      <c r="R881" t="s">
        <v>1405</v>
      </c>
      <c r="S881" s="3">
        <f>Europe_Sales_Records34[[#This Row],[Ship Date Fixed]]-Europe_Sales_Records34[[#This Row],[Order Date Fixed]]</f>
        <v>23</v>
      </c>
      <c r="T881">
        <v>5751</v>
      </c>
      <c r="U881">
        <v>81.73</v>
      </c>
      <c r="V881">
        <v>56.67</v>
      </c>
      <c r="W881">
        <f>Europe_Sales_Records34[[#This Row],[Total Revenue]]/Europe_Sales_Records34[[#This Row],[Units Sold]]</f>
        <v>81.72999999999999</v>
      </c>
      <c r="X881">
        <v>470029.23</v>
      </c>
      <c r="Y881">
        <v>325909.17</v>
      </c>
      <c r="Z881" s="4">
        <f>Europe_Sales_Records34[[#This Row],[Total Profit]]/Europe_Sales_Records34[[#This Row],[Total Revenue]]</f>
        <v>0.30661935641747218</v>
      </c>
      <c r="AA881">
        <v>144120.06</v>
      </c>
    </row>
    <row r="882" spans="1:27" x14ac:dyDescent="0.3">
      <c r="A882" t="s">
        <v>14</v>
      </c>
      <c r="B882" t="s">
        <v>61</v>
      </c>
      <c r="C882" t="s">
        <v>28</v>
      </c>
      <c r="D882" t="s">
        <v>23</v>
      </c>
      <c r="E882" t="s">
        <v>24</v>
      </c>
      <c r="F882" t="s">
        <v>1282</v>
      </c>
      <c r="G882" s="2">
        <f t="shared" si="26"/>
        <v>41767</v>
      </c>
      <c r="H882">
        <f>DAY(Europe_Sales_Records34[[#This Row],[Order Date Fixed]])</f>
        <v>8</v>
      </c>
      <c r="I882" t="str">
        <f>TEXT(Europe_Sales_Records34[[#This Row],[Order Date Fixed]],"MMM")</f>
        <v>May</v>
      </c>
      <c r="J882">
        <f>YEAR(Europe_Sales_Records34[[#This Row],[Order Date Fixed]])</f>
        <v>2014</v>
      </c>
      <c r="K882" t="str">
        <f>TEXT(Europe_Sales_Records34[[#This Row],[Order Date Fixed]],"MMM-YYYY")</f>
        <v>May-2014</v>
      </c>
      <c r="L882">
        <v>591774117</v>
      </c>
      <c r="M882" s="2">
        <f t="shared" si="27"/>
        <v>41789</v>
      </c>
      <c r="N882">
        <f>DAY(Europe_Sales_Records34[[#This Row],[Ship Date Fixed]])</f>
        <v>30</v>
      </c>
      <c r="O882" t="str">
        <f>TEXT(Europe_Sales_Records34[[#This Row],[Ship Date Fixed]],"MMM")</f>
        <v>May</v>
      </c>
      <c r="P882">
        <f>YEAR(Europe_Sales_Records34[[#This Row],[Ship Date Fixed]])</f>
        <v>2014</v>
      </c>
      <c r="Q882" t="str">
        <f>TEXT(Europe_Sales_Records34[[#This Row],[Ship Date Fixed]],"MMM-YYYY")</f>
        <v>May-2014</v>
      </c>
      <c r="R882" t="s">
        <v>156</v>
      </c>
      <c r="S882" s="3">
        <f>Europe_Sales_Records34[[#This Row],[Ship Date Fixed]]-Europe_Sales_Records34[[#This Row],[Order Date Fixed]]</f>
        <v>22</v>
      </c>
      <c r="T882">
        <v>7967</v>
      </c>
      <c r="U882">
        <v>205.7</v>
      </c>
      <c r="V882">
        <v>117.11</v>
      </c>
      <c r="W882">
        <f>Europe_Sales_Records34[[#This Row],[Total Revenue]]/Europe_Sales_Records34[[#This Row],[Units Sold]]</f>
        <v>205.7</v>
      </c>
      <c r="X882">
        <v>1638811.9</v>
      </c>
      <c r="Y882">
        <v>933015.37</v>
      </c>
      <c r="Z882" s="4">
        <f>Europe_Sales_Records34[[#This Row],[Total Profit]]/Europe_Sales_Records34[[#This Row],[Total Revenue]]</f>
        <v>0.43067574137092857</v>
      </c>
      <c r="AA882">
        <v>705796.53</v>
      </c>
    </row>
    <row r="883" spans="1:27" x14ac:dyDescent="0.3">
      <c r="A883" t="s">
        <v>14</v>
      </c>
      <c r="B883" t="s">
        <v>105</v>
      </c>
      <c r="C883" t="s">
        <v>102</v>
      </c>
      <c r="D883" t="s">
        <v>23</v>
      </c>
      <c r="E883" t="s">
        <v>18</v>
      </c>
      <c r="F883" t="s">
        <v>741</v>
      </c>
      <c r="G883" s="2">
        <f t="shared" si="26"/>
        <v>42157</v>
      </c>
      <c r="H883">
        <f>DAY(Europe_Sales_Records34[[#This Row],[Order Date Fixed]])</f>
        <v>2</v>
      </c>
      <c r="I883" t="str">
        <f>TEXT(Europe_Sales_Records34[[#This Row],[Order Date Fixed]],"MMM")</f>
        <v>Jun</v>
      </c>
      <c r="J883">
        <f>YEAR(Europe_Sales_Records34[[#This Row],[Order Date Fixed]])</f>
        <v>2015</v>
      </c>
      <c r="K883" t="str">
        <f>TEXT(Europe_Sales_Records34[[#This Row],[Order Date Fixed]],"MMM-YYYY")</f>
        <v>Jun-2015</v>
      </c>
      <c r="L883">
        <v>627432048</v>
      </c>
      <c r="M883" s="2">
        <f t="shared" si="27"/>
        <v>42178</v>
      </c>
      <c r="N883">
        <f>DAY(Europe_Sales_Records34[[#This Row],[Ship Date Fixed]])</f>
        <v>23</v>
      </c>
      <c r="O883" t="str">
        <f>TEXT(Europe_Sales_Records34[[#This Row],[Ship Date Fixed]],"MMM")</f>
        <v>Jun</v>
      </c>
      <c r="P883">
        <f>YEAR(Europe_Sales_Records34[[#This Row],[Ship Date Fixed]])</f>
        <v>2015</v>
      </c>
      <c r="Q883" t="str">
        <f>TEXT(Europe_Sales_Records34[[#This Row],[Ship Date Fixed]],"MMM-YYYY")</f>
        <v>Jun-2015</v>
      </c>
      <c r="R883" t="s">
        <v>1406</v>
      </c>
      <c r="S883" s="3">
        <f>Europe_Sales_Records34[[#This Row],[Ship Date Fixed]]-Europe_Sales_Records34[[#This Row],[Order Date Fixed]]</f>
        <v>21</v>
      </c>
      <c r="T883">
        <v>9941</v>
      </c>
      <c r="U883">
        <v>81.73</v>
      </c>
      <c r="V883">
        <v>56.67</v>
      </c>
      <c r="W883">
        <f>Europe_Sales_Records34[[#This Row],[Total Revenue]]/Europe_Sales_Records34[[#This Row],[Units Sold]]</f>
        <v>81.73</v>
      </c>
      <c r="X883">
        <v>812477.93</v>
      </c>
      <c r="Y883">
        <v>563356.47</v>
      </c>
      <c r="Z883" s="4">
        <f>Europe_Sales_Records34[[#This Row],[Total Profit]]/Europe_Sales_Records34[[#This Row],[Total Revenue]]</f>
        <v>0.30661935641747212</v>
      </c>
      <c r="AA883">
        <v>249121.46</v>
      </c>
    </row>
    <row r="884" spans="1:27" x14ac:dyDescent="0.3">
      <c r="A884" t="s">
        <v>14</v>
      </c>
      <c r="B884" t="s">
        <v>196</v>
      </c>
      <c r="C884" t="s">
        <v>50</v>
      </c>
      <c r="D884" t="s">
        <v>17</v>
      </c>
      <c r="E884" t="s">
        <v>24</v>
      </c>
      <c r="F884" t="s">
        <v>1407</v>
      </c>
      <c r="G884" s="2">
        <f t="shared" si="26"/>
        <v>42749</v>
      </c>
      <c r="H884">
        <f>DAY(Europe_Sales_Records34[[#This Row],[Order Date Fixed]])</f>
        <v>14</v>
      </c>
      <c r="I884" t="str">
        <f>TEXT(Europe_Sales_Records34[[#This Row],[Order Date Fixed]],"MMM")</f>
        <v>Jan</v>
      </c>
      <c r="J884">
        <f>YEAR(Europe_Sales_Records34[[#This Row],[Order Date Fixed]])</f>
        <v>2017</v>
      </c>
      <c r="K884" t="str">
        <f>TEXT(Europe_Sales_Records34[[#This Row],[Order Date Fixed]],"MMM-YYYY")</f>
        <v>Jan-2017</v>
      </c>
      <c r="L884">
        <v>615290009</v>
      </c>
      <c r="M884" s="2">
        <f t="shared" si="27"/>
        <v>42753</v>
      </c>
      <c r="N884">
        <f>DAY(Europe_Sales_Records34[[#This Row],[Ship Date Fixed]])</f>
        <v>18</v>
      </c>
      <c r="O884" t="str">
        <f>TEXT(Europe_Sales_Records34[[#This Row],[Ship Date Fixed]],"MMM")</f>
        <v>Jan</v>
      </c>
      <c r="P884">
        <f>YEAR(Europe_Sales_Records34[[#This Row],[Ship Date Fixed]])</f>
        <v>2017</v>
      </c>
      <c r="Q884" t="str">
        <f>TEXT(Europe_Sales_Records34[[#This Row],[Ship Date Fixed]],"MMM-YYYY")</f>
        <v>Jan-2017</v>
      </c>
      <c r="R884" t="s">
        <v>1408</v>
      </c>
      <c r="S884" s="3">
        <f>Europe_Sales_Records34[[#This Row],[Ship Date Fixed]]-Europe_Sales_Records34[[#This Row],[Order Date Fixed]]</f>
        <v>4</v>
      </c>
      <c r="T884">
        <v>6842</v>
      </c>
      <c r="U884">
        <v>421.89</v>
      </c>
      <c r="V884">
        <v>364.69</v>
      </c>
      <c r="W884">
        <f>Europe_Sales_Records34[[#This Row],[Total Revenue]]/Europe_Sales_Records34[[#This Row],[Units Sold]]</f>
        <v>421.89</v>
      </c>
      <c r="X884">
        <v>2886571.38</v>
      </c>
      <c r="Y884">
        <v>2495208.98</v>
      </c>
      <c r="Z884" s="4">
        <f>Europe_Sales_Records34[[#This Row],[Total Profit]]/Europe_Sales_Records34[[#This Row],[Total Revenue]]</f>
        <v>0.13558036455000119</v>
      </c>
      <c r="AA884">
        <v>391362.4</v>
      </c>
    </row>
    <row r="885" spans="1:27" x14ac:dyDescent="0.3">
      <c r="A885" t="s">
        <v>14</v>
      </c>
      <c r="B885" t="s">
        <v>185</v>
      </c>
      <c r="C885" t="s">
        <v>16</v>
      </c>
      <c r="D885" t="s">
        <v>23</v>
      </c>
      <c r="E885" t="s">
        <v>54</v>
      </c>
      <c r="F885" t="s">
        <v>1047</v>
      </c>
      <c r="G885" s="2">
        <f t="shared" si="26"/>
        <v>42229</v>
      </c>
      <c r="H885">
        <f>DAY(Europe_Sales_Records34[[#This Row],[Order Date Fixed]])</f>
        <v>13</v>
      </c>
      <c r="I885" t="str">
        <f>TEXT(Europe_Sales_Records34[[#This Row],[Order Date Fixed]],"MMM")</f>
        <v>Aug</v>
      </c>
      <c r="J885">
        <f>YEAR(Europe_Sales_Records34[[#This Row],[Order Date Fixed]])</f>
        <v>2015</v>
      </c>
      <c r="K885" t="str">
        <f>TEXT(Europe_Sales_Records34[[#This Row],[Order Date Fixed]],"MMM-YYYY")</f>
        <v>Aug-2015</v>
      </c>
      <c r="L885">
        <v>897317206</v>
      </c>
      <c r="M885" s="2">
        <f t="shared" si="27"/>
        <v>42248</v>
      </c>
      <c r="N885">
        <f>DAY(Europe_Sales_Records34[[#This Row],[Ship Date Fixed]])</f>
        <v>1</v>
      </c>
      <c r="O885" t="str">
        <f>TEXT(Europe_Sales_Records34[[#This Row],[Ship Date Fixed]],"MMM")</f>
        <v>Sep</v>
      </c>
      <c r="P885">
        <f>YEAR(Europe_Sales_Records34[[#This Row],[Ship Date Fixed]])</f>
        <v>2015</v>
      </c>
      <c r="Q885" t="str">
        <f>TEXT(Europe_Sales_Records34[[#This Row],[Ship Date Fixed]],"MMM-YYYY")</f>
        <v>Sep-2015</v>
      </c>
      <c r="R885" t="s">
        <v>1409</v>
      </c>
      <c r="S885" s="3">
        <f>Europe_Sales_Records34[[#This Row],[Ship Date Fixed]]-Europe_Sales_Records34[[#This Row],[Order Date Fixed]]</f>
        <v>19</v>
      </c>
      <c r="T885">
        <v>4957</v>
      </c>
      <c r="U885">
        <v>47.45</v>
      </c>
      <c r="V885">
        <v>31.79</v>
      </c>
      <c r="W885">
        <f>Europe_Sales_Records34[[#This Row],[Total Revenue]]/Europe_Sales_Records34[[#This Row],[Units Sold]]</f>
        <v>47.449999999999996</v>
      </c>
      <c r="X885">
        <v>235209.65</v>
      </c>
      <c r="Y885">
        <v>157583.03</v>
      </c>
      <c r="Z885" s="4">
        <f>Europe_Sales_Records34[[#This Row],[Total Profit]]/Europe_Sales_Records34[[#This Row],[Total Revenue]]</f>
        <v>0.33003161222339306</v>
      </c>
      <c r="AA885">
        <v>77626.62</v>
      </c>
    </row>
    <row r="886" spans="1:27" x14ac:dyDescent="0.3">
      <c r="A886" t="s">
        <v>14</v>
      </c>
      <c r="B886" t="s">
        <v>40</v>
      </c>
      <c r="C886" t="s">
        <v>102</v>
      </c>
      <c r="D886" t="s">
        <v>17</v>
      </c>
      <c r="E886" t="s">
        <v>33</v>
      </c>
      <c r="F886" t="s">
        <v>1314</v>
      </c>
      <c r="G886" s="2">
        <f t="shared" si="26"/>
        <v>42688</v>
      </c>
      <c r="H886">
        <f>DAY(Europe_Sales_Records34[[#This Row],[Order Date Fixed]])</f>
        <v>14</v>
      </c>
      <c r="I886" t="str">
        <f>TEXT(Europe_Sales_Records34[[#This Row],[Order Date Fixed]],"MMM")</f>
        <v>Nov</v>
      </c>
      <c r="J886">
        <f>YEAR(Europe_Sales_Records34[[#This Row],[Order Date Fixed]])</f>
        <v>2016</v>
      </c>
      <c r="K886" t="str">
        <f>TEXT(Europe_Sales_Records34[[#This Row],[Order Date Fixed]],"MMM-YYYY")</f>
        <v>Nov-2016</v>
      </c>
      <c r="L886">
        <v>594699656</v>
      </c>
      <c r="M886" s="2">
        <f t="shared" si="27"/>
        <v>42734</v>
      </c>
      <c r="N886">
        <f>DAY(Europe_Sales_Records34[[#This Row],[Ship Date Fixed]])</f>
        <v>30</v>
      </c>
      <c r="O886" t="str">
        <f>TEXT(Europe_Sales_Records34[[#This Row],[Ship Date Fixed]],"MMM")</f>
        <v>Dec</v>
      </c>
      <c r="P886">
        <f>YEAR(Europe_Sales_Records34[[#This Row],[Ship Date Fixed]])</f>
        <v>2016</v>
      </c>
      <c r="Q886" t="str">
        <f>TEXT(Europe_Sales_Records34[[#This Row],[Ship Date Fixed]],"MMM-YYYY")</f>
        <v>Dec-2016</v>
      </c>
      <c r="R886" t="s">
        <v>1410</v>
      </c>
      <c r="S886" s="3">
        <f>Europe_Sales_Records34[[#This Row],[Ship Date Fixed]]-Europe_Sales_Records34[[#This Row],[Order Date Fixed]]</f>
        <v>46</v>
      </c>
      <c r="T886">
        <v>3699</v>
      </c>
      <c r="U886">
        <v>81.73</v>
      </c>
      <c r="V886">
        <v>56.67</v>
      </c>
      <c r="W886">
        <f>Europe_Sales_Records34[[#This Row],[Total Revenue]]/Europe_Sales_Records34[[#This Row],[Units Sold]]</f>
        <v>81.73</v>
      </c>
      <c r="X886">
        <v>302319.27</v>
      </c>
      <c r="Y886">
        <v>209622.33</v>
      </c>
      <c r="Z886" s="4">
        <f>Europe_Sales_Records34[[#This Row],[Total Profit]]/Europe_Sales_Records34[[#This Row],[Total Revenue]]</f>
        <v>0.30661935641747218</v>
      </c>
      <c r="AA886">
        <v>92696.94</v>
      </c>
    </row>
    <row r="887" spans="1:27" x14ac:dyDescent="0.3">
      <c r="A887" t="s">
        <v>14</v>
      </c>
      <c r="B887" t="s">
        <v>74</v>
      </c>
      <c r="C887" t="s">
        <v>75</v>
      </c>
      <c r="D887" t="s">
        <v>17</v>
      </c>
      <c r="E887" t="s">
        <v>24</v>
      </c>
      <c r="F887" t="s">
        <v>964</v>
      </c>
      <c r="G887" s="2">
        <f t="shared" si="26"/>
        <v>42914</v>
      </c>
      <c r="H887">
        <f>DAY(Europe_Sales_Records34[[#This Row],[Order Date Fixed]])</f>
        <v>28</v>
      </c>
      <c r="I887" t="str">
        <f>TEXT(Europe_Sales_Records34[[#This Row],[Order Date Fixed]],"MMM")</f>
        <v>Jun</v>
      </c>
      <c r="J887">
        <f>YEAR(Europe_Sales_Records34[[#This Row],[Order Date Fixed]])</f>
        <v>2017</v>
      </c>
      <c r="K887" t="str">
        <f>TEXT(Europe_Sales_Records34[[#This Row],[Order Date Fixed]],"MMM-YYYY")</f>
        <v>Jun-2017</v>
      </c>
      <c r="L887">
        <v>574925124</v>
      </c>
      <c r="M887" s="2">
        <f t="shared" si="27"/>
        <v>42929</v>
      </c>
      <c r="N887">
        <f>DAY(Europe_Sales_Records34[[#This Row],[Ship Date Fixed]])</f>
        <v>13</v>
      </c>
      <c r="O887" t="str">
        <f>TEXT(Europe_Sales_Records34[[#This Row],[Ship Date Fixed]],"MMM")</f>
        <v>Jul</v>
      </c>
      <c r="P887">
        <f>YEAR(Europe_Sales_Records34[[#This Row],[Ship Date Fixed]])</f>
        <v>2017</v>
      </c>
      <c r="Q887" t="str">
        <f>TEXT(Europe_Sales_Records34[[#This Row],[Ship Date Fixed]],"MMM-YYYY")</f>
        <v>Jul-2017</v>
      </c>
      <c r="R887" t="s">
        <v>1411</v>
      </c>
      <c r="S887" s="3">
        <f>Europe_Sales_Records34[[#This Row],[Ship Date Fixed]]-Europe_Sales_Records34[[#This Row],[Order Date Fixed]]</f>
        <v>15</v>
      </c>
      <c r="T887">
        <v>1975</v>
      </c>
      <c r="U887">
        <v>437.2</v>
      </c>
      <c r="V887">
        <v>263.33</v>
      </c>
      <c r="W887">
        <f>Europe_Sales_Records34[[#This Row],[Total Revenue]]/Europe_Sales_Records34[[#This Row],[Units Sold]]</f>
        <v>437.2</v>
      </c>
      <c r="X887">
        <v>863470</v>
      </c>
      <c r="Y887">
        <v>520076.75</v>
      </c>
      <c r="Z887" s="4">
        <f>Europe_Sales_Records34[[#This Row],[Total Profit]]/Europe_Sales_Records34[[#This Row],[Total Revenue]]</f>
        <v>0.39768984446477584</v>
      </c>
      <c r="AA887">
        <v>343393.25</v>
      </c>
    </row>
    <row r="888" spans="1:27" x14ac:dyDescent="0.3">
      <c r="A888" t="s">
        <v>14</v>
      </c>
      <c r="B888" t="s">
        <v>74</v>
      </c>
      <c r="C888" t="s">
        <v>16</v>
      </c>
      <c r="D888" t="s">
        <v>17</v>
      </c>
      <c r="E888" t="s">
        <v>24</v>
      </c>
      <c r="F888" t="s">
        <v>1412</v>
      </c>
      <c r="G888" s="2">
        <f t="shared" si="26"/>
        <v>42082</v>
      </c>
      <c r="H888">
        <f>DAY(Europe_Sales_Records34[[#This Row],[Order Date Fixed]])</f>
        <v>19</v>
      </c>
      <c r="I888" t="str">
        <f>TEXT(Europe_Sales_Records34[[#This Row],[Order Date Fixed]],"MMM")</f>
        <v>Mar</v>
      </c>
      <c r="J888">
        <f>YEAR(Europe_Sales_Records34[[#This Row],[Order Date Fixed]])</f>
        <v>2015</v>
      </c>
      <c r="K888" t="str">
        <f>TEXT(Europe_Sales_Records34[[#This Row],[Order Date Fixed]],"MMM-YYYY")</f>
        <v>Mar-2015</v>
      </c>
      <c r="L888">
        <v>946421372</v>
      </c>
      <c r="M888" s="2">
        <f t="shared" si="27"/>
        <v>42084</v>
      </c>
      <c r="N888">
        <f>DAY(Europe_Sales_Records34[[#This Row],[Ship Date Fixed]])</f>
        <v>21</v>
      </c>
      <c r="O888" t="str">
        <f>TEXT(Europe_Sales_Records34[[#This Row],[Ship Date Fixed]],"MMM")</f>
        <v>Mar</v>
      </c>
      <c r="P888">
        <f>YEAR(Europe_Sales_Records34[[#This Row],[Ship Date Fixed]])</f>
        <v>2015</v>
      </c>
      <c r="Q888" t="str">
        <f>TEXT(Europe_Sales_Records34[[#This Row],[Ship Date Fixed]],"MMM-YYYY")</f>
        <v>Mar-2015</v>
      </c>
      <c r="R888" t="s">
        <v>932</v>
      </c>
      <c r="S888" s="3">
        <f>Europe_Sales_Records34[[#This Row],[Ship Date Fixed]]-Europe_Sales_Records34[[#This Row],[Order Date Fixed]]</f>
        <v>2</v>
      </c>
      <c r="T888">
        <v>5971</v>
      </c>
      <c r="U888">
        <v>47.45</v>
      </c>
      <c r="V888">
        <v>31.79</v>
      </c>
      <c r="W888">
        <f>Europe_Sales_Records34[[#This Row],[Total Revenue]]/Europe_Sales_Records34[[#This Row],[Units Sold]]</f>
        <v>47.45</v>
      </c>
      <c r="X888">
        <v>283323.95</v>
      </c>
      <c r="Y888">
        <v>189818.09</v>
      </c>
      <c r="Z888" s="4">
        <f>Europe_Sales_Records34[[#This Row],[Total Profit]]/Europe_Sales_Records34[[#This Row],[Total Revenue]]</f>
        <v>0.33003161222339306</v>
      </c>
      <c r="AA888">
        <v>93505.86</v>
      </c>
    </row>
    <row r="889" spans="1:27" x14ac:dyDescent="0.3">
      <c r="A889" t="s">
        <v>14</v>
      </c>
      <c r="B889" t="s">
        <v>122</v>
      </c>
      <c r="C889" t="s">
        <v>22</v>
      </c>
      <c r="D889" t="s">
        <v>17</v>
      </c>
      <c r="E889" t="s">
        <v>18</v>
      </c>
      <c r="F889" t="s">
        <v>263</v>
      </c>
      <c r="G889" s="2">
        <f t="shared" si="26"/>
        <v>42787</v>
      </c>
      <c r="H889">
        <f>DAY(Europe_Sales_Records34[[#This Row],[Order Date Fixed]])</f>
        <v>21</v>
      </c>
      <c r="I889" t="str">
        <f>TEXT(Europe_Sales_Records34[[#This Row],[Order Date Fixed]],"MMM")</f>
        <v>Feb</v>
      </c>
      <c r="J889">
        <f>YEAR(Europe_Sales_Records34[[#This Row],[Order Date Fixed]])</f>
        <v>2017</v>
      </c>
      <c r="K889" t="str">
        <f>TEXT(Europe_Sales_Records34[[#This Row],[Order Date Fixed]],"MMM-YYYY")</f>
        <v>Feb-2017</v>
      </c>
      <c r="L889">
        <v>885998284</v>
      </c>
      <c r="M889" s="2">
        <f t="shared" si="27"/>
        <v>42794</v>
      </c>
      <c r="N889">
        <f>DAY(Europe_Sales_Records34[[#This Row],[Ship Date Fixed]])</f>
        <v>28</v>
      </c>
      <c r="O889" t="str">
        <f>TEXT(Europe_Sales_Records34[[#This Row],[Ship Date Fixed]],"MMM")</f>
        <v>Feb</v>
      </c>
      <c r="P889">
        <f>YEAR(Europe_Sales_Records34[[#This Row],[Ship Date Fixed]])</f>
        <v>2017</v>
      </c>
      <c r="Q889" t="str">
        <f>TEXT(Europe_Sales_Records34[[#This Row],[Ship Date Fixed]],"MMM-YYYY")</f>
        <v>Feb-2017</v>
      </c>
      <c r="R889" t="s">
        <v>1413</v>
      </c>
      <c r="S889" s="3">
        <f>Europe_Sales_Records34[[#This Row],[Ship Date Fixed]]-Europe_Sales_Records34[[#This Row],[Order Date Fixed]]</f>
        <v>7</v>
      </c>
      <c r="T889">
        <v>5436</v>
      </c>
      <c r="U889">
        <v>109.28</v>
      </c>
      <c r="V889">
        <v>35.840000000000003</v>
      </c>
      <c r="W889">
        <f>Europe_Sales_Records34[[#This Row],[Total Revenue]]/Europe_Sales_Records34[[#This Row],[Units Sold]]</f>
        <v>109.27999999999999</v>
      </c>
      <c r="X889">
        <v>594046.07999999996</v>
      </c>
      <c r="Y889">
        <v>194826.23999999999</v>
      </c>
      <c r="Z889" s="4">
        <f>Europe_Sales_Records34[[#This Row],[Total Profit]]/Europe_Sales_Records34[[#This Row],[Total Revenue]]</f>
        <v>0.67203513909224022</v>
      </c>
      <c r="AA889">
        <v>399219.84</v>
      </c>
    </row>
    <row r="890" spans="1:27" x14ac:dyDescent="0.3">
      <c r="A890" t="s">
        <v>14</v>
      </c>
      <c r="B890" t="s">
        <v>135</v>
      </c>
      <c r="C890" t="s">
        <v>71</v>
      </c>
      <c r="D890" t="s">
        <v>17</v>
      </c>
      <c r="E890" t="s">
        <v>33</v>
      </c>
      <c r="F890" t="s">
        <v>1414</v>
      </c>
      <c r="G890" s="2">
        <f t="shared" si="26"/>
        <v>42568</v>
      </c>
      <c r="H890">
        <f>DAY(Europe_Sales_Records34[[#This Row],[Order Date Fixed]])</f>
        <v>17</v>
      </c>
      <c r="I890" t="str">
        <f>TEXT(Europe_Sales_Records34[[#This Row],[Order Date Fixed]],"MMM")</f>
        <v>Jul</v>
      </c>
      <c r="J890">
        <f>YEAR(Europe_Sales_Records34[[#This Row],[Order Date Fixed]])</f>
        <v>2016</v>
      </c>
      <c r="K890" t="str">
        <f>TEXT(Europe_Sales_Records34[[#This Row],[Order Date Fixed]],"MMM-YYYY")</f>
        <v>Jul-2016</v>
      </c>
      <c r="L890">
        <v>954065883</v>
      </c>
      <c r="M890" s="2">
        <f t="shared" si="27"/>
        <v>42614</v>
      </c>
      <c r="N890">
        <f>DAY(Europe_Sales_Records34[[#This Row],[Ship Date Fixed]])</f>
        <v>1</v>
      </c>
      <c r="O890" t="str">
        <f>TEXT(Europe_Sales_Records34[[#This Row],[Ship Date Fixed]],"MMM")</f>
        <v>Sep</v>
      </c>
      <c r="P890">
        <f>YEAR(Europe_Sales_Records34[[#This Row],[Ship Date Fixed]])</f>
        <v>2016</v>
      </c>
      <c r="Q890" t="str">
        <f>TEXT(Europe_Sales_Records34[[#This Row],[Ship Date Fixed]],"MMM-YYYY")</f>
        <v>Sep-2016</v>
      </c>
      <c r="R890" t="s">
        <v>1313</v>
      </c>
      <c r="S890" s="3">
        <f>Europe_Sales_Records34[[#This Row],[Ship Date Fixed]]-Europe_Sales_Records34[[#This Row],[Order Date Fixed]]</f>
        <v>46</v>
      </c>
      <c r="T890">
        <v>8151</v>
      </c>
      <c r="U890">
        <v>668.27</v>
      </c>
      <c r="V890">
        <v>502.54</v>
      </c>
      <c r="W890">
        <f>Europe_Sales_Records34[[#This Row],[Total Revenue]]/Europe_Sales_Records34[[#This Row],[Units Sold]]</f>
        <v>668.27</v>
      </c>
      <c r="X890">
        <v>5447068.7699999996</v>
      </c>
      <c r="Y890">
        <v>4096203.54</v>
      </c>
      <c r="Z890" s="4">
        <f>Europe_Sales_Records34[[#This Row],[Total Profit]]/Europe_Sales_Records34[[#This Row],[Total Revenue]]</f>
        <v>0.24799856345489099</v>
      </c>
      <c r="AA890">
        <v>1350865.23</v>
      </c>
    </row>
    <row r="891" spans="1:27" x14ac:dyDescent="0.3">
      <c r="A891" t="s">
        <v>14</v>
      </c>
      <c r="B891" t="s">
        <v>100</v>
      </c>
      <c r="C891" t="s">
        <v>16</v>
      </c>
      <c r="D891" t="s">
        <v>23</v>
      </c>
      <c r="E891" t="s">
        <v>24</v>
      </c>
      <c r="F891" t="s">
        <v>1112</v>
      </c>
      <c r="G891" s="2">
        <f t="shared" si="26"/>
        <v>42162</v>
      </c>
      <c r="H891">
        <f>DAY(Europe_Sales_Records34[[#This Row],[Order Date Fixed]])</f>
        <v>7</v>
      </c>
      <c r="I891" t="str">
        <f>TEXT(Europe_Sales_Records34[[#This Row],[Order Date Fixed]],"MMM")</f>
        <v>Jun</v>
      </c>
      <c r="J891">
        <f>YEAR(Europe_Sales_Records34[[#This Row],[Order Date Fixed]])</f>
        <v>2015</v>
      </c>
      <c r="K891" t="str">
        <f>TEXT(Europe_Sales_Records34[[#This Row],[Order Date Fixed]],"MMM-YYYY")</f>
        <v>Jun-2015</v>
      </c>
      <c r="L891">
        <v>994406735</v>
      </c>
      <c r="M891" s="2">
        <f t="shared" si="27"/>
        <v>42185</v>
      </c>
      <c r="N891">
        <f>DAY(Europe_Sales_Records34[[#This Row],[Ship Date Fixed]])</f>
        <v>30</v>
      </c>
      <c r="O891" t="str">
        <f>TEXT(Europe_Sales_Records34[[#This Row],[Ship Date Fixed]],"MMM")</f>
        <v>Jun</v>
      </c>
      <c r="P891">
        <f>YEAR(Europe_Sales_Records34[[#This Row],[Ship Date Fixed]])</f>
        <v>2015</v>
      </c>
      <c r="Q891" t="str">
        <f>TEXT(Europe_Sales_Records34[[#This Row],[Ship Date Fixed]],"MMM-YYYY")</f>
        <v>Jun-2015</v>
      </c>
      <c r="R891" t="s">
        <v>1415</v>
      </c>
      <c r="S891" s="3">
        <f>Europe_Sales_Records34[[#This Row],[Ship Date Fixed]]-Europe_Sales_Records34[[#This Row],[Order Date Fixed]]</f>
        <v>23</v>
      </c>
      <c r="T891">
        <v>5906</v>
      </c>
      <c r="U891">
        <v>47.45</v>
      </c>
      <c r="V891">
        <v>31.79</v>
      </c>
      <c r="W891">
        <f>Europe_Sales_Records34[[#This Row],[Total Revenue]]/Europe_Sales_Records34[[#This Row],[Units Sold]]</f>
        <v>47.45</v>
      </c>
      <c r="X891">
        <v>280239.7</v>
      </c>
      <c r="Y891">
        <v>187751.74</v>
      </c>
      <c r="Z891" s="4">
        <f>Europe_Sales_Records34[[#This Row],[Total Profit]]/Europe_Sales_Records34[[#This Row],[Total Revenue]]</f>
        <v>0.33003161222339306</v>
      </c>
      <c r="AA891">
        <v>92487.96</v>
      </c>
    </row>
    <row r="892" spans="1:27" x14ac:dyDescent="0.3">
      <c r="A892" t="s">
        <v>14</v>
      </c>
      <c r="B892" t="s">
        <v>27</v>
      </c>
      <c r="C892" t="s">
        <v>102</v>
      </c>
      <c r="D892" t="s">
        <v>23</v>
      </c>
      <c r="E892" t="s">
        <v>24</v>
      </c>
      <c r="F892" t="s">
        <v>1350</v>
      </c>
      <c r="G892" s="2">
        <f t="shared" si="26"/>
        <v>42925</v>
      </c>
      <c r="H892">
        <f>DAY(Europe_Sales_Records34[[#This Row],[Order Date Fixed]])</f>
        <v>9</v>
      </c>
      <c r="I892" t="str">
        <f>TEXT(Europe_Sales_Records34[[#This Row],[Order Date Fixed]],"MMM")</f>
        <v>Jul</v>
      </c>
      <c r="J892">
        <f>YEAR(Europe_Sales_Records34[[#This Row],[Order Date Fixed]])</f>
        <v>2017</v>
      </c>
      <c r="K892" t="str">
        <f>TEXT(Europe_Sales_Records34[[#This Row],[Order Date Fixed]],"MMM-YYYY")</f>
        <v>Jul-2017</v>
      </c>
      <c r="L892">
        <v>132069671</v>
      </c>
      <c r="M892" s="2">
        <f t="shared" si="27"/>
        <v>42936</v>
      </c>
      <c r="N892">
        <f>DAY(Europe_Sales_Records34[[#This Row],[Ship Date Fixed]])</f>
        <v>20</v>
      </c>
      <c r="O892" t="str">
        <f>TEXT(Europe_Sales_Records34[[#This Row],[Ship Date Fixed]],"MMM")</f>
        <v>Jul</v>
      </c>
      <c r="P892">
        <f>YEAR(Europe_Sales_Records34[[#This Row],[Ship Date Fixed]])</f>
        <v>2017</v>
      </c>
      <c r="Q892" t="str">
        <f>TEXT(Europe_Sales_Records34[[#This Row],[Ship Date Fixed]],"MMM-YYYY")</f>
        <v>Jul-2017</v>
      </c>
      <c r="R892" t="s">
        <v>159</v>
      </c>
      <c r="S892" s="3">
        <f>Europe_Sales_Records34[[#This Row],[Ship Date Fixed]]-Europe_Sales_Records34[[#This Row],[Order Date Fixed]]</f>
        <v>11</v>
      </c>
      <c r="T892">
        <v>1205</v>
      </c>
      <c r="U892">
        <v>81.73</v>
      </c>
      <c r="V892">
        <v>56.67</v>
      </c>
      <c r="W892">
        <f>Europe_Sales_Records34[[#This Row],[Total Revenue]]/Europe_Sales_Records34[[#This Row],[Units Sold]]</f>
        <v>81.72999999999999</v>
      </c>
      <c r="X892">
        <v>98484.65</v>
      </c>
      <c r="Y892">
        <v>68287.350000000006</v>
      </c>
      <c r="Z892" s="4">
        <f>Europe_Sales_Records34[[#This Row],[Total Profit]]/Europe_Sales_Records34[[#This Row],[Total Revenue]]</f>
        <v>0.30661935641747218</v>
      </c>
      <c r="AA892">
        <v>30197.3</v>
      </c>
    </row>
    <row r="893" spans="1:27" x14ac:dyDescent="0.3">
      <c r="A893" t="s">
        <v>14</v>
      </c>
      <c r="B893" t="s">
        <v>264</v>
      </c>
      <c r="C893" t="s">
        <v>71</v>
      </c>
      <c r="D893" t="s">
        <v>23</v>
      </c>
      <c r="E893" t="s">
        <v>24</v>
      </c>
      <c r="F893" t="s">
        <v>820</v>
      </c>
      <c r="G893" s="2">
        <f t="shared" si="26"/>
        <v>41608</v>
      </c>
      <c r="H893">
        <f>DAY(Europe_Sales_Records34[[#This Row],[Order Date Fixed]])</f>
        <v>30</v>
      </c>
      <c r="I893" t="str">
        <f>TEXT(Europe_Sales_Records34[[#This Row],[Order Date Fixed]],"MMM")</f>
        <v>Nov</v>
      </c>
      <c r="J893">
        <f>YEAR(Europe_Sales_Records34[[#This Row],[Order Date Fixed]])</f>
        <v>2013</v>
      </c>
      <c r="K893" t="str">
        <f>TEXT(Europe_Sales_Records34[[#This Row],[Order Date Fixed]],"MMM-YYYY")</f>
        <v>Nov-2013</v>
      </c>
      <c r="L893">
        <v>990455090</v>
      </c>
      <c r="M893" s="2">
        <f t="shared" si="27"/>
        <v>41622</v>
      </c>
      <c r="N893">
        <f>DAY(Europe_Sales_Records34[[#This Row],[Ship Date Fixed]])</f>
        <v>14</v>
      </c>
      <c r="O893" t="str">
        <f>TEXT(Europe_Sales_Records34[[#This Row],[Ship Date Fixed]],"MMM")</f>
        <v>Dec</v>
      </c>
      <c r="P893">
        <f>YEAR(Europe_Sales_Records34[[#This Row],[Ship Date Fixed]])</f>
        <v>2013</v>
      </c>
      <c r="Q893" t="str">
        <f>TEXT(Europe_Sales_Records34[[#This Row],[Ship Date Fixed]],"MMM-YYYY")</f>
        <v>Dec-2013</v>
      </c>
      <c r="R893" t="s">
        <v>659</v>
      </c>
      <c r="S893" s="3">
        <f>Europe_Sales_Records34[[#This Row],[Ship Date Fixed]]-Europe_Sales_Records34[[#This Row],[Order Date Fixed]]</f>
        <v>14</v>
      </c>
      <c r="T893">
        <v>6526</v>
      </c>
      <c r="U893">
        <v>668.27</v>
      </c>
      <c r="V893">
        <v>502.54</v>
      </c>
      <c r="W893">
        <f>Europe_Sales_Records34[[#This Row],[Total Revenue]]/Europe_Sales_Records34[[#This Row],[Units Sold]]</f>
        <v>668.27</v>
      </c>
      <c r="X893">
        <v>4361130.0199999996</v>
      </c>
      <c r="Y893">
        <v>3279576.04</v>
      </c>
      <c r="Z893" s="4">
        <f>Europe_Sales_Records34[[#This Row],[Total Profit]]/Europe_Sales_Records34[[#This Row],[Total Revenue]]</f>
        <v>0.24799856345489102</v>
      </c>
      <c r="AA893">
        <v>1081553.98</v>
      </c>
    </row>
    <row r="894" spans="1:27" x14ac:dyDescent="0.3">
      <c r="A894" t="s">
        <v>14</v>
      </c>
      <c r="B894" t="s">
        <v>115</v>
      </c>
      <c r="C894" t="s">
        <v>28</v>
      </c>
      <c r="D894" t="s">
        <v>17</v>
      </c>
      <c r="E894" t="s">
        <v>18</v>
      </c>
      <c r="F894" t="s">
        <v>1416</v>
      </c>
      <c r="G894" s="2">
        <f t="shared" si="26"/>
        <v>42161</v>
      </c>
      <c r="H894">
        <f>DAY(Europe_Sales_Records34[[#This Row],[Order Date Fixed]])</f>
        <v>6</v>
      </c>
      <c r="I894" t="str">
        <f>TEXT(Europe_Sales_Records34[[#This Row],[Order Date Fixed]],"MMM")</f>
        <v>Jun</v>
      </c>
      <c r="J894">
        <f>YEAR(Europe_Sales_Records34[[#This Row],[Order Date Fixed]])</f>
        <v>2015</v>
      </c>
      <c r="K894" t="str">
        <f>TEXT(Europe_Sales_Records34[[#This Row],[Order Date Fixed]],"MMM-YYYY")</f>
        <v>Jun-2015</v>
      </c>
      <c r="L894">
        <v>445952498</v>
      </c>
      <c r="M894" s="2">
        <f t="shared" si="27"/>
        <v>42192</v>
      </c>
      <c r="N894">
        <f>DAY(Europe_Sales_Records34[[#This Row],[Ship Date Fixed]])</f>
        <v>7</v>
      </c>
      <c r="O894" t="str">
        <f>TEXT(Europe_Sales_Records34[[#This Row],[Ship Date Fixed]],"MMM")</f>
        <v>Jul</v>
      </c>
      <c r="P894">
        <f>YEAR(Europe_Sales_Records34[[#This Row],[Ship Date Fixed]])</f>
        <v>2015</v>
      </c>
      <c r="Q894" t="str">
        <f>TEXT(Europe_Sales_Records34[[#This Row],[Ship Date Fixed]],"MMM-YYYY")</f>
        <v>Jul-2015</v>
      </c>
      <c r="R894" t="s">
        <v>1417</v>
      </c>
      <c r="S894" s="3">
        <f>Europe_Sales_Records34[[#This Row],[Ship Date Fixed]]-Europe_Sales_Records34[[#This Row],[Order Date Fixed]]</f>
        <v>31</v>
      </c>
      <c r="T894">
        <v>6109</v>
      </c>
      <c r="U894">
        <v>205.7</v>
      </c>
      <c r="V894">
        <v>117.11</v>
      </c>
      <c r="W894">
        <f>Europe_Sales_Records34[[#This Row],[Total Revenue]]/Europe_Sales_Records34[[#This Row],[Units Sold]]</f>
        <v>205.70000000000002</v>
      </c>
      <c r="X894">
        <v>1256621.3</v>
      </c>
      <c r="Y894">
        <v>715424.99</v>
      </c>
      <c r="Z894" s="4">
        <f>Europe_Sales_Records34[[#This Row],[Total Profit]]/Europe_Sales_Records34[[#This Row],[Total Revenue]]</f>
        <v>0.43067574137092857</v>
      </c>
      <c r="AA894">
        <v>541196.31000000006</v>
      </c>
    </row>
    <row r="895" spans="1:27" x14ac:dyDescent="0.3">
      <c r="A895" t="s">
        <v>14</v>
      </c>
      <c r="B895" t="s">
        <v>36</v>
      </c>
      <c r="C895" t="s">
        <v>32</v>
      </c>
      <c r="D895" t="s">
        <v>17</v>
      </c>
      <c r="E895" t="s">
        <v>24</v>
      </c>
      <c r="F895" t="s">
        <v>1418</v>
      </c>
      <c r="G895" s="2">
        <f t="shared" si="26"/>
        <v>42486</v>
      </c>
      <c r="H895">
        <f>DAY(Europe_Sales_Records34[[#This Row],[Order Date Fixed]])</f>
        <v>26</v>
      </c>
      <c r="I895" t="str">
        <f>TEXT(Europe_Sales_Records34[[#This Row],[Order Date Fixed]],"MMM")</f>
        <v>Apr</v>
      </c>
      <c r="J895">
        <f>YEAR(Europe_Sales_Records34[[#This Row],[Order Date Fixed]])</f>
        <v>2016</v>
      </c>
      <c r="K895" t="str">
        <f>TEXT(Europe_Sales_Records34[[#This Row],[Order Date Fixed]],"MMM-YYYY")</f>
        <v>Apr-2016</v>
      </c>
      <c r="L895">
        <v>628055179</v>
      </c>
      <c r="M895" s="2">
        <f t="shared" si="27"/>
        <v>42503</v>
      </c>
      <c r="N895">
        <f>DAY(Europe_Sales_Records34[[#This Row],[Ship Date Fixed]])</f>
        <v>13</v>
      </c>
      <c r="O895" t="str">
        <f>TEXT(Europe_Sales_Records34[[#This Row],[Ship Date Fixed]],"MMM")</f>
        <v>May</v>
      </c>
      <c r="P895">
        <f>YEAR(Europe_Sales_Records34[[#This Row],[Ship Date Fixed]])</f>
        <v>2016</v>
      </c>
      <c r="Q895" t="str">
        <f>TEXT(Europe_Sales_Records34[[#This Row],[Ship Date Fixed]],"MMM-YYYY")</f>
        <v>May-2016</v>
      </c>
      <c r="R895" t="s">
        <v>1419</v>
      </c>
      <c r="S895" s="3">
        <f>Europe_Sales_Records34[[#This Row],[Ship Date Fixed]]-Europe_Sales_Records34[[#This Row],[Order Date Fixed]]</f>
        <v>17</v>
      </c>
      <c r="T895">
        <v>4339</v>
      </c>
      <c r="U895">
        <v>651.21</v>
      </c>
      <c r="V895">
        <v>524.96</v>
      </c>
      <c r="W895">
        <f>Europe_Sales_Records34[[#This Row],[Total Revenue]]/Europe_Sales_Records34[[#This Row],[Units Sold]]</f>
        <v>651.21</v>
      </c>
      <c r="X895">
        <v>2825600.19</v>
      </c>
      <c r="Y895">
        <v>2277801.44</v>
      </c>
      <c r="Z895" s="4">
        <f>Europe_Sales_Records34[[#This Row],[Total Profit]]/Europe_Sales_Records34[[#This Row],[Total Revenue]]</f>
        <v>0.19386987300563566</v>
      </c>
      <c r="AA895">
        <v>547798.75</v>
      </c>
    </row>
    <row r="896" spans="1:27" x14ac:dyDescent="0.3">
      <c r="A896" t="s">
        <v>14</v>
      </c>
      <c r="B896" t="s">
        <v>97</v>
      </c>
      <c r="C896" t="s">
        <v>102</v>
      </c>
      <c r="D896" t="s">
        <v>23</v>
      </c>
      <c r="E896" t="s">
        <v>18</v>
      </c>
      <c r="F896" t="s">
        <v>134</v>
      </c>
      <c r="G896" s="2">
        <f t="shared" si="26"/>
        <v>40335</v>
      </c>
      <c r="H896">
        <f>DAY(Europe_Sales_Records34[[#This Row],[Order Date Fixed]])</f>
        <v>6</v>
      </c>
      <c r="I896" t="str">
        <f>TEXT(Europe_Sales_Records34[[#This Row],[Order Date Fixed]],"MMM")</f>
        <v>Jun</v>
      </c>
      <c r="J896">
        <f>YEAR(Europe_Sales_Records34[[#This Row],[Order Date Fixed]])</f>
        <v>2010</v>
      </c>
      <c r="K896" t="str">
        <f>TEXT(Europe_Sales_Records34[[#This Row],[Order Date Fixed]],"MMM-YYYY")</f>
        <v>Jun-2010</v>
      </c>
      <c r="L896">
        <v>243391644</v>
      </c>
      <c r="M896" s="2">
        <f t="shared" si="27"/>
        <v>40356</v>
      </c>
      <c r="N896">
        <f>DAY(Europe_Sales_Records34[[#This Row],[Ship Date Fixed]])</f>
        <v>27</v>
      </c>
      <c r="O896" t="str">
        <f>TEXT(Europe_Sales_Records34[[#This Row],[Ship Date Fixed]],"MMM")</f>
        <v>Jun</v>
      </c>
      <c r="P896">
        <f>YEAR(Europe_Sales_Records34[[#This Row],[Ship Date Fixed]])</f>
        <v>2010</v>
      </c>
      <c r="Q896" t="str">
        <f>TEXT(Europe_Sales_Records34[[#This Row],[Ship Date Fixed]],"MMM-YYYY")</f>
        <v>Jun-2010</v>
      </c>
      <c r="R896" t="s">
        <v>1011</v>
      </c>
      <c r="S896" s="3">
        <f>Europe_Sales_Records34[[#This Row],[Ship Date Fixed]]-Europe_Sales_Records34[[#This Row],[Order Date Fixed]]</f>
        <v>21</v>
      </c>
      <c r="T896">
        <v>3851</v>
      </c>
      <c r="U896">
        <v>81.73</v>
      </c>
      <c r="V896">
        <v>56.67</v>
      </c>
      <c r="W896">
        <f>Europe_Sales_Records34[[#This Row],[Total Revenue]]/Europe_Sales_Records34[[#This Row],[Units Sold]]</f>
        <v>81.72999999999999</v>
      </c>
      <c r="X896">
        <v>314742.23</v>
      </c>
      <c r="Y896">
        <v>218236.17</v>
      </c>
      <c r="Z896" s="4">
        <f>Europe_Sales_Records34[[#This Row],[Total Profit]]/Europe_Sales_Records34[[#This Row],[Total Revenue]]</f>
        <v>0.30661935641747218</v>
      </c>
      <c r="AA896">
        <v>96506.06</v>
      </c>
    </row>
    <row r="897" spans="1:27" x14ac:dyDescent="0.3">
      <c r="A897" t="s">
        <v>14</v>
      </c>
      <c r="B897" t="s">
        <v>74</v>
      </c>
      <c r="C897" t="s">
        <v>22</v>
      </c>
      <c r="D897" t="s">
        <v>23</v>
      </c>
      <c r="E897" t="s">
        <v>54</v>
      </c>
      <c r="F897" t="s">
        <v>1262</v>
      </c>
      <c r="G897" s="2">
        <f t="shared" si="26"/>
        <v>42074</v>
      </c>
      <c r="H897">
        <f>DAY(Europe_Sales_Records34[[#This Row],[Order Date Fixed]])</f>
        <v>11</v>
      </c>
      <c r="I897" t="str">
        <f>TEXT(Europe_Sales_Records34[[#This Row],[Order Date Fixed]],"MMM")</f>
        <v>Mar</v>
      </c>
      <c r="J897">
        <f>YEAR(Europe_Sales_Records34[[#This Row],[Order Date Fixed]])</f>
        <v>2015</v>
      </c>
      <c r="K897" t="str">
        <f>TEXT(Europe_Sales_Records34[[#This Row],[Order Date Fixed]],"MMM-YYYY")</f>
        <v>Mar-2015</v>
      </c>
      <c r="L897">
        <v>823505389</v>
      </c>
      <c r="M897" s="2">
        <f t="shared" si="27"/>
        <v>42093</v>
      </c>
      <c r="N897">
        <f>DAY(Europe_Sales_Records34[[#This Row],[Ship Date Fixed]])</f>
        <v>30</v>
      </c>
      <c r="O897" t="str">
        <f>TEXT(Europe_Sales_Records34[[#This Row],[Ship Date Fixed]],"MMM")</f>
        <v>Mar</v>
      </c>
      <c r="P897">
        <f>YEAR(Europe_Sales_Records34[[#This Row],[Ship Date Fixed]])</f>
        <v>2015</v>
      </c>
      <c r="Q897" t="str">
        <f>TEXT(Europe_Sales_Records34[[#This Row],[Ship Date Fixed]],"MMM-YYYY")</f>
        <v>Mar-2015</v>
      </c>
      <c r="R897" t="s">
        <v>1420</v>
      </c>
      <c r="S897" s="3">
        <f>Europe_Sales_Records34[[#This Row],[Ship Date Fixed]]-Europe_Sales_Records34[[#This Row],[Order Date Fixed]]</f>
        <v>19</v>
      </c>
      <c r="T897">
        <v>2400</v>
      </c>
      <c r="U897">
        <v>109.28</v>
      </c>
      <c r="V897">
        <v>35.840000000000003</v>
      </c>
      <c r="W897">
        <f>Europe_Sales_Records34[[#This Row],[Total Revenue]]/Europe_Sales_Records34[[#This Row],[Units Sold]]</f>
        <v>109.28</v>
      </c>
      <c r="X897">
        <v>262272</v>
      </c>
      <c r="Y897">
        <v>86016</v>
      </c>
      <c r="Z897" s="4">
        <f>Europe_Sales_Records34[[#This Row],[Total Profit]]/Europe_Sales_Records34[[#This Row],[Total Revenue]]</f>
        <v>0.67203513909224011</v>
      </c>
      <c r="AA897">
        <v>176256</v>
      </c>
    </row>
    <row r="898" spans="1:27" x14ac:dyDescent="0.3">
      <c r="A898" t="s">
        <v>14</v>
      </c>
      <c r="B898" t="s">
        <v>271</v>
      </c>
      <c r="C898" t="s">
        <v>58</v>
      </c>
      <c r="D898" t="s">
        <v>23</v>
      </c>
      <c r="E898" t="s">
        <v>33</v>
      </c>
      <c r="F898" t="s">
        <v>1421</v>
      </c>
      <c r="G898" s="2">
        <f t="shared" ref="G898:G961" si="28">DATE(
  RIGHT(F898,4),
  LEFT(F898,FIND("/",F898)-1),
  MID(F898,FIND("/",F898)+1, FIND("/",F898,FIND("/",F898)+1)-FIND("/",F898)-1)
)</f>
        <v>40907</v>
      </c>
      <c r="H898">
        <f>DAY(Europe_Sales_Records34[[#This Row],[Order Date Fixed]])</f>
        <v>30</v>
      </c>
      <c r="I898" t="str">
        <f>TEXT(Europe_Sales_Records34[[#This Row],[Order Date Fixed]],"MMM")</f>
        <v>Dec</v>
      </c>
      <c r="J898">
        <f>YEAR(Europe_Sales_Records34[[#This Row],[Order Date Fixed]])</f>
        <v>2011</v>
      </c>
      <c r="K898" t="str">
        <f>TEXT(Europe_Sales_Records34[[#This Row],[Order Date Fixed]],"MMM-YYYY")</f>
        <v>Dec-2011</v>
      </c>
      <c r="L898">
        <v>846413600</v>
      </c>
      <c r="M898" s="2">
        <f t="shared" ref="M898:M961" si="29">DATE(
  RIGHT(R898,4),
  LEFT(R898,FIND("/",R898)-1),
  MID(
      R898,
      FIND("/",R898)+1,
      FIND("/",R898,FIND("/",R898)+1)-FIND("/",R898)-1
     )
)</f>
        <v>40908</v>
      </c>
      <c r="N898">
        <f>DAY(Europe_Sales_Records34[[#This Row],[Ship Date Fixed]])</f>
        <v>31</v>
      </c>
      <c r="O898" t="str">
        <f>TEXT(Europe_Sales_Records34[[#This Row],[Ship Date Fixed]],"MMM")</f>
        <v>Dec</v>
      </c>
      <c r="P898">
        <f>YEAR(Europe_Sales_Records34[[#This Row],[Ship Date Fixed]])</f>
        <v>2011</v>
      </c>
      <c r="Q898" t="str">
        <f>TEXT(Europe_Sales_Records34[[#This Row],[Ship Date Fixed]],"MMM-YYYY")</f>
        <v>Dec-2011</v>
      </c>
      <c r="R898" t="s">
        <v>1422</v>
      </c>
      <c r="S898" s="3">
        <f>Europe_Sales_Records34[[#This Row],[Ship Date Fixed]]-Europe_Sales_Records34[[#This Row],[Order Date Fixed]]</f>
        <v>1</v>
      </c>
      <c r="T898">
        <v>1448</v>
      </c>
      <c r="U898">
        <v>152.58000000000001</v>
      </c>
      <c r="V898">
        <v>97.44</v>
      </c>
      <c r="W898">
        <f>Europe_Sales_Records34[[#This Row],[Total Revenue]]/Europe_Sales_Records34[[#This Row],[Units Sold]]</f>
        <v>152.57999999999998</v>
      </c>
      <c r="X898">
        <v>220935.84</v>
      </c>
      <c r="Y898">
        <v>141093.12</v>
      </c>
      <c r="Z898" s="4">
        <f>Europe_Sales_Records34[[#This Row],[Total Profit]]/Europe_Sales_Records34[[#This Row],[Total Revenue]]</f>
        <v>0.36138419189933152</v>
      </c>
      <c r="AA898">
        <v>79842.720000000001</v>
      </c>
    </row>
    <row r="899" spans="1:27" x14ac:dyDescent="0.3">
      <c r="A899" t="s">
        <v>14</v>
      </c>
      <c r="B899" t="s">
        <v>105</v>
      </c>
      <c r="C899" t="s">
        <v>37</v>
      </c>
      <c r="D899" t="s">
        <v>17</v>
      </c>
      <c r="E899" t="s">
        <v>18</v>
      </c>
      <c r="F899" t="s">
        <v>988</v>
      </c>
      <c r="G899" s="2">
        <f t="shared" si="28"/>
        <v>40999</v>
      </c>
      <c r="H899">
        <f>DAY(Europe_Sales_Records34[[#This Row],[Order Date Fixed]])</f>
        <v>31</v>
      </c>
      <c r="I899" t="str">
        <f>TEXT(Europe_Sales_Records34[[#This Row],[Order Date Fixed]],"MMM")</f>
        <v>Mar</v>
      </c>
      <c r="J899">
        <f>YEAR(Europe_Sales_Records34[[#This Row],[Order Date Fixed]])</f>
        <v>2012</v>
      </c>
      <c r="K899" t="str">
        <f>TEXT(Europe_Sales_Records34[[#This Row],[Order Date Fixed]],"MMM-YYYY")</f>
        <v>Mar-2012</v>
      </c>
      <c r="L899">
        <v>850279843</v>
      </c>
      <c r="M899" s="2">
        <f t="shared" si="29"/>
        <v>41009</v>
      </c>
      <c r="N899">
        <f>DAY(Europe_Sales_Records34[[#This Row],[Ship Date Fixed]])</f>
        <v>10</v>
      </c>
      <c r="O899" t="str">
        <f>TEXT(Europe_Sales_Records34[[#This Row],[Ship Date Fixed]],"MMM")</f>
        <v>Apr</v>
      </c>
      <c r="P899">
        <f>YEAR(Europe_Sales_Records34[[#This Row],[Ship Date Fixed]])</f>
        <v>2012</v>
      </c>
      <c r="Q899" t="str">
        <f>TEXT(Europe_Sales_Records34[[#This Row],[Ship Date Fixed]],"MMM-YYYY")</f>
        <v>Apr-2012</v>
      </c>
      <c r="R899" t="s">
        <v>1388</v>
      </c>
      <c r="S899" s="3">
        <f>Europe_Sales_Records34[[#This Row],[Ship Date Fixed]]-Europe_Sales_Records34[[#This Row],[Order Date Fixed]]</f>
        <v>10</v>
      </c>
      <c r="T899">
        <v>5556</v>
      </c>
      <c r="U899">
        <v>9.33</v>
      </c>
      <c r="V899">
        <v>6.92</v>
      </c>
      <c r="W899">
        <f>Europe_Sales_Records34[[#This Row],[Total Revenue]]/Europe_Sales_Records34[[#This Row],[Units Sold]]</f>
        <v>9.33</v>
      </c>
      <c r="X899">
        <v>51837.48</v>
      </c>
      <c r="Y899">
        <v>38447.519999999997</v>
      </c>
      <c r="Z899" s="4">
        <f>Europe_Sales_Records34[[#This Row],[Total Profit]]/Europe_Sales_Records34[[#This Row],[Total Revenue]]</f>
        <v>0.25830653804930331</v>
      </c>
      <c r="AA899">
        <v>13389.96</v>
      </c>
    </row>
    <row r="900" spans="1:27" x14ac:dyDescent="0.3">
      <c r="A900" t="s">
        <v>14</v>
      </c>
      <c r="B900" t="s">
        <v>27</v>
      </c>
      <c r="C900" t="s">
        <v>32</v>
      </c>
      <c r="D900" t="s">
        <v>23</v>
      </c>
      <c r="E900" t="s">
        <v>54</v>
      </c>
      <c r="F900" t="s">
        <v>1423</v>
      </c>
      <c r="G900" s="2">
        <f t="shared" si="28"/>
        <v>40234</v>
      </c>
      <c r="H900">
        <f>DAY(Europe_Sales_Records34[[#This Row],[Order Date Fixed]])</f>
        <v>25</v>
      </c>
      <c r="I900" t="str">
        <f>TEXT(Europe_Sales_Records34[[#This Row],[Order Date Fixed]],"MMM")</f>
        <v>Feb</v>
      </c>
      <c r="J900">
        <f>YEAR(Europe_Sales_Records34[[#This Row],[Order Date Fixed]])</f>
        <v>2010</v>
      </c>
      <c r="K900" t="str">
        <f>TEXT(Europe_Sales_Records34[[#This Row],[Order Date Fixed]],"MMM-YYYY")</f>
        <v>Feb-2010</v>
      </c>
      <c r="L900">
        <v>268373954</v>
      </c>
      <c r="M900" s="2">
        <f t="shared" si="29"/>
        <v>40237</v>
      </c>
      <c r="N900">
        <f>DAY(Europe_Sales_Records34[[#This Row],[Ship Date Fixed]])</f>
        <v>28</v>
      </c>
      <c r="O900" t="str">
        <f>TEXT(Europe_Sales_Records34[[#This Row],[Ship Date Fixed]],"MMM")</f>
        <v>Feb</v>
      </c>
      <c r="P900">
        <f>YEAR(Europe_Sales_Records34[[#This Row],[Ship Date Fixed]])</f>
        <v>2010</v>
      </c>
      <c r="Q900" t="str">
        <f>TEXT(Europe_Sales_Records34[[#This Row],[Ship Date Fixed]],"MMM-YYYY")</f>
        <v>Feb-2010</v>
      </c>
      <c r="R900" t="s">
        <v>1424</v>
      </c>
      <c r="S900" s="3">
        <f>Europe_Sales_Records34[[#This Row],[Ship Date Fixed]]-Europe_Sales_Records34[[#This Row],[Order Date Fixed]]</f>
        <v>3</v>
      </c>
      <c r="T900">
        <v>6672</v>
      </c>
      <c r="U900">
        <v>651.21</v>
      </c>
      <c r="V900">
        <v>524.96</v>
      </c>
      <c r="W900">
        <f>Europe_Sales_Records34[[#This Row],[Total Revenue]]/Europe_Sales_Records34[[#This Row],[Units Sold]]</f>
        <v>651.21</v>
      </c>
      <c r="X900">
        <v>4344873.12</v>
      </c>
      <c r="Y900">
        <v>3502533.12</v>
      </c>
      <c r="Z900" s="4">
        <f>Europe_Sales_Records34[[#This Row],[Total Profit]]/Europe_Sales_Records34[[#This Row],[Total Revenue]]</f>
        <v>0.19386987300563566</v>
      </c>
      <c r="AA900">
        <v>842340</v>
      </c>
    </row>
    <row r="901" spans="1:27" x14ac:dyDescent="0.3">
      <c r="A901" t="s">
        <v>14</v>
      </c>
      <c r="B901" t="s">
        <v>83</v>
      </c>
      <c r="C901" t="s">
        <v>75</v>
      </c>
      <c r="D901" t="s">
        <v>23</v>
      </c>
      <c r="E901" t="s">
        <v>54</v>
      </c>
      <c r="F901" t="s">
        <v>497</v>
      </c>
      <c r="G901" s="2">
        <f t="shared" si="28"/>
        <v>40993</v>
      </c>
      <c r="H901">
        <f>DAY(Europe_Sales_Records34[[#This Row],[Order Date Fixed]])</f>
        <v>25</v>
      </c>
      <c r="I901" t="str">
        <f>TEXT(Europe_Sales_Records34[[#This Row],[Order Date Fixed]],"MMM")</f>
        <v>Mar</v>
      </c>
      <c r="J901">
        <f>YEAR(Europe_Sales_Records34[[#This Row],[Order Date Fixed]])</f>
        <v>2012</v>
      </c>
      <c r="K901" t="str">
        <f>TEXT(Europe_Sales_Records34[[#This Row],[Order Date Fixed]],"MMM-YYYY")</f>
        <v>Mar-2012</v>
      </c>
      <c r="L901">
        <v>350550401</v>
      </c>
      <c r="M901" s="2">
        <f t="shared" si="29"/>
        <v>41021</v>
      </c>
      <c r="N901">
        <f>DAY(Europe_Sales_Records34[[#This Row],[Ship Date Fixed]])</f>
        <v>22</v>
      </c>
      <c r="O901" t="str">
        <f>TEXT(Europe_Sales_Records34[[#This Row],[Ship Date Fixed]],"MMM")</f>
        <v>Apr</v>
      </c>
      <c r="P901">
        <f>YEAR(Europe_Sales_Records34[[#This Row],[Ship Date Fixed]])</f>
        <v>2012</v>
      </c>
      <c r="Q901" t="str">
        <f>TEXT(Europe_Sales_Records34[[#This Row],[Ship Date Fixed]],"MMM-YYYY")</f>
        <v>Apr-2012</v>
      </c>
      <c r="R901" t="s">
        <v>773</v>
      </c>
      <c r="S901" s="3">
        <f>Europe_Sales_Records34[[#This Row],[Ship Date Fixed]]-Europe_Sales_Records34[[#This Row],[Order Date Fixed]]</f>
        <v>28</v>
      </c>
      <c r="T901">
        <v>4508</v>
      </c>
      <c r="U901">
        <v>437.2</v>
      </c>
      <c r="V901">
        <v>263.33</v>
      </c>
      <c r="W901">
        <f>Europe_Sales_Records34[[#This Row],[Total Revenue]]/Europe_Sales_Records34[[#This Row],[Units Sold]]</f>
        <v>437.20000000000005</v>
      </c>
      <c r="X901">
        <v>1970897.6</v>
      </c>
      <c r="Y901">
        <v>1187091.6399999999</v>
      </c>
      <c r="Z901" s="4">
        <f>Europe_Sales_Records34[[#This Row],[Total Profit]]/Europe_Sales_Records34[[#This Row],[Total Revenue]]</f>
        <v>0.39768984446477579</v>
      </c>
      <c r="AA901">
        <v>783805.96</v>
      </c>
    </row>
    <row r="902" spans="1:27" x14ac:dyDescent="0.3">
      <c r="A902" t="s">
        <v>14</v>
      </c>
      <c r="B902" t="s">
        <v>61</v>
      </c>
      <c r="C902" t="s">
        <v>102</v>
      </c>
      <c r="D902" t="s">
        <v>23</v>
      </c>
      <c r="E902" t="s">
        <v>18</v>
      </c>
      <c r="F902" t="s">
        <v>1425</v>
      </c>
      <c r="G902" s="2">
        <f t="shared" si="28"/>
        <v>40325</v>
      </c>
      <c r="H902">
        <f>DAY(Europe_Sales_Records34[[#This Row],[Order Date Fixed]])</f>
        <v>27</v>
      </c>
      <c r="I902" t="str">
        <f>TEXT(Europe_Sales_Records34[[#This Row],[Order Date Fixed]],"MMM")</f>
        <v>May</v>
      </c>
      <c r="J902">
        <f>YEAR(Europe_Sales_Records34[[#This Row],[Order Date Fixed]])</f>
        <v>2010</v>
      </c>
      <c r="K902" t="str">
        <f>TEXT(Europe_Sales_Records34[[#This Row],[Order Date Fixed]],"MMM-YYYY")</f>
        <v>May-2010</v>
      </c>
      <c r="L902">
        <v>293178594</v>
      </c>
      <c r="M902" s="2">
        <f t="shared" si="29"/>
        <v>40330</v>
      </c>
      <c r="N902">
        <f>DAY(Europe_Sales_Records34[[#This Row],[Ship Date Fixed]])</f>
        <v>1</v>
      </c>
      <c r="O902" t="str">
        <f>TEXT(Europe_Sales_Records34[[#This Row],[Ship Date Fixed]],"MMM")</f>
        <v>Jun</v>
      </c>
      <c r="P902">
        <f>YEAR(Europe_Sales_Records34[[#This Row],[Ship Date Fixed]])</f>
        <v>2010</v>
      </c>
      <c r="Q902" t="str">
        <f>TEXT(Europe_Sales_Records34[[#This Row],[Ship Date Fixed]],"MMM-YYYY")</f>
        <v>Jun-2010</v>
      </c>
      <c r="R902" t="s">
        <v>1426</v>
      </c>
      <c r="S902" s="3">
        <f>Europe_Sales_Records34[[#This Row],[Ship Date Fixed]]-Europe_Sales_Records34[[#This Row],[Order Date Fixed]]</f>
        <v>5</v>
      </c>
      <c r="T902">
        <v>6916</v>
      </c>
      <c r="U902">
        <v>81.73</v>
      </c>
      <c r="V902">
        <v>56.67</v>
      </c>
      <c r="W902">
        <f>Europe_Sales_Records34[[#This Row],[Total Revenue]]/Europe_Sales_Records34[[#This Row],[Units Sold]]</f>
        <v>81.73</v>
      </c>
      <c r="X902">
        <v>565244.68000000005</v>
      </c>
      <c r="Y902">
        <v>391929.72</v>
      </c>
      <c r="Z902" s="4">
        <f>Europe_Sales_Records34[[#This Row],[Total Profit]]/Europe_Sales_Records34[[#This Row],[Total Revenue]]</f>
        <v>0.30661935641747212</v>
      </c>
      <c r="AA902">
        <v>173314.96</v>
      </c>
    </row>
    <row r="903" spans="1:27" x14ac:dyDescent="0.3">
      <c r="A903" t="s">
        <v>14</v>
      </c>
      <c r="B903" t="s">
        <v>364</v>
      </c>
      <c r="C903" t="s">
        <v>64</v>
      </c>
      <c r="D903" t="s">
        <v>23</v>
      </c>
      <c r="E903" t="s">
        <v>54</v>
      </c>
      <c r="F903" t="s">
        <v>1427</v>
      </c>
      <c r="G903" s="2">
        <f t="shared" si="28"/>
        <v>41469</v>
      </c>
      <c r="H903">
        <f>DAY(Europe_Sales_Records34[[#This Row],[Order Date Fixed]])</f>
        <v>14</v>
      </c>
      <c r="I903" t="str">
        <f>TEXT(Europe_Sales_Records34[[#This Row],[Order Date Fixed]],"MMM")</f>
        <v>Jul</v>
      </c>
      <c r="J903">
        <f>YEAR(Europe_Sales_Records34[[#This Row],[Order Date Fixed]])</f>
        <v>2013</v>
      </c>
      <c r="K903" t="str">
        <f>TEXT(Europe_Sales_Records34[[#This Row],[Order Date Fixed]],"MMM-YYYY")</f>
        <v>Jul-2013</v>
      </c>
      <c r="L903">
        <v>168960559</v>
      </c>
      <c r="M903" s="2">
        <f t="shared" si="29"/>
        <v>41505</v>
      </c>
      <c r="N903">
        <f>DAY(Europe_Sales_Records34[[#This Row],[Ship Date Fixed]])</f>
        <v>19</v>
      </c>
      <c r="O903" t="str">
        <f>TEXT(Europe_Sales_Records34[[#This Row],[Ship Date Fixed]],"MMM")</f>
        <v>Aug</v>
      </c>
      <c r="P903">
        <f>YEAR(Europe_Sales_Records34[[#This Row],[Ship Date Fixed]])</f>
        <v>2013</v>
      </c>
      <c r="Q903" t="str">
        <f>TEXT(Europe_Sales_Records34[[#This Row],[Ship Date Fixed]],"MMM-YYYY")</f>
        <v>Aug-2013</v>
      </c>
      <c r="R903" t="s">
        <v>1428</v>
      </c>
      <c r="S903" s="3">
        <f>Europe_Sales_Records34[[#This Row],[Ship Date Fixed]]-Europe_Sales_Records34[[#This Row],[Order Date Fixed]]</f>
        <v>36</v>
      </c>
      <c r="T903">
        <v>8039</v>
      </c>
      <c r="U903">
        <v>255.28</v>
      </c>
      <c r="V903">
        <v>159.41999999999999</v>
      </c>
      <c r="W903">
        <f>Europe_Sales_Records34[[#This Row],[Total Revenue]]/Europe_Sales_Records34[[#This Row],[Units Sold]]</f>
        <v>255.28</v>
      </c>
      <c r="X903">
        <v>2052195.92</v>
      </c>
      <c r="Y903">
        <v>1281577.3799999999</v>
      </c>
      <c r="Z903" s="4">
        <f>Europe_Sales_Records34[[#This Row],[Total Profit]]/Europe_Sales_Records34[[#This Row],[Total Revenue]]</f>
        <v>0.37550924475086184</v>
      </c>
      <c r="AA903">
        <v>770618.54</v>
      </c>
    </row>
    <row r="904" spans="1:27" x14ac:dyDescent="0.3">
      <c r="A904" t="s">
        <v>14</v>
      </c>
      <c r="B904" t="s">
        <v>141</v>
      </c>
      <c r="C904" t="s">
        <v>16</v>
      </c>
      <c r="D904" t="s">
        <v>17</v>
      </c>
      <c r="E904" t="s">
        <v>24</v>
      </c>
      <c r="F904" t="s">
        <v>1429</v>
      </c>
      <c r="G904" s="2">
        <f t="shared" si="28"/>
        <v>41984</v>
      </c>
      <c r="H904">
        <f>DAY(Europe_Sales_Records34[[#This Row],[Order Date Fixed]])</f>
        <v>11</v>
      </c>
      <c r="I904" t="str">
        <f>TEXT(Europe_Sales_Records34[[#This Row],[Order Date Fixed]],"MMM")</f>
        <v>Dec</v>
      </c>
      <c r="J904">
        <f>YEAR(Europe_Sales_Records34[[#This Row],[Order Date Fixed]])</f>
        <v>2014</v>
      </c>
      <c r="K904" t="str">
        <f>TEXT(Europe_Sales_Records34[[#This Row],[Order Date Fixed]],"MMM-YYYY")</f>
        <v>Dec-2014</v>
      </c>
      <c r="L904">
        <v>270358788</v>
      </c>
      <c r="M904" s="2">
        <f t="shared" si="29"/>
        <v>42028</v>
      </c>
      <c r="N904">
        <f>DAY(Europe_Sales_Records34[[#This Row],[Ship Date Fixed]])</f>
        <v>24</v>
      </c>
      <c r="O904" t="str">
        <f>TEXT(Europe_Sales_Records34[[#This Row],[Ship Date Fixed]],"MMM")</f>
        <v>Jan</v>
      </c>
      <c r="P904">
        <f>YEAR(Europe_Sales_Records34[[#This Row],[Ship Date Fixed]])</f>
        <v>2015</v>
      </c>
      <c r="Q904" t="str">
        <f>TEXT(Europe_Sales_Records34[[#This Row],[Ship Date Fixed]],"MMM-YYYY")</f>
        <v>Jan-2015</v>
      </c>
      <c r="R904" t="s">
        <v>1182</v>
      </c>
      <c r="S904" s="3">
        <f>Europe_Sales_Records34[[#This Row],[Ship Date Fixed]]-Europe_Sales_Records34[[#This Row],[Order Date Fixed]]</f>
        <v>44</v>
      </c>
      <c r="T904">
        <v>4028</v>
      </c>
      <c r="U904">
        <v>47.45</v>
      </c>
      <c r="V904">
        <v>31.79</v>
      </c>
      <c r="W904">
        <f>Europe_Sales_Records34[[#This Row],[Total Revenue]]/Europe_Sales_Records34[[#This Row],[Units Sold]]</f>
        <v>47.45</v>
      </c>
      <c r="X904">
        <v>191128.6</v>
      </c>
      <c r="Y904">
        <v>128050.12</v>
      </c>
      <c r="Z904" s="4">
        <f>Europe_Sales_Records34[[#This Row],[Total Profit]]/Europe_Sales_Records34[[#This Row],[Total Revenue]]</f>
        <v>0.33003161222339306</v>
      </c>
      <c r="AA904">
        <v>63078.48</v>
      </c>
    </row>
    <row r="905" spans="1:27" x14ac:dyDescent="0.3">
      <c r="A905" t="s">
        <v>14</v>
      </c>
      <c r="B905" t="s">
        <v>185</v>
      </c>
      <c r="C905" t="s">
        <v>102</v>
      </c>
      <c r="D905" t="s">
        <v>17</v>
      </c>
      <c r="E905" t="s">
        <v>24</v>
      </c>
      <c r="F905" t="s">
        <v>980</v>
      </c>
      <c r="G905" s="2">
        <f t="shared" si="28"/>
        <v>42530</v>
      </c>
      <c r="H905">
        <f>DAY(Europe_Sales_Records34[[#This Row],[Order Date Fixed]])</f>
        <v>9</v>
      </c>
      <c r="I905" t="str">
        <f>TEXT(Europe_Sales_Records34[[#This Row],[Order Date Fixed]],"MMM")</f>
        <v>Jun</v>
      </c>
      <c r="J905">
        <f>YEAR(Europe_Sales_Records34[[#This Row],[Order Date Fixed]])</f>
        <v>2016</v>
      </c>
      <c r="K905" t="str">
        <f>TEXT(Europe_Sales_Records34[[#This Row],[Order Date Fixed]],"MMM-YYYY")</f>
        <v>Jun-2016</v>
      </c>
      <c r="L905">
        <v>589842927</v>
      </c>
      <c r="M905" s="2">
        <f t="shared" si="29"/>
        <v>42579</v>
      </c>
      <c r="N905">
        <f>DAY(Europe_Sales_Records34[[#This Row],[Ship Date Fixed]])</f>
        <v>28</v>
      </c>
      <c r="O905" t="str">
        <f>TEXT(Europe_Sales_Records34[[#This Row],[Ship Date Fixed]],"MMM")</f>
        <v>Jul</v>
      </c>
      <c r="P905">
        <f>YEAR(Europe_Sales_Records34[[#This Row],[Ship Date Fixed]])</f>
        <v>2016</v>
      </c>
      <c r="Q905" t="str">
        <f>TEXT(Europe_Sales_Records34[[#This Row],[Ship Date Fixed]],"MMM-YYYY")</f>
        <v>Jul-2016</v>
      </c>
      <c r="R905" t="s">
        <v>1430</v>
      </c>
      <c r="S905" s="3">
        <f>Europe_Sales_Records34[[#This Row],[Ship Date Fixed]]-Europe_Sales_Records34[[#This Row],[Order Date Fixed]]</f>
        <v>49</v>
      </c>
      <c r="T905">
        <v>6485</v>
      </c>
      <c r="U905">
        <v>81.73</v>
      </c>
      <c r="V905">
        <v>56.67</v>
      </c>
      <c r="W905">
        <f>Europe_Sales_Records34[[#This Row],[Total Revenue]]/Europe_Sales_Records34[[#This Row],[Units Sold]]</f>
        <v>81.73</v>
      </c>
      <c r="X905">
        <v>530019.05000000005</v>
      </c>
      <c r="Y905">
        <v>367504.95</v>
      </c>
      <c r="Z905" s="4">
        <f>Europe_Sales_Records34[[#This Row],[Total Profit]]/Europe_Sales_Records34[[#This Row],[Total Revenue]]</f>
        <v>0.30661935641747212</v>
      </c>
      <c r="AA905">
        <v>162514.1</v>
      </c>
    </row>
    <row r="906" spans="1:27" x14ac:dyDescent="0.3">
      <c r="A906" t="s">
        <v>14</v>
      </c>
      <c r="B906" t="s">
        <v>89</v>
      </c>
      <c r="C906" t="s">
        <v>28</v>
      </c>
      <c r="D906" t="s">
        <v>17</v>
      </c>
      <c r="E906" t="s">
        <v>18</v>
      </c>
      <c r="F906" t="s">
        <v>333</v>
      </c>
      <c r="G906" s="2">
        <f t="shared" si="28"/>
        <v>41680</v>
      </c>
      <c r="H906">
        <f>DAY(Europe_Sales_Records34[[#This Row],[Order Date Fixed]])</f>
        <v>10</v>
      </c>
      <c r="I906" t="str">
        <f>TEXT(Europe_Sales_Records34[[#This Row],[Order Date Fixed]],"MMM")</f>
        <v>Feb</v>
      </c>
      <c r="J906">
        <f>YEAR(Europe_Sales_Records34[[#This Row],[Order Date Fixed]])</f>
        <v>2014</v>
      </c>
      <c r="K906" t="str">
        <f>TEXT(Europe_Sales_Records34[[#This Row],[Order Date Fixed]],"MMM-YYYY")</f>
        <v>Feb-2014</v>
      </c>
      <c r="L906">
        <v>655328738</v>
      </c>
      <c r="M906" s="2">
        <f t="shared" si="29"/>
        <v>41720</v>
      </c>
      <c r="N906">
        <f>DAY(Europe_Sales_Records34[[#This Row],[Ship Date Fixed]])</f>
        <v>22</v>
      </c>
      <c r="O906" t="str">
        <f>TEXT(Europe_Sales_Records34[[#This Row],[Ship Date Fixed]],"MMM")</f>
        <v>Mar</v>
      </c>
      <c r="P906">
        <f>YEAR(Europe_Sales_Records34[[#This Row],[Ship Date Fixed]])</f>
        <v>2014</v>
      </c>
      <c r="Q906" t="str">
        <f>TEXT(Europe_Sales_Records34[[#This Row],[Ship Date Fixed]],"MMM-YYYY")</f>
        <v>Mar-2014</v>
      </c>
      <c r="R906" t="s">
        <v>330</v>
      </c>
      <c r="S906" s="3">
        <f>Europe_Sales_Records34[[#This Row],[Ship Date Fixed]]-Europe_Sales_Records34[[#This Row],[Order Date Fixed]]</f>
        <v>40</v>
      </c>
      <c r="T906">
        <v>5191</v>
      </c>
      <c r="U906">
        <v>205.7</v>
      </c>
      <c r="V906">
        <v>117.11</v>
      </c>
      <c r="W906">
        <f>Europe_Sales_Records34[[#This Row],[Total Revenue]]/Europe_Sales_Records34[[#This Row],[Units Sold]]</f>
        <v>205.7</v>
      </c>
      <c r="X906">
        <v>1067788.7</v>
      </c>
      <c r="Y906">
        <v>607918.01</v>
      </c>
      <c r="Z906" s="4">
        <f>Europe_Sales_Records34[[#This Row],[Total Profit]]/Europe_Sales_Records34[[#This Row],[Total Revenue]]</f>
        <v>0.43067574137092857</v>
      </c>
      <c r="AA906">
        <v>459870.69</v>
      </c>
    </row>
    <row r="907" spans="1:27" x14ac:dyDescent="0.3">
      <c r="A907" t="s">
        <v>14</v>
      </c>
      <c r="B907" t="s">
        <v>141</v>
      </c>
      <c r="C907" t="s">
        <v>46</v>
      </c>
      <c r="D907" t="s">
        <v>23</v>
      </c>
      <c r="E907" t="s">
        <v>24</v>
      </c>
      <c r="F907" t="s">
        <v>1431</v>
      </c>
      <c r="G907" s="2">
        <f t="shared" si="28"/>
        <v>41858</v>
      </c>
      <c r="H907">
        <f>DAY(Europe_Sales_Records34[[#This Row],[Order Date Fixed]])</f>
        <v>7</v>
      </c>
      <c r="I907" t="str">
        <f>TEXT(Europe_Sales_Records34[[#This Row],[Order Date Fixed]],"MMM")</f>
        <v>Aug</v>
      </c>
      <c r="J907">
        <f>YEAR(Europe_Sales_Records34[[#This Row],[Order Date Fixed]])</f>
        <v>2014</v>
      </c>
      <c r="K907" t="str">
        <f>TEXT(Europe_Sales_Records34[[#This Row],[Order Date Fixed]],"MMM-YYYY")</f>
        <v>Aug-2014</v>
      </c>
      <c r="L907">
        <v>406564366</v>
      </c>
      <c r="M907" s="2">
        <f t="shared" si="29"/>
        <v>41876</v>
      </c>
      <c r="N907">
        <f>DAY(Europe_Sales_Records34[[#This Row],[Ship Date Fixed]])</f>
        <v>25</v>
      </c>
      <c r="O907" t="str">
        <f>TEXT(Europe_Sales_Records34[[#This Row],[Ship Date Fixed]],"MMM")</f>
        <v>Aug</v>
      </c>
      <c r="P907">
        <f>YEAR(Europe_Sales_Records34[[#This Row],[Ship Date Fixed]])</f>
        <v>2014</v>
      </c>
      <c r="Q907" t="str">
        <f>TEXT(Europe_Sales_Records34[[#This Row],[Ship Date Fixed]],"MMM-YYYY")</f>
        <v>Aug-2014</v>
      </c>
      <c r="R907" t="s">
        <v>1269</v>
      </c>
      <c r="S907" s="3">
        <f>Europe_Sales_Records34[[#This Row],[Ship Date Fixed]]-Europe_Sales_Records34[[#This Row],[Order Date Fixed]]</f>
        <v>18</v>
      </c>
      <c r="T907">
        <v>286</v>
      </c>
      <c r="U907">
        <v>154.06</v>
      </c>
      <c r="V907">
        <v>90.93</v>
      </c>
      <c r="W907">
        <f>Europe_Sales_Records34[[#This Row],[Total Revenue]]/Europe_Sales_Records34[[#This Row],[Units Sold]]</f>
        <v>154.06</v>
      </c>
      <c r="X907">
        <v>44061.16</v>
      </c>
      <c r="Y907">
        <v>26005.98</v>
      </c>
      <c r="Z907" s="4">
        <f>Europe_Sales_Records34[[#This Row],[Total Profit]]/Europe_Sales_Records34[[#This Row],[Total Revenue]]</f>
        <v>0.40977541217707386</v>
      </c>
      <c r="AA907">
        <v>18055.18</v>
      </c>
    </row>
    <row r="908" spans="1:27" x14ac:dyDescent="0.3">
      <c r="A908" t="s">
        <v>14</v>
      </c>
      <c r="B908" t="s">
        <v>166</v>
      </c>
      <c r="C908" t="s">
        <v>22</v>
      </c>
      <c r="D908" t="s">
        <v>23</v>
      </c>
      <c r="E908" t="s">
        <v>54</v>
      </c>
      <c r="F908" t="s">
        <v>1299</v>
      </c>
      <c r="G908" s="2">
        <f t="shared" si="28"/>
        <v>41137</v>
      </c>
      <c r="H908">
        <f>DAY(Europe_Sales_Records34[[#This Row],[Order Date Fixed]])</f>
        <v>16</v>
      </c>
      <c r="I908" t="str">
        <f>TEXT(Europe_Sales_Records34[[#This Row],[Order Date Fixed]],"MMM")</f>
        <v>Aug</v>
      </c>
      <c r="J908">
        <f>YEAR(Europe_Sales_Records34[[#This Row],[Order Date Fixed]])</f>
        <v>2012</v>
      </c>
      <c r="K908" t="str">
        <f>TEXT(Europe_Sales_Records34[[#This Row],[Order Date Fixed]],"MMM-YYYY")</f>
        <v>Aug-2012</v>
      </c>
      <c r="L908">
        <v>374848639</v>
      </c>
      <c r="M908" s="2">
        <f t="shared" si="29"/>
        <v>41158</v>
      </c>
      <c r="N908">
        <f>DAY(Europe_Sales_Records34[[#This Row],[Ship Date Fixed]])</f>
        <v>6</v>
      </c>
      <c r="O908" t="str">
        <f>TEXT(Europe_Sales_Records34[[#This Row],[Ship Date Fixed]],"MMM")</f>
        <v>Sep</v>
      </c>
      <c r="P908">
        <f>YEAR(Europe_Sales_Records34[[#This Row],[Ship Date Fixed]])</f>
        <v>2012</v>
      </c>
      <c r="Q908" t="str">
        <f>TEXT(Europe_Sales_Records34[[#This Row],[Ship Date Fixed]],"MMM-YYYY")</f>
        <v>Sep-2012</v>
      </c>
      <c r="R908" t="s">
        <v>929</v>
      </c>
      <c r="S908" s="3">
        <f>Europe_Sales_Records34[[#This Row],[Ship Date Fixed]]-Europe_Sales_Records34[[#This Row],[Order Date Fixed]]</f>
        <v>21</v>
      </c>
      <c r="T908">
        <v>4897</v>
      </c>
      <c r="U908">
        <v>109.28</v>
      </c>
      <c r="V908">
        <v>35.840000000000003</v>
      </c>
      <c r="W908">
        <f>Europe_Sales_Records34[[#This Row],[Total Revenue]]/Europe_Sales_Records34[[#This Row],[Units Sold]]</f>
        <v>109.28</v>
      </c>
      <c r="X908">
        <v>535144.16</v>
      </c>
      <c r="Y908">
        <v>175508.48000000001</v>
      </c>
      <c r="Z908" s="4">
        <f>Europe_Sales_Records34[[#This Row],[Total Profit]]/Europe_Sales_Records34[[#This Row],[Total Revenue]]</f>
        <v>0.67203513909224011</v>
      </c>
      <c r="AA908">
        <v>359635.68</v>
      </c>
    </row>
    <row r="909" spans="1:27" x14ac:dyDescent="0.3">
      <c r="A909" t="s">
        <v>14</v>
      </c>
      <c r="B909" t="s">
        <v>243</v>
      </c>
      <c r="C909" t="s">
        <v>37</v>
      </c>
      <c r="D909" t="s">
        <v>17</v>
      </c>
      <c r="E909" t="s">
        <v>33</v>
      </c>
      <c r="F909" t="s">
        <v>1208</v>
      </c>
      <c r="G909" s="2">
        <f t="shared" si="28"/>
        <v>41135</v>
      </c>
      <c r="H909">
        <f>DAY(Europe_Sales_Records34[[#This Row],[Order Date Fixed]])</f>
        <v>14</v>
      </c>
      <c r="I909" t="str">
        <f>TEXT(Europe_Sales_Records34[[#This Row],[Order Date Fixed]],"MMM")</f>
        <v>Aug</v>
      </c>
      <c r="J909">
        <f>YEAR(Europe_Sales_Records34[[#This Row],[Order Date Fixed]])</f>
        <v>2012</v>
      </c>
      <c r="K909" t="str">
        <f>TEXT(Europe_Sales_Records34[[#This Row],[Order Date Fixed]],"MMM-YYYY")</f>
        <v>Aug-2012</v>
      </c>
      <c r="L909">
        <v>393858420</v>
      </c>
      <c r="M909" s="2">
        <f t="shared" si="29"/>
        <v>41150</v>
      </c>
      <c r="N909">
        <f>DAY(Europe_Sales_Records34[[#This Row],[Ship Date Fixed]])</f>
        <v>29</v>
      </c>
      <c r="O909" t="str">
        <f>TEXT(Europe_Sales_Records34[[#This Row],[Ship Date Fixed]],"MMM")</f>
        <v>Aug</v>
      </c>
      <c r="P909">
        <f>YEAR(Europe_Sales_Records34[[#This Row],[Ship Date Fixed]])</f>
        <v>2012</v>
      </c>
      <c r="Q909" t="str">
        <f>TEXT(Europe_Sales_Records34[[#This Row],[Ship Date Fixed]],"MMM-YYYY")</f>
        <v>Aug-2012</v>
      </c>
      <c r="R909" t="s">
        <v>1104</v>
      </c>
      <c r="S909" s="3">
        <f>Europe_Sales_Records34[[#This Row],[Ship Date Fixed]]-Europe_Sales_Records34[[#This Row],[Order Date Fixed]]</f>
        <v>15</v>
      </c>
      <c r="T909">
        <v>314</v>
      </c>
      <c r="U909">
        <v>9.33</v>
      </c>
      <c r="V909">
        <v>6.92</v>
      </c>
      <c r="W909">
        <f>Europe_Sales_Records34[[#This Row],[Total Revenue]]/Europe_Sales_Records34[[#This Row],[Units Sold]]</f>
        <v>9.33</v>
      </c>
      <c r="X909">
        <v>2929.62</v>
      </c>
      <c r="Y909">
        <v>2172.88</v>
      </c>
      <c r="Z909" s="4">
        <f>Europe_Sales_Records34[[#This Row],[Total Profit]]/Europe_Sales_Records34[[#This Row],[Total Revenue]]</f>
        <v>0.25830653804930331</v>
      </c>
      <c r="AA909">
        <v>756.74</v>
      </c>
    </row>
    <row r="910" spans="1:27" x14ac:dyDescent="0.3">
      <c r="A910" t="s">
        <v>14</v>
      </c>
      <c r="B910" t="s">
        <v>100</v>
      </c>
      <c r="C910" t="s">
        <v>16</v>
      </c>
      <c r="D910" t="s">
        <v>23</v>
      </c>
      <c r="E910" t="s">
        <v>18</v>
      </c>
      <c r="F910" t="s">
        <v>1432</v>
      </c>
      <c r="G910" s="2">
        <f t="shared" si="28"/>
        <v>41568</v>
      </c>
      <c r="H910">
        <f>DAY(Europe_Sales_Records34[[#This Row],[Order Date Fixed]])</f>
        <v>21</v>
      </c>
      <c r="I910" t="str">
        <f>TEXT(Europe_Sales_Records34[[#This Row],[Order Date Fixed]],"MMM")</f>
        <v>Oct</v>
      </c>
      <c r="J910">
        <f>YEAR(Europe_Sales_Records34[[#This Row],[Order Date Fixed]])</f>
        <v>2013</v>
      </c>
      <c r="K910" t="str">
        <f>TEXT(Europe_Sales_Records34[[#This Row],[Order Date Fixed]],"MMM-YYYY")</f>
        <v>Oct-2013</v>
      </c>
      <c r="L910">
        <v>435463559</v>
      </c>
      <c r="M910" s="2">
        <f t="shared" si="29"/>
        <v>41574</v>
      </c>
      <c r="N910">
        <f>DAY(Europe_Sales_Records34[[#This Row],[Ship Date Fixed]])</f>
        <v>27</v>
      </c>
      <c r="O910" t="str">
        <f>TEXT(Europe_Sales_Records34[[#This Row],[Ship Date Fixed]],"MMM")</f>
        <v>Oct</v>
      </c>
      <c r="P910">
        <f>YEAR(Europe_Sales_Records34[[#This Row],[Ship Date Fixed]])</f>
        <v>2013</v>
      </c>
      <c r="Q910" t="str">
        <f>TEXT(Europe_Sales_Records34[[#This Row],[Ship Date Fixed]],"MMM-YYYY")</f>
        <v>Oct-2013</v>
      </c>
      <c r="R910" t="s">
        <v>1327</v>
      </c>
      <c r="S910" s="3">
        <f>Europe_Sales_Records34[[#This Row],[Ship Date Fixed]]-Europe_Sales_Records34[[#This Row],[Order Date Fixed]]</f>
        <v>6</v>
      </c>
      <c r="T910">
        <v>2199</v>
      </c>
      <c r="U910">
        <v>47.45</v>
      </c>
      <c r="V910">
        <v>31.79</v>
      </c>
      <c r="W910">
        <f>Europe_Sales_Records34[[#This Row],[Total Revenue]]/Europe_Sales_Records34[[#This Row],[Units Sold]]</f>
        <v>47.45</v>
      </c>
      <c r="X910">
        <v>104342.55</v>
      </c>
      <c r="Y910">
        <v>69906.210000000006</v>
      </c>
      <c r="Z910" s="4">
        <f>Europe_Sales_Records34[[#This Row],[Total Profit]]/Europe_Sales_Records34[[#This Row],[Total Revenue]]</f>
        <v>0.330031612223393</v>
      </c>
      <c r="AA910">
        <v>34436.339999999997</v>
      </c>
    </row>
    <row r="911" spans="1:27" x14ac:dyDescent="0.3">
      <c r="A911" t="s">
        <v>14</v>
      </c>
      <c r="B911" t="s">
        <v>169</v>
      </c>
      <c r="C911" t="s">
        <v>46</v>
      </c>
      <c r="D911" t="s">
        <v>17</v>
      </c>
      <c r="E911" t="s">
        <v>18</v>
      </c>
      <c r="F911" t="s">
        <v>305</v>
      </c>
      <c r="G911" s="2">
        <f t="shared" si="28"/>
        <v>42711</v>
      </c>
      <c r="H911">
        <f>DAY(Europe_Sales_Records34[[#This Row],[Order Date Fixed]])</f>
        <v>7</v>
      </c>
      <c r="I911" t="str">
        <f>TEXT(Europe_Sales_Records34[[#This Row],[Order Date Fixed]],"MMM")</f>
        <v>Dec</v>
      </c>
      <c r="J911">
        <f>YEAR(Europe_Sales_Records34[[#This Row],[Order Date Fixed]])</f>
        <v>2016</v>
      </c>
      <c r="K911" t="str">
        <f>TEXT(Europe_Sales_Records34[[#This Row],[Order Date Fixed]],"MMM-YYYY")</f>
        <v>Dec-2016</v>
      </c>
      <c r="L911">
        <v>284403264</v>
      </c>
      <c r="M911" s="2">
        <f t="shared" si="29"/>
        <v>42731</v>
      </c>
      <c r="N911">
        <f>DAY(Europe_Sales_Records34[[#This Row],[Ship Date Fixed]])</f>
        <v>27</v>
      </c>
      <c r="O911" t="str">
        <f>TEXT(Europe_Sales_Records34[[#This Row],[Ship Date Fixed]],"MMM")</f>
        <v>Dec</v>
      </c>
      <c r="P911">
        <f>YEAR(Europe_Sales_Records34[[#This Row],[Ship Date Fixed]])</f>
        <v>2016</v>
      </c>
      <c r="Q911" t="str">
        <f>TEXT(Europe_Sales_Records34[[#This Row],[Ship Date Fixed]],"MMM-YYYY")</f>
        <v>Dec-2016</v>
      </c>
      <c r="R911" t="s">
        <v>1191</v>
      </c>
      <c r="S911" s="3">
        <f>Europe_Sales_Records34[[#This Row],[Ship Date Fixed]]-Europe_Sales_Records34[[#This Row],[Order Date Fixed]]</f>
        <v>20</v>
      </c>
      <c r="T911">
        <v>101</v>
      </c>
      <c r="U911">
        <v>154.06</v>
      </c>
      <c r="V911">
        <v>90.93</v>
      </c>
      <c r="W911">
        <f>Europe_Sales_Records34[[#This Row],[Total Revenue]]/Europe_Sales_Records34[[#This Row],[Units Sold]]</f>
        <v>154.06</v>
      </c>
      <c r="X911">
        <v>15560.06</v>
      </c>
      <c r="Y911">
        <v>9183.93</v>
      </c>
      <c r="Z911" s="4">
        <f>Europe_Sales_Records34[[#This Row],[Total Profit]]/Europe_Sales_Records34[[#This Row],[Total Revenue]]</f>
        <v>0.40977541217707386</v>
      </c>
      <c r="AA911">
        <v>6376.13</v>
      </c>
    </row>
    <row r="912" spans="1:27" x14ac:dyDescent="0.3">
      <c r="A912" t="s">
        <v>14</v>
      </c>
      <c r="B912" t="s">
        <v>342</v>
      </c>
      <c r="C912" t="s">
        <v>102</v>
      </c>
      <c r="D912" t="s">
        <v>23</v>
      </c>
      <c r="E912" t="s">
        <v>33</v>
      </c>
      <c r="F912" t="s">
        <v>1433</v>
      </c>
      <c r="G912" s="2">
        <f t="shared" si="28"/>
        <v>40289</v>
      </c>
      <c r="H912">
        <f>DAY(Europe_Sales_Records34[[#This Row],[Order Date Fixed]])</f>
        <v>21</v>
      </c>
      <c r="I912" t="str">
        <f>TEXT(Europe_Sales_Records34[[#This Row],[Order Date Fixed]],"MMM")</f>
        <v>Apr</v>
      </c>
      <c r="J912">
        <f>YEAR(Europe_Sales_Records34[[#This Row],[Order Date Fixed]])</f>
        <v>2010</v>
      </c>
      <c r="K912" t="str">
        <f>TEXT(Europe_Sales_Records34[[#This Row],[Order Date Fixed]],"MMM-YYYY")</f>
        <v>Apr-2010</v>
      </c>
      <c r="L912">
        <v>917904984</v>
      </c>
      <c r="M912" s="2">
        <f t="shared" si="29"/>
        <v>40292</v>
      </c>
      <c r="N912">
        <f>DAY(Europe_Sales_Records34[[#This Row],[Ship Date Fixed]])</f>
        <v>24</v>
      </c>
      <c r="O912" t="str">
        <f>TEXT(Europe_Sales_Records34[[#This Row],[Ship Date Fixed]],"MMM")</f>
        <v>Apr</v>
      </c>
      <c r="P912">
        <f>YEAR(Europe_Sales_Records34[[#This Row],[Ship Date Fixed]])</f>
        <v>2010</v>
      </c>
      <c r="Q912" t="str">
        <f>TEXT(Europe_Sales_Records34[[#This Row],[Ship Date Fixed]],"MMM-YYYY")</f>
        <v>Apr-2010</v>
      </c>
      <c r="R912" t="s">
        <v>1434</v>
      </c>
      <c r="S912" s="3">
        <f>Europe_Sales_Records34[[#This Row],[Ship Date Fixed]]-Europe_Sales_Records34[[#This Row],[Order Date Fixed]]</f>
        <v>3</v>
      </c>
      <c r="T912">
        <v>7338</v>
      </c>
      <c r="U912">
        <v>81.73</v>
      </c>
      <c r="V912">
        <v>56.67</v>
      </c>
      <c r="W912">
        <f>Europe_Sales_Records34[[#This Row],[Total Revenue]]/Europe_Sales_Records34[[#This Row],[Units Sold]]</f>
        <v>81.73</v>
      </c>
      <c r="X912">
        <v>599734.74</v>
      </c>
      <c r="Y912">
        <v>415844.46</v>
      </c>
      <c r="Z912" s="4">
        <f>Europe_Sales_Records34[[#This Row],[Total Profit]]/Europe_Sales_Records34[[#This Row],[Total Revenue]]</f>
        <v>0.30661935641747218</v>
      </c>
      <c r="AA912">
        <v>183890.28</v>
      </c>
    </row>
    <row r="913" spans="1:27" x14ac:dyDescent="0.3">
      <c r="A913" t="s">
        <v>14</v>
      </c>
      <c r="B913" t="s">
        <v>49</v>
      </c>
      <c r="C913" t="s">
        <v>46</v>
      </c>
      <c r="D913" t="s">
        <v>23</v>
      </c>
      <c r="E913" t="s">
        <v>18</v>
      </c>
      <c r="F913" t="s">
        <v>1103</v>
      </c>
      <c r="G913" s="2">
        <f t="shared" si="28"/>
        <v>41186</v>
      </c>
      <c r="H913">
        <f>DAY(Europe_Sales_Records34[[#This Row],[Order Date Fixed]])</f>
        <v>4</v>
      </c>
      <c r="I913" t="str">
        <f>TEXT(Europe_Sales_Records34[[#This Row],[Order Date Fixed]],"MMM")</f>
        <v>Oct</v>
      </c>
      <c r="J913">
        <f>YEAR(Europe_Sales_Records34[[#This Row],[Order Date Fixed]])</f>
        <v>2012</v>
      </c>
      <c r="K913" t="str">
        <f>TEXT(Europe_Sales_Records34[[#This Row],[Order Date Fixed]],"MMM-YYYY")</f>
        <v>Oct-2012</v>
      </c>
      <c r="L913">
        <v>670274865</v>
      </c>
      <c r="M913" s="2">
        <f t="shared" si="29"/>
        <v>41226</v>
      </c>
      <c r="N913">
        <f>DAY(Europe_Sales_Records34[[#This Row],[Ship Date Fixed]])</f>
        <v>13</v>
      </c>
      <c r="O913" t="str">
        <f>TEXT(Europe_Sales_Records34[[#This Row],[Ship Date Fixed]],"MMM")</f>
        <v>Nov</v>
      </c>
      <c r="P913">
        <f>YEAR(Europe_Sales_Records34[[#This Row],[Ship Date Fixed]])</f>
        <v>2012</v>
      </c>
      <c r="Q913" t="str">
        <f>TEXT(Europe_Sales_Records34[[#This Row],[Ship Date Fixed]],"MMM-YYYY")</f>
        <v>Nov-2012</v>
      </c>
      <c r="R913" t="s">
        <v>150</v>
      </c>
      <c r="S913" s="3">
        <f>Europe_Sales_Records34[[#This Row],[Ship Date Fixed]]-Europe_Sales_Records34[[#This Row],[Order Date Fixed]]</f>
        <v>40</v>
      </c>
      <c r="T913">
        <v>8082</v>
      </c>
      <c r="U913">
        <v>154.06</v>
      </c>
      <c r="V913">
        <v>90.93</v>
      </c>
      <c r="W913">
        <f>Europe_Sales_Records34[[#This Row],[Total Revenue]]/Europe_Sales_Records34[[#This Row],[Units Sold]]</f>
        <v>154.06</v>
      </c>
      <c r="X913">
        <v>1245112.92</v>
      </c>
      <c r="Y913">
        <v>734896.26</v>
      </c>
      <c r="Z913" s="4">
        <f>Europe_Sales_Records34[[#This Row],[Total Profit]]/Europe_Sales_Records34[[#This Row],[Total Revenue]]</f>
        <v>0.40977541217707386</v>
      </c>
      <c r="AA913">
        <v>510216.66</v>
      </c>
    </row>
    <row r="914" spans="1:27" x14ac:dyDescent="0.3">
      <c r="A914" t="s">
        <v>14</v>
      </c>
      <c r="B914" t="s">
        <v>45</v>
      </c>
      <c r="C914" t="s">
        <v>75</v>
      </c>
      <c r="D914" t="s">
        <v>17</v>
      </c>
      <c r="E914" t="s">
        <v>24</v>
      </c>
      <c r="F914" t="s">
        <v>1435</v>
      </c>
      <c r="G914" s="2">
        <f t="shared" si="28"/>
        <v>42034</v>
      </c>
      <c r="H914">
        <f>DAY(Europe_Sales_Records34[[#This Row],[Order Date Fixed]])</f>
        <v>30</v>
      </c>
      <c r="I914" t="str">
        <f>TEXT(Europe_Sales_Records34[[#This Row],[Order Date Fixed]],"MMM")</f>
        <v>Jan</v>
      </c>
      <c r="J914">
        <f>YEAR(Europe_Sales_Records34[[#This Row],[Order Date Fixed]])</f>
        <v>2015</v>
      </c>
      <c r="K914" t="str">
        <f>TEXT(Europe_Sales_Records34[[#This Row],[Order Date Fixed]],"MMM-YYYY")</f>
        <v>Jan-2015</v>
      </c>
      <c r="L914">
        <v>380684268</v>
      </c>
      <c r="M914" s="2">
        <f t="shared" si="29"/>
        <v>42058</v>
      </c>
      <c r="N914">
        <f>DAY(Europe_Sales_Records34[[#This Row],[Ship Date Fixed]])</f>
        <v>23</v>
      </c>
      <c r="O914" t="str">
        <f>TEXT(Europe_Sales_Records34[[#This Row],[Ship Date Fixed]],"MMM")</f>
        <v>Feb</v>
      </c>
      <c r="P914">
        <f>YEAR(Europe_Sales_Records34[[#This Row],[Ship Date Fixed]])</f>
        <v>2015</v>
      </c>
      <c r="Q914" t="str">
        <f>TEXT(Europe_Sales_Records34[[#This Row],[Ship Date Fixed]],"MMM-YYYY")</f>
        <v>Feb-2015</v>
      </c>
      <c r="R914" t="s">
        <v>1436</v>
      </c>
      <c r="S914" s="3">
        <f>Europe_Sales_Records34[[#This Row],[Ship Date Fixed]]-Europe_Sales_Records34[[#This Row],[Order Date Fixed]]</f>
        <v>24</v>
      </c>
      <c r="T914">
        <v>1789</v>
      </c>
      <c r="U914">
        <v>437.2</v>
      </c>
      <c r="V914">
        <v>263.33</v>
      </c>
      <c r="W914">
        <f>Europe_Sales_Records34[[#This Row],[Total Revenue]]/Europe_Sales_Records34[[#This Row],[Units Sold]]</f>
        <v>437.20000000000005</v>
      </c>
      <c r="X914">
        <v>782150.8</v>
      </c>
      <c r="Y914">
        <v>471097.37</v>
      </c>
      <c r="Z914" s="4">
        <f>Europe_Sales_Records34[[#This Row],[Total Profit]]/Europe_Sales_Records34[[#This Row],[Total Revenue]]</f>
        <v>0.39768984446477579</v>
      </c>
      <c r="AA914">
        <v>311053.43</v>
      </c>
    </row>
    <row r="915" spans="1:27" x14ac:dyDescent="0.3">
      <c r="A915" t="s">
        <v>14</v>
      </c>
      <c r="B915" t="s">
        <v>342</v>
      </c>
      <c r="C915" t="s">
        <v>102</v>
      </c>
      <c r="D915" t="s">
        <v>17</v>
      </c>
      <c r="E915" t="s">
        <v>54</v>
      </c>
      <c r="F915" t="s">
        <v>1389</v>
      </c>
      <c r="G915" s="2">
        <f t="shared" si="28"/>
        <v>41912</v>
      </c>
      <c r="H915">
        <f>DAY(Europe_Sales_Records34[[#This Row],[Order Date Fixed]])</f>
        <v>30</v>
      </c>
      <c r="I915" t="str">
        <f>TEXT(Europe_Sales_Records34[[#This Row],[Order Date Fixed]],"MMM")</f>
        <v>Sep</v>
      </c>
      <c r="J915">
        <f>YEAR(Europe_Sales_Records34[[#This Row],[Order Date Fixed]])</f>
        <v>2014</v>
      </c>
      <c r="K915" t="str">
        <f>TEXT(Europe_Sales_Records34[[#This Row],[Order Date Fixed]],"MMM-YYYY")</f>
        <v>Sep-2014</v>
      </c>
      <c r="L915">
        <v>264526593</v>
      </c>
      <c r="M915" s="2">
        <f t="shared" si="29"/>
        <v>41919</v>
      </c>
      <c r="N915">
        <f>DAY(Europe_Sales_Records34[[#This Row],[Ship Date Fixed]])</f>
        <v>7</v>
      </c>
      <c r="O915" t="str">
        <f>TEXT(Europe_Sales_Records34[[#This Row],[Ship Date Fixed]],"MMM")</f>
        <v>Oct</v>
      </c>
      <c r="P915">
        <f>YEAR(Europe_Sales_Records34[[#This Row],[Ship Date Fixed]])</f>
        <v>2014</v>
      </c>
      <c r="Q915" t="str">
        <f>TEXT(Europe_Sales_Records34[[#This Row],[Ship Date Fixed]],"MMM-YYYY")</f>
        <v>Oct-2014</v>
      </c>
      <c r="R915" t="s">
        <v>1437</v>
      </c>
      <c r="S915" s="3">
        <f>Europe_Sales_Records34[[#This Row],[Ship Date Fixed]]-Europe_Sales_Records34[[#This Row],[Order Date Fixed]]</f>
        <v>7</v>
      </c>
      <c r="T915">
        <v>8152</v>
      </c>
      <c r="U915">
        <v>81.73</v>
      </c>
      <c r="V915">
        <v>56.67</v>
      </c>
      <c r="W915">
        <f>Europe_Sales_Records34[[#This Row],[Total Revenue]]/Europe_Sales_Records34[[#This Row],[Units Sold]]</f>
        <v>81.72999999999999</v>
      </c>
      <c r="X915">
        <v>666262.96</v>
      </c>
      <c r="Y915">
        <v>461973.84</v>
      </c>
      <c r="Z915" s="4">
        <f>Europe_Sales_Records34[[#This Row],[Total Profit]]/Europe_Sales_Records34[[#This Row],[Total Revenue]]</f>
        <v>0.30661935641747218</v>
      </c>
      <c r="AA915">
        <v>204289.12</v>
      </c>
    </row>
    <row r="916" spans="1:27" x14ac:dyDescent="0.3">
      <c r="A916" t="s">
        <v>14</v>
      </c>
      <c r="B916" t="s">
        <v>74</v>
      </c>
      <c r="C916" t="s">
        <v>102</v>
      </c>
      <c r="D916" t="s">
        <v>17</v>
      </c>
      <c r="E916" t="s">
        <v>18</v>
      </c>
      <c r="F916" t="s">
        <v>1284</v>
      </c>
      <c r="G916" s="2">
        <f t="shared" si="28"/>
        <v>42842</v>
      </c>
      <c r="H916">
        <f>DAY(Europe_Sales_Records34[[#This Row],[Order Date Fixed]])</f>
        <v>17</v>
      </c>
      <c r="I916" t="str">
        <f>TEXT(Europe_Sales_Records34[[#This Row],[Order Date Fixed]],"MMM")</f>
        <v>Apr</v>
      </c>
      <c r="J916">
        <f>YEAR(Europe_Sales_Records34[[#This Row],[Order Date Fixed]])</f>
        <v>2017</v>
      </c>
      <c r="K916" t="str">
        <f>TEXT(Europe_Sales_Records34[[#This Row],[Order Date Fixed]],"MMM-YYYY")</f>
        <v>Apr-2017</v>
      </c>
      <c r="L916">
        <v>485929429</v>
      </c>
      <c r="M916" s="2">
        <f t="shared" si="29"/>
        <v>42874</v>
      </c>
      <c r="N916">
        <f>DAY(Europe_Sales_Records34[[#This Row],[Ship Date Fixed]])</f>
        <v>19</v>
      </c>
      <c r="O916" t="str">
        <f>TEXT(Europe_Sales_Records34[[#This Row],[Ship Date Fixed]],"MMM")</f>
        <v>May</v>
      </c>
      <c r="P916">
        <f>YEAR(Europe_Sales_Records34[[#This Row],[Ship Date Fixed]])</f>
        <v>2017</v>
      </c>
      <c r="Q916" t="str">
        <f>TEXT(Europe_Sales_Records34[[#This Row],[Ship Date Fixed]],"MMM-YYYY")</f>
        <v>May-2017</v>
      </c>
      <c r="R916" t="s">
        <v>1438</v>
      </c>
      <c r="S916" s="3">
        <f>Europe_Sales_Records34[[#This Row],[Ship Date Fixed]]-Europe_Sales_Records34[[#This Row],[Order Date Fixed]]</f>
        <v>32</v>
      </c>
      <c r="T916">
        <v>6171</v>
      </c>
      <c r="U916">
        <v>81.73</v>
      </c>
      <c r="V916">
        <v>56.67</v>
      </c>
      <c r="W916">
        <f>Europe_Sales_Records34[[#This Row],[Total Revenue]]/Europe_Sales_Records34[[#This Row],[Units Sold]]</f>
        <v>81.73</v>
      </c>
      <c r="X916">
        <v>504355.83</v>
      </c>
      <c r="Y916">
        <v>349710.57</v>
      </c>
      <c r="Z916" s="4">
        <f>Europe_Sales_Records34[[#This Row],[Total Profit]]/Europe_Sales_Records34[[#This Row],[Total Revenue]]</f>
        <v>0.30661935641747218</v>
      </c>
      <c r="AA916">
        <v>154645.26</v>
      </c>
    </row>
    <row r="917" spans="1:27" x14ac:dyDescent="0.3">
      <c r="A917" t="s">
        <v>14</v>
      </c>
      <c r="B917" t="s">
        <v>83</v>
      </c>
      <c r="C917" t="s">
        <v>32</v>
      </c>
      <c r="D917" t="s">
        <v>17</v>
      </c>
      <c r="E917" t="s">
        <v>18</v>
      </c>
      <c r="F917" t="s">
        <v>1439</v>
      </c>
      <c r="G917" s="2">
        <f t="shared" si="28"/>
        <v>41875</v>
      </c>
      <c r="H917">
        <f>DAY(Europe_Sales_Records34[[#This Row],[Order Date Fixed]])</f>
        <v>24</v>
      </c>
      <c r="I917" t="str">
        <f>TEXT(Europe_Sales_Records34[[#This Row],[Order Date Fixed]],"MMM")</f>
        <v>Aug</v>
      </c>
      <c r="J917">
        <f>YEAR(Europe_Sales_Records34[[#This Row],[Order Date Fixed]])</f>
        <v>2014</v>
      </c>
      <c r="K917" t="str">
        <f>TEXT(Europe_Sales_Records34[[#This Row],[Order Date Fixed]],"MMM-YYYY")</f>
        <v>Aug-2014</v>
      </c>
      <c r="L917">
        <v>209736573</v>
      </c>
      <c r="M917" s="2">
        <f t="shared" si="29"/>
        <v>41906</v>
      </c>
      <c r="N917">
        <f>DAY(Europe_Sales_Records34[[#This Row],[Ship Date Fixed]])</f>
        <v>24</v>
      </c>
      <c r="O917" t="str">
        <f>TEXT(Europe_Sales_Records34[[#This Row],[Ship Date Fixed]],"MMM")</f>
        <v>Sep</v>
      </c>
      <c r="P917">
        <f>YEAR(Europe_Sales_Records34[[#This Row],[Ship Date Fixed]])</f>
        <v>2014</v>
      </c>
      <c r="Q917" t="str">
        <f>TEXT(Europe_Sales_Records34[[#This Row],[Ship Date Fixed]],"MMM-YYYY")</f>
        <v>Sep-2014</v>
      </c>
      <c r="R917" t="s">
        <v>1440</v>
      </c>
      <c r="S917" s="3">
        <f>Europe_Sales_Records34[[#This Row],[Ship Date Fixed]]-Europe_Sales_Records34[[#This Row],[Order Date Fixed]]</f>
        <v>31</v>
      </c>
      <c r="T917">
        <v>4568</v>
      </c>
      <c r="U917">
        <v>651.21</v>
      </c>
      <c r="V917">
        <v>524.96</v>
      </c>
      <c r="W917">
        <f>Europe_Sales_Records34[[#This Row],[Total Revenue]]/Europe_Sales_Records34[[#This Row],[Units Sold]]</f>
        <v>651.20999999999992</v>
      </c>
      <c r="X917">
        <v>2974727.28</v>
      </c>
      <c r="Y917">
        <v>2398017.2799999998</v>
      </c>
      <c r="Z917" s="4">
        <f>Europe_Sales_Records34[[#This Row],[Total Profit]]/Europe_Sales_Records34[[#This Row],[Total Revenue]]</f>
        <v>0.19386987300563568</v>
      </c>
      <c r="AA917">
        <v>576710</v>
      </c>
    </row>
    <row r="918" spans="1:27" x14ac:dyDescent="0.3">
      <c r="A918" t="s">
        <v>14</v>
      </c>
      <c r="B918" t="s">
        <v>57</v>
      </c>
      <c r="C918" t="s">
        <v>32</v>
      </c>
      <c r="D918" t="s">
        <v>17</v>
      </c>
      <c r="E918" t="s">
        <v>24</v>
      </c>
      <c r="F918" t="s">
        <v>1441</v>
      </c>
      <c r="G918" s="2">
        <f t="shared" si="28"/>
        <v>42374</v>
      </c>
      <c r="H918">
        <f>DAY(Europe_Sales_Records34[[#This Row],[Order Date Fixed]])</f>
        <v>5</v>
      </c>
      <c r="I918" t="str">
        <f>TEXT(Europe_Sales_Records34[[#This Row],[Order Date Fixed]],"MMM")</f>
        <v>Jan</v>
      </c>
      <c r="J918">
        <f>YEAR(Europe_Sales_Records34[[#This Row],[Order Date Fixed]])</f>
        <v>2016</v>
      </c>
      <c r="K918" t="str">
        <f>TEXT(Europe_Sales_Records34[[#This Row],[Order Date Fixed]],"MMM-YYYY")</f>
        <v>Jan-2016</v>
      </c>
      <c r="L918">
        <v>233440434</v>
      </c>
      <c r="M918" s="2">
        <f t="shared" si="29"/>
        <v>42417</v>
      </c>
      <c r="N918">
        <f>DAY(Europe_Sales_Records34[[#This Row],[Ship Date Fixed]])</f>
        <v>17</v>
      </c>
      <c r="O918" t="str">
        <f>TEXT(Europe_Sales_Records34[[#This Row],[Ship Date Fixed]],"MMM")</f>
        <v>Feb</v>
      </c>
      <c r="P918">
        <f>YEAR(Europe_Sales_Records34[[#This Row],[Ship Date Fixed]])</f>
        <v>2016</v>
      </c>
      <c r="Q918" t="str">
        <f>TEXT(Europe_Sales_Records34[[#This Row],[Ship Date Fixed]],"MMM-YYYY")</f>
        <v>Feb-2016</v>
      </c>
      <c r="R918" t="s">
        <v>445</v>
      </c>
      <c r="S918" s="3">
        <f>Europe_Sales_Records34[[#This Row],[Ship Date Fixed]]-Europe_Sales_Records34[[#This Row],[Order Date Fixed]]</f>
        <v>43</v>
      </c>
      <c r="T918">
        <v>9067</v>
      </c>
      <c r="U918">
        <v>651.21</v>
      </c>
      <c r="V918">
        <v>524.96</v>
      </c>
      <c r="W918">
        <f>Europe_Sales_Records34[[#This Row],[Total Revenue]]/Europe_Sales_Records34[[#This Row],[Units Sold]]</f>
        <v>651.21</v>
      </c>
      <c r="X918">
        <v>5904521.0700000003</v>
      </c>
      <c r="Y918">
        <v>4759812.32</v>
      </c>
      <c r="Z918" s="4">
        <f>Europe_Sales_Records34[[#This Row],[Total Profit]]/Europe_Sales_Records34[[#This Row],[Total Revenue]]</f>
        <v>0.19386987300563566</v>
      </c>
      <c r="AA918">
        <v>1144708.75</v>
      </c>
    </row>
    <row r="919" spans="1:27" x14ac:dyDescent="0.3">
      <c r="A919" t="s">
        <v>14</v>
      </c>
      <c r="B919" t="s">
        <v>27</v>
      </c>
      <c r="C919" t="s">
        <v>46</v>
      </c>
      <c r="D919" t="s">
        <v>17</v>
      </c>
      <c r="E919" t="s">
        <v>33</v>
      </c>
      <c r="F919" t="s">
        <v>711</v>
      </c>
      <c r="G919" s="2">
        <f t="shared" si="28"/>
        <v>40668</v>
      </c>
      <c r="H919">
        <f>DAY(Europe_Sales_Records34[[#This Row],[Order Date Fixed]])</f>
        <v>5</v>
      </c>
      <c r="I919" t="str">
        <f>TEXT(Europe_Sales_Records34[[#This Row],[Order Date Fixed]],"MMM")</f>
        <v>May</v>
      </c>
      <c r="J919">
        <f>YEAR(Europe_Sales_Records34[[#This Row],[Order Date Fixed]])</f>
        <v>2011</v>
      </c>
      <c r="K919" t="str">
        <f>TEXT(Europe_Sales_Records34[[#This Row],[Order Date Fixed]],"MMM-YYYY")</f>
        <v>May-2011</v>
      </c>
      <c r="L919">
        <v>384483993</v>
      </c>
      <c r="M919" s="2">
        <f t="shared" si="29"/>
        <v>40713</v>
      </c>
      <c r="N919">
        <f>DAY(Europe_Sales_Records34[[#This Row],[Ship Date Fixed]])</f>
        <v>19</v>
      </c>
      <c r="O919" t="str">
        <f>TEXT(Europe_Sales_Records34[[#This Row],[Ship Date Fixed]],"MMM")</f>
        <v>Jun</v>
      </c>
      <c r="P919">
        <f>YEAR(Europe_Sales_Records34[[#This Row],[Ship Date Fixed]])</f>
        <v>2011</v>
      </c>
      <c r="Q919" t="str">
        <f>TEXT(Europe_Sales_Records34[[#This Row],[Ship Date Fixed]],"MMM-YYYY")</f>
        <v>Jun-2011</v>
      </c>
      <c r="R919" t="s">
        <v>1442</v>
      </c>
      <c r="S919" s="3">
        <f>Europe_Sales_Records34[[#This Row],[Ship Date Fixed]]-Europe_Sales_Records34[[#This Row],[Order Date Fixed]]</f>
        <v>45</v>
      </c>
      <c r="T919">
        <v>6212</v>
      </c>
      <c r="U919">
        <v>154.06</v>
      </c>
      <c r="V919">
        <v>90.93</v>
      </c>
      <c r="W919">
        <f>Europe_Sales_Records34[[#This Row],[Total Revenue]]/Europe_Sales_Records34[[#This Row],[Units Sold]]</f>
        <v>154.06</v>
      </c>
      <c r="X919">
        <v>957020.72</v>
      </c>
      <c r="Y919">
        <v>564857.16</v>
      </c>
      <c r="Z919" s="4">
        <f>Europe_Sales_Records34[[#This Row],[Total Profit]]/Europe_Sales_Records34[[#This Row],[Total Revenue]]</f>
        <v>0.40977541217707386</v>
      </c>
      <c r="AA919">
        <v>392163.56</v>
      </c>
    </row>
    <row r="920" spans="1:27" x14ac:dyDescent="0.3">
      <c r="A920" t="s">
        <v>14</v>
      </c>
      <c r="B920" t="s">
        <v>264</v>
      </c>
      <c r="C920" t="s">
        <v>16</v>
      </c>
      <c r="D920" t="s">
        <v>23</v>
      </c>
      <c r="E920" t="s">
        <v>54</v>
      </c>
      <c r="F920" t="s">
        <v>663</v>
      </c>
      <c r="G920" s="2">
        <f t="shared" si="28"/>
        <v>40405</v>
      </c>
      <c r="H920">
        <f>DAY(Europe_Sales_Records34[[#This Row],[Order Date Fixed]])</f>
        <v>15</v>
      </c>
      <c r="I920" t="str">
        <f>TEXT(Europe_Sales_Records34[[#This Row],[Order Date Fixed]],"MMM")</f>
        <v>Aug</v>
      </c>
      <c r="J920">
        <f>YEAR(Europe_Sales_Records34[[#This Row],[Order Date Fixed]])</f>
        <v>2010</v>
      </c>
      <c r="K920" t="str">
        <f>TEXT(Europe_Sales_Records34[[#This Row],[Order Date Fixed]],"MMM-YYYY")</f>
        <v>Aug-2010</v>
      </c>
      <c r="L920">
        <v>311921012</v>
      </c>
      <c r="M920" s="2">
        <f t="shared" si="29"/>
        <v>40416</v>
      </c>
      <c r="N920">
        <f>DAY(Europe_Sales_Records34[[#This Row],[Ship Date Fixed]])</f>
        <v>26</v>
      </c>
      <c r="O920" t="str">
        <f>TEXT(Europe_Sales_Records34[[#This Row],[Ship Date Fixed]],"MMM")</f>
        <v>Aug</v>
      </c>
      <c r="P920">
        <f>YEAR(Europe_Sales_Records34[[#This Row],[Ship Date Fixed]])</f>
        <v>2010</v>
      </c>
      <c r="Q920" t="str">
        <f>TEXT(Europe_Sales_Records34[[#This Row],[Ship Date Fixed]],"MMM-YYYY")</f>
        <v>Aug-2010</v>
      </c>
      <c r="R920" t="s">
        <v>1443</v>
      </c>
      <c r="S920" s="3">
        <f>Europe_Sales_Records34[[#This Row],[Ship Date Fixed]]-Europe_Sales_Records34[[#This Row],[Order Date Fixed]]</f>
        <v>11</v>
      </c>
      <c r="T920">
        <v>3214</v>
      </c>
      <c r="U920">
        <v>47.45</v>
      </c>
      <c r="V920">
        <v>31.79</v>
      </c>
      <c r="W920">
        <f>Europe_Sales_Records34[[#This Row],[Total Revenue]]/Europe_Sales_Records34[[#This Row],[Units Sold]]</f>
        <v>47.449999999999996</v>
      </c>
      <c r="X920">
        <v>152504.29999999999</v>
      </c>
      <c r="Y920">
        <v>102173.06</v>
      </c>
      <c r="Z920" s="4">
        <f>Europe_Sales_Records34[[#This Row],[Total Profit]]/Europe_Sales_Records34[[#This Row],[Total Revenue]]</f>
        <v>0.33003161222339306</v>
      </c>
      <c r="AA920">
        <v>50331.24</v>
      </c>
    </row>
    <row r="921" spans="1:27" x14ac:dyDescent="0.3">
      <c r="A921" t="s">
        <v>14</v>
      </c>
      <c r="B921" t="s">
        <v>49</v>
      </c>
      <c r="C921" t="s">
        <v>64</v>
      </c>
      <c r="D921" t="s">
        <v>23</v>
      </c>
      <c r="E921" t="s">
        <v>33</v>
      </c>
      <c r="F921" t="s">
        <v>606</v>
      </c>
      <c r="G921" s="2">
        <f t="shared" si="28"/>
        <v>40430</v>
      </c>
      <c r="H921">
        <f>DAY(Europe_Sales_Records34[[#This Row],[Order Date Fixed]])</f>
        <v>9</v>
      </c>
      <c r="I921" t="str">
        <f>TEXT(Europe_Sales_Records34[[#This Row],[Order Date Fixed]],"MMM")</f>
        <v>Sep</v>
      </c>
      <c r="J921">
        <f>YEAR(Europe_Sales_Records34[[#This Row],[Order Date Fixed]])</f>
        <v>2010</v>
      </c>
      <c r="K921" t="str">
        <f>TEXT(Europe_Sales_Records34[[#This Row],[Order Date Fixed]],"MMM-YYYY")</f>
        <v>Sep-2010</v>
      </c>
      <c r="L921">
        <v>128003442</v>
      </c>
      <c r="M921" s="2">
        <f t="shared" si="29"/>
        <v>40474</v>
      </c>
      <c r="N921">
        <f>DAY(Europe_Sales_Records34[[#This Row],[Ship Date Fixed]])</f>
        <v>23</v>
      </c>
      <c r="O921" t="str">
        <f>TEXT(Europe_Sales_Records34[[#This Row],[Ship Date Fixed]],"MMM")</f>
        <v>Oct</v>
      </c>
      <c r="P921">
        <f>YEAR(Europe_Sales_Records34[[#This Row],[Ship Date Fixed]])</f>
        <v>2010</v>
      </c>
      <c r="Q921" t="str">
        <f>TEXT(Europe_Sales_Records34[[#This Row],[Ship Date Fixed]],"MMM-YYYY")</f>
        <v>Oct-2010</v>
      </c>
      <c r="R921" t="s">
        <v>1444</v>
      </c>
      <c r="S921" s="3">
        <f>Europe_Sales_Records34[[#This Row],[Ship Date Fixed]]-Europe_Sales_Records34[[#This Row],[Order Date Fixed]]</f>
        <v>44</v>
      </c>
      <c r="T921">
        <v>7918</v>
      </c>
      <c r="U921">
        <v>255.28</v>
      </c>
      <c r="V921">
        <v>159.41999999999999</v>
      </c>
      <c r="W921">
        <f>Europe_Sales_Records34[[#This Row],[Total Revenue]]/Europe_Sales_Records34[[#This Row],[Units Sold]]</f>
        <v>255.28</v>
      </c>
      <c r="X921">
        <v>2021307.04</v>
      </c>
      <c r="Y921">
        <v>1262287.56</v>
      </c>
      <c r="Z921" s="4">
        <f>Europe_Sales_Records34[[#This Row],[Total Profit]]/Europe_Sales_Records34[[#This Row],[Total Revenue]]</f>
        <v>0.37550924475086178</v>
      </c>
      <c r="AA921">
        <v>759019.48</v>
      </c>
    </row>
    <row r="922" spans="1:27" x14ac:dyDescent="0.3">
      <c r="A922" t="s">
        <v>14</v>
      </c>
      <c r="B922" t="s">
        <v>185</v>
      </c>
      <c r="C922" t="s">
        <v>16</v>
      </c>
      <c r="D922" t="s">
        <v>17</v>
      </c>
      <c r="E922" t="s">
        <v>18</v>
      </c>
      <c r="F922" t="s">
        <v>1445</v>
      </c>
      <c r="G922" s="2">
        <f t="shared" si="28"/>
        <v>41482</v>
      </c>
      <c r="H922">
        <f>DAY(Europe_Sales_Records34[[#This Row],[Order Date Fixed]])</f>
        <v>27</v>
      </c>
      <c r="I922" t="str">
        <f>TEXT(Europe_Sales_Records34[[#This Row],[Order Date Fixed]],"MMM")</f>
        <v>Jul</v>
      </c>
      <c r="J922">
        <f>YEAR(Europe_Sales_Records34[[#This Row],[Order Date Fixed]])</f>
        <v>2013</v>
      </c>
      <c r="K922" t="str">
        <f>TEXT(Europe_Sales_Records34[[#This Row],[Order Date Fixed]],"MMM-YYYY")</f>
        <v>Jul-2013</v>
      </c>
      <c r="L922">
        <v>981154048</v>
      </c>
      <c r="M922" s="2">
        <f t="shared" si="29"/>
        <v>41495</v>
      </c>
      <c r="N922">
        <f>DAY(Europe_Sales_Records34[[#This Row],[Ship Date Fixed]])</f>
        <v>9</v>
      </c>
      <c r="O922" t="str">
        <f>TEXT(Europe_Sales_Records34[[#This Row],[Ship Date Fixed]],"MMM")</f>
        <v>Aug</v>
      </c>
      <c r="P922">
        <f>YEAR(Europe_Sales_Records34[[#This Row],[Ship Date Fixed]])</f>
        <v>2013</v>
      </c>
      <c r="Q922" t="str">
        <f>TEXT(Europe_Sales_Records34[[#This Row],[Ship Date Fixed]],"MMM-YYYY")</f>
        <v>Aug-2013</v>
      </c>
      <c r="R922" t="s">
        <v>1446</v>
      </c>
      <c r="S922" s="3">
        <f>Europe_Sales_Records34[[#This Row],[Ship Date Fixed]]-Europe_Sales_Records34[[#This Row],[Order Date Fixed]]</f>
        <v>13</v>
      </c>
      <c r="T922">
        <v>4141</v>
      </c>
      <c r="U922">
        <v>47.45</v>
      </c>
      <c r="V922">
        <v>31.79</v>
      </c>
      <c r="W922">
        <f>Europe_Sales_Records34[[#This Row],[Total Revenue]]/Europe_Sales_Records34[[#This Row],[Units Sold]]</f>
        <v>47.45</v>
      </c>
      <c r="X922">
        <v>196490.45</v>
      </c>
      <c r="Y922">
        <v>131642.39000000001</v>
      </c>
      <c r="Z922" s="4">
        <f>Europe_Sales_Records34[[#This Row],[Total Profit]]/Europe_Sales_Records34[[#This Row],[Total Revenue]]</f>
        <v>0.330031612223393</v>
      </c>
      <c r="AA922">
        <v>64848.06</v>
      </c>
    </row>
    <row r="923" spans="1:27" x14ac:dyDescent="0.3">
      <c r="A923" t="s">
        <v>14</v>
      </c>
      <c r="B923" t="s">
        <v>196</v>
      </c>
      <c r="C923" t="s">
        <v>102</v>
      </c>
      <c r="D923" t="s">
        <v>23</v>
      </c>
      <c r="E923" t="s">
        <v>33</v>
      </c>
      <c r="F923" t="s">
        <v>1447</v>
      </c>
      <c r="G923" s="2">
        <f t="shared" si="28"/>
        <v>41246</v>
      </c>
      <c r="H923">
        <f>DAY(Europe_Sales_Records34[[#This Row],[Order Date Fixed]])</f>
        <v>3</v>
      </c>
      <c r="I923" t="str">
        <f>TEXT(Europe_Sales_Records34[[#This Row],[Order Date Fixed]],"MMM")</f>
        <v>Dec</v>
      </c>
      <c r="J923">
        <f>YEAR(Europe_Sales_Records34[[#This Row],[Order Date Fixed]])</f>
        <v>2012</v>
      </c>
      <c r="K923" t="str">
        <f>TEXT(Europe_Sales_Records34[[#This Row],[Order Date Fixed]],"MMM-YYYY")</f>
        <v>Dec-2012</v>
      </c>
      <c r="L923">
        <v>287917602</v>
      </c>
      <c r="M923" s="2">
        <f t="shared" si="29"/>
        <v>41279</v>
      </c>
      <c r="N923">
        <f>DAY(Europe_Sales_Records34[[#This Row],[Ship Date Fixed]])</f>
        <v>5</v>
      </c>
      <c r="O923" t="str">
        <f>TEXT(Europe_Sales_Records34[[#This Row],[Ship Date Fixed]],"MMM")</f>
        <v>Jan</v>
      </c>
      <c r="P923">
        <f>YEAR(Europe_Sales_Records34[[#This Row],[Ship Date Fixed]])</f>
        <v>2013</v>
      </c>
      <c r="Q923" t="str">
        <f>TEXT(Europe_Sales_Records34[[#This Row],[Ship Date Fixed]],"MMM-YYYY")</f>
        <v>Jan-2013</v>
      </c>
      <c r="R923" t="s">
        <v>203</v>
      </c>
      <c r="S923" s="3">
        <f>Europe_Sales_Records34[[#This Row],[Ship Date Fixed]]-Europe_Sales_Records34[[#This Row],[Order Date Fixed]]</f>
        <v>33</v>
      </c>
      <c r="T923">
        <v>71</v>
      </c>
      <c r="U923">
        <v>81.73</v>
      </c>
      <c r="V923">
        <v>56.67</v>
      </c>
      <c r="W923">
        <f>Europe_Sales_Records34[[#This Row],[Total Revenue]]/Europe_Sales_Records34[[#This Row],[Units Sold]]</f>
        <v>81.73</v>
      </c>
      <c r="X923">
        <v>5802.83</v>
      </c>
      <c r="Y923">
        <v>4023.57</v>
      </c>
      <c r="Z923" s="4">
        <f>Europe_Sales_Records34[[#This Row],[Total Profit]]/Europe_Sales_Records34[[#This Row],[Total Revenue]]</f>
        <v>0.30661935641747218</v>
      </c>
      <c r="AA923">
        <v>1779.26</v>
      </c>
    </row>
    <row r="924" spans="1:27" x14ac:dyDescent="0.3">
      <c r="A924" t="s">
        <v>14</v>
      </c>
      <c r="B924" t="s">
        <v>105</v>
      </c>
      <c r="C924" t="s">
        <v>58</v>
      </c>
      <c r="D924" t="s">
        <v>17</v>
      </c>
      <c r="E924" t="s">
        <v>33</v>
      </c>
      <c r="F924" t="s">
        <v>1204</v>
      </c>
      <c r="G924" s="2">
        <f t="shared" si="28"/>
        <v>41977</v>
      </c>
      <c r="H924">
        <f>DAY(Europe_Sales_Records34[[#This Row],[Order Date Fixed]])</f>
        <v>4</v>
      </c>
      <c r="I924" t="str">
        <f>TEXT(Europe_Sales_Records34[[#This Row],[Order Date Fixed]],"MMM")</f>
        <v>Dec</v>
      </c>
      <c r="J924">
        <f>YEAR(Europe_Sales_Records34[[#This Row],[Order Date Fixed]])</f>
        <v>2014</v>
      </c>
      <c r="K924" t="str">
        <f>TEXT(Europe_Sales_Records34[[#This Row],[Order Date Fixed]],"MMM-YYYY")</f>
        <v>Dec-2014</v>
      </c>
      <c r="L924">
        <v>548343789</v>
      </c>
      <c r="M924" s="2">
        <f t="shared" si="29"/>
        <v>41979</v>
      </c>
      <c r="N924">
        <f>DAY(Europe_Sales_Records34[[#This Row],[Ship Date Fixed]])</f>
        <v>6</v>
      </c>
      <c r="O924" t="str">
        <f>TEXT(Europe_Sales_Records34[[#This Row],[Ship Date Fixed]],"MMM")</f>
        <v>Dec</v>
      </c>
      <c r="P924">
        <f>YEAR(Europe_Sales_Records34[[#This Row],[Ship Date Fixed]])</f>
        <v>2014</v>
      </c>
      <c r="Q924" t="str">
        <f>TEXT(Europe_Sales_Records34[[#This Row],[Ship Date Fixed]],"MMM-YYYY")</f>
        <v>Dec-2014</v>
      </c>
      <c r="R924" t="s">
        <v>1448</v>
      </c>
      <c r="S924" s="3">
        <f>Europe_Sales_Records34[[#This Row],[Ship Date Fixed]]-Europe_Sales_Records34[[#This Row],[Order Date Fixed]]</f>
        <v>2</v>
      </c>
      <c r="T924">
        <v>5967</v>
      </c>
      <c r="U924">
        <v>152.58000000000001</v>
      </c>
      <c r="V924">
        <v>97.44</v>
      </c>
      <c r="W924">
        <f>Europe_Sales_Records34[[#This Row],[Total Revenue]]/Europe_Sales_Records34[[#This Row],[Units Sold]]</f>
        <v>152.57999999999998</v>
      </c>
      <c r="X924">
        <v>910444.86</v>
      </c>
      <c r="Y924">
        <v>581424.48</v>
      </c>
      <c r="Z924" s="4">
        <f>Europe_Sales_Records34[[#This Row],[Total Profit]]/Europe_Sales_Records34[[#This Row],[Total Revenue]]</f>
        <v>0.36138419189933152</v>
      </c>
      <c r="AA924">
        <v>329020.38</v>
      </c>
    </row>
    <row r="925" spans="1:27" x14ac:dyDescent="0.3">
      <c r="A925" t="s">
        <v>14</v>
      </c>
      <c r="B925" t="s">
        <v>105</v>
      </c>
      <c r="C925" t="s">
        <v>50</v>
      </c>
      <c r="D925" t="s">
        <v>23</v>
      </c>
      <c r="E925" t="s">
        <v>33</v>
      </c>
      <c r="F925" t="s">
        <v>1353</v>
      </c>
      <c r="G925" s="2">
        <f t="shared" si="28"/>
        <v>42431</v>
      </c>
      <c r="H925">
        <f>DAY(Europe_Sales_Records34[[#This Row],[Order Date Fixed]])</f>
        <v>2</v>
      </c>
      <c r="I925" t="str">
        <f>TEXT(Europe_Sales_Records34[[#This Row],[Order Date Fixed]],"MMM")</f>
        <v>Mar</v>
      </c>
      <c r="J925">
        <f>YEAR(Europe_Sales_Records34[[#This Row],[Order Date Fixed]])</f>
        <v>2016</v>
      </c>
      <c r="K925" t="str">
        <f>TEXT(Europe_Sales_Records34[[#This Row],[Order Date Fixed]],"MMM-YYYY")</f>
        <v>Mar-2016</v>
      </c>
      <c r="L925">
        <v>498089492</v>
      </c>
      <c r="M925" s="2">
        <f t="shared" si="29"/>
        <v>42451</v>
      </c>
      <c r="N925">
        <f>DAY(Europe_Sales_Records34[[#This Row],[Ship Date Fixed]])</f>
        <v>22</v>
      </c>
      <c r="O925" t="str">
        <f>TEXT(Europe_Sales_Records34[[#This Row],[Ship Date Fixed]],"MMM")</f>
        <v>Mar</v>
      </c>
      <c r="P925">
        <f>YEAR(Europe_Sales_Records34[[#This Row],[Ship Date Fixed]])</f>
        <v>2016</v>
      </c>
      <c r="Q925" t="str">
        <f>TEXT(Europe_Sales_Records34[[#This Row],[Ship Date Fixed]],"MMM-YYYY")</f>
        <v>Mar-2016</v>
      </c>
      <c r="R925" t="s">
        <v>446</v>
      </c>
      <c r="S925" s="3">
        <f>Europe_Sales_Records34[[#This Row],[Ship Date Fixed]]-Europe_Sales_Records34[[#This Row],[Order Date Fixed]]</f>
        <v>20</v>
      </c>
      <c r="T925">
        <v>4604</v>
      </c>
      <c r="U925">
        <v>421.89</v>
      </c>
      <c r="V925">
        <v>364.69</v>
      </c>
      <c r="W925">
        <f>Europe_Sales_Records34[[#This Row],[Total Revenue]]/Europe_Sales_Records34[[#This Row],[Units Sold]]</f>
        <v>421.89</v>
      </c>
      <c r="X925">
        <v>1942381.56</v>
      </c>
      <c r="Y925">
        <v>1679032.76</v>
      </c>
      <c r="Z925" s="4">
        <f>Europe_Sales_Records34[[#This Row],[Total Profit]]/Europe_Sales_Records34[[#This Row],[Total Revenue]]</f>
        <v>0.13558036455000116</v>
      </c>
      <c r="AA925">
        <v>263348.8</v>
      </c>
    </row>
    <row r="926" spans="1:27" x14ac:dyDescent="0.3">
      <c r="A926" t="s">
        <v>14</v>
      </c>
      <c r="B926" t="s">
        <v>146</v>
      </c>
      <c r="C926" t="s">
        <v>58</v>
      </c>
      <c r="D926" t="s">
        <v>17</v>
      </c>
      <c r="E926" t="s">
        <v>18</v>
      </c>
      <c r="F926" t="s">
        <v>1449</v>
      </c>
      <c r="G926" s="2">
        <f t="shared" si="28"/>
        <v>42064</v>
      </c>
      <c r="H926">
        <f>DAY(Europe_Sales_Records34[[#This Row],[Order Date Fixed]])</f>
        <v>1</v>
      </c>
      <c r="I926" t="str">
        <f>TEXT(Europe_Sales_Records34[[#This Row],[Order Date Fixed]],"MMM")</f>
        <v>Mar</v>
      </c>
      <c r="J926">
        <f>YEAR(Europe_Sales_Records34[[#This Row],[Order Date Fixed]])</f>
        <v>2015</v>
      </c>
      <c r="K926" t="str">
        <f>TEXT(Europe_Sales_Records34[[#This Row],[Order Date Fixed]],"MMM-YYYY")</f>
        <v>Mar-2015</v>
      </c>
      <c r="L926">
        <v>251907765</v>
      </c>
      <c r="M926" s="2">
        <f t="shared" si="29"/>
        <v>42101</v>
      </c>
      <c r="N926">
        <f>DAY(Europe_Sales_Records34[[#This Row],[Ship Date Fixed]])</f>
        <v>7</v>
      </c>
      <c r="O926" t="str">
        <f>TEXT(Europe_Sales_Records34[[#This Row],[Ship Date Fixed]],"MMM")</f>
        <v>Apr</v>
      </c>
      <c r="P926">
        <f>YEAR(Europe_Sales_Records34[[#This Row],[Ship Date Fixed]])</f>
        <v>2015</v>
      </c>
      <c r="Q926" t="str">
        <f>TEXT(Europe_Sales_Records34[[#This Row],[Ship Date Fixed]],"MMM-YYYY")</f>
        <v>Apr-2015</v>
      </c>
      <c r="R926" t="s">
        <v>66</v>
      </c>
      <c r="S926" s="3">
        <f>Europe_Sales_Records34[[#This Row],[Ship Date Fixed]]-Europe_Sales_Records34[[#This Row],[Order Date Fixed]]</f>
        <v>37</v>
      </c>
      <c r="T926">
        <v>3961</v>
      </c>
      <c r="U926">
        <v>152.58000000000001</v>
      </c>
      <c r="V926">
        <v>97.44</v>
      </c>
      <c r="W926">
        <f>Europe_Sales_Records34[[#This Row],[Total Revenue]]/Europe_Sales_Records34[[#This Row],[Units Sold]]</f>
        <v>152.58000000000001</v>
      </c>
      <c r="X926">
        <v>604369.38</v>
      </c>
      <c r="Y926">
        <v>385959.84</v>
      </c>
      <c r="Z926" s="4">
        <f>Europe_Sales_Records34[[#This Row],[Total Profit]]/Europe_Sales_Records34[[#This Row],[Total Revenue]]</f>
        <v>0.36138419189933152</v>
      </c>
      <c r="AA926">
        <v>218409.54</v>
      </c>
    </row>
    <row r="927" spans="1:27" x14ac:dyDescent="0.3">
      <c r="A927" t="s">
        <v>14</v>
      </c>
      <c r="B927" t="s">
        <v>100</v>
      </c>
      <c r="C927" t="s">
        <v>58</v>
      </c>
      <c r="D927" t="s">
        <v>23</v>
      </c>
      <c r="E927" t="s">
        <v>33</v>
      </c>
      <c r="F927" t="s">
        <v>1450</v>
      </c>
      <c r="G927" s="2">
        <f t="shared" si="28"/>
        <v>42150</v>
      </c>
      <c r="H927">
        <f>DAY(Europe_Sales_Records34[[#This Row],[Order Date Fixed]])</f>
        <v>26</v>
      </c>
      <c r="I927" t="str">
        <f>TEXT(Europe_Sales_Records34[[#This Row],[Order Date Fixed]],"MMM")</f>
        <v>May</v>
      </c>
      <c r="J927">
        <f>YEAR(Europe_Sales_Records34[[#This Row],[Order Date Fixed]])</f>
        <v>2015</v>
      </c>
      <c r="K927" t="str">
        <f>TEXT(Europe_Sales_Records34[[#This Row],[Order Date Fixed]],"MMM-YYYY")</f>
        <v>May-2015</v>
      </c>
      <c r="L927">
        <v>339999663</v>
      </c>
      <c r="M927" s="2">
        <f t="shared" si="29"/>
        <v>42168</v>
      </c>
      <c r="N927">
        <f>DAY(Europe_Sales_Records34[[#This Row],[Ship Date Fixed]])</f>
        <v>13</v>
      </c>
      <c r="O927" t="str">
        <f>TEXT(Europe_Sales_Records34[[#This Row],[Ship Date Fixed]],"MMM")</f>
        <v>Jun</v>
      </c>
      <c r="P927">
        <f>YEAR(Europe_Sales_Records34[[#This Row],[Ship Date Fixed]])</f>
        <v>2015</v>
      </c>
      <c r="Q927" t="str">
        <f>TEXT(Europe_Sales_Records34[[#This Row],[Ship Date Fixed]],"MMM-YYYY")</f>
        <v>Jun-2015</v>
      </c>
      <c r="R927" t="s">
        <v>1451</v>
      </c>
      <c r="S927" s="3">
        <f>Europe_Sales_Records34[[#This Row],[Ship Date Fixed]]-Europe_Sales_Records34[[#This Row],[Order Date Fixed]]</f>
        <v>18</v>
      </c>
      <c r="T927">
        <v>2311</v>
      </c>
      <c r="U927">
        <v>152.58000000000001</v>
      </c>
      <c r="V927">
        <v>97.44</v>
      </c>
      <c r="W927">
        <f>Europe_Sales_Records34[[#This Row],[Total Revenue]]/Europe_Sales_Records34[[#This Row],[Units Sold]]</f>
        <v>152.58000000000001</v>
      </c>
      <c r="X927">
        <v>352612.38</v>
      </c>
      <c r="Y927">
        <v>225183.84</v>
      </c>
      <c r="Z927" s="4">
        <f>Europe_Sales_Records34[[#This Row],[Total Profit]]/Europe_Sales_Records34[[#This Row],[Total Revenue]]</f>
        <v>0.36138419189933146</v>
      </c>
      <c r="AA927">
        <v>127428.54</v>
      </c>
    </row>
    <row r="928" spans="1:27" x14ac:dyDescent="0.3">
      <c r="A928" t="s">
        <v>14</v>
      </c>
      <c r="B928" t="s">
        <v>70</v>
      </c>
      <c r="C928" t="s">
        <v>28</v>
      </c>
      <c r="D928" t="s">
        <v>17</v>
      </c>
      <c r="E928" t="s">
        <v>24</v>
      </c>
      <c r="F928" t="s">
        <v>686</v>
      </c>
      <c r="G928" s="2">
        <f t="shared" si="28"/>
        <v>41089</v>
      </c>
      <c r="H928">
        <f>DAY(Europe_Sales_Records34[[#This Row],[Order Date Fixed]])</f>
        <v>29</v>
      </c>
      <c r="I928" t="str">
        <f>TEXT(Europe_Sales_Records34[[#This Row],[Order Date Fixed]],"MMM")</f>
        <v>Jun</v>
      </c>
      <c r="J928">
        <f>YEAR(Europe_Sales_Records34[[#This Row],[Order Date Fixed]])</f>
        <v>2012</v>
      </c>
      <c r="K928" t="str">
        <f>TEXT(Europe_Sales_Records34[[#This Row],[Order Date Fixed]],"MMM-YYYY")</f>
        <v>Jun-2012</v>
      </c>
      <c r="L928">
        <v>958366000</v>
      </c>
      <c r="M928" s="2">
        <f t="shared" si="29"/>
        <v>41124</v>
      </c>
      <c r="N928">
        <f>DAY(Europe_Sales_Records34[[#This Row],[Ship Date Fixed]])</f>
        <v>3</v>
      </c>
      <c r="O928" t="str">
        <f>TEXT(Europe_Sales_Records34[[#This Row],[Ship Date Fixed]],"MMM")</f>
        <v>Aug</v>
      </c>
      <c r="P928">
        <f>YEAR(Europe_Sales_Records34[[#This Row],[Ship Date Fixed]])</f>
        <v>2012</v>
      </c>
      <c r="Q928" t="str">
        <f>TEXT(Europe_Sales_Records34[[#This Row],[Ship Date Fixed]],"MMM-YYYY")</f>
        <v>Aug-2012</v>
      </c>
      <c r="R928" t="s">
        <v>783</v>
      </c>
      <c r="S928" s="3">
        <f>Europe_Sales_Records34[[#This Row],[Ship Date Fixed]]-Europe_Sales_Records34[[#This Row],[Order Date Fixed]]</f>
        <v>35</v>
      </c>
      <c r="T928">
        <v>651</v>
      </c>
      <c r="U928">
        <v>205.7</v>
      </c>
      <c r="V928">
        <v>117.11</v>
      </c>
      <c r="W928">
        <f>Europe_Sales_Records34[[#This Row],[Total Revenue]]/Europe_Sales_Records34[[#This Row],[Units Sold]]</f>
        <v>205.70000000000002</v>
      </c>
      <c r="X928">
        <v>133910.70000000001</v>
      </c>
      <c r="Y928">
        <v>76238.61</v>
      </c>
      <c r="Z928" s="4">
        <f>Europe_Sales_Records34[[#This Row],[Total Profit]]/Europe_Sales_Records34[[#This Row],[Total Revenue]]</f>
        <v>0.43067574137092846</v>
      </c>
      <c r="AA928">
        <v>57672.09</v>
      </c>
    </row>
    <row r="929" spans="1:27" x14ac:dyDescent="0.3">
      <c r="A929" t="s">
        <v>14</v>
      </c>
      <c r="B929" t="s">
        <v>115</v>
      </c>
      <c r="C929" t="s">
        <v>28</v>
      </c>
      <c r="D929" t="s">
        <v>23</v>
      </c>
      <c r="E929" t="s">
        <v>24</v>
      </c>
      <c r="F929" t="s">
        <v>1452</v>
      </c>
      <c r="G929" s="2">
        <f t="shared" si="28"/>
        <v>42312</v>
      </c>
      <c r="H929">
        <f>DAY(Europe_Sales_Records34[[#This Row],[Order Date Fixed]])</f>
        <v>4</v>
      </c>
      <c r="I929" t="str">
        <f>TEXT(Europe_Sales_Records34[[#This Row],[Order Date Fixed]],"MMM")</f>
        <v>Nov</v>
      </c>
      <c r="J929">
        <f>YEAR(Europe_Sales_Records34[[#This Row],[Order Date Fixed]])</f>
        <v>2015</v>
      </c>
      <c r="K929" t="str">
        <f>TEXT(Europe_Sales_Records34[[#This Row],[Order Date Fixed]],"MMM-YYYY")</f>
        <v>Nov-2015</v>
      </c>
      <c r="L929">
        <v>481114327</v>
      </c>
      <c r="M929" s="2">
        <f t="shared" si="29"/>
        <v>42332</v>
      </c>
      <c r="N929">
        <f>DAY(Europe_Sales_Records34[[#This Row],[Ship Date Fixed]])</f>
        <v>24</v>
      </c>
      <c r="O929" t="str">
        <f>TEXT(Europe_Sales_Records34[[#This Row],[Ship Date Fixed]],"MMM")</f>
        <v>Nov</v>
      </c>
      <c r="P929">
        <f>YEAR(Europe_Sales_Records34[[#This Row],[Ship Date Fixed]])</f>
        <v>2015</v>
      </c>
      <c r="Q929" t="str">
        <f>TEXT(Europe_Sales_Records34[[#This Row],[Ship Date Fixed]],"MMM-YYYY")</f>
        <v>Nov-2015</v>
      </c>
      <c r="R929" t="s">
        <v>1453</v>
      </c>
      <c r="S929" s="3">
        <f>Europe_Sales_Records34[[#This Row],[Ship Date Fixed]]-Europe_Sales_Records34[[#This Row],[Order Date Fixed]]</f>
        <v>20</v>
      </c>
      <c r="T929">
        <v>1276</v>
      </c>
      <c r="U929">
        <v>205.7</v>
      </c>
      <c r="V929">
        <v>117.11</v>
      </c>
      <c r="W929">
        <f>Europe_Sales_Records34[[#This Row],[Total Revenue]]/Europe_Sales_Records34[[#This Row],[Units Sold]]</f>
        <v>205.70000000000002</v>
      </c>
      <c r="X929">
        <v>262473.2</v>
      </c>
      <c r="Y929">
        <v>149432.35999999999</v>
      </c>
      <c r="Z929" s="4">
        <f>Europe_Sales_Records34[[#This Row],[Total Profit]]/Europe_Sales_Records34[[#This Row],[Total Revenue]]</f>
        <v>0.43067574137092851</v>
      </c>
      <c r="AA929">
        <v>113040.84</v>
      </c>
    </row>
    <row r="930" spans="1:27" x14ac:dyDescent="0.3">
      <c r="A930" t="s">
        <v>14</v>
      </c>
      <c r="B930" t="s">
        <v>92</v>
      </c>
      <c r="C930" t="s">
        <v>28</v>
      </c>
      <c r="D930" t="s">
        <v>17</v>
      </c>
      <c r="E930" t="s">
        <v>33</v>
      </c>
      <c r="F930" t="s">
        <v>752</v>
      </c>
      <c r="G930" s="2">
        <f t="shared" si="28"/>
        <v>41928</v>
      </c>
      <c r="H930">
        <f>DAY(Europe_Sales_Records34[[#This Row],[Order Date Fixed]])</f>
        <v>16</v>
      </c>
      <c r="I930" t="str">
        <f>TEXT(Europe_Sales_Records34[[#This Row],[Order Date Fixed]],"MMM")</f>
        <v>Oct</v>
      </c>
      <c r="J930">
        <f>YEAR(Europe_Sales_Records34[[#This Row],[Order Date Fixed]])</f>
        <v>2014</v>
      </c>
      <c r="K930" t="str">
        <f>TEXT(Europe_Sales_Records34[[#This Row],[Order Date Fixed]],"MMM-YYYY")</f>
        <v>Oct-2014</v>
      </c>
      <c r="L930">
        <v>194785726</v>
      </c>
      <c r="M930" s="2">
        <f t="shared" si="29"/>
        <v>41956</v>
      </c>
      <c r="N930">
        <f>DAY(Europe_Sales_Records34[[#This Row],[Ship Date Fixed]])</f>
        <v>13</v>
      </c>
      <c r="O930" t="str">
        <f>TEXT(Europe_Sales_Records34[[#This Row],[Ship Date Fixed]],"MMM")</f>
        <v>Nov</v>
      </c>
      <c r="P930">
        <f>YEAR(Europe_Sales_Records34[[#This Row],[Ship Date Fixed]])</f>
        <v>2014</v>
      </c>
      <c r="Q930" t="str">
        <f>TEXT(Europe_Sales_Records34[[#This Row],[Ship Date Fixed]],"MMM-YYYY")</f>
        <v>Nov-2014</v>
      </c>
      <c r="R930" t="s">
        <v>1454</v>
      </c>
      <c r="S930" s="3">
        <f>Europe_Sales_Records34[[#This Row],[Ship Date Fixed]]-Europe_Sales_Records34[[#This Row],[Order Date Fixed]]</f>
        <v>28</v>
      </c>
      <c r="T930">
        <v>280</v>
      </c>
      <c r="U930">
        <v>205.7</v>
      </c>
      <c r="V930">
        <v>117.11</v>
      </c>
      <c r="W930">
        <f>Europe_Sales_Records34[[#This Row],[Total Revenue]]/Europe_Sales_Records34[[#This Row],[Units Sold]]</f>
        <v>205.7</v>
      </c>
      <c r="X930">
        <v>57596</v>
      </c>
      <c r="Y930">
        <v>32790.800000000003</v>
      </c>
      <c r="Z930" s="4">
        <f>Europe_Sales_Records34[[#This Row],[Total Profit]]/Europe_Sales_Records34[[#This Row],[Total Revenue]]</f>
        <v>0.43067574137092857</v>
      </c>
      <c r="AA930">
        <v>24805.200000000001</v>
      </c>
    </row>
    <row r="931" spans="1:27" x14ac:dyDescent="0.3">
      <c r="A931" t="s">
        <v>14</v>
      </c>
      <c r="B931" t="s">
        <v>220</v>
      </c>
      <c r="C931" t="s">
        <v>16</v>
      </c>
      <c r="D931" t="s">
        <v>23</v>
      </c>
      <c r="E931" t="s">
        <v>18</v>
      </c>
      <c r="F931" t="s">
        <v>1455</v>
      </c>
      <c r="G931" s="2">
        <f t="shared" si="28"/>
        <v>42484</v>
      </c>
      <c r="H931">
        <f>DAY(Europe_Sales_Records34[[#This Row],[Order Date Fixed]])</f>
        <v>24</v>
      </c>
      <c r="I931" t="str">
        <f>TEXT(Europe_Sales_Records34[[#This Row],[Order Date Fixed]],"MMM")</f>
        <v>Apr</v>
      </c>
      <c r="J931">
        <f>YEAR(Europe_Sales_Records34[[#This Row],[Order Date Fixed]])</f>
        <v>2016</v>
      </c>
      <c r="K931" t="str">
        <f>TEXT(Europe_Sales_Records34[[#This Row],[Order Date Fixed]],"MMM-YYYY")</f>
        <v>Apr-2016</v>
      </c>
      <c r="L931">
        <v>443544518</v>
      </c>
      <c r="M931" s="2">
        <f t="shared" si="29"/>
        <v>42488</v>
      </c>
      <c r="N931">
        <f>DAY(Europe_Sales_Records34[[#This Row],[Ship Date Fixed]])</f>
        <v>28</v>
      </c>
      <c r="O931" t="str">
        <f>TEXT(Europe_Sales_Records34[[#This Row],[Ship Date Fixed]],"MMM")</f>
        <v>Apr</v>
      </c>
      <c r="P931">
        <f>YEAR(Europe_Sales_Records34[[#This Row],[Ship Date Fixed]])</f>
        <v>2016</v>
      </c>
      <c r="Q931" t="str">
        <f>TEXT(Europe_Sales_Records34[[#This Row],[Ship Date Fixed]],"MMM-YYYY")</f>
        <v>Apr-2016</v>
      </c>
      <c r="R931" t="s">
        <v>1456</v>
      </c>
      <c r="S931" s="3">
        <f>Europe_Sales_Records34[[#This Row],[Ship Date Fixed]]-Europe_Sales_Records34[[#This Row],[Order Date Fixed]]</f>
        <v>4</v>
      </c>
      <c r="T931">
        <v>3534</v>
      </c>
      <c r="U931">
        <v>47.45</v>
      </c>
      <c r="V931">
        <v>31.79</v>
      </c>
      <c r="W931">
        <f>Europe_Sales_Records34[[#This Row],[Total Revenue]]/Europe_Sales_Records34[[#This Row],[Units Sold]]</f>
        <v>47.449999999999996</v>
      </c>
      <c r="X931">
        <v>167688.29999999999</v>
      </c>
      <c r="Y931">
        <v>112345.86</v>
      </c>
      <c r="Z931" s="4">
        <f>Europe_Sales_Records34[[#This Row],[Total Profit]]/Europe_Sales_Records34[[#This Row],[Total Revenue]]</f>
        <v>0.33003161222339306</v>
      </c>
      <c r="AA931">
        <v>55342.44</v>
      </c>
    </row>
    <row r="932" spans="1:27" x14ac:dyDescent="0.3">
      <c r="A932" t="s">
        <v>14</v>
      </c>
      <c r="B932" t="s">
        <v>61</v>
      </c>
      <c r="C932" t="s">
        <v>22</v>
      </c>
      <c r="D932" t="s">
        <v>23</v>
      </c>
      <c r="E932" t="s">
        <v>54</v>
      </c>
      <c r="F932" t="s">
        <v>1457</v>
      </c>
      <c r="G932" s="2">
        <f t="shared" si="28"/>
        <v>41485</v>
      </c>
      <c r="H932">
        <f>DAY(Europe_Sales_Records34[[#This Row],[Order Date Fixed]])</f>
        <v>30</v>
      </c>
      <c r="I932" t="str">
        <f>TEXT(Europe_Sales_Records34[[#This Row],[Order Date Fixed]],"MMM")</f>
        <v>Jul</v>
      </c>
      <c r="J932">
        <f>YEAR(Europe_Sales_Records34[[#This Row],[Order Date Fixed]])</f>
        <v>2013</v>
      </c>
      <c r="K932" t="str">
        <f>TEXT(Europe_Sales_Records34[[#This Row],[Order Date Fixed]],"MMM-YYYY")</f>
        <v>Jul-2013</v>
      </c>
      <c r="L932">
        <v>467138516</v>
      </c>
      <c r="M932" s="2">
        <f t="shared" si="29"/>
        <v>41494</v>
      </c>
      <c r="N932">
        <f>DAY(Europe_Sales_Records34[[#This Row],[Ship Date Fixed]])</f>
        <v>8</v>
      </c>
      <c r="O932" t="str">
        <f>TEXT(Europe_Sales_Records34[[#This Row],[Ship Date Fixed]],"MMM")</f>
        <v>Aug</v>
      </c>
      <c r="P932">
        <f>YEAR(Europe_Sales_Records34[[#This Row],[Ship Date Fixed]])</f>
        <v>2013</v>
      </c>
      <c r="Q932" t="str">
        <f>TEXT(Europe_Sales_Records34[[#This Row],[Ship Date Fixed]],"MMM-YYYY")</f>
        <v>Aug-2013</v>
      </c>
      <c r="R932" t="s">
        <v>441</v>
      </c>
      <c r="S932" s="3">
        <f>Europe_Sales_Records34[[#This Row],[Ship Date Fixed]]-Europe_Sales_Records34[[#This Row],[Order Date Fixed]]</f>
        <v>9</v>
      </c>
      <c r="T932">
        <v>5523</v>
      </c>
      <c r="U932">
        <v>109.28</v>
      </c>
      <c r="V932">
        <v>35.840000000000003</v>
      </c>
      <c r="W932">
        <f>Europe_Sales_Records34[[#This Row],[Total Revenue]]/Europe_Sales_Records34[[#This Row],[Units Sold]]</f>
        <v>109.27999999999999</v>
      </c>
      <c r="X932">
        <v>603553.43999999994</v>
      </c>
      <c r="Y932">
        <v>197944.32000000001</v>
      </c>
      <c r="Z932" s="4">
        <f>Europe_Sales_Records34[[#This Row],[Total Profit]]/Europe_Sales_Records34[[#This Row],[Total Revenue]]</f>
        <v>0.67203513909224022</v>
      </c>
      <c r="AA932">
        <v>405609.12</v>
      </c>
    </row>
    <row r="933" spans="1:27" x14ac:dyDescent="0.3">
      <c r="A933" t="s">
        <v>14</v>
      </c>
      <c r="B933" t="s">
        <v>21</v>
      </c>
      <c r="C933" t="s">
        <v>46</v>
      </c>
      <c r="D933" t="s">
        <v>23</v>
      </c>
      <c r="E933" t="s">
        <v>54</v>
      </c>
      <c r="F933" t="s">
        <v>1343</v>
      </c>
      <c r="G933" s="2">
        <f t="shared" si="28"/>
        <v>42701</v>
      </c>
      <c r="H933">
        <f>DAY(Europe_Sales_Records34[[#This Row],[Order Date Fixed]])</f>
        <v>27</v>
      </c>
      <c r="I933" t="str">
        <f>TEXT(Europe_Sales_Records34[[#This Row],[Order Date Fixed]],"MMM")</f>
        <v>Nov</v>
      </c>
      <c r="J933">
        <f>YEAR(Europe_Sales_Records34[[#This Row],[Order Date Fixed]])</f>
        <v>2016</v>
      </c>
      <c r="K933" t="str">
        <f>TEXT(Europe_Sales_Records34[[#This Row],[Order Date Fixed]],"MMM-YYYY")</f>
        <v>Nov-2016</v>
      </c>
      <c r="L933">
        <v>184708344</v>
      </c>
      <c r="M933" s="2">
        <f t="shared" si="29"/>
        <v>42706</v>
      </c>
      <c r="N933">
        <f>DAY(Europe_Sales_Records34[[#This Row],[Ship Date Fixed]])</f>
        <v>2</v>
      </c>
      <c r="O933" t="str">
        <f>TEXT(Europe_Sales_Records34[[#This Row],[Ship Date Fixed]],"MMM")</f>
        <v>Dec</v>
      </c>
      <c r="P933">
        <f>YEAR(Europe_Sales_Records34[[#This Row],[Ship Date Fixed]])</f>
        <v>2016</v>
      </c>
      <c r="Q933" t="str">
        <f>TEXT(Europe_Sales_Records34[[#This Row],[Ship Date Fixed]],"MMM-YYYY")</f>
        <v>Dec-2016</v>
      </c>
      <c r="R933" t="s">
        <v>673</v>
      </c>
      <c r="S933" s="3">
        <f>Europe_Sales_Records34[[#This Row],[Ship Date Fixed]]-Europe_Sales_Records34[[#This Row],[Order Date Fixed]]</f>
        <v>5</v>
      </c>
      <c r="T933">
        <v>8159</v>
      </c>
      <c r="U933">
        <v>154.06</v>
      </c>
      <c r="V933">
        <v>90.93</v>
      </c>
      <c r="W933">
        <f>Europe_Sales_Records34[[#This Row],[Total Revenue]]/Europe_Sales_Records34[[#This Row],[Units Sold]]</f>
        <v>154.06</v>
      </c>
      <c r="X933">
        <v>1256975.54</v>
      </c>
      <c r="Y933">
        <v>741897.87</v>
      </c>
      <c r="Z933" s="4">
        <f>Europe_Sales_Records34[[#This Row],[Total Profit]]/Europe_Sales_Records34[[#This Row],[Total Revenue]]</f>
        <v>0.40977541217707386</v>
      </c>
      <c r="AA933">
        <v>515077.67</v>
      </c>
    </row>
    <row r="934" spans="1:27" x14ac:dyDescent="0.3">
      <c r="A934" t="s">
        <v>14</v>
      </c>
      <c r="B934" t="s">
        <v>21</v>
      </c>
      <c r="C934" t="s">
        <v>32</v>
      </c>
      <c r="D934" t="s">
        <v>17</v>
      </c>
      <c r="E934" t="s">
        <v>54</v>
      </c>
      <c r="F934" t="s">
        <v>1035</v>
      </c>
      <c r="G934" s="2">
        <f t="shared" si="28"/>
        <v>42296</v>
      </c>
      <c r="H934">
        <f>DAY(Europe_Sales_Records34[[#This Row],[Order Date Fixed]])</f>
        <v>19</v>
      </c>
      <c r="I934" t="str">
        <f>TEXT(Europe_Sales_Records34[[#This Row],[Order Date Fixed]],"MMM")</f>
        <v>Oct</v>
      </c>
      <c r="J934">
        <f>YEAR(Europe_Sales_Records34[[#This Row],[Order Date Fixed]])</f>
        <v>2015</v>
      </c>
      <c r="K934" t="str">
        <f>TEXT(Europe_Sales_Records34[[#This Row],[Order Date Fixed]],"MMM-YYYY")</f>
        <v>Oct-2015</v>
      </c>
      <c r="L934">
        <v>640394628</v>
      </c>
      <c r="M934" s="2">
        <f t="shared" si="29"/>
        <v>42315</v>
      </c>
      <c r="N934">
        <f>DAY(Europe_Sales_Records34[[#This Row],[Ship Date Fixed]])</f>
        <v>7</v>
      </c>
      <c r="O934" t="str">
        <f>TEXT(Europe_Sales_Records34[[#This Row],[Ship Date Fixed]],"MMM")</f>
        <v>Nov</v>
      </c>
      <c r="P934">
        <f>YEAR(Europe_Sales_Records34[[#This Row],[Ship Date Fixed]])</f>
        <v>2015</v>
      </c>
      <c r="Q934" t="str">
        <f>TEXT(Europe_Sales_Records34[[#This Row],[Ship Date Fixed]],"MMM-YYYY")</f>
        <v>Nov-2015</v>
      </c>
      <c r="R934" t="s">
        <v>878</v>
      </c>
      <c r="S934" s="3">
        <f>Europe_Sales_Records34[[#This Row],[Ship Date Fixed]]-Europe_Sales_Records34[[#This Row],[Order Date Fixed]]</f>
        <v>19</v>
      </c>
      <c r="T934">
        <v>5856</v>
      </c>
      <c r="U934">
        <v>651.21</v>
      </c>
      <c r="V934">
        <v>524.96</v>
      </c>
      <c r="W934">
        <f>Europe_Sales_Records34[[#This Row],[Total Revenue]]/Europe_Sales_Records34[[#This Row],[Units Sold]]</f>
        <v>651.20999999999992</v>
      </c>
      <c r="X934">
        <v>3813485.76</v>
      </c>
      <c r="Y934">
        <v>3074165.76</v>
      </c>
      <c r="Z934" s="4">
        <f>Europe_Sales_Records34[[#This Row],[Total Profit]]/Europe_Sales_Records34[[#This Row],[Total Revenue]]</f>
        <v>0.19386987300563568</v>
      </c>
      <c r="AA934">
        <v>739320</v>
      </c>
    </row>
    <row r="935" spans="1:27" x14ac:dyDescent="0.3">
      <c r="A935" t="s">
        <v>14</v>
      </c>
      <c r="B935" t="s">
        <v>220</v>
      </c>
      <c r="C935" t="s">
        <v>46</v>
      </c>
      <c r="D935" t="s">
        <v>17</v>
      </c>
      <c r="E935" t="s">
        <v>33</v>
      </c>
      <c r="F935" t="s">
        <v>1383</v>
      </c>
      <c r="G935" s="2">
        <f t="shared" si="28"/>
        <v>42658</v>
      </c>
      <c r="H935">
        <f>DAY(Europe_Sales_Records34[[#This Row],[Order Date Fixed]])</f>
        <v>15</v>
      </c>
      <c r="I935" t="str">
        <f>TEXT(Europe_Sales_Records34[[#This Row],[Order Date Fixed]],"MMM")</f>
        <v>Oct</v>
      </c>
      <c r="J935">
        <f>YEAR(Europe_Sales_Records34[[#This Row],[Order Date Fixed]])</f>
        <v>2016</v>
      </c>
      <c r="K935" t="str">
        <f>TEXT(Europe_Sales_Records34[[#This Row],[Order Date Fixed]],"MMM-YYYY")</f>
        <v>Oct-2016</v>
      </c>
      <c r="L935">
        <v>403337991</v>
      </c>
      <c r="M935" s="2">
        <f t="shared" si="29"/>
        <v>42698</v>
      </c>
      <c r="N935">
        <f>DAY(Europe_Sales_Records34[[#This Row],[Ship Date Fixed]])</f>
        <v>24</v>
      </c>
      <c r="O935" t="str">
        <f>TEXT(Europe_Sales_Records34[[#This Row],[Ship Date Fixed]],"MMM")</f>
        <v>Nov</v>
      </c>
      <c r="P935">
        <f>YEAR(Europe_Sales_Records34[[#This Row],[Ship Date Fixed]])</f>
        <v>2016</v>
      </c>
      <c r="Q935" t="str">
        <f>TEXT(Europe_Sales_Records34[[#This Row],[Ship Date Fixed]],"MMM-YYYY")</f>
        <v>Nov-2016</v>
      </c>
      <c r="R935" t="s">
        <v>1458</v>
      </c>
      <c r="S935" s="3">
        <f>Europe_Sales_Records34[[#This Row],[Ship Date Fixed]]-Europe_Sales_Records34[[#This Row],[Order Date Fixed]]</f>
        <v>40</v>
      </c>
      <c r="T935">
        <v>5529</v>
      </c>
      <c r="U935">
        <v>154.06</v>
      </c>
      <c r="V935">
        <v>90.93</v>
      </c>
      <c r="W935">
        <f>Europe_Sales_Records34[[#This Row],[Total Revenue]]/Europe_Sales_Records34[[#This Row],[Units Sold]]</f>
        <v>154.06</v>
      </c>
      <c r="X935">
        <v>851797.74</v>
      </c>
      <c r="Y935">
        <v>502751.97</v>
      </c>
      <c r="Z935" s="4">
        <f>Europe_Sales_Records34[[#This Row],[Total Profit]]/Europe_Sales_Records34[[#This Row],[Total Revenue]]</f>
        <v>0.40977541217707392</v>
      </c>
      <c r="AA935">
        <v>349045.77</v>
      </c>
    </row>
    <row r="936" spans="1:27" x14ac:dyDescent="0.3">
      <c r="A936" t="s">
        <v>14</v>
      </c>
      <c r="B936" t="s">
        <v>220</v>
      </c>
      <c r="C936" t="s">
        <v>46</v>
      </c>
      <c r="D936" t="s">
        <v>23</v>
      </c>
      <c r="E936" t="s">
        <v>18</v>
      </c>
      <c r="F936" t="s">
        <v>473</v>
      </c>
      <c r="G936" s="2">
        <f t="shared" si="28"/>
        <v>41336</v>
      </c>
      <c r="H936">
        <f>DAY(Europe_Sales_Records34[[#This Row],[Order Date Fixed]])</f>
        <v>3</v>
      </c>
      <c r="I936" t="str">
        <f>TEXT(Europe_Sales_Records34[[#This Row],[Order Date Fixed]],"MMM")</f>
        <v>Mar</v>
      </c>
      <c r="J936">
        <f>YEAR(Europe_Sales_Records34[[#This Row],[Order Date Fixed]])</f>
        <v>2013</v>
      </c>
      <c r="K936" t="str">
        <f>TEXT(Europe_Sales_Records34[[#This Row],[Order Date Fixed]],"MMM-YYYY")</f>
        <v>Mar-2013</v>
      </c>
      <c r="L936">
        <v>967679059</v>
      </c>
      <c r="M936" s="2">
        <f t="shared" si="29"/>
        <v>41352</v>
      </c>
      <c r="N936">
        <f>DAY(Europe_Sales_Records34[[#This Row],[Ship Date Fixed]])</f>
        <v>19</v>
      </c>
      <c r="O936" t="str">
        <f>TEXT(Europe_Sales_Records34[[#This Row],[Ship Date Fixed]],"MMM")</f>
        <v>Mar</v>
      </c>
      <c r="P936">
        <f>YEAR(Europe_Sales_Records34[[#This Row],[Ship Date Fixed]])</f>
        <v>2013</v>
      </c>
      <c r="Q936" t="str">
        <f>TEXT(Europe_Sales_Records34[[#This Row],[Ship Date Fixed]],"MMM-YYYY")</f>
        <v>Mar-2013</v>
      </c>
      <c r="R936" t="s">
        <v>1459</v>
      </c>
      <c r="S936" s="3">
        <f>Europe_Sales_Records34[[#This Row],[Ship Date Fixed]]-Europe_Sales_Records34[[#This Row],[Order Date Fixed]]</f>
        <v>16</v>
      </c>
      <c r="T936">
        <v>6592</v>
      </c>
      <c r="U936">
        <v>154.06</v>
      </c>
      <c r="V936">
        <v>90.93</v>
      </c>
      <c r="W936">
        <f>Europe_Sales_Records34[[#This Row],[Total Revenue]]/Europe_Sales_Records34[[#This Row],[Units Sold]]</f>
        <v>154.06</v>
      </c>
      <c r="X936">
        <v>1015563.52</v>
      </c>
      <c r="Y936">
        <v>599410.56000000006</v>
      </c>
      <c r="Z936" s="4">
        <f>Europe_Sales_Records34[[#This Row],[Total Profit]]/Europe_Sales_Records34[[#This Row],[Total Revenue]]</f>
        <v>0.40977541217707386</v>
      </c>
      <c r="AA936">
        <v>416152.96</v>
      </c>
    </row>
    <row r="937" spans="1:27" x14ac:dyDescent="0.3">
      <c r="A937" t="s">
        <v>14</v>
      </c>
      <c r="B937" t="s">
        <v>181</v>
      </c>
      <c r="C937" t="s">
        <v>58</v>
      </c>
      <c r="D937" t="s">
        <v>23</v>
      </c>
      <c r="E937" t="s">
        <v>33</v>
      </c>
      <c r="F937" t="s">
        <v>1184</v>
      </c>
      <c r="G937" s="2">
        <f t="shared" si="28"/>
        <v>42927</v>
      </c>
      <c r="H937">
        <f>DAY(Europe_Sales_Records34[[#This Row],[Order Date Fixed]])</f>
        <v>11</v>
      </c>
      <c r="I937" t="str">
        <f>TEXT(Europe_Sales_Records34[[#This Row],[Order Date Fixed]],"MMM")</f>
        <v>Jul</v>
      </c>
      <c r="J937">
        <f>YEAR(Europe_Sales_Records34[[#This Row],[Order Date Fixed]])</f>
        <v>2017</v>
      </c>
      <c r="K937" t="str">
        <f>TEXT(Europe_Sales_Records34[[#This Row],[Order Date Fixed]],"MMM-YYYY")</f>
        <v>Jul-2017</v>
      </c>
      <c r="L937">
        <v>125339686</v>
      </c>
      <c r="M937" s="2">
        <f t="shared" si="29"/>
        <v>42940</v>
      </c>
      <c r="N937">
        <f>DAY(Europe_Sales_Records34[[#This Row],[Ship Date Fixed]])</f>
        <v>24</v>
      </c>
      <c r="O937" t="str">
        <f>TEXT(Europe_Sales_Records34[[#This Row],[Ship Date Fixed]],"MMM")</f>
        <v>Jul</v>
      </c>
      <c r="P937">
        <f>YEAR(Europe_Sales_Records34[[#This Row],[Ship Date Fixed]])</f>
        <v>2017</v>
      </c>
      <c r="Q937" t="str">
        <f>TEXT(Europe_Sales_Records34[[#This Row],[Ship Date Fixed]],"MMM-YYYY")</f>
        <v>Jul-2017</v>
      </c>
      <c r="R937" t="s">
        <v>291</v>
      </c>
      <c r="S937" s="3">
        <f>Europe_Sales_Records34[[#This Row],[Ship Date Fixed]]-Europe_Sales_Records34[[#This Row],[Order Date Fixed]]</f>
        <v>13</v>
      </c>
      <c r="T937">
        <v>9653</v>
      </c>
      <c r="U937">
        <v>152.58000000000001</v>
      </c>
      <c r="V937">
        <v>97.44</v>
      </c>
      <c r="W937">
        <f>Europe_Sales_Records34[[#This Row],[Total Revenue]]/Europe_Sales_Records34[[#This Row],[Units Sold]]</f>
        <v>152.58000000000001</v>
      </c>
      <c r="X937">
        <v>1472854.74</v>
      </c>
      <c r="Y937">
        <v>940588.32</v>
      </c>
      <c r="Z937" s="4">
        <f>Europe_Sales_Records34[[#This Row],[Total Profit]]/Europe_Sales_Records34[[#This Row],[Total Revenue]]</f>
        <v>0.36138419189933152</v>
      </c>
      <c r="AA937">
        <v>532266.42000000004</v>
      </c>
    </row>
    <row r="938" spans="1:27" x14ac:dyDescent="0.3">
      <c r="A938" t="s">
        <v>14</v>
      </c>
      <c r="B938" t="s">
        <v>232</v>
      </c>
      <c r="C938" t="s">
        <v>102</v>
      </c>
      <c r="D938" t="s">
        <v>17</v>
      </c>
      <c r="E938" t="s">
        <v>24</v>
      </c>
      <c r="F938" t="s">
        <v>1460</v>
      </c>
      <c r="G938" s="2">
        <f t="shared" si="28"/>
        <v>41362</v>
      </c>
      <c r="H938">
        <f>DAY(Europe_Sales_Records34[[#This Row],[Order Date Fixed]])</f>
        <v>29</v>
      </c>
      <c r="I938" t="str">
        <f>TEXT(Europe_Sales_Records34[[#This Row],[Order Date Fixed]],"MMM")</f>
        <v>Mar</v>
      </c>
      <c r="J938">
        <f>YEAR(Europe_Sales_Records34[[#This Row],[Order Date Fixed]])</f>
        <v>2013</v>
      </c>
      <c r="K938" t="str">
        <f>TEXT(Europe_Sales_Records34[[#This Row],[Order Date Fixed]],"MMM-YYYY")</f>
        <v>Mar-2013</v>
      </c>
      <c r="L938">
        <v>396832883</v>
      </c>
      <c r="M938" s="2">
        <f t="shared" si="29"/>
        <v>41364</v>
      </c>
      <c r="N938">
        <f>DAY(Europe_Sales_Records34[[#This Row],[Ship Date Fixed]])</f>
        <v>31</v>
      </c>
      <c r="O938" t="str">
        <f>TEXT(Europe_Sales_Records34[[#This Row],[Ship Date Fixed]],"MMM")</f>
        <v>Mar</v>
      </c>
      <c r="P938">
        <f>YEAR(Europe_Sales_Records34[[#This Row],[Ship Date Fixed]])</f>
        <v>2013</v>
      </c>
      <c r="Q938" t="str">
        <f>TEXT(Europe_Sales_Records34[[#This Row],[Ship Date Fixed]],"MMM-YYYY")</f>
        <v>Mar-2013</v>
      </c>
      <c r="R938" t="s">
        <v>346</v>
      </c>
      <c r="S938" s="3">
        <f>Europe_Sales_Records34[[#This Row],[Ship Date Fixed]]-Europe_Sales_Records34[[#This Row],[Order Date Fixed]]</f>
        <v>2</v>
      </c>
      <c r="T938">
        <v>523</v>
      </c>
      <c r="U938">
        <v>81.73</v>
      </c>
      <c r="V938">
        <v>56.67</v>
      </c>
      <c r="W938">
        <f>Europe_Sales_Records34[[#This Row],[Total Revenue]]/Europe_Sales_Records34[[#This Row],[Units Sold]]</f>
        <v>81.73</v>
      </c>
      <c r="X938">
        <v>42744.79</v>
      </c>
      <c r="Y938">
        <v>29638.41</v>
      </c>
      <c r="Z938" s="4">
        <f>Europe_Sales_Records34[[#This Row],[Total Profit]]/Europe_Sales_Records34[[#This Row],[Total Revenue]]</f>
        <v>0.30661935641747212</v>
      </c>
      <c r="AA938">
        <v>13106.38</v>
      </c>
    </row>
    <row r="939" spans="1:27" x14ac:dyDescent="0.3">
      <c r="A939" t="s">
        <v>14</v>
      </c>
      <c r="B939" t="s">
        <v>49</v>
      </c>
      <c r="C939" t="s">
        <v>75</v>
      </c>
      <c r="D939" t="s">
        <v>17</v>
      </c>
      <c r="E939" t="s">
        <v>24</v>
      </c>
      <c r="F939" t="s">
        <v>1131</v>
      </c>
      <c r="G939" s="2">
        <f t="shared" si="28"/>
        <v>41716</v>
      </c>
      <c r="H939">
        <f>DAY(Europe_Sales_Records34[[#This Row],[Order Date Fixed]])</f>
        <v>18</v>
      </c>
      <c r="I939" t="str">
        <f>TEXT(Europe_Sales_Records34[[#This Row],[Order Date Fixed]],"MMM")</f>
        <v>Mar</v>
      </c>
      <c r="J939">
        <f>YEAR(Europe_Sales_Records34[[#This Row],[Order Date Fixed]])</f>
        <v>2014</v>
      </c>
      <c r="K939" t="str">
        <f>TEXT(Europe_Sales_Records34[[#This Row],[Order Date Fixed]],"MMM-YYYY")</f>
        <v>Mar-2014</v>
      </c>
      <c r="L939">
        <v>209445178</v>
      </c>
      <c r="M939" s="2">
        <f t="shared" si="29"/>
        <v>41749</v>
      </c>
      <c r="N939">
        <f>DAY(Europe_Sales_Records34[[#This Row],[Ship Date Fixed]])</f>
        <v>20</v>
      </c>
      <c r="O939" t="str">
        <f>TEXT(Europe_Sales_Records34[[#This Row],[Ship Date Fixed]],"MMM")</f>
        <v>Apr</v>
      </c>
      <c r="P939">
        <f>YEAR(Europe_Sales_Records34[[#This Row],[Ship Date Fixed]])</f>
        <v>2014</v>
      </c>
      <c r="Q939" t="str">
        <f>TEXT(Europe_Sales_Records34[[#This Row],[Ship Date Fixed]],"MMM-YYYY")</f>
        <v>Apr-2014</v>
      </c>
      <c r="R939" t="s">
        <v>1461</v>
      </c>
      <c r="S939" s="3">
        <f>Europe_Sales_Records34[[#This Row],[Ship Date Fixed]]-Europe_Sales_Records34[[#This Row],[Order Date Fixed]]</f>
        <v>33</v>
      </c>
      <c r="T939">
        <v>8337</v>
      </c>
      <c r="U939">
        <v>437.2</v>
      </c>
      <c r="V939">
        <v>263.33</v>
      </c>
      <c r="W939">
        <f>Europe_Sales_Records34[[#This Row],[Total Revenue]]/Europe_Sales_Records34[[#This Row],[Units Sold]]</f>
        <v>437.2</v>
      </c>
      <c r="X939">
        <v>3644936.4</v>
      </c>
      <c r="Y939">
        <v>2195382.21</v>
      </c>
      <c r="Z939" s="4">
        <f>Europe_Sales_Records34[[#This Row],[Total Profit]]/Europe_Sales_Records34[[#This Row],[Total Revenue]]</f>
        <v>0.39768984446477584</v>
      </c>
      <c r="AA939">
        <v>1449554.19</v>
      </c>
    </row>
    <row r="940" spans="1:27" x14ac:dyDescent="0.3">
      <c r="A940" t="s">
        <v>14</v>
      </c>
      <c r="B940" t="s">
        <v>49</v>
      </c>
      <c r="C940" t="s">
        <v>22</v>
      </c>
      <c r="D940" t="s">
        <v>17</v>
      </c>
      <c r="E940" t="s">
        <v>24</v>
      </c>
      <c r="F940" t="s">
        <v>1462</v>
      </c>
      <c r="G940" s="2">
        <f t="shared" si="28"/>
        <v>40684</v>
      </c>
      <c r="H940">
        <f>DAY(Europe_Sales_Records34[[#This Row],[Order Date Fixed]])</f>
        <v>21</v>
      </c>
      <c r="I940" t="str">
        <f>TEXT(Europe_Sales_Records34[[#This Row],[Order Date Fixed]],"MMM")</f>
        <v>May</v>
      </c>
      <c r="J940">
        <f>YEAR(Europe_Sales_Records34[[#This Row],[Order Date Fixed]])</f>
        <v>2011</v>
      </c>
      <c r="K940" t="str">
        <f>TEXT(Europe_Sales_Records34[[#This Row],[Order Date Fixed]],"MMM-YYYY")</f>
        <v>May-2011</v>
      </c>
      <c r="L940">
        <v>933963048</v>
      </c>
      <c r="M940" s="2">
        <f t="shared" si="29"/>
        <v>40718</v>
      </c>
      <c r="N940">
        <f>DAY(Europe_Sales_Records34[[#This Row],[Ship Date Fixed]])</f>
        <v>24</v>
      </c>
      <c r="O940" t="str">
        <f>TEXT(Europe_Sales_Records34[[#This Row],[Ship Date Fixed]],"MMM")</f>
        <v>Jun</v>
      </c>
      <c r="P940">
        <f>YEAR(Europe_Sales_Records34[[#This Row],[Ship Date Fixed]])</f>
        <v>2011</v>
      </c>
      <c r="Q940" t="str">
        <f>TEXT(Europe_Sales_Records34[[#This Row],[Ship Date Fixed]],"MMM-YYYY")</f>
        <v>Jun-2011</v>
      </c>
      <c r="R940" t="s">
        <v>864</v>
      </c>
      <c r="S940" s="3">
        <f>Europe_Sales_Records34[[#This Row],[Ship Date Fixed]]-Europe_Sales_Records34[[#This Row],[Order Date Fixed]]</f>
        <v>34</v>
      </c>
      <c r="T940">
        <v>9275</v>
      </c>
      <c r="U940">
        <v>109.28</v>
      </c>
      <c r="V940">
        <v>35.840000000000003</v>
      </c>
      <c r="W940">
        <f>Europe_Sales_Records34[[#This Row],[Total Revenue]]/Europe_Sales_Records34[[#This Row],[Units Sold]]</f>
        <v>109.28</v>
      </c>
      <c r="X940">
        <v>1013572</v>
      </c>
      <c r="Y940">
        <v>332416</v>
      </c>
      <c r="Z940" s="4">
        <f>Europe_Sales_Records34[[#This Row],[Total Profit]]/Europe_Sales_Records34[[#This Row],[Total Revenue]]</f>
        <v>0.67203513909224011</v>
      </c>
      <c r="AA940">
        <v>681156</v>
      </c>
    </row>
    <row r="941" spans="1:27" x14ac:dyDescent="0.3">
      <c r="A941" t="s">
        <v>14</v>
      </c>
      <c r="B941" t="s">
        <v>183</v>
      </c>
      <c r="C941" t="s">
        <v>28</v>
      </c>
      <c r="D941" t="s">
        <v>23</v>
      </c>
      <c r="E941" t="s">
        <v>54</v>
      </c>
      <c r="F941" t="s">
        <v>206</v>
      </c>
      <c r="G941" s="2">
        <f t="shared" si="28"/>
        <v>42129</v>
      </c>
      <c r="H941">
        <f>DAY(Europe_Sales_Records34[[#This Row],[Order Date Fixed]])</f>
        <v>5</v>
      </c>
      <c r="I941" t="str">
        <f>TEXT(Europe_Sales_Records34[[#This Row],[Order Date Fixed]],"MMM")</f>
        <v>May</v>
      </c>
      <c r="J941">
        <f>YEAR(Europe_Sales_Records34[[#This Row],[Order Date Fixed]])</f>
        <v>2015</v>
      </c>
      <c r="K941" t="str">
        <f>TEXT(Europe_Sales_Records34[[#This Row],[Order Date Fixed]],"MMM-YYYY")</f>
        <v>May-2015</v>
      </c>
      <c r="L941">
        <v>587598884</v>
      </c>
      <c r="M941" s="2">
        <f t="shared" si="29"/>
        <v>42168</v>
      </c>
      <c r="N941">
        <f>DAY(Europe_Sales_Records34[[#This Row],[Ship Date Fixed]])</f>
        <v>13</v>
      </c>
      <c r="O941" t="str">
        <f>TEXT(Europe_Sales_Records34[[#This Row],[Ship Date Fixed]],"MMM")</f>
        <v>Jun</v>
      </c>
      <c r="P941">
        <f>YEAR(Europe_Sales_Records34[[#This Row],[Ship Date Fixed]])</f>
        <v>2015</v>
      </c>
      <c r="Q941" t="str">
        <f>TEXT(Europe_Sales_Records34[[#This Row],[Ship Date Fixed]],"MMM-YYYY")</f>
        <v>Jun-2015</v>
      </c>
      <c r="R941" t="s">
        <v>1451</v>
      </c>
      <c r="S941" s="3">
        <f>Europe_Sales_Records34[[#This Row],[Ship Date Fixed]]-Europe_Sales_Records34[[#This Row],[Order Date Fixed]]</f>
        <v>39</v>
      </c>
      <c r="T941">
        <v>2422</v>
      </c>
      <c r="U941">
        <v>205.7</v>
      </c>
      <c r="V941">
        <v>117.11</v>
      </c>
      <c r="W941">
        <f>Europe_Sales_Records34[[#This Row],[Total Revenue]]/Europe_Sales_Records34[[#This Row],[Units Sold]]</f>
        <v>205.70000000000002</v>
      </c>
      <c r="X941">
        <v>498205.4</v>
      </c>
      <c r="Y941">
        <v>283640.42</v>
      </c>
      <c r="Z941" s="4">
        <f>Europe_Sales_Records34[[#This Row],[Total Profit]]/Europe_Sales_Records34[[#This Row],[Total Revenue]]</f>
        <v>0.43067574137092851</v>
      </c>
      <c r="AA941">
        <v>214564.98</v>
      </c>
    </row>
    <row r="942" spans="1:27" x14ac:dyDescent="0.3">
      <c r="A942" t="s">
        <v>14</v>
      </c>
      <c r="B942" t="s">
        <v>271</v>
      </c>
      <c r="C942" t="s">
        <v>102</v>
      </c>
      <c r="D942" t="s">
        <v>23</v>
      </c>
      <c r="E942" t="s">
        <v>18</v>
      </c>
      <c r="F942" t="s">
        <v>1463</v>
      </c>
      <c r="G942" s="2">
        <f t="shared" si="28"/>
        <v>41915</v>
      </c>
      <c r="H942">
        <f>DAY(Europe_Sales_Records34[[#This Row],[Order Date Fixed]])</f>
        <v>3</v>
      </c>
      <c r="I942" t="str">
        <f>TEXT(Europe_Sales_Records34[[#This Row],[Order Date Fixed]],"MMM")</f>
        <v>Oct</v>
      </c>
      <c r="J942">
        <f>YEAR(Europe_Sales_Records34[[#This Row],[Order Date Fixed]])</f>
        <v>2014</v>
      </c>
      <c r="K942" t="str">
        <f>TEXT(Europe_Sales_Records34[[#This Row],[Order Date Fixed]],"MMM-YYYY")</f>
        <v>Oct-2014</v>
      </c>
      <c r="L942">
        <v>941524302</v>
      </c>
      <c r="M942" s="2">
        <f t="shared" si="29"/>
        <v>41921</v>
      </c>
      <c r="N942">
        <f>DAY(Europe_Sales_Records34[[#This Row],[Ship Date Fixed]])</f>
        <v>9</v>
      </c>
      <c r="O942" t="str">
        <f>TEXT(Europe_Sales_Records34[[#This Row],[Ship Date Fixed]],"MMM")</f>
        <v>Oct</v>
      </c>
      <c r="P942">
        <f>YEAR(Europe_Sales_Records34[[#This Row],[Ship Date Fixed]])</f>
        <v>2014</v>
      </c>
      <c r="Q942" t="str">
        <f>TEXT(Europe_Sales_Records34[[#This Row],[Ship Date Fixed]],"MMM-YYYY")</f>
        <v>Oct-2014</v>
      </c>
      <c r="R942" t="s">
        <v>1464</v>
      </c>
      <c r="S942" s="3">
        <f>Europe_Sales_Records34[[#This Row],[Ship Date Fixed]]-Europe_Sales_Records34[[#This Row],[Order Date Fixed]]</f>
        <v>6</v>
      </c>
      <c r="T942">
        <v>6819</v>
      </c>
      <c r="U942">
        <v>81.73</v>
      </c>
      <c r="V942">
        <v>56.67</v>
      </c>
      <c r="W942">
        <f>Europe_Sales_Records34[[#This Row],[Total Revenue]]/Europe_Sales_Records34[[#This Row],[Units Sold]]</f>
        <v>81.73</v>
      </c>
      <c r="X942">
        <v>557316.87</v>
      </c>
      <c r="Y942">
        <v>386432.73</v>
      </c>
      <c r="Z942" s="4">
        <f>Europe_Sales_Records34[[#This Row],[Total Profit]]/Europe_Sales_Records34[[#This Row],[Total Revenue]]</f>
        <v>0.30661935641747218</v>
      </c>
      <c r="AA942">
        <v>170884.14</v>
      </c>
    </row>
    <row r="943" spans="1:27" x14ac:dyDescent="0.3">
      <c r="A943" t="s">
        <v>14</v>
      </c>
      <c r="B943" t="s">
        <v>127</v>
      </c>
      <c r="C943" t="s">
        <v>75</v>
      </c>
      <c r="D943" t="s">
        <v>17</v>
      </c>
      <c r="E943" t="s">
        <v>24</v>
      </c>
      <c r="F943" t="s">
        <v>390</v>
      </c>
      <c r="G943" s="2">
        <f t="shared" si="28"/>
        <v>41112</v>
      </c>
      <c r="H943">
        <f>DAY(Europe_Sales_Records34[[#This Row],[Order Date Fixed]])</f>
        <v>22</v>
      </c>
      <c r="I943" t="str">
        <f>TEXT(Europe_Sales_Records34[[#This Row],[Order Date Fixed]],"MMM")</f>
        <v>Jul</v>
      </c>
      <c r="J943">
        <f>YEAR(Europe_Sales_Records34[[#This Row],[Order Date Fixed]])</f>
        <v>2012</v>
      </c>
      <c r="K943" t="str">
        <f>TEXT(Europe_Sales_Records34[[#This Row],[Order Date Fixed]],"MMM-YYYY")</f>
        <v>Jul-2012</v>
      </c>
      <c r="L943">
        <v>805974042</v>
      </c>
      <c r="M943" s="2">
        <f t="shared" si="29"/>
        <v>41118</v>
      </c>
      <c r="N943">
        <f>DAY(Europe_Sales_Records34[[#This Row],[Ship Date Fixed]])</f>
        <v>28</v>
      </c>
      <c r="O943" t="str">
        <f>TEXT(Europe_Sales_Records34[[#This Row],[Ship Date Fixed]],"MMM")</f>
        <v>Jul</v>
      </c>
      <c r="P943">
        <f>YEAR(Europe_Sales_Records34[[#This Row],[Ship Date Fixed]])</f>
        <v>2012</v>
      </c>
      <c r="Q943" t="str">
        <f>TEXT(Europe_Sales_Records34[[#This Row],[Ship Date Fixed]],"MMM-YYYY")</f>
        <v>Jul-2012</v>
      </c>
      <c r="R943" t="s">
        <v>1145</v>
      </c>
      <c r="S943" s="3">
        <f>Europe_Sales_Records34[[#This Row],[Ship Date Fixed]]-Europe_Sales_Records34[[#This Row],[Order Date Fixed]]</f>
        <v>6</v>
      </c>
      <c r="T943">
        <v>4484</v>
      </c>
      <c r="U943">
        <v>437.2</v>
      </c>
      <c r="V943">
        <v>263.33</v>
      </c>
      <c r="W943">
        <f>Europe_Sales_Records34[[#This Row],[Total Revenue]]/Europe_Sales_Records34[[#This Row],[Units Sold]]</f>
        <v>437.2</v>
      </c>
      <c r="X943">
        <v>1960404.8</v>
      </c>
      <c r="Y943">
        <v>1180771.72</v>
      </c>
      <c r="Z943" s="4">
        <f>Europe_Sales_Records34[[#This Row],[Total Profit]]/Europe_Sales_Records34[[#This Row],[Total Revenue]]</f>
        <v>0.39768984446477579</v>
      </c>
      <c r="AA943">
        <v>779633.08</v>
      </c>
    </row>
    <row r="944" spans="1:27" x14ac:dyDescent="0.3">
      <c r="A944" t="s">
        <v>14</v>
      </c>
      <c r="B944" t="s">
        <v>36</v>
      </c>
      <c r="C944" t="s">
        <v>16</v>
      </c>
      <c r="D944" t="s">
        <v>17</v>
      </c>
      <c r="E944" t="s">
        <v>33</v>
      </c>
      <c r="F944" t="s">
        <v>727</v>
      </c>
      <c r="G944" s="2">
        <f t="shared" si="28"/>
        <v>42419</v>
      </c>
      <c r="H944">
        <f>DAY(Europe_Sales_Records34[[#This Row],[Order Date Fixed]])</f>
        <v>19</v>
      </c>
      <c r="I944" t="str">
        <f>TEXT(Europe_Sales_Records34[[#This Row],[Order Date Fixed]],"MMM")</f>
        <v>Feb</v>
      </c>
      <c r="J944">
        <f>YEAR(Europe_Sales_Records34[[#This Row],[Order Date Fixed]])</f>
        <v>2016</v>
      </c>
      <c r="K944" t="str">
        <f>TEXT(Europe_Sales_Records34[[#This Row],[Order Date Fixed]],"MMM-YYYY")</f>
        <v>Feb-2016</v>
      </c>
      <c r="L944">
        <v>217859160</v>
      </c>
      <c r="M944" s="2">
        <f t="shared" si="29"/>
        <v>42434</v>
      </c>
      <c r="N944">
        <f>DAY(Europe_Sales_Records34[[#This Row],[Ship Date Fixed]])</f>
        <v>5</v>
      </c>
      <c r="O944" t="str">
        <f>TEXT(Europe_Sales_Records34[[#This Row],[Ship Date Fixed]],"MMM")</f>
        <v>Mar</v>
      </c>
      <c r="P944">
        <f>YEAR(Europe_Sales_Records34[[#This Row],[Ship Date Fixed]])</f>
        <v>2016</v>
      </c>
      <c r="Q944" t="str">
        <f>TEXT(Europe_Sales_Records34[[#This Row],[Ship Date Fixed]],"MMM-YYYY")</f>
        <v>Mar-2016</v>
      </c>
      <c r="R944" t="s">
        <v>1465</v>
      </c>
      <c r="S944" s="3">
        <f>Europe_Sales_Records34[[#This Row],[Ship Date Fixed]]-Europe_Sales_Records34[[#This Row],[Order Date Fixed]]</f>
        <v>15</v>
      </c>
      <c r="T944">
        <v>8222</v>
      </c>
      <c r="U944">
        <v>47.45</v>
      </c>
      <c r="V944">
        <v>31.79</v>
      </c>
      <c r="W944">
        <f>Europe_Sales_Records34[[#This Row],[Total Revenue]]/Europe_Sales_Records34[[#This Row],[Units Sold]]</f>
        <v>47.45</v>
      </c>
      <c r="X944">
        <v>390133.9</v>
      </c>
      <c r="Y944">
        <v>261377.38</v>
      </c>
      <c r="Z944" s="4">
        <f>Europe_Sales_Records34[[#This Row],[Total Profit]]/Europe_Sales_Records34[[#This Row],[Total Revenue]]</f>
        <v>0.33003161222339306</v>
      </c>
      <c r="AA944">
        <v>128756.52</v>
      </c>
    </row>
    <row r="945" spans="1:27" x14ac:dyDescent="0.3">
      <c r="A945" t="s">
        <v>14</v>
      </c>
      <c r="B945" t="s">
        <v>220</v>
      </c>
      <c r="C945" t="s">
        <v>46</v>
      </c>
      <c r="D945" t="s">
        <v>17</v>
      </c>
      <c r="E945" t="s">
        <v>33</v>
      </c>
      <c r="F945" t="s">
        <v>209</v>
      </c>
      <c r="G945" s="2">
        <f t="shared" si="28"/>
        <v>41623</v>
      </c>
      <c r="H945">
        <f>DAY(Europe_Sales_Records34[[#This Row],[Order Date Fixed]])</f>
        <v>15</v>
      </c>
      <c r="I945" t="str">
        <f>TEXT(Europe_Sales_Records34[[#This Row],[Order Date Fixed]],"MMM")</f>
        <v>Dec</v>
      </c>
      <c r="J945">
        <f>YEAR(Europe_Sales_Records34[[#This Row],[Order Date Fixed]])</f>
        <v>2013</v>
      </c>
      <c r="K945" t="str">
        <f>TEXT(Europe_Sales_Records34[[#This Row],[Order Date Fixed]],"MMM-YYYY")</f>
        <v>Dec-2013</v>
      </c>
      <c r="L945">
        <v>727426946</v>
      </c>
      <c r="M945" s="2">
        <f t="shared" si="29"/>
        <v>41673</v>
      </c>
      <c r="N945">
        <f>DAY(Europe_Sales_Records34[[#This Row],[Ship Date Fixed]])</f>
        <v>3</v>
      </c>
      <c r="O945" t="str">
        <f>TEXT(Europe_Sales_Records34[[#This Row],[Ship Date Fixed]],"MMM")</f>
        <v>Feb</v>
      </c>
      <c r="P945">
        <f>YEAR(Europe_Sales_Records34[[#This Row],[Ship Date Fixed]])</f>
        <v>2014</v>
      </c>
      <c r="Q945" t="str">
        <f>TEXT(Europe_Sales_Records34[[#This Row],[Ship Date Fixed]],"MMM-YYYY")</f>
        <v>Feb-2014</v>
      </c>
      <c r="R945" t="s">
        <v>1466</v>
      </c>
      <c r="S945" s="3">
        <f>Europe_Sales_Records34[[#This Row],[Ship Date Fixed]]-Europe_Sales_Records34[[#This Row],[Order Date Fixed]]</f>
        <v>50</v>
      </c>
      <c r="T945">
        <v>653</v>
      </c>
      <c r="U945">
        <v>154.06</v>
      </c>
      <c r="V945">
        <v>90.93</v>
      </c>
      <c r="W945">
        <f>Europe_Sales_Records34[[#This Row],[Total Revenue]]/Europe_Sales_Records34[[#This Row],[Units Sold]]</f>
        <v>154.06</v>
      </c>
      <c r="X945">
        <v>100601.18</v>
      </c>
      <c r="Y945">
        <v>59377.29</v>
      </c>
      <c r="Z945" s="4">
        <f>Europe_Sales_Records34[[#This Row],[Total Profit]]/Europe_Sales_Records34[[#This Row],[Total Revenue]]</f>
        <v>0.40977541217707392</v>
      </c>
      <c r="AA945">
        <v>41223.89</v>
      </c>
    </row>
    <row r="946" spans="1:27" x14ac:dyDescent="0.3">
      <c r="A946" t="s">
        <v>14</v>
      </c>
      <c r="B946" t="s">
        <v>57</v>
      </c>
      <c r="C946" t="s">
        <v>37</v>
      </c>
      <c r="D946" t="s">
        <v>17</v>
      </c>
      <c r="E946" t="s">
        <v>24</v>
      </c>
      <c r="F946" t="s">
        <v>1467</v>
      </c>
      <c r="G946" s="2">
        <f t="shared" si="28"/>
        <v>40667</v>
      </c>
      <c r="H946">
        <f>DAY(Europe_Sales_Records34[[#This Row],[Order Date Fixed]])</f>
        <v>4</v>
      </c>
      <c r="I946" t="str">
        <f>TEXT(Europe_Sales_Records34[[#This Row],[Order Date Fixed]],"MMM")</f>
        <v>May</v>
      </c>
      <c r="J946">
        <f>YEAR(Europe_Sales_Records34[[#This Row],[Order Date Fixed]])</f>
        <v>2011</v>
      </c>
      <c r="K946" t="str">
        <f>TEXT(Europe_Sales_Records34[[#This Row],[Order Date Fixed]],"MMM-YYYY")</f>
        <v>May-2011</v>
      </c>
      <c r="L946">
        <v>187103450</v>
      </c>
      <c r="M946" s="2">
        <f t="shared" si="29"/>
        <v>40677</v>
      </c>
      <c r="N946">
        <f>DAY(Europe_Sales_Records34[[#This Row],[Ship Date Fixed]])</f>
        <v>14</v>
      </c>
      <c r="O946" t="str">
        <f>TEXT(Europe_Sales_Records34[[#This Row],[Ship Date Fixed]],"MMM")</f>
        <v>May</v>
      </c>
      <c r="P946">
        <f>YEAR(Europe_Sales_Records34[[#This Row],[Ship Date Fixed]])</f>
        <v>2011</v>
      </c>
      <c r="Q946" t="str">
        <f>TEXT(Europe_Sales_Records34[[#This Row],[Ship Date Fixed]],"MMM-YYYY")</f>
        <v>May-2011</v>
      </c>
      <c r="R946" t="s">
        <v>614</v>
      </c>
      <c r="S946" s="3">
        <f>Europe_Sales_Records34[[#This Row],[Ship Date Fixed]]-Europe_Sales_Records34[[#This Row],[Order Date Fixed]]</f>
        <v>10</v>
      </c>
      <c r="T946">
        <v>6924</v>
      </c>
      <c r="U946">
        <v>9.33</v>
      </c>
      <c r="V946">
        <v>6.92</v>
      </c>
      <c r="W946">
        <f>Europe_Sales_Records34[[#This Row],[Total Revenue]]/Europe_Sales_Records34[[#This Row],[Units Sold]]</f>
        <v>9.33</v>
      </c>
      <c r="X946">
        <v>64600.92</v>
      </c>
      <c r="Y946">
        <v>47914.080000000002</v>
      </c>
      <c r="Z946" s="4">
        <f>Europe_Sales_Records34[[#This Row],[Total Profit]]/Europe_Sales_Records34[[#This Row],[Total Revenue]]</f>
        <v>0.25830653804930331</v>
      </c>
      <c r="AA946">
        <v>16686.84</v>
      </c>
    </row>
    <row r="947" spans="1:27" x14ac:dyDescent="0.3">
      <c r="A947" t="s">
        <v>14</v>
      </c>
      <c r="B947" t="s">
        <v>342</v>
      </c>
      <c r="C947" t="s">
        <v>28</v>
      </c>
      <c r="D947" t="s">
        <v>23</v>
      </c>
      <c r="E947" t="s">
        <v>54</v>
      </c>
      <c r="F947" t="s">
        <v>1468</v>
      </c>
      <c r="G947" s="2">
        <f t="shared" si="28"/>
        <v>42443</v>
      </c>
      <c r="H947">
        <f>DAY(Europe_Sales_Records34[[#This Row],[Order Date Fixed]])</f>
        <v>14</v>
      </c>
      <c r="I947" t="str">
        <f>TEXT(Europe_Sales_Records34[[#This Row],[Order Date Fixed]],"MMM")</f>
        <v>Mar</v>
      </c>
      <c r="J947">
        <f>YEAR(Europe_Sales_Records34[[#This Row],[Order Date Fixed]])</f>
        <v>2016</v>
      </c>
      <c r="K947" t="str">
        <f>TEXT(Europe_Sales_Records34[[#This Row],[Order Date Fixed]],"MMM-YYYY")</f>
        <v>Mar-2016</v>
      </c>
      <c r="L947">
        <v>572634732</v>
      </c>
      <c r="M947" s="2">
        <f t="shared" si="29"/>
        <v>42461</v>
      </c>
      <c r="N947">
        <f>DAY(Europe_Sales_Records34[[#This Row],[Ship Date Fixed]])</f>
        <v>1</v>
      </c>
      <c r="O947" t="str">
        <f>TEXT(Europe_Sales_Records34[[#This Row],[Ship Date Fixed]],"MMM")</f>
        <v>Apr</v>
      </c>
      <c r="P947">
        <f>YEAR(Europe_Sales_Records34[[#This Row],[Ship Date Fixed]])</f>
        <v>2016</v>
      </c>
      <c r="Q947" t="str">
        <f>TEXT(Europe_Sales_Records34[[#This Row],[Ship Date Fixed]],"MMM-YYYY")</f>
        <v>Apr-2016</v>
      </c>
      <c r="R947" t="s">
        <v>1469</v>
      </c>
      <c r="S947" s="3">
        <f>Europe_Sales_Records34[[#This Row],[Ship Date Fixed]]-Europe_Sales_Records34[[#This Row],[Order Date Fixed]]</f>
        <v>18</v>
      </c>
      <c r="T947">
        <v>4197</v>
      </c>
      <c r="U947">
        <v>205.7</v>
      </c>
      <c r="V947">
        <v>117.11</v>
      </c>
      <c r="W947">
        <f>Europe_Sales_Records34[[#This Row],[Total Revenue]]/Europe_Sales_Records34[[#This Row],[Units Sold]]</f>
        <v>205.70000000000002</v>
      </c>
      <c r="X947">
        <v>863322.9</v>
      </c>
      <c r="Y947">
        <v>491510.67</v>
      </c>
      <c r="Z947" s="4">
        <f>Europe_Sales_Records34[[#This Row],[Total Profit]]/Europe_Sales_Records34[[#This Row],[Total Revenue]]</f>
        <v>0.43067574137092851</v>
      </c>
      <c r="AA947">
        <v>371812.23</v>
      </c>
    </row>
    <row r="948" spans="1:27" x14ac:dyDescent="0.3">
      <c r="A948" t="s">
        <v>14</v>
      </c>
      <c r="B948" t="s">
        <v>83</v>
      </c>
      <c r="C948" t="s">
        <v>46</v>
      </c>
      <c r="D948" t="s">
        <v>23</v>
      </c>
      <c r="E948" t="s">
        <v>18</v>
      </c>
      <c r="F948" t="s">
        <v>1470</v>
      </c>
      <c r="G948" s="2">
        <f t="shared" si="28"/>
        <v>41882</v>
      </c>
      <c r="H948">
        <f>DAY(Europe_Sales_Records34[[#This Row],[Order Date Fixed]])</f>
        <v>31</v>
      </c>
      <c r="I948" t="str">
        <f>TEXT(Europe_Sales_Records34[[#This Row],[Order Date Fixed]],"MMM")</f>
        <v>Aug</v>
      </c>
      <c r="J948">
        <f>YEAR(Europe_Sales_Records34[[#This Row],[Order Date Fixed]])</f>
        <v>2014</v>
      </c>
      <c r="K948" t="str">
        <f>TEXT(Europe_Sales_Records34[[#This Row],[Order Date Fixed]],"MMM-YYYY")</f>
        <v>Aug-2014</v>
      </c>
      <c r="L948">
        <v>285343968</v>
      </c>
      <c r="M948" s="2">
        <f t="shared" si="29"/>
        <v>41887</v>
      </c>
      <c r="N948">
        <f>DAY(Europe_Sales_Records34[[#This Row],[Ship Date Fixed]])</f>
        <v>5</v>
      </c>
      <c r="O948" t="str">
        <f>TEXT(Europe_Sales_Records34[[#This Row],[Ship Date Fixed]],"MMM")</f>
        <v>Sep</v>
      </c>
      <c r="P948">
        <f>YEAR(Europe_Sales_Records34[[#This Row],[Ship Date Fixed]])</f>
        <v>2014</v>
      </c>
      <c r="Q948" t="str">
        <f>TEXT(Europe_Sales_Records34[[#This Row],[Ship Date Fixed]],"MMM-YYYY")</f>
        <v>Sep-2014</v>
      </c>
      <c r="R948" t="s">
        <v>1471</v>
      </c>
      <c r="S948" s="3">
        <f>Europe_Sales_Records34[[#This Row],[Ship Date Fixed]]-Europe_Sales_Records34[[#This Row],[Order Date Fixed]]</f>
        <v>5</v>
      </c>
      <c r="T948">
        <v>8476</v>
      </c>
      <c r="U948">
        <v>154.06</v>
      </c>
      <c r="V948">
        <v>90.93</v>
      </c>
      <c r="W948">
        <f>Europe_Sales_Records34[[#This Row],[Total Revenue]]/Europe_Sales_Records34[[#This Row],[Units Sold]]</f>
        <v>154.06</v>
      </c>
      <c r="X948">
        <v>1305812.56</v>
      </c>
      <c r="Y948">
        <v>770722.68</v>
      </c>
      <c r="Z948" s="4">
        <f>Europe_Sales_Records34[[#This Row],[Total Profit]]/Europe_Sales_Records34[[#This Row],[Total Revenue]]</f>
        <v>0.40977541217707386</v>
      </c>
      <c r="AA948">
        <v>535089.88</v>
      </c>
    </row>
    <row r="949" spans="1:27" x14ac:dyDescent="0.3">
      <c r="A949" t="s">
        <v>14</v>
      </c>
      <c r="B949" t="s">
        <v>97</v>
      </c>
      <c r="C949" t="s">
        <v>46</v>
      </c>
      <c r="D949" t="s">
        <v>17</v>
      </c>
      <c r="E949" t="s">
        <v>24</v>
      </c>
      <c r="F949" t="s">
        <v>717</v>
      </c>
      <c r="G949" s="2">
        <f t="shared" si="28"/>
        <v>41385</v>
      </c>
      <c r="H949">
        <f>DAY(Europe_Sales_Records34[[#This Row],[Order Date Fixed]])</f>
        <v>21</v>
      </c>
      <c r="I949" t="str">
        <f>TEXT(Europe_Sales_Records34[[#This Row],[Order Date Fixed]],"MMM")</f>
        <v>Apr</v>
      </c>
      <c r="J949">
        <f>YEAR(Europe_Sales_Records34[[#This Row],[Order Date Fixed]])</f>
        <v>2013</v>
      </c>
      <c r="K949" t="str">
        <f>TEXT(Europe_Sales_Records34[[#This Row],[Order Date Fixed]],"MMM-YYYY")</f>
        <v>Apr-2013</v>
      </c>
      <c r="L949">
        <v>886763894</v>
      </c>
      <c r="M949" s="2">
        <f t="shared" si="29"/>
        <v>41421</v>
      </c>
      <c r="N949">
        <f>DAY(Europe_Sales_Records34[[#This Row],[Ship Date Fixed]])</f>
        <v>27</v>
      </c>
      <c r="O949" t="str">
        <f>TEXT(Europe_Sales_Records34[[#This Row],[Ship Date Fixed]],"MMM")</f>
        <v>May</v>
      </c>
      <c r="P949">
        <f>YEAR(Europe_Sales_Records34[[#This Row],[Ship Date Fixed]])</f>
        <v>2013</v>
      </c>
      <c r="Q949" t="str">
        <f>TEXT(Europe_Sales_Records34[[#This Row],[Ship Date Fixed]],"MMM-YYYY")</f>
        <v>May-2013</v>
      </c>
      <c r="R949" t="s">
        <v>1472</v>
      </c>
      <c r="S949" s="3">
        <f>Europe_Sales_Records34[[#This Row],[Ship Date Fixed]]-Europe_Sales_Records34[[#This Row],[Order Date Fixed]]</f>
        <v>36</v>
      </c>
      <c r="T949">
        <v>1997</v>
      </c>
      <c r="U949">
        <v>154.06</v>
      </c>
      <c r="V949">
        <v>90.93</v>
      </c>
      <c r="W949">
        <f>Europe_Sales_Records34[[#This Row],[Total Revenue]]/Europe_Sales_Records34[[#This Row],[Units Sold]]</f>
        <v>154.06</v>
      </c>
      <c r="X949">
        <v>307657.82</v>
      </c>
      <c r="Y949">
        <v>181587.21</v>
      </c>
      <c r="Z949" s="4">
        <f>Europe_Sales_Records34[[#This Row],[Total Profit]]/Europe_Sales_Records34[[#This Row],[Total Revenue]]</f>
        <v>0.40977541217707386</v>
      </c>
      <c r="AA949">
        <v>126070.61</v>
      </c>
    </row>
    <row r="950" spans="1:27" x14ac:dyDescent="0.3">
      <c r="A950" t="s">
        <v>14</v>
      </c>
      <c r="B950" t="s">
        <v>146</v>
      </c>
      <c r="C950" t="s">
        <v>16</v>
      </c>
      <c r="D950" t="s">
        <v>17</v>
      </c>
      <c r="E950" t="s">
        <v>18</v>
      </c>
      <c r="F950" t="s">
        <v>26</v>
      </c>
      <c r="G950" s="2">
        <f t="shared" si="28"/>
        <v>41582</v>
      </c>
      <c r="H950">
        <f>DAY(Europe_Sales_Records34[[#This Row],[Order Date Fixed]])</f>
        <v>4</v>
      </c>
      <c r="I950" t="str">
        <f>TEXT(Europe_Sales_Records34[[#This Row],[Order Date Fixed]],"MMM")</f>
        <v>Nov</v>
      </c>
      <c r="J950">
        <f>YEAR(Europe_Sales_Records34[[#This Row],[Order Date Fixed]])</f>
        <v>2013</v>
      </c>
      <c r="K950" t="str">
        <f>TEXT(Europe_Sales_Records34[[#This Row],[Order Date Fixed]],"MMM-YYYY")</f>
        <v>Nov-2013</v>
      </c>
      <c r="L950">
        <v>436606395</v>
      </c>
      <c r="M950" s="2">
        <f t="shared" si="29"/>
        <v>41611</v>
      </c>
      <c r="N950">
        <f>DAY(Europe_Sales_Records34[[#This Row],[Ship Date Fixed]])</f>
        <v>3</v>
      </c>
      <c r="O950" t="str">
        <f>TEXT(Europe_Sales_Records34[[#This Row],[Ship Date Fixed]],"MMM")</f>
        <v>Dec</v>
      </c>
      <c r="P950">
        <f>YEAR(Europe_Sales_Records34[[#This Row],[Ship Date Fixed]])</f>
        <v>2013</v>
      </c>
      <c r="Q950" t="str">
        <f>TEXT(Europe_Sales_Records34[[#This Row],[Ship Date Fixed]],"MMM-YYYY")</f>
        <v>Dec-2013</v>
      </c>
      <c r="R950" t="s">
        <v>1473</v>
      </c>
      <c r="S950" s="3">
        <f>Europe_Sales_Records34[[#This Row],[Ship Date Fixed]]-Europe_Sales_Records34[[#This Row],[Order Date Fixed]]</f>
        <v>29</v>
      </c>
      <c r="T950">
        <v>389</v>
      </c>
      <c r="U950">
        <v>47.45</v>
      </c>
      <c r="V950">
        <v>31.79</v>
      </c>
      <c r="W950">
        <f>Europe_Sales_Records34[[#This Row],[Total Revenue]]/Europe_Sales_Records34[[#This Row],[Units Sold]]</f>
        <v>47.449999999999996</v>
      </c>
      <c r="X950">
        <v>18458.05</v>
      </c>
      <c r="Y950">
        <v>12366.31</v>
      </c>
      <c r="Z950" s="4">
        <f>Europe_Sales_Records34[[#This Row],[Total Profit]]/Europe_Sales_Records34[[#This Row],[Total Revenue]]</f>
        <v>0.33003161222339306</v>
      </c>
      <c r="AA950">
        <v>6091.74</v>
      </c>
    </row>
    <row r="951" spans="1:27" x14ac:dyDescent="0.3">
      <c r="A951" t="s">
        <v>14</v>
      </c>
      <c r="B951" t="s">
        <v>132</v>
      </c>
      <c r="C951" t="s">
        <v>75</v>
      </c>
      <c r="D951" t="s">
        <v>23</v>
      </c>
      <c r="E951" t="s">
        <v>33</v>
      </c>
      <c r="F951" t="s">
        <v>1147</v>
      </c>
      <c r="G951" s="2">
        <f t="shared" si="28"/>
        <v>40447</v>
      </c>
      <c r="H951">
        <f>DAY(Europe_Sales_Records34[[#This Row],[Order Date Fixed]])</f>
        <v>26</v>
      </c>
      <c r="I951" t="str">
        <f>TEXT(Europe_Sales_Records34[[#This Row],[Order Date Fixed]],"MMM")</f>
        <v>Sep</v>
      </c>
      <c r="J951">
        <f>YEAR(Europe_Sales_Records34[[#This Row],[Order Date Fixed]])</f>
        <v>2010</v>
      </c>
      <c r="K951" t="str">
        <f>TEXT(Europe_Sales_Records34[[#This Row],[Order Date Fixed]],"MMM-YYYY")</f>
        <v>Sep-2010</v>
      </c>
      <c r="L951">
        <v>845738112</v>
      </c>
      <c r="M951" s="2">
        <f t="shared" si="29"/>
        <v>40474</v>
      </c>
      <c r="N951">
        <f>DAY(Europe_Sales_Records34[[#This Row],[Ship Date Fixed]])</f>
        <v>23</v>
      </c>
      <c r="O951" t="str">
        <f>TEXT(Europe_Sales_Records34[[#This Row],[Ship Date Fixed]],"MMM")</f>
        <v>Oct</v>
      </c>
      <c r="P951">
        <f>YEAR(Europe_Sales_Records34[[#This Row],[Ship Date Fixed]])</f>
        <v>2010</v>
      </c>
      <c r="Q951" t="str">
        <f>TEXT(Europe_Sales_Records34[[#This Row],[Ship Date Fixed]],"MMM-YYYY")</f>
        <v>Oct-2010</v>
      </c>
      <c r="R951" t="s">
        <v>1444</v>
      </c>
      <c r="S951" s="3">
        <f>Europe_Sales_Records34[[#This Row],[Ship Date Fixed]]-Europe_Sales_Records34[[#This Row],[Order Date Fixed]]</f>
        <v>27</v>
      </c>
      <c r="T951">
        <v>1557</v>
      </c>
      <c r="U951">
        <v>437.2</v>
      </c>
      <c r="V951">
        <v>263.33</v>
      </c>
      <c r="W951">
        <f>Europe_Sales_Records34[[#This Row],[Total Revenue]]/Europe_Sales_Records34[[#This Row],[Units Sold]]</f>
        <v>437.2</v>
      </c>
      <c r="X951">
        <v>680720.4</v>
      </c>
      <c r="Y951">
        <v>410004.81</v>
      </c>
      <c r="Z951" s="4">
        <f>Europe_Sales_Records34[[#This Row],[Total Profit]]/Europe_Sales_Records34[[#This Row],[Total Revenue]]</f>
        <v>0.39768984446477584</v>
      </c>
      <c r="AA951">
        <v>270715.59000000003</v>
      </c>
    </row>
    <row r="952" spans="1:27" x14ac:dyDescent="0.3">
      <c r="A952" t="s">
        <v>14</v>
      </c>
      <c r="B952" t="s">
        <v>264</v>
      </c>
      <c r="C952" t="s">
        <v>37</v>
      </c>
      <c r="D952" t="s">
        <v>23</v>
      </c>
      <c r="E952" t="s">
        <v>18</v>
      </c>
      <c r="F952" t="s">
        <v>1474</v>
      </c>
      <c r="G952" s="2">
        <f t="shared" si="28"/>
        <v>41814</v>
      </c>
      <c r="H952">
        <f>DAY(Europe_Sales_Records34[[#This Row],[Order Date Fixed]])</f>
        <v>24</v>
      </c>
      <c r="I952" t="str">
        <f>TEXT(Europe_Sales_Records34[[#This Row],[Order Date Fixed]],"MMM")</f>
        <v>Jun</v>
      </c>
      <c r="J952">
        <f>YEAR(Europe_Sales_Records34[[#This Row],[Order Date Fixed]])</f>
        <v>2014</v>
      </c>
      <c r="K952" t="str">
        <f>TEXT(Europe_Sales_Records34[[#This Row],[Order Date Fixed]],"MMM-YYYY")</f>
        <v>Jun-2014</v>
      </c>
      <c r="L952">
        <v>669353473</v>
      </c>
      <c r="M952" s="2">
        <f t="shared" si="29"/>
        <v>41827</v>
      </c>
      <c r="N952">
        <f>DAY(Europe_Sales_Records34[[#This Row],[Ship Date Fixed]])</f>
        <v>7</v>
      </c>
      <c r="O952" t="str">
        <f>TEXT(Europe_Sales_Records34[[#This Row],[Ship Date Fixed]],"MMM")</f>
        <v>Jul</v>
      </c>
      <c r="P952">
        <f>YEAR(Europe_Sales_Records34[[#This Row],[Ship Date Fixed]])</f>
        <v>2014</v>
      </c>
      <c r="Q952" t="str">
        <f>TEXT(Europe_Sales_Records34[[#This Row],[Ship Date Fixed]],"MMM-YYYY")</f>
        <v>Jul-2014</v>
      </c>
      <c r="R952" t="s">
        <v>1475</v>
      </c>
      <c r="S952" s="3">
        <f>Europe_Sales_Records34[[#This Row],[Ship Date Fixed]]-Europe_Sales_Records34[[#This Row],[Order Date Fixed]]</f>
        <v>13</v>
      </c>
      <c r="T952">
        <v>5422</v>
      </c>
      <c r="U952">
        <v>9.33</v>
      </c>
      <c r="V952">
        <v>6.92</v>
      </c>
      <c r="W952">
        <f>Europe_Sales_Records34[[#This Row],[Total Revenue]]/Europe_Sales_Records34[[#This Row],[Units Sold]]</f>
        <v>9.33</v>
      </c>
      <c r="X952">
        <v>50587.26</v>
      </c>
      <c r="Y952">
        <v>37520.239999999998</v>
      </c>
      <c r="Z952" s="4">
        <f>Europe_Sales_Records34[[#This Row],[Total Profit]]/Europe_Sales_Records34[[#This Row],[Total Revenue]]</f>
        <v>0.25830653804930331</v>
      </c>
      <c r="AA952">
        <v>13067.02</v>
      </c>
    </row>
    <row r="953" spans="1:27" x14ac:dyDescent="0.3">
      <c r="A953" t="s">
        <v>14</v>
      </c>
      <c r="B953" t="s">
        <v>57</v>
      </c>
      <c r="C953" t="s">
        <v>75</v>
      </c>
      <c r="D953" t="s">
        <v>23</v>
      </c>
      <c r="E953" t="s">
        <v>24</v>
      </c>
      <c r="F953" t="s">
        <v>698</v>
      </c>
      <c r="G953" s="2">
        <f t="shared" si="28"/>
        <v>42276</v>
      </c>
      <c r="H953">
        <f>DAY(Europe_Sales_Records34[[#This Row],[Order Date Fixed]])</f>
        <v>29</v>
      </c>
      <c r="I953" t="str">
        <f>TEXT(Europe_Sales_Records34[[#This Row],[Order Date Fixed]],"MMM")</f>
        <v>Sep</v>
      </c>
      <c r="J953">
        <f>YEAR(Europe_Sales_Records34[[#This Row],[Order Date Fixed]])</f>
        <v>2015</v>
      </c>
      <c r="K953" t="str">
        <f>TEXT(Europe_Sales_Records34[[#This Row],[Order Date Fixed]],"MMM-YYYY")</f>
        <v>Sep-2015</v>
      </c>
      <c r="L953">
        <v>147826898</v>
      </c>
      <c r="M953" s="2">
        <f t="shared" si="29"/>
        <v>42313</v>
      </c>
      <c r="N953">
        <f>DAY(Europe_Sales_Records34[[#This Row],[Ship Date Fixed]])</f>
        <v>5</v>
      </c>
      <c r="O953" t="str">
        <f>TEXT(Europe_Sales_Records34[[#This Row],[Ship Date Fixed]],"MMM")</f>
        <v>Nov</v>
      </c>
      <c r="P953">
        <f>YEAR(Europe_Sales_Records34[[#This Row],[Ship Date Fixed]])</f>
        <v>2015</v>
      </c>
      <c r="Q953" t="str">
        <f>TEXT(Europe_Sales_Records34[[#This Row],[Ship Date Fixed]],"MMM-YYYY")</f>
        <v>Nov-2015</v>
      </c>
      <c r="R953" t="s">
        <v>1138</v>
      </c>
      <c r="S953" s="3">
        <f>Europe_Sales_Records34[[#This Row],[Ship Date Fixed]]-Europe_Sales_Records34[[#This Row],[Order Date Fixed]]</f>
        <v>37</v>
      </c>
      <c r="T953">
        <v>4119</v>
      </c>
      <c r="U953">
        <v>437.2</v>
      </c>
      <c r="V953">
        <v>263.33</v>
      </c>
      <c r="W953">
        <f>Europe_Sales_Records34[[#This Row],[Total Revenue]]/Europe_Sales_Records34[[#This Row],[Units Sold]]</f>
        <v>437.2</v>
      </c>
      <c r="X953">
        <v>1800826.8</v>
      </c>
      <c r="Y953">
        <v>1084656.27</v>
      </c>
      <c r="Z953" s="4">
        <f>Europe_Sales_Records34[[#This Row],[Total Profit]]/Europe_Sales_Records34[[#This Row],[Total Revenue]]</f>
        <v>0.39768984446477584</v>
      </c>
      <c r="AA953">
        <v>716170.53</v>
      </c>
    </row>
    <row r="954" spans="1:27" x14ac:dyDescent="0.3">
      <c r="A954" t="s">
        <v>14</v>
      </c>
      <c r="B954" t="s">
        <v>166</v>
      </c>
      <c r="C954" t="s">
        <v>75</v>
      </c>
      <c r="D954" t="s">
        <v>23</v>
      </c>
      <c r="E954" t="s">
        <v>18</v>
      </c>
      <c r="F954" t="s">
        <v>1196</v>
      </c>
      <c r="G954" s="2">
        <f t="shared" si="28"/>
        <v>40604</v>
      </c>
      <c r="H954">
        <f>DAY(Europe_Sales_Records34[[#This Row],[Order Date Fixed]])</f>
        <v>2</v>
      </c>
      <c r="I954" t="str">
        <f>TEXT(Europe_Sales_Records34[[#This Row],[Order Date Fixed]],"MMM")</f>
        <v>Mar</v>
      </c>
      <c r="J954">
        <f>YEAR(Europe_Sales_Records34[[#This Row],[Order Date Fixed]])</f>
        <v>2011</v>
      </c>
      <c r="K954" t="str">
        <f>TEXT(Europe_Sales_Records34[[#This Row],[Order Date Fixed]],"MMM-YYYY")</f>
        <v>Mar-2011</v>
      </c>
      <c r="L954">
        <v>832057130</v>
      </c>
      <c r="M954" s="2">
        <f t="shared" si="29"/>
        <v>40635</v>
      </c>
      <c r="N954">
        <f>DAY(Europe_Sales_Records34[[#This Row],[Ship Date Fixed]])</f>
        <v>2</v>
      </c>
      <c r="O954" t="str">
        <f>TEXT(Europe_Sales_Records34[[#This Row],[Ship Date Fixed]],"MMM")</f>
        <v>Apr</v>
      </c>
      <c r="P954">
        <f>YEAR(Europe_Sales_Records34[[#This Row],[Ship Date Fixed]])</f>
        <v>2011</v>
      </c>
      <c r="Q954" t="str">
        <f>TEXT(Europe_Sales_Records34[[#This Row],[Ship Date Fixed]],"MMM-YYYY")</f>
        <v>Apr-2011</v>
      </c>
      <c r="R954" t="s">
        <v>1319</v>
      </c>
      <c r="S954" s="3">
        <f>Europe_Sales_Records34[[#This Row],[Ship Date Fixed]]-Europe_Sales_Records34[[#This Row],[Order Date Fixed]]</f>
        <v>31</v>
      </c>
      <c r="T954">
        <v>3050</v>
      </c>
      <c r="U954">
        <v>437.2</v>
      </c>
      <c r="V954">
        <v>263.33</v>
      </c>
      <c r="W954">
        <f>Europe_Sales_Records34[[#This Row],[Total Revenue]]/Europe_Sales_Records34[[#This Row],[Units Sold]]</f>
        <v>437.2</v>
      </c>
      <c r="X954">
        <v>1333460</v>
      </c>
      <c r="Y954">
        <v>803156.5</v>
      </c>
      <c r="Z954" s="4">
        <f>Europe_Sales_Records34[[#This Row],[Total Profit]]/Europe_Sales_Records34[[#This Row],[Total Revenue]]</f>
        <v>0.39768984446477584</v>
      </c>
      <c r="AA954">
        <v>530303.5</v>
      </c>
    </row>
    <row r="955" spans="1:27" x14ac:dyDescent="0.3">
      <c r="A955" t="s">
        <v>14</v>
      </c>
      <c r="B955" t="s">
        <v>138</v>
      </c>
      <c r="C955" t="s">
        <v>32</v>
      </c>
      <c r="D955" t="s">
        <v>23</v>
      </c>
      <c r="E955" t="s">
        <v>54</v>
      </c>
      <c r="F955" t="s">
        <v>1476</v>
      </c>
      <c r="G955" s="2">
        <f t="shared" si="28"/>
        <v>40778</v>
      </c>
      <c r="H955">
        <f>DAY(Europe_Sales_Records34[[#This Row],[Order Date Fixed]])</f>
        <v>23</v>
      </c>
      <c r="I955" t="str">
        <f>TEXT(Europe_Sales_Records34[[#This Row],[Order Date Fixed]],"MMM")</f>
        <v>Aug</v>
      </c>
      <c r="J955">
        <f>YEAR(Europe_Sales_Records34[[#This Row],[Order Date Fixed]])</f>
        <v>2011</v>
      </c>
      <c r="K955" t="str">
        <f>TEXT(Europe_Sales_Records34[[#This Row],[Order Date Fixed]],"MMM-YYYY")</f>
        <v>Aug-2011</v>
      </c>
      <c r="L955">
        <v>212106788</v>
      </c>
      <c r="M955" s="2">
        <f t="shared" si="29"/>
        <v>40812</v>
      </c>
      <c r="N955">
        <f>DAY(Europe_Sales_Records34[[#This Row],[Ship Date Fixed]])</f>
        <v>26</v>
      </c>
      <c r="O955" t="str">
        <f>TEXT(Europe_Sales_Records34[[#This Row],[Ship Date Fixed]],"MMM")</f>
        <v>Sep</v>
      </c>
      <c r="P955">
        <f>YEAR(Europe_Sales_Records34[[#This Row],[Ship Date Fixed]])</f>
        <v>2011</v>
      </c>
      <c r="Q955" t="str">
        <f>TEXT(Europe_Sales_Records34[[#This Row],[Ship Date Fixed]],"MMM-YYYY")</f>
        <v>Sep-2011</v>
      </c>
      <c r="R955" t="s">
        <v>1477</v>
      </c>
      <c r="S955" s="3">
        <f>Europe_Sales_Records34[[#This Row],[Ship Date Fixed]]-Europe_Sales_Records34[[#This Row],[Order Date Fixed]]</f>
        <v>34</v>
      </c>
      <c r="T955">
        <v>5967</v>
      </c>
      <c r="U955">
        <v>651.21</v>
      </c>
      <c r="V955">
        <v>524.96</v>
      </c>
      <c r="W955">
        <f>Europe_Sales_Records34[[#This Row],[Total Revenue]]/Europe_Sales_Records34[[#This Row],[Units Sold]]</f>
        <v>651.20999999999992</v>
      </c>
      <c r="X955">
        <v>3885770.07</v>
      </c>
      <c r="Y955">
        <v>3132436.32</v>
      </c>
      <c r="Z955" s="4">
        <f>Europe_Sales_Records34[[#This Row],[Total Profit]]/Europe_Sales_Records34[[#This Row],[Total Revenue]]</f>
        <v>0.19386987300563568</v>
      </c>
      <c r="AA955">
        <v>753333.75</v>
      </c>
    </row>
    <row r="956" spans="1:27" x14ac:dyDescent="0.3">
      <c r="A956" t="s">
        <v>14</v>
      </c>
      <c r="B956" t="s">
        <v>70</v>
      </c>
      <c r="C956" t="s">
        <v>102</v>
      </c>
      <c r="D956" t="s">
        <v>23</v>
      </c>
      <c r="E956" t="s">
        <v>24</v>
      </c>
      <c r="F956" t="s">
        <v>1106</v>
      </c>
      <c r="G956" s="2">
        <f t="shared" si="28"/>
        <v>41896</v>
      </c>
      <c r="H956">
        <f>DAY(Europe_Sales_Records34[[#This Row],[Order Date Fixed]])</f>
        <v>14</v>
      </c>
      <c r="I956" t="str">
        <f>TEXT(Europe_Sales_Records34[[#This Row],[Order Date Fixed]],"MMM")</f>
        <v>Sep</v>
      </c>
      <c r="J956">
        <f>YEAR(Europe_Sales_Records34[[#This Row],[Order Date Fixed]])</f>
        <v>2014</v>
      </c>
      <c r="K956" t="str">
        <f>TEXT(Europe_Sales_Records34[[#This Row],[Order Date Fixed]],"MMM-YYYY")</f>
        <v>Sep-2014</v>
      </c>
      <c r="L956">
        <v>371814954</v>
      </c>
      <c r="M956" s="2">
        <f t="shared" si="29"/>
        <v>41920</v>
      </c>
      <c r="N956">
        <f>DAY(Europe_Sales_Records34[[#This Row],[Ship Date Fixed]])</f>
        <v>8</v>
      </c>
      <c r="O956" t="str">
        <f>TEXT(Europe_Sales_Records34[[#This Row],[Ship Date Fixed]],"MMM")</f>
        <v>Oct</v>
      </c>
      <c r="P956">
        <f>YEAR(Europe_Sales_Records34[[#This Row],[Ship Date Fixed]])</f>
        <v>2014</v>
      </c>
      <c r="Q956" t="str">
        <f>TEXT(Europe_Sales_Records34[[#This Row],[Ship Date Fixed]],"MMM-YYYY")</f>
        <v>Oct-2014</v>
      </c>
      <c r="R956" t="s">
        <v>116</v>
      </c>
      <c r="S956" s="3">
        <f>Europe_Sales_Records34[[#This Row],[Ship Date Fixed]]-Europe_Sales_Records34[[#This Row],[Order Date Fixed]]</f>
        <v>24</v>
      </c>
      <c r="T956">
        <v>7162</v>
      </c>
      <c r="U956">
        <v>81.73</v>
      </c>
      <c r="V956">
        <v>56.67</v>
      </c>
      <c r="W956">
        <f>Europe_Sales_Records34[[#This Row],[Total Revenue]]/Europe_Sales_Records34[[#This Row],[Units Sold]]</f>
        <v>81.73</v>
      </c>
      <c r="X956">
        <v>585350.26</v>
      </c>
      <c r="Y956">
        <v>405870.54</v>
      </c>
      <c r="Z956" s="4">
        <f>Europe_Sales_Records34[[#This Row],[Total Profit]]/Europe_Sales_Records34[[#This Row],[Total Revenue]]</f>
        <v>0.30661935641747218</v>
      </c>
      <c r="AA956">
        <v>179479.72</v>
      </c>
    </row>
    <row r="957" spans="1:27" x14ac:dyDescent="0.3">
      <c r="A957" t="s">
        <v>14</v>
      </c>
      <c r="B957" t="s">
        <v>271</v>
      </c>
      <c r="C957" t="s">
        <v>37</v>
      </c>
      <c r="D957" t="s">
        <v>23</v>
      </c>
      <c r="E957" t="s">
        <v>33</v>
      </c>
      <c r="F957" t="s">
        <v>1478</v>
      </c>
      <c r="G957" s="2">
        <f t="shared" si="28"/>
        <v>42632</v>
      </c>
      <c r="H957">
        <f>DAY(Europe_Sales_Records34[[#This Row],[Order Date Fixed]])</f>
        <v>19</v>
      </c>
      <c r="I957" t="str">
        <f>TEXT(Europe_Sales_Records34[[#This Row],[Order Date Fixed]],"MMM")</f>
        <v>Sep</v>
      </c>
      <c r="J957">
        <f>YEAR(Europe_Sales_Records34[[#This Row],[Order Date Fixed]])</f>
        <v>2016</v>
      </c>
      <c r="K957" t="str">
        <f>TEXT(Europe_Sales_Records34[[#This Row],[Order Date Fixed]],"MMM-YYYY")</f>
        <v>Sep-2016</v>
      </c>
      <c r="L957">
        <v>548015487</v>
      </c>
      <c r="M957" s="2">
        <f t="shared" si="29"/>
        <v>42652</v>
      </c>
      <c r="N957">
        <f>DAY(Europe_Sales_Records34[[#This Row],[Ship Date Fixed]])</f>
        <v>9</v>
      </c>
      <c r="O957" t="str">
        <f>TEXT(Europe_Sales_Records34[[#This Row],[Ship Date Fixed]],"MMM")</f>
        <v>Oct</v>
      </c>
      <c r="P957">
        <f>YEAR(Europe_Sales_Records34[[#This Row],[Ship Date Fixed]])</f>
        <v>2016</v>
      </c>
      <c r="Q957" t="str">
        <f>TEXT(Europe_Sales_Records34[[#This Row],[Ship Date Fixed]],"MMM-YYYY")</f>
        <v>Oct-2016</v>
      </c>
      <c r="R957" t="s">
        <v>152</v>
      </c>
      <c r="S957" s="3">
        <f>Europe_Sales_Records34[[#This Row],[Ship Date Fixed]]-Europe_Sales_Records34[[#This Row],[Order Date Fixed]]</f>
        <v>20</v>
      </c>
      <c r="T957">
        <v>8815</v>
      </c>
      <c r="U957">
        <v>9.33</v>
      </c>
      <c r="V957">
        <v>6.92</v>
      </c>
      <c r="W957">
        <f>Europe_Sales_Records34[[#This Row],[Total Revenue]]/Europe_Sales_Records34[[#This Row],[Units Sold]]</f>
        <v>9.33</v>
      </c>
      <c r="X957">
        <v>82243.95</v>
      </c>
      <c r="Y957">
        <v>60999.8</v>
      </c>
      <c r="Z957" s="4">
        <f>Europe_Sales_Records34[[#This Row],[Total Profit]]/Europe_Sales_Records34[[#This Row],[Total Revenue]]</f>
        <v>0.25830653804930337</v>
      </c>
      <c r="AA957">
        <v>21244.15</v>
      </c>
    </row>
    <row r="958" spans="1:27" x14ac:dyDescent="0.3">
      <c r="A958" t="s">
        <v>14</v>
      </c>
      <c r="B958" t="s">
        <v>166</v>
      </c>
      <c r="C958" t="s">
        <v>46</v>
      </c>
      <c r="D958" t="s">
        <v>17</v>
      </c>
      <c r="E958" t="s">
        <v>24</v>
      </c>
      <c r="F958" t="s">
        <v>1479</v>
      </c>
      <c r="G958" s="2">
        <f t="shared" si="28"/>
        <v>40647</v>
      </c>
      <c r="H958">
        <f>DAY(Europe_Sales_Records34[[#This Row],[Order Date Fixed]])</f>
        <v>14</v>
      </c>
      <c r="I958" t="str">
        <f>TEXT(Europe_Sales_Records34[[#This Row],[Order Date Fixed]],"MMM")</f>
        <v>Apr</v>
      </c>
      <c r="J958">
        <f>YEAR(Europe_Sales_Records34[[#This Row],[Order Date Fixed]])</f>
        <v>2011</v>
      </c>
      <c r="K958" t="str">
        <f>TEXT(Europe_Sales_Records34[[#This Row],[Order Date Fixed]],"MMM-YYYY")</f>
        <v>Apr-2011</v>
      </c>
      <c r="L958">
        <v>305569112</v>
      </c>
      <c r="M958" s="2">
        <f t="shared" si="29"/>
        <v>40697</v>
      </c>
      <c r="N958">
        <f>DAY(Europe_Sales_Records34[[#This Row],[Ship Date Fixed]])</f>
        <v>3</v>
      </c>
      <c r="O958" t="str">
        <f>TEXT(Europe_Sales_Records34[[#This Row],[Ship Date Fixed]],"MMM")</f>
        <v>Jun</v>
      </c>
      <c r="P958">
        <f>YEAR(Europe_Sales_Records34[[#This Row],[Ship Date Fixed]])</f>
        <v>2011</v>
      </c>
      <c r="Q958" t="str">
        <f>TEXT(Europe_Sales_Records34[[#This Row],[Ship Date Fixed]],"MMM-YYYY")</f>
        <v>Jun-2011</v>
      </c>
      <c r="R958" t="s">
        <v>765</v>
      </c>
      <c r="S958" s="3">
        <f>Europe_Sales_Records34[[#This Row],[Ship Date Fixed]]-Europe_Sales_Records34[[#This Row],[Order Date Fixed]]</f>
        <v>50</v>
      </c>
      <c r="T958">
        <v>3545</v>
      </c>
      <c r="U958">
        <v>154.06</v>
      </c>
      <c r="V958">
        <v>90.93</v>
      </c>
      <c r="W958">
        <f>Europe_Sales_Records34[[#This Row],[Total Revenue]]/Europe_Sales_Records34[[#This Row],[Units Sold]]</f>
        <v>154.05999999999997</v>
      </c>
      <c r="X958">
        <v>546142.69999999995</v>
      </c>
      <c r="Y958">
        <v>322346.84999999998</v>
      </c>
      <c r="Z958" s="4">
        <f>Europe_Sales_Records34[[#This Row],[Total Profit]]/Europe_Sales_Records34[[#This Row],[Total Revenue]]</f>
        <v>0.40977541217707392</v>
      </c>
      <c r="AA958">
        <v>223795.85</v>
      </c>
    </row>
    <row r="959" spans="1:27" x14ac:dyDescent="0.3">
      <c r="A959" t="s">
        <v>14</v>
      </c>
      <c r="B959" t="s">
        <v>243</v>
      </c>
      <c r="C959" t="s">
        <v>58</v>
      </c>
      <c r="D959" t="s">
        <v>17</v>
      </c>
      <c r="E959" t="s">
        <v>18</v>
      </c>
      <c r="F959" t="s">
        <v>585</v>
      </c>
      <c r="G959" s="2">
        <f t="shared" si="28"/>
        <v>42690</v>
      </c>
      <c r="H959">
        <f>DAY(Europe_Sales_Records34[[#This Row],[Order Date Fixed]])</f>
        <v>16</v>
      </c>
      <c r="I959" t="str">
        <f>TEXT(Europe_Sales_Records34[[#This Row],[Order Date Fixed]],"MMM")</f>
        <v>Nov</v>
      </c>
      <c r="J959">
        <f>YEAR(Europe_Sales_Records34[[#This Row],[Order Date Fixed]])</f>
        <v>2016</v>
      </c>
      <c r="K959" t="str">
        <f>TEXT(Europe_Sales_Records34[[#This Row],[Order Date Fixed]],"MMM-YYYY")</f>
        <v>Nov-2016</v>
      </c>
      <c r="L959">
        <v>536095750</v>
      </c>
      <c r="M959" s="2">
        <f t="shared" si="29"/>
        <v>42730</v>
      </c>
      <c r="N959">
        <f>DAY(Europe_Sales_Records34[[#This Row],[Ship Date Fixed]])</f>
        <v>26</v>
      </c>
      <c r="O959" t="str">
        <f>TEXT(Europe_Sales_Records34[[#This Row],[Ship Date Fixed]],"MMM")</f>
        <v>Dec</v>
      </c>
      <c r="P959">
        <f>YEAR(Europe_Sales_Records34[[#This Row],[Ship Date Fixed]])</f>
        <v>2016</v>
      </c>
      <c r="Q959" t="str">
        <f>TEXT(Europe_Sales_Records34[[#This Row],[Ship Date Fixed]],"MMM-YYYY")</f>
        <v>Dec-2016</v>
      </c>
      <c r="R959" t="s">
        <v>1480</v>
      </c>
      <c r="S959" s="3">
        <f>Europe_Sales_Records34[[#This Row],[Ship Date Fixed]]-Europe_Sales_Records34[[#This Row],[Order Date Fixed]]</f>
        <v>40</v>
      </c>
      <c r="T959">
        <v>1500</v>
      </c>
      <c r="U959">
        <v>152.58000000000001</v>
      </c>
      <c r="V959">
        <v>97.44</v>
      </c>
      <c r="W959">
        <f>Europe_Sales_Records34[[#This Row],[Total Revenue]]/Europe_Sales_Records34[[#This Row],[Units Sold]]</f>
        <v>152.58000000000001</v>
      </c>
      <c r="X959">
        <v>228870</v>
      </c>
      <c r="Y959">
        <v>146160</v>
      </c>
      <c r="Z959" s="4">
        <f>Europe_Sales_Records34[[#This Row],[Total Profit]]/Europe_Sales_Records34[[#This Row],[Total Revenue]]</f>
        <v>0.36138419189933152</v>
      </c>
      <c r="AA959">
        <v>82710</v>
      </c>
    </row>
    <row r="960" spans="1:27" x14ac:dyDescent="0.3">
      <c r="A960" t="s">
        <v>14</v>
      </c>
      <c r="B960" t="s">
        <v>122</v>
      </c>
      <c r="C960" t="s">
        <v>71</v>
      </c>
      <c r="D960" t="s">
        <v>17</v>
      </c>
      <c r="E960" t="s">
        <v>33</v>
      </c>
      <c r="F960" t="s">
        <v>1481</v>
      </c>
      <c r="G960" s="2">
        <f t="shared" si="28"/>
        <v>42256</v>
      </c>
      <c r="H960">
        <f>DAY(Europe_Sales_Records34[[#This Row],[Order Date Fixed]])</f>
        <v>9</v>
      </c>
      <c r="I960" t="str">
        <f>TEXT(Europe_Sales_Records34[[#This Row],[Order Date Fixed]],"MMM")</f>
        <v>Sep</v>
      </c>
      <c r="J960">
        <f>YEAR(Europe_Sales_Records34[[#This Row],[Order Date Fixed]])</f>
        <v>2015</v>
      </c>
      <c r="K960" t="str">
        <f>TEXT(Europe_Sales_Records34[[#This Row],[Order Date Fixed]],"MMM-YYYY")</f>
        <v>Sep-2015</v>
      </c>
      <c r="L960">
        <v>621577537</v>
      </c>
      <c r="M960" s="2">
        <f t="shared" si="29"/>
        <v>42263</v>
      </c>
      <c r="N960">
        <f>DAY(Europe_Sales_Records34[[#This Row],[Ship Date Fixed]])</f>
        <v>16</v>
      </c>
      <c r="O960" t="str">
        <f>TEXT(Europe_Sales_Records34[[#This Row],[Ship Date Fixed]],"MMM")</f>
        <v>Sep</v>
      </c>
      <c r="P960">
        <f>YEAR(Europe_Sales_Records34[[#This Row],[Ship Date Fixed]])</f>
        <v>2015</v>
      </c>
      <c r="Q960" t="str">
        <f>TEXT(Europe_Sales_Records34[[#This Row],[Ship Date Fixed]],"MMM-YYYY")</f>
        <v>Sep-2015</v>
      </c>
      <c r="R960" t="s">
        <v>1026</v>
      </c>
      <c r="S960" s="3">
        <f>Europe_Sales_Records34[[#This Row],[Ship Date Fixed]]-Europe_Sales_Records34[[#This Row],[Order Date Fixed]]</f>
        <v>7</v>
      </c>
      <c r="T960">
        <v>7461</v>
      </c>
      <c r="U960">
        <v>668.27</v>
      </c>
      <c r="V960">
        <v>502.54</v>
      </c>
      <c r="W960">
        <f>Europe_Sales_Records34[[#This Row],[Total Revenue]]/Europe_Sales_Records34[[#This Row],[Units Sold]]</f>
        <v>668.27</v>
      </c>
      <c r="X960">
        <v>4985962.47</v>
      </c>
      <c r="Y960">
        <v>3749450.94</v>
      </c>
      <c r="Z960" s="4">
        <f>Europe_Sales_Records34[[#This Row],[Total Profit]]/Europe_Sales_Records34[[#This Row],[Total Revenue]]</f>
        <v>0.24799856345489102</v>
      </c>
      <c r="AA960">
        <v>1236511.53</v>
      </c>
    </row>
    <row r="961" spans="1:27" x14ac:dyDescent="0.3">
      <c r="A961" t="s">
        <v>14</v>
      </c>
      <c r="B961" t="s">
        <v>31</v>
      </c>
      <c r="C961" t="s">
        <v>75</v>
      </c>
      <c r="D961" t="s">
        <v>17</v>
      </c>
      <c r="E961" t="s">
        <v>54</v>
      </c>
      <c r="F961" t="s">
        <v>1482</v>
      </c>
      <c r="G961" s="2">
        <f t="shared" si="28"/>
        <v>42861</v>
      </c>
      <c r="H961">
        <f>DAY(Europe_Sales_Records34[[#This Row],[Order Date Fixed]])</f>
        <v>6</v>
      </c>
      <c r="I961" t="str">
        <f>TEXT(Europe_Sales_Records34[[#This Row],[Order Date Fixed]],"MMM")</f>
        <v>May</v>
      </c>
      <c r="J961">
        <f>YEAR(Europe_Sales_Records34[[#This Row],[Order Date Fixed]])</f>
        <v>2017</v>
      </c>
      <c r="K961" t="str">
        <f>TEXT(Europe_Sales_Records34[[#This Row],[Order Date Fixed]],"MMM-YYYY")</f>
        <v>May-2017</v>
      </c>
      <c r="L961">
        <v>826968657</v>
      </c>
      <c r="M961" s="2">
        <f t="shared" si="29"/>
        <v>42901</v>
      </c>
      <c r="N961">
        <f>DAY(Europe_Sales_Records34[[#This Row],[Ship Date Fixed]])</f>
        <v>15</v>
      </c>
      <c r="O961" t="str">
        <f>TEXT(Europe_Sales_Records34[[#This Row],[Ship Date Fixed]],"MMM")</f>
        <v>Jun</v>
      </c>
      <c r="P961">
        <f>YEAR(Europe_Sales_Records34[[#This Row],[Ship Date Fixed]])</f>
        <v>2017</v>
      </c>
      <c r="Q961" t="str">
        <f>TEXT(Europe_Sales_Records34[[#This Row],[Ship Date Fixed]],"MMM-YYYY")</f>
        <v>Jun-2017</v>
      </c>
      <c r="R961" t="s">
        <v>621</v>
      </c>
      <c r="S961" s="3">
        <f>Europe_Sales_Records34[[#This Row],[Ship Date Fixed]]-Europe_Sales_Records34[[#This Row],[Order Date Fixed]]</f>
        <v>40</v>
      </c>
      <c r="T961">
        <v>7258</v>
      </c>
      <c r="U961">
        <v>437.2</v>
      </c>
      <c r="V961">
        <v>263.33</v>
      </c>
      <c r="W961">
        <f>Europe_Sales_Records34[[#This Row],[Total Revenue]]/Europe_Sales_Records34[[#This Row],[Units Sold]]</f>
        <v>437.2</v>
      </c>
      <c r="X961">
        <v>3173197.6</v>
      </c>
      <c r="Y961">
        <v>1911249.14</v>
      </c>
      <c r="Z961" s="4">
        <f>Europe_Sales_Records34[[#This Row],[Total Profit]]/Europe_Sales_Records34[[#This Row],[Total Revenue]]</f>
        <v>0.39768984446477584</v>
      </c>
      <c r="AA961">
        <v>1261948.46</v>
      </c>
    </row>
    <row r="962" spans="1:27" x14ac:dyDescent="0.3">
      <c r="A962" t="s">
        <v>14</v>
      </c>
      <c r="B962" t="s">
        <v>40</v>
      </c>
      <c r="C962" t="s">
        <v>71</v>
      </c>
      <c r="D962" t="s">
        <v>17</v>
      </c>
      <c r="E962" t="s">
        <v>33</v>
      </c>
      <c r="F962" t="s">
        <v>1483</v>
      </c>
      <c r="G962" s="2">
        <f t="shared" ref="G962:G1025" si="30">DATE(
  RIGHT(F962,4),
  LEFT(F962,FIND("/",F962)-1),
  MID(F962,FIND("/",F962)+1, FIND("/",F962,FIND("/",F962)+1)-FIND("/",F962)-1)
)</f>
        <v>40507</v>
      </c>
      <c r="H962">
        <f>DAY(Europe_Sales_Records34[[#This Row],[Order Date Fixed]])</f>
        <v>25</v>
      </c>
      <c r="I962" t="str">
        <f>TEXT(Europe_Sales_Records34[[#This Row],[Order Date Fixed]],"MMM")</f>
        <v>Nov</v>
      </c>
      <c r="J962">
        <f>YEAR(Europe_Sales_Records34[[#This Row],[Order Date Fixed]])</f>
        <v>2010</v>
      </c>
      <c r="K962" t="str">
        <f>TEXT(Europe_Sales_Records34[[#This Row],[Order Date Fixed]],"MMM-YYYY")</f>
        <v>Nov-2010</v>
      </c>
      <c r="L962">
        <v>546544349</v>
      </c>
      <c r="M962" s="2">
        <f t="shared" ref="M962:M1025" si="31">DATE(
  RIGHT(R962,4),
  LEFT(R962,FIND("/",R962)-1),
  MID(
      R962,
      FIND("/",R962)+1,
      FIND("/",R962,FIND("/",R962)+1)-FIND("/",R962)-1
     )
)</f>
        <v>40524</v>
      </c>
      <c r="N962">
        <f>DAY(Europe_Sales_Records34[[#This Row],[Ship Date Fixed]])</f>
        <v>12</v>
      </c>
      <c r="O962" t="str">
        <f>TEXT(Europe_Sales_Records34[[#This Row],[Ship Date Fixed]],"MMM")</f>
        <v>Dec</v>
      </c>
      <c r="P962">
        <f>YEAR(Europe_Sales_Records34[[#This Row],[Ship Date Fixed]])</f>
        <v>2010</v>
      </c>
      <c r="Q962" t="str">
        <f>TEXT(Europe_Sales_Records34[[#This Row],[Ship Date Fixed]],"MMM-YYYY")</f>
        <v>Dec-2010</v>
      </c>
      <c r="R962" t="s">
        <v>1484</v>
      </c>
      <c r="S962" s="3">
        <f>Europe_Sales_Records34[[#This Row],[Ship Date Fixed]]-Europe_Sales_Records34[[#This Row],[Order Date Fixed]]</f>
        <v>17</v>
      </c>
      <c r="T962">
        <v>3473</v>
      </c>
      <c r="U962">
        <v>668.27</v>
      </c>
      <c r="V962">
        <v>502.54</v>
      </c>
      <c r="W962">
        <f>Europe_Sales_Records34[[#This Row],[Total Revenue]]/Europe_Sales_Records34[[#This Row],[Units Sold]]</f>
        <v>668.27</v>
      </c>
      <c r="X962">
        <v>2320901.71</v>
      </c>
      <c r="Y962">
        <v>1745321.42</v>
      </c>
      <c r="Z962" s="4">
        <f>Europe_Sales_Records34[[#This Row],[Total Profit]]/Europe_Sales_Records34[[#This Row],[Total Revenue]]</f>
        <v>0.24799856345489102</v>
      </c>
      <c r="AA962">
        <v>575580.29</v>
      </c>
    </row>
    <row r="963" spans="1:27" x14ac:dyDescent="0.3">
      <c r="A963" t="s">
        <v>14</v>
      </c>
      <c r="B963" t="s">
        <v>45</v>
      </c>
      <c r="C963" t="s">
        <v>71</v>
      </c>
      <c r="D963" t="s">
        <v>17</v>
      </c>
      <c r="E963" t="s">
        <v>18</v>
      </c>
      <c r="F963" t="s">
        <v>292</v>
      </c>
      <c r="G963" s="2">
        <f t="shared" si="30"/>
        <v>42618</v>
      </c>
      <c r="H963">
        <f>DAY(Europe_Sales_Records34[[#This Row],[Order Date Fixed]])</f>
        <v>5</v>
      </c>
      <c r="I963" t="str">
        <f>TEXT(Europe_Sales_Records34[[#This Row],[Order Date Fixed]],"MMM")</f>
        <v>Sep</v>
      </c>
      <c r="J963">
        <f>YEAR(Europe_Sales_Records34[[#This Row],[Order Date Fixed]])</f>
        <v>2016</v>
      </c>
      <c r="K963" t="str">
        <f>TEXT(Europe_Sales_Records34[[#This Row],[Order Date Fixed]],"MMM-YYYY")</f>
        <v>Sep-2016</v>
      </c>
      <c r="L963">
        <v>463591134</v>
      </c>
      <c r="M963" s="2">
        <f t="shared" si="31"/>
        <v>42644</v>
      </c>
      <c r="N963">
        <f>DAY(Europe_Sales_Records34[[#This Row],[Ship Date Fixed]])</f>
        <v>1</v>
      </c>
      <c r="O963" t="str">
        <f>TEXT(Europe_Sales_Records34[[#This Row],[Ship Date Fixed]],"MMM")</f>
        <v>Oct</v>
      </c>
      <c r="P963">
        <f>YEAR(Europe_Sales_Records34[[#This Row],[Ship Date Fixed]])</f>
        <v>2016</v>
      </c>
      <c r="Q963" t="str">
        <f>TEXT(Europe_Sales_Records34[[#This Row],[Ship Date Fixed]],"MMM-YYYY")</f>
        <v>Oct-2016</v>
      </c>
      <c r="R963" t="s">
        <v>788</v>
      </c>
      <c r="S963" s="3">
        <f>Europe_Sales_Records34[[#This Row],[Ship Date Fixed]]-Europe_Sales_Records34[[#This Row],[Order Date Fixed]]</f>
        <v>26</v>
      </c>
      <c r="T963">
        <v>5773</v>
      </c>
      <c r="U963">
        <v>668.27</v>
      </c>
      <c r="V963">
        <v>502.54</v>
      </c>
      <c r="W963">
        <f>Europe_Sales_Records34[[#This Row],[Total Revenue]]/Europe_Sales_Records34[[#This Row],[Units Sold]]</f>
        <v>668.27</v>
      </c>
      <c r="X963">
        <v>3857922.71</v>
      </c>
      <c r="Y963">
        <v>2901163.42</v>
      </c>
      <c r="Z963" s="4">
        <f>Europe_Sales_Records34[[#This Row],[Total Profit]]/Europe_Sales_Records34[[#This Row],[Total Revenue]]</f>
        <v>0.24799856345489099</v>
      </c>
      <c r="AA963">
        <v>956759.29</v>
      </c>
    </row>
    <row r="964" spans="1:27" x14ac:dyDescent="0.3">
      <c r="A964" t="s">
        <v>14</v>
      </c>
      <c r="B964" t="s">
        <v>181</v>
      </c>
      <c r="C964" t="s">
        <v>32</v>
      </c>
      <c r="D964" t="s">
        <v>17</v>
      </c>
      <c r="E964" t="s">
        <v>18</v>
      </c>
      <c r="F964" t="s">
        <v>165</v>
      </c>
      <c r="G964" s="2">
        <f t="shared" si="30"/>
        <v>42355</v>
      </c>
      <c r="H964">
        <f>DAY(Europe_Sales_Records34[[#This Row],[Order Date Fixed]])</f>
        <v>17</v>
      </c>
      <c r="I964" t="str">
        <f>TEXT(Europe_Sales_Records34[[#This Row],[Order Date Fixed]],"MMM")</f>
        <v>Dec</v>
      </c>
      <c r="J964">
        <f>YEAR(Europe_Sales_Records34[[#This Row],[Order Date Fixed]])</f>
        <v>2015</v>
      </c>
      <c r="K964" t="str">
        <f>TEXT(Europe_Sales_Records34[[#This Row],[Order Date Fixed]],"MMM-YYYY")</f>
        <v>Dec-2015</v>
      </c>
      <c r="L964">
        <v>696839892</v>
      </c>
      <c r="M964" s="2">
        <f t="shared" si="31"/>
        <v>42371</v>
      </c>
      <c r="N964">
        <f>DAY(Europe_Sales_Records34[[#This Row],[Ship Date Fixed]])</f>
        <v>2</v>
      </c>
      <c r="O964" t="str">
        <f>TEXT(Europe_Sales_Records34[[#This Row],[Ship Date Fixed]],"MMM")</f>
        <v>Jan</v>
      </c>
      <c r="P964">
        <f>YEAR(Europe_Sales_Records34[[#This Row],[Ship Date Fixed]])</f>
        <v>2016</v>
      </c>
      <c r="Q964" t="str">
        <f>TEXT(Europe_Sales_Records34[[#This Row],[Ship Date Fixed]],"MMM-YYYY")</f>
        <v>Jan-2016</v>
      </c>
      <c r="R964" t="s">
        <v>852</v>
      </c>
      <c r="S964" s="3">
        <f>Europe_Sales_Records34[[#This Row],[Ship Date Fixed]]-Europe_Sales_Records34[[#This Row],[Order Date Fixed]]</f>
        <v>16</v>
      </c>
      <c r="T964">
        <v>9264</v>
      </c>
      <c r="U964">
        <v>651.21</v>
      </c>
      <c r="V964">
        <v>524.96</v>
      </c>
      <c r="W964">
        <f>Europe_Sales_Records34[[#This Row],[Total Revenue]]/Europe_Sales_Records34[[#This Row],[Units Sold]]</f>
        <v>651.21</v>
      </c>
      <c r="X964">
        <v>6032809.4400000004</v>
      </c>
      <c r="Y964">
        <v>4863229.4400000004</v>
      </c>
      <c r="Z964" s="4">
        <f>Europe_Sales_Records34[[#This Row],[Total Profit]]/Europe_Sales_Records34[[#This Row],[Total Revenue]]</f>
        <v>0.19386987300563566</v>
      </c>
      <c r="AA964">
        <v>1169580</v>
      </c>
    </row>
    <row r="965" spans="1:27" x14ac:dyDescent="0.3">
      <c r="A965" t="s">
        <v>14</v>
      </c>
      <c r="B965" t="s">
        <v>94</v>
      </c>
      <c r="C965" t="s">
        <v>102</v>
      </c>
      <c r="D965" t="s">
        <v>17</v>
      </c>
      <c r="E965" t="s">
        <v>24</v>
      </c>
      <c r="F965" t="s">
        <v>1485</v>
      </c>
      <c r="G965" s="2">
        <f t="shared" si="30"/>
        <v>40808</v>
      </c>
      <c r="H965">
        <f>DAY(Europe_Sales_Records34[[#This Row],[Order Date Fixed]])</f>
        <v>22</v>
      </c>
      <c r="I965" t="str">
        <f>TEXT(Europe_Sales_Records34[[#This Row],[Order Date Fixed]],"MMM")</f>
        <v>Sep</v>
      </c>
      <c r="J965">
        <f>YEAR(Europe_Sales_Records34[[#This Row],[Order Date Fixed]])</f>
        <v>2011</v>
      </c>
      <c r="K965" t="str">
        <f>TEXT(Europe_Sales_Records34[[#This Row],[Order Date Fixed]],"MMM-YYYY")</f>
        <v>Sep-2011</v>
      </c>
      <c r="L965">
        <v>509380948</v>
      </c>
      <c r="M965" s="2">
        <f t="shared" si="31"/>
        <v>40813</v>
      </c>
      <c r="N965">
        <f>DAY(Europe_Sales_Records34[[#This Row],[Ship Date Fixed]])</f>
        <v>27</v>
      </c>
      <c r="O965" t="str">
        <f>TEXT(Europe_Sales_Records34[[#This Row],[Ship Date Fixed]],"MMM")</f>
        <v>Sep</v>
      </c>
      <c r="P965">
        <f>YEAR(Europe_Sales_Records34[[#This Row],[Ship Date Fixed]])</f>
        <v>2011</v>
      </c>
      <c r="Q965" t="str">
        <f>TEXT(Europe_Sales_Records34[[#This Row],[Ship Date Fixed]],"MMM-YYYY")</f>
        <v>Sep-2011</v>
      </c>
      <c r="R965" t="s">
        <v>1486</v>
      </c>
      <c r="S965" s="3">
        <f>Europe_Sales_Records34[[#This Row],[Ship Date Fixed]]-Europe_Sales_Records34[[#This Row],[Order Date Fixed]]</f>
        <v>5</v>
      </c>
      <c r="T965">
        <v>5997</v>
      </c>
      <c r="U965">
        <v>81.73</v>
      </c>
      <c r="V965">
        <v>56.67</v>
      </c>
      <c r="W965">
        <f>Europe_Sales_Records34[[#This Row],[Total Revenue]]/Europe_Sales_Records34[[#This Row],[Units Sold]]</f>
        <v>81.73</v>
      </c>
      <c r="X965">
        <v>490134.81</v>
      </c>
      <c r="Y965">
        <v>339849.99</v>
      </c>
      <c r="Z965" s="4">
        <f>Europe_Sales_Records34[[#This Row],[Total Profit]]/Europe_Sales_Records34[[#This Row],[Total Revenue]]</f>
        <v>0.30661935641747218</v>
      </c>
      <c r="AA965">
        <v>150284.82</v>
      </c>
    </row>
    <row r="966" spans="1:27" x14ac:dyDescent="0.3">
      <c r="A966" t="s">
        <v>14</v>
      </c>
      <c r="B966" t="s">
        <v>70</v>
      </c>
      <c r="C966" t="s">
        <v>22</v>
      </c>
      <c r="D966" t="s">
        <v>17</v>
      </c>
      <c r="E966" t="s">
        <v>24</v>
      </c>
      <c r="F966" t="s">
        <v>1487</v>
      </c>
      <c r="G966" s="2">
        <f t="shared" si="30"/>
        <v>40752</v>
      </c>
      <c r="H966">
        <f>DAY(Europe_Sales_Records34[[#This Row],[Order Date Fixed]])</f>
        <v>28</v>
      </c>
      <c r="I966" t="str">
        <f>TEXT(Europe_Sales_Records34[[#This Row],[Order Date Fixed]],"MMM")</f>
        <v>Jul</v>
      </c>
      <c r="J966">
        <f>YEAR(Europe_Sales_Records34[[#This Row],[Order Date Fixed]])</f>
        <v>2011</v>
      </c>
      <c r="K966" t="str">
        <f>TEXT(Europe_Sales_Records34[[#This Row],[Order Date Fixed]],"MMM-YYYY")</f>
        <v>Jul-2011</v>
      </c>
      <c r="L966">
        <v>221628844</v>
      </c>
      <c r="M966" s="2">
        <f t="shared" si="31"/>
        <v>40787</v>
      </c>
      <c r="N966">
        <f>DAY(Europe_Sales_Records34[[#This Row],[Ship Date Fixed]])</f>
        <v>1</v>
      </c>
      <c r="O966" t="str">
        <f>TEXT(Europe_Sales_Records34[[#This Row],[Ship Date Fixed]],"MMM")</f>
        <v>Sep</v>
      </c>
      <c r="P966">
        <f>YEAR(Europe_Sales_Records34[[#This Row],[Ship Date Fixed]])</f>
        <v>2011</v>
      </c>
      <c r="Q966" t="str">
        <f>TEXT(Europe_Sales_Records34[[#This Row],[Ship Date Fixed]],"MMM-YYYY")</f>
        <v>Sep-2011</v>
      </c>
      <c r="R966" t="s">
        <v>1488</v>
      </c>
      <c r="S966" s="3">
        <f>Europe_Sales_Records34[[#This Row],[Ship Date Fixed]]-Europe_Sales_Records34[[#This Row],[Order Date Fixed]]</f>
        <v>35</v>
      </c>
      <c r="T966">
        <v>3755</v>
      </c>
      <c r="U966">
        <v>109.28</v>
      </c>
      <c r="V966">
        <v>35.840000000000003</v>
      </c>
      <c r="W966">
        <f>Europe_Sales_Records34[[#This Row],[Total Revenue]]/Europe_Sales_Records34[[#This Row],[Units Sold]]</f>
        <v>109.28</v>
      </c>
      <c r="X966">
        <v>410346.4</v>
      </c>
      <c r="Y966">
        <v>134579.20000000001</v>
      </c>
      <c r="Z966" s="4">
        <f>Europe_Sales_Records34[[#This Row],[Total Profit]]/Europe_Sales_Records34[[#This Row],[Total Revenue]]</f>
        <v>0.67203513909224011</v>
      </c>
      <c r="AA966">
        <v>275767.2</v>
      </c>
    </row>
    <row r="967" spans="1:27" x14ac:dyDescent="0.3">
      <c r="A967" t="s">
        <v>14</v>
      </c>
      <c r="B967" t="s">
        <v>36</v>
      </c>
      <c r="C967" t="s">
        <v>16</v>
      </c>
      <c r="D967" t="s">
        <v>23</v>
      </c>
      <c r="E967" t="s">
        <v>54</v>
      </c>
      <c r="F967" t="s">
        <v>1489</v>
      </c>
      <c r="G967" s="2">
        <f t="shared" si="30"/>
        <v>42429</v>
      </c>
      <c r="H967">
        <f>DAY(Europe_Sales_Records34[[#This Row],[Order Date Fixed]])</f>
        <v>29</v>
      </c>
      <c r="I967" t="str">
        <f>TEXT(Europe_Sales_Records34[[#This Row],[Order Date Fixed]],"MMM")</f>
        <v>Feb</v>
      </c>
      <c r="J967">
        <f>YEAR(Europe_Sales_Records34[[#This Row],[Order Date Fixed]])</f>
        <v>2016</v>
      </c>
      <c r="K967" t="str">
        <f>TEXT(Europe_Sales_Records34[[#This Row],[Order Date Fixed]],"MMM-YYYY")</f>
        <v>Feb-2016</v>
      </c>
      <c r="L967">
        <v>650208079</v>
      </c>
      <c r="M967" s="2">
        <f t="shared" si="31"/>
        <v>42448</v>
      </c>
      <c r="N967">
        <f>DAY(Europe_Sales_Records34[[#This Row],[Ship Date Fixed]])</f>
        <v>19</v>
      </c>
      <c r="O967" t="str">
        <f>TEXT(Europe_Sales_Records34[[#This Row],[Ship Date Fixed]],"MMM")</f>
        <v>Mar</v>
      </c>
      <c r="P967">
        <f>YEAR(Europe_Sales_Records34[[#This Row],[Ship Date Fixed]])</f>
        <v>2016</v>
      </c>
      <c r="Q967" t="str">
        <f>TEXT(Europe_Sales_Records34[[#This Row],[Ship Date Fixed]],"MMM-YYYY")</f>
        <v>Mar-2016</v>
      </c>
      <c r="R967" t="s">
        <v>1372</v>
      </c>
      <c r="S967" s="3">
        <f>Europe_Sales_Records34[[#This Row],[Ship Date Fixed]]-Europe_Sales_Records34[[#This Row],[Order Date Fixed]]</f>
        <v>19</v>
      </c>
      <c r="T967">
        <v>9875</v>
      </c>
      <c r="U967">
        <v>47.45</v>
      </c>
      <c r="V967">
        <v>31.79</v>
      </c>
      <c r="W967">
        <f>Europe_Sales_Records34[[#This Row],[Total Revenue]]/Europe_Sales_Records34[[#This Row],[Units Sold]]</f>
        <v>47.45</v>
      </c>
      <c r="X967">
        <v>468568.75</v>
      </c>
      <c r="Y967">
        <v>313926.25</v>
      </c>
      <c r="Z967" s="4">
        <f>Europe_Sales_Records34[[#This Row],[Total Profit]]/Europe_Sales_Records34[[#This Row],[Total Revenue]]</f>
        <v>0.33003161222339306</v>
      </c>
      <c r="AA967">
        <v>154642.5</v>
      </c>
    </row>
    <row r="968" spans="1:27" x14ac:dyDescent="0.3">
      <c r="A968" t="s">
        <v>14</v>
      </c>
      <c r="B968" t="s">
        <v>146</v>
      </c>
      <c r="C968" t="s">
        <v>50</v>
      </c>
      <c r="D968" t="s">
        <v>17</v>
      </c>
      <c r="E968" t="s">
        <v>33</v>
      </c>
      <c r="F968" t="s">
        <v>1490</v>
      </c>
      <c r="G968" s="2">
        <f t="shared" si="30"/>
        <v>40343</v>
      </c>
      <c r="H968">
        <f>DAY(Europe_Sales_Records34[[#This Row],[Order Date Fixed]])</f>
        <v>14</v>
      </c>
      <c r="I968" t="str">
        <f>TEXT(Europe_Sales_Records34[[#This Row],[Order Date Fixed]],"MMM")</f>
        <v>Jun</v>
      </c>
      <c r="J968">
        <f>YEAR(Europe_Sales_Records34[[#This Row],[Order Date Fixed]])</f>
        <v>2010</v>
      </c>
      <c r="K968" t="str">
        <f>TEXT(Europe_Sales_Records34[[#This Row],[Order Date Fixed]],"MMM-YYYY")</f>
        <v>Jun-2010</v>
      </c>
      <c r="L968">
        <v>229105556</v>
      </c>
      <c r="M968" s="2">
        <f t="shared" si="31"/>
        <v>40393</v>
      </c>
      <c r="N968">
        <f>DAY(Europe_Sales_Records34[[#This Row],[Ship Date Fixed]])</f>
        <v>3</v>
      </c>
      <c r="O968" t="str">
        <f>TEXT(Europe_Sales_Records34[[#This Row],[Ship Date Fixed]],"MMM")</f>
        <v>Aug</v>
      </c>
      <c r="P968">
        <f>YEAR(Europe_Sales_Records34[[#This Row],[Ship Date Fixed]])</f>
        <v>2010</v>
      </c>
      <c r="Q968" t="str">
        <f>TEXT(Europe_Sales_Records34[[#This Row],[Ship Date Fixed]],"MMM-YYYY")</f>
        <v>Aug-2010</v>
      </c>
      <c r="R968" t="s">
        <v>1491</v>
      </c>
      <c r="S968" s="3">
        <f>Europe_Sales_Records34[[#This Row],[Ship Date Fixed]]-Europe_Sales_Records34[[#This Row],[Order Date Fixed]]</f>
        <v>50</v>
      </c>
      <c r="T968">
        <v>6280</v>
      </c>
      <c r="U968">
        <v>421.89</v>
      </c>
      <c r="V968">
        <v>364.69</v>
      </c>
      <c r="W968">
        <f>Europe_Sales_Records34[[#This Row],[Total Revenue]]/Europe_Sales_Records34[[#This Row],[Units Sold]]</f>
        <v>421.89000000000004</v>
      </c>
      <c r="X968">
        <v>2649469.2000000002</v>
      </c>
      <c r="Y968">
        <v>2290253.2000000002</v>
      </c>
      <c r="Z968" s="4">
        <f>Europe_Sales_Records34[[#This Row],[Total Profit]]/Europe_Sales_Records34[[#This Row],[Total Revenue]]</f>
        <v>0.13558036455000116</v>
      </c>
      <c r="AA968">
        <v>359216</v>
      </c>
    </row>
    <row r="969" spans="1:27" x14ac:dyDescent="0.3">
      <c r="A969" t="s">
        <v>14</v>
      </c>
      <c r="B969" t="s">
        <v>74</v>
      </c>
      <c r="C969" t="s">
        <v>32</v>
      </c>
      <c r="D969" t="s">
        <v>17</v>
      </c>
      <c r="E969" t="s">
        <v>24</v>
      </c>
      <c r="F969" t="s">
        <v>1492</v>
      </c>
      <c r="G969" s="2">
        <f t="shared" si="30"/>
        <v>42440</v>
      </c>
      <c r="H969">
        <f>DAY(Europe_Sales_Records34[[#This Row],[Order Date Fixed]])</f>
        <v>11</v>
      </c>
      <c r="I969" t="str">
        <f>TEXT(Europe_Sales_Records34[[#This Row],[Order Date Fixed]],"MMM")</f>
        <v>Mar</v>
      </c>
      <c r="J969">
        <f>YEAR(Europe_Sales_Records34[[#This Row],[Order Date Fixed]])</f>
        <v>2016</v>
      </c>
      <c r="K969" t="str">
        <f>TEXT(Europe_Sales_Records34[[#This Row],[Order Date Fixed]],"MMM-YYYY")</f>
        <v>Mar-2016</v>
      </c>
      <c r="L969">
        <v>660481584</v>
      </c>
      <c r="M969" s="2">
        <f t="shared" si="31"/>
        <v>42480</v>
      </c>
      <c r="N969">
        <f>DAY(Europe_Sales_Records34[[#This Row],[Ship Date Fixed]])</f>
        <v>20</v>
      </c>
      <c r="O969" t="str">
        <f>TEXT(Europe_Sales_Records34[[#This Row],[Ship Date Fixed]],"MMM")</f>
        <v>Apr</v>
      </c>
      <c r="P969">
        <f>YEAR(Europe_Sales_Records34[[#This Row],[Ship Date Fixed]])</f>
        <v>2016</v>
      </c>
      <c r="Q969" t="str">
        <f>TEXT(Europe_Sales_Records34[[#This Row],[Ship Date Fixed]],"MMM-YYYY")</f>
        <v>Apr-2016</v>
      </c>
      <c r="R969" t="s">
        <v>1493</v>
      </c>
      <c r="S969" s="3">
        <f>Europe_Sales_Records34[[#This Row],[Ship Date Fixed]]-Europe_Sales_Records34[[#This Row],[Order Date Fixed]]</f>
        <v>40</v>
      </c>
      <c r="T969">
        <v>33</v>
      </c>
      <c r="U969">
        <v>651.21</v>
      </c>
      <c r="V969">
        <v>524.96</v>
      </c>
      <c r="W969">
        <f>Europe_Sales_Records34[[#This Row],[Total Revenue]]/Europe_Sales_Records34[[#This Row],[Units Sold]]</f>
        <v>651.21</v>
      </c>
      <c r="X969">
        <v>21489.93</v>
      </c>
      <c r="Y969">
        <v>17323.68</v>
      </c>
      <c r="Z969" s="4">
        <f>Europe_Sales_Records34[[#This Row],[Total Profit]]/Europe_Sales_Records34[[#This Row],[Total Revenue]]</f>
        <v>0.19386987300563566</v>
      </c>
      <c r="AA969">
        <v>4166.25</v>
      </c>
    </row>
    <row r="970" spans="1:27" x14ac:dyDescent="0.3">
      <c r="A970" t="s">
        <v>14</v>
      </c>
      <c r="B970" t="s">
        <v>132</v>
      </c>
      <c r="C970" t="s">
        <v>32</v>
      </c>
      <c r="D970" t="s">
        <v>17</v>
      </c>
      <c r="E970" t="s">
        <v>54</v>
      </c>
      <c r="F970" t="s">
        <v>677</v>
      </c>
      <c r="G970" s="2">
        <f t="shared" si="30"/>
        <v>41854</v>
      </c>
      <c r="H970">
        <f>DAY(Europe_Sales_Records34[[#This Row],[Order Date Fixed]])</f>
        <v>3</v>
      </c>
      <c r="I970" t="str">
        <f>TEXT(Europe_Sales_Records34[[#This Row],[Order Date Fixed]],"MMM")</f>
        <v>Aug</v>
      </c>
      <c r="J970">
        <f>YEAR(Europe_Sales_Records34[[#This Row],[Order Date Fixed]])</f>
        <v>2014</v>
      </c>
      <c r="K970" t="str">
        <f>TEXT(Europe_Sales_Records34[[#This Row],[Order Date Fixed]],"MMM-YYYY")</f>
        <v>Aug-2014</v>
      </c>
      <c r="L970">
        <v>168487203</v>
      </c>
      <c r="M970" s="2">
        <f t="shared" si="31"/>
        <v>41903</v>
      </c>
      <c r="N970">
        <f>DAY(Europe_Sales_Records34[[#This Row],[Ship Date Fixed]])</f>
        <v>21</v>
      </c>
      <c r="O970" t="str">
        <f>TEXT(Europe_Sales_Records34[[#This Row],[Ship Date Fixed]],"MMM")</f>
        <v>Sep</v>
      </c>
      <c r="P970">
        <f>YEAR(Europe_Sales_Records34[[#This Row],[Ship Date Fixed]])</f>
        <v>2014</v>
      </c>
      <c r="Q970" t="str">
        <f>TEXT(Europe_Sales_Records34[[#This Row],[Ship Date Fixed]],"MMM-YYYY")</f>
        <v>Sep-2014</v>
      </c>
      <c r="R970" t="s">
        <v>1494</v>
      </c>
      <c r="S970" s="3">
        <f>Europe_Sales_Records34[[#This Row],[Ship Date Fixed]]-Europe_Sales_Records34[[#This Row],[Order Date Fixed]]</f>
        <v>49</v>
      </c>
      <c r="T970">
        <v>7962</v>
      </c>
      <c r="U970">
        <v>651.21</v>
      </c>
      <c r="V970">
        <v>524.96</v>
      </c>
      <c r="W970">
        <f>Europe_Sales_Records34[[#This Row],[Total Revenue]]/Europe_Sales_Records34[[#This Row],[Units Sold]]</f>
        <v>651.20999999999992</v>
      </c>
      <c r="X970">
        <v>5184934.0199999996</v>
      </c>
      <c r="Y970">
        <v>4179731.52</v>
      </c>
      <c r="Z970" s="4">
        <f>Europe_Sales_Records34[[#This Row],[Total Profit]]/Europe_Sales_Records34[[#This Row],[Total Revenue]]</f>
        <v>0.19386987300563568</v>
      </c>
      <c r="AA970">
        <v>1005202.5</v>
      </c>
    </row>
    <row r="971" spans="1:27" x14ac:dyDescent="0.3">
      <c r="A971" t="s">
        <v>14</v>
      </c>
      <c r="B971" t="s">
        <v>70</v>
      </c>
      <c r="C971" t="s">
        <v>50</v>
      </c>
      <c r="D971" t="s">
        <v>23</v>
      </c>
      <c r="E971" t="s">
        <v>24</v>
      </c>
      <c r="F971" t="s">
        <v>1164</v>
      </c>
      <c r="G971" s="2">
        <f t="shared" si="30"/>
        <v>40532</v>
      </c>
      <c r="H971">
        <f>DAY(Europe_Sales_Records34[[#This Row],[Order Date Fixed]])</f>
        <v>20</v>
      </c>
      <c r="I971" t="str">
        <f>TEXT(Europe_Sales_Records34[[#This Row],[Order Date Fixed]],"MMM")</f>
        <v>Dec</v>
      </c>
      <c r="J971">
        <f>YEAR(Europe_Sales_Records34[[#This Row],[Order Date Fixed]])</f>
        <v>2010</v>
      </c>
      <c r="K971" t="str">
        <f>TEXT(Europe_Sales_Records34[[#This Row],[Order Date Fixed]],"MMM-YYYY")</f>
        <v>Dec-2010</v>
      </c>
      <c r="L971">
        <v>609952628</v>
      </c>
      <c r="M971" s="2">
        <f t="shared" si="31"/>
        <v>40574</v>
      </c>
      <c r="N971">
        <f>DAY(Europe_Sales_Records34[[#This Row],[Ship Date Fixed]])</f>
        <v>31</v>
      </c>
      <c r="O971" t="str">
        <f>TEXT(Europe_Sales_Records34[[#This Row],[Ship Date Fixed]],"MMM")</f>
        <v>Jan</v>
      </c>
      <c r="P971">
        <f>YEAR(Europe_Sales_Records34[[#This Row],[Ship Date Fixed]])</f>
        <v>2011</v>
      </c>
      <c r="Q971" t="str">
        <f>TEXT(Europe_Sales_Records34[[#This Row],[Ship Date Fixed]],"MMM-YYYY")</f>
        <v>Jan-2011</v>
      </c>
      <c r="R971" t="s">
        <v>1028</v>
      </c>
      <c r="S971" s="3">
        <f>Europe_Sales_Records34[[#This Row],[Ship Date Fixed]]-Europe_Sales_Records34[[#This Row],[Order Date Fixed]]</f>
        <v>42</v>
      </c>
      <c r="T971">
        <v>7392</v>
      </c>
      <c r="U971">
        <v>421.89</v>
      </c>
      <c r="V971">
        <v>364.69</v>
      </c>
      <c r="W971">
        <f>Europe_Sales_Records34[[#This Row],[Total Revenue]]/Europe_Sales_Records34[[#This Row],[Units Sold]]</f>
        <v>421.89</v>
      </c>
      <c r="X971">
        <v>3118610.88</v>
      </c>
      <c r="Y971">
        <v>2695788.48</v>
      </c>
      <c r="Z971" s="4">
        <f>Europe_Sales_Records34[[#This Row],[Total Profit]]/Europe_Sales_Records34[[#This Row],[Total Revenue]]</f>
        <v>0.13558036455000119</v>
      </c>
      <c r="AA971">
        <v>422822.40000000002</v>
      </c>
    </row>
    <row r="972" spans="1:27" x14ac:dyDescent="0.3">
      <c r="A972" t="s">
        <v>14</v>
      </c>
      <c r="B972" t="s">
        <v>243</v>
      </c>
      <c r="C972" t="s">
        <v>64</v>
      </c>
      <c r="D972" t="s">
        <v>17</v>
      </c>
      <c r="E972" t="s">
        <v>54</v>
      </c>
      <c r="F972" t="s">
        <v>667</v>
      </c>
      <c r="G972" s="2">
        <f t="shared" si="30"/>
        <v>41059</v>
      </c>
      <c r="H972">
        <f>DAY(Europe_Sales_Records34[[#This Row],[Order Date Fixed]])</f>
        <v>30</v>
      </c>
      <c r="I972" t="str">
        <f>TEXT(Europe_Sales_Records34[[#This Row],[Order Date Fixed]],"MMM")</f>
        <v>May</v>
      </c>
      <c r="J972">
        <f>YEAR(Europe_Sales_Records34[[#This Row],[Order Date Fixed]])</f>
        <v>2012</v>
      </c>
      <c r="K972" t="str">
        <f>TEXT(Europe_Sales_Records34[[#This Row],[Order Date Fixed]],"MMM-YYYY")</f>
        <v>May-2012</v>
      </c>
      <c r="L972">
        <v>891808593</v>
      </c>
      <c r="M972" s="2">
        <f t="shared" si="31"/>
        <v>41071</v>
      </c>
      <c r="N972">
        <f>DAY(Europe_Sales_Records34[[#This Row],[Ship Date Fixed]])</f>
        <v>11</v>
      </c>
      <c r="O972" t="str">
        <f>TEXT(Europe_Sales_Records34[[#This Row],[Ship Date Fixed]],"MMM")</f>
        <v>Jun</v>
      </c>
      <c r="P972">
        <f>YEAR(Europe_Sales_Records34[[#This Row],[Ship Date Fixed]])</f>
        <v>2012</v>
      </c>
      <c r="Q972" t="str">
        <f>TEXT(Europe_Sales_Records34[[#This Row],[Ship Date Fixed]],"MMM-YYYY")</f>
        <v>Jun-2012</v>
      </c>
      <c r="R972" t="s">
        <v>1495</v>
      </c>
      <c r="S972" s="3">
        <f>Europe_Sales_Records34[[#This Row],[Ship Date Fixed]]-Europe_Sales_Records34[[#This Row],[Order Date Fixed]]</f>
        <v>12</v>
      </c>
      <c r="T972">
        <v>4835</v>
      </c>
      <c r="U972">
        <v>255.28</v>
      </c>
      <c r="V972">
        <v>159.41999999999999</v>
      </c>
      <c r="W972">
        <f>Europe_Sales_Records34[[#This Row],[Total Revenue]]/Europe_Sales_Records34[[#This Row],[Units Sold]]</f>
        <v>255.28</v>
      </c>
      <c r="X972">
        <v>1234278.8</v>
      </c>
      <c r="Y972">
        <v>770795.7</v>
      </c>
      <c r="Z972" s="4">
        <f>Europe_Sales_Records34[[#This Row],[Total Profit]]/Europe_Sales_Records34[[#This Row],[Total Revenue]]</f>
        <v>0.37550924475086178</v>
      </c>
      <c r="AA972">
        <v>463483.1</v>
      </c>
    </row>
    <row r="973" spans="1:27" x14ac:dyDescent="0.3">
      <c r="A973" t="s">
        <v>14</v>
      </c>
      <c r="B973" t="s">
        <v>61</v>
      </c>
      <c r="C973" t="s">
        <v>37</v>
      </c>
      <c r="D973" t="s">
        <v>23</v>
      </c>
      <c r="E973" t="s">
        <v>33</v>
      </c>
      <c r="F973" t="s">
        <v>72</v>
      </c>
      <c r="G973" s="2">
        <f t="shared" si="30"/>
        <v>42926</v>
      </c>
      <c r="H973">
        <f>DAY(Europe_Sales_Records34[[#This Row],[Order Date Fixed]])</f>
        <v>10</v>
      </c>
      <c r="I973" t="str">
        <f>TEXT(Europe_Sales_Records34[[#This Row],[Order Date Fixed]],"MMM")</f>
        <v>Jul</v>
      </c>
      <c r="J973">
        <f>YEAR(Europe_Sales_Records34[[#This Row],[Order Date Fixed]])</f>
        <v>2017</v>
      </c>
      <c r="K973" t="str">
        <f>TEXT(Europe_Sales_Records34[[#This Row],[Order Date Fixed]],"MMM-YYYY")</f>
        <v>Jul-2017</v>
      </c>
      <c r="L973">
        <v>765734040</v>
      </c>
      <c r="M973" s="2">
        <f t="shared" si="31"/>
        <v>42951</v>
      </c>
      <c r="N973">
        <f>DAY(Europe_Sales_Records34[[#This Row],[Ship Date Fixed]])</f>
        <v>4</v>
      </c>
      <c r="O973" t="str">
        <f>TEXT(Europe_Sales_Records34[[#This Row],[Ship Date Fixed]],"MMM")</f>
        <v>Aug</v>
      </c>
      <c r="P973">
        <f>YEAR(Europe_Sales_Records34[[#This Row],[Ship Date Fixed]])</f>
        <v>2017</v>
      </c>
      <c r="Q973" t="str">
        <f>TEXT(Europe_Sales_Records34[[#This Row],[Ship Date Fixed]],"MMM-YYYY")</f>
        <v>Aug-2017</v>
      </c>
      <c r="R973" t="s">
        <v>91</v>
      </c>
      <c r="S973" s="3">
        <f>Europe_Sales_Records34[[#This Row],[Ship Date Fixed]]-Europe_Sales_Records34[[#This Row],[Order Date Fixed]]</f>
        <v>25</v>
      </c>
      <c r="T973">
        <v>6574</v>
      </c>
      <c r="U973">
        <v>9.33</v>
      </c>
      <c r="V973">
        <v>6.92</v>
      </c>
      <c r="W973">
        <f>Europe_Sales_Records34[[#This Row],[Total Revenue]]/Europe_Sales_Records34[[#This Row],[Units Sold]]</f>
        <v>9.33</v>
      </c>
      <c r="X973">
        <v>61335.42</v>
      </c>
      <c r="Y973">
        <v>45492.08</v>
      </c>
      <c r="Z973" s="4">
        <f>Europe_Sales_Records34[[#This Row],[Total Profit]]/Europe_Sales_Records34[[#This Row],[Total Revenue]]</f>
        <v>0.25830653804930331</v>
      </c>
      <c r="AA973">
        <v>15843.34</v>
      </c>
    </row>
    <row r="974" spans="1:27" x14ac:dyDescent="0.3">
      <c r="A974" t="s">
        <v>14</v>
      </c>
      <c r="B974" t="s">
        <v>61</v>
      </c>
      <c r="C974" t="s">
        <v>28</v>
      </c>
      <c r="D974" t="s">
        <v>17</v>
      </c>
      <c r="E974" t="s">
        <v>33</v>
      </c>
      <c r="F974" t="s">
        <v>1496</v>
      </c>
      <c r="G974" s="2">
        <f t="shared" si="30"/>
        <v>41047</v>
      </c>
      <c r="H974">
        <f>DAY(Europe_Sales_Records34[[#This Row],[Order Date Fixed]])</f>
        <v>18</v>
      </c>
      <c r="I974" t="str">
        <f>TEXT(Europe_Sales_Records34[[#This Row],[Order Date Fixed]],"MMM")</f>
        <v>May</v>
      </c>
      <c r="J974">
        <f>YEAR(Europe_Sales_Records34[[#This Row],[Order Date Fixed]])</f>
        <v>2012</v>
      </c>
      <c r="K974" t="str">
        <f>TEXT(Europe_Sales_Records34[[#This Row],[Order Date Fixed]],"MMM-YYYY")</f>
        <v>May-2012</v>
      </c>
      <c r="L974">
        <v>125349128</v>
      </c>
      <c r="M974" s="2">
        <f t="shared" si="31"/>
        <v>41066</v>
      </c>
      <c r="N974">
        <f>DAY(Europe_Sales_Records34[[#This Row],[Ship Date Fixed]])</f>
        <v>6</v>
      </c>
      <c r="O974" t="str">
        <f>TEXT(Europe_Sales_Records34[[#This Row],[Ship Date Fixed]],"MMM")</f>
        <v>Jun</v>
      </c>
      <c r="P974">
        <f>YEAR(Europe_Sales_Records34[[#This Row],[Ship Date Fixed]])</f>
        <v>2012</v>
      </c>
      <c r="Q974" t="str">
        <f>TEXT(Europe_Sales_Records34[[#This Row],[Ship Date Fixed]],"MMM-YYYY")</f>
        <v>Jun-2012</v>
      </c>
      <c r="R974" t="s">
        <v>1497</v>
      </c>
      <c r="S974" s="3">
        <f>Europe_Sales_Records34[[#This Row],[Ship Date Fixed]]-Europe_Sales_Records34[[#This Row],[Order Date Fixed]]</f>
        <v>19</v>
      </c>
      <c r="T974">
        <v>2447</v>
      </c>
      <c r="U974">
        <v>205.7</v>
      </c>
      <c r="V974">
        <v>117.11</v>
      </c>
      <c r="W974">
        <f>Europe_Sales_Records34[[#This Row],[Total Revenue]]/Europe_Sales_Records34[[#This Row],[Units Sold]]</f>
        <v>205.70000000000002</v>
      </c>
      <c r="X974">
        <v>503347.9</v>
      </c>
      <c r="Y974">
        <v>286568.17</v>
      </c>
      <c r="Z974" s="4">
        <f>Europe_Sales_Records34[[#This Row],[Total Profit]]/Europe_Sales_Records34[[#This Row],[Total Revenue]]</f>
        <v>0.43067574137092851</v>
      </c>
      <c r="AA974">
        <v>216779.73</v>
      </c>
    </row>
    <row r="975" spans="1:27" x14ac:dyDescent="0.3">
      <c r="A975" t="s">
        <v>14</v>
      </c>
      <c r="B975" t="s">
        <v>67</v>
      </c>
      <c r="C975" t="s">
        <v>46</v>
      </c>
      <c r="D975" t="s">
        <v>17</v>
      </c>
      <c r="E975" t="s">
        <v>54</v>
      </c>
      <c r="F975" t="s">
        <v>657</v>
      </c>
      <c r="G975" s="2">
        <f t="shared" si="30"/>
        <v>42806</v>
      </c>
      <c r="H975">
        <f>DAY(Europe_Sales_Records34[[#This Row],[Order Date Fixed]])</f>
        <v>12</v>
      </c>
      <c r="I975" t="str">
        <f>TEXT(Europe_Sales_Records34[[#This Row],[Order Date Fixed]],"MMM")</f>
        <v>Mar</v>
      </c>
      <c r="J975">
        <f>YEAR(Europe_Sales_Records34[[#This Row],[Order Date Fixed]])</f>
        <v>2017</v>
      </c>
      <c r="K975" t="str">
        <f>TEXT(Europe_Sales_Records34[[#This Row],[Order Date Fixed]],"MMM-YYYY")</f>
        <v>Mar-2017</v>
      </c>
      <c r="L975">
        <v>688698422</v>
      </c>
      <c r="M975" s="2">
        <f t="shared" si="31"/>
        <v>42826</v>
      </c>
      <c r="N975">
        <f>DAY(Europe_Sales_Records34[[#This Row],[Ship Date Fixed]])</f>
        <v>1</v>
      </c>
      <c r="O975" t="str">
        <f>TEXT(Europe_Sales_Records34[[#This Row],[Ship Date Fixed]],"MMM")</f>
        <v>Apr</v>
      </c>
      <c r="P975">
        <f>YEAR(Europe_Sales_Records34[[#This Row],[Ship Date Fixed]])</f>
        <v>2017</v>
      </c>
      <c r="Q975" t="str">
        <f>TEXT(Europe_Sales_Records34[[#This Row],[Ship Date Fixed]],"MMM-YYYY")</f>
        <v>Apr-2017</v>
      </c>
      <c r="R975" t="s">
        <v>1498</v>
      </c>
      <c r="S975" s="3">
        <f>Europe_Sales_Records34[[#This Row],[Ship Date Fixed]]-Europe_Sales_Records34[[#This Row],[Order Date Fixed]]</f>
        <v>20</v>
      </c>
      <c r="T975">
        <v>22</v>
      </c>
      <c r="U975">
        <v>154.06</v>
      </c>
      <c r="V975">
        <v>90.93</v>
      </c>
      <c r="W975">
        <f>Europe_Sales_Records34[[#This Row],[Total Revenue]]/Europe_Sales_Records34[[#This Row],[Units Sold]]</f>
        <v>154.06</v>
      </c>
      <c r="X975">
        <v>3389.32</v>
      </c>
      <c r="Y975">
        <v>2000.46</v>
      </c>
      <c r="Z975" s="4">
        <f>Europe_Sales_Records34[[#This Row],[Total Profit]]/Europe_Sales_Records34[[#This Row],[Total Revenue]]</f>
        <v>0.40977541217707381</v>
      </c>
      <c r="AA975">
        <v>1388.86</v>
      </c>
    </row>
    <row r="976" spans="1:27" x14ac:dyDescent="0.3">
      <c r="A976" t="s">
        <v>14</v>
      </c>
      <c r="B976" t="s">
        <v>163</v>
      </c>
      <c r="C976" t="s">
        <v>71</v>
      </c>
      <c r="D976" t="s">
        <v>23</v>
      </c>
      <c r="E976" t="s">
        <v>33</v>
      </c>
      <c r="F976" t="s">
        <v>1499</v>
      </c>
      <c r="G976" s="2">
        <f t="shared" si="30"/>
        <v>40710</v>
      </c>
      <c r="H976">
        <f>DAY(Europe_Sales_Records34[[#This Row],[Order Date Fixed]])</f>
        <v>16</v>
      </c>
      <c r="I976" t="str">
        <f>TEXT(Europe_Sales_Records34[[#This Row],[Order Date Fixed]],"MMM")</f>
        <v>Jun</v>
      </c>
      <c r="J976">
        <f>YEAR(Europe_Sales_Records34[[#This Row],[Order Date Fixed]])</f>
        <v>2011</v>
      </c>
      <c r="K976" t="str">
        <f>TEXT(Europe_Sales_Records34[[#This Row],[Order Date Fixed]],"MMM-YYYY")</f>
        <v>Jun-2011</v>
      </c>
      <c r="L976">
        <v>367328155</v>
      </c>
      <c r="M976" s="2">
        <f t="shared" si="31"/>
        <v>40754</v>
      </c>
      <c r="N976">
        <f>DAY(Europe_Sales_Records34[[#This Row],[Ship Date Fixed]])</f>
        <v>30</v>
      </c>
      <c r="O976" t="str">
        <f>TEXT(Europe_Sales_Records34[[#This Row],[Ship Date Fixed]],"MMM")</f>
        <v>Jul</v>
      </c>
      <c r="P976">
        <f>YEAR(Europe_Sales_Records34[[#This Row],[Ship Date Fixed]])</f>
        <v>2011</v>
      </c>
      <c r="Q976" t="str">
        <f>TEXT(Europe_Sales_Records34[[#This Row],[Ship Date Fixed]],"MMM-YYYY")</f>
        <v>Jul-2011</v>
      </c>
      <c r="R976" t="s">
        <v>524</v>
      </c>
      <c r="S976" s="3">
        <f>Europe_Sales_Records34[[#This Row],[Ship Date Fixed]]-Europe_Sales_Records34[[#This Row],[Order Date Fixed]]</f>
        <v>44</v>
      </c>
      <c r="T976">
        <v>9419</v>
      </c>
      <c r="U976">
        <v>668.27</v>
      </c>
      <c r="V976">
        <v>502.54</v>
      </c>
      <c r="W976">
        <f>Europe_Sales_Records34[[#This Row],[Total Revenue]]/Europe_Sales_Records34[[#This Row],[Units Sold]]</f>
        <v>668.27</v>
      </c>
      <c r="X976">
        <v>6294435.1299999999</v>
      </c>
      <c r="Y976">
        <v>4733424.26</v>
      </c>
      <c r="Z976" s="4">
        <f>Europe_Sales_Records34[[#This Row],[Total Profit]]/Europe_Sales_Records34[[#This Row],[Total Revenue]]</f>
        <v>0.24799856345489102</v>
      </c>
      <c r="AA976">
        <v>1561010.87</v>
      </c>
    </row>
    <row r="977" spans="1:27" x14ac:dyDescent="0.3">
      <c r="A977" t="s">
        <v>14</v>
      </c>
      <c r="B977" t="s">
        <v>57</v>
      </c>
      <c r="C977" t="s">
        <v>28</v>
      </c>
      <c r="D977" t="s">
        <v>17</v>
      </c>
      <c r="E977" t="s">
        <v>33</v>
      </c>
      <c r="F977" t="s">
        <v>553</v>
      </c>
      <c r="G977" s="2">
        <f t="shared" si="30"/>
        <v>41227</v>
      </c>
      <c r="H977">
        <f>DAY(Europe_Sales_Records34[[#This Row],[Order Date Fixed]])</f>
        <v>14</v>
      </c>
      <c r="I977" t="str">
        <f>TEXT(Europe_Sales_Records34[[#This Row],[Order Date Fixed]],"MMM")</f>
        <v>Nov</v>
      </c>
      <c r="J977">
        <f>YEAR(Europe_Sales_Records34[[#This Row],[Order Date Fixed]])</f>
        <v>2012</v>
      </c>
      <c r="K977" t="str">
        <f>TEXT(Europe_Sales_Records34[[#This Row],[Order Date Fixed]],"MMM-YYYY")</f>
        <v>Nov-2012</v>
      </c>
      <c r="L977">
        <v>495450627</v>
      </c>
      <c r="M977" s="2">
        <f t="shared" si="31"/>
        <v>41269</v>
      </c>
      <c r="N977">
        <f>DAY(Europe_Sales_Records34[[#This Row],[Ship Date Fixed]])</f>
        <v>26</v>
      </c>
      <c r="O977" t="str">
        <f>TEXT(Europe_Sales_Records34[[#This Row],[Ship Date Fixed]],"MMM")</f>
        <v>Dec</v>
      </c>
      <c r="P977">
        <f>YEAR(Europe_Sales_Records34[[#This Row],[Ship Date Fixed]])</f>
        <v>2012</v>
      </c>
      <c r="Q977" t="str">
        <f>TEXT(Europe_Sales_Records34[[#This Row],[Ship Date Fixed]],"MMM-YYYY")</f>
        <v>Dec-2012</v>
      </c>
      <c r="R977" t="s">
        <v>1500</v>
      </c>
      <c r="S977" s="3">
        <f>Europe_Sales_Records34[[#This Row],[Ship Date Fixed]]-Europe_Sales_Records34[[#This Row],[Order Date Fixed]]</f>
        <v>42</v>
      </c>
      <c r="T977">
        <v>3705</v>
      </c>
      <c r="U977">
        <v>205.7</v>
      </c>
      <c r="V977">
        <v>117.11</v>
      </c>
      <c r="W977">
        <f>Europe_Sales_Records34[[#This Row],[Total Revenue]]/Europe_Sales_Records34[[#This Row],[Units Sold]]</f>
        <v>205.7</v>
      </c>
      <c r="X977">
        <v>762118.5</v>
      </c>
      <c r="Y977">
        <v>433892.55</v>
      </c>
      <c r="Z977" s="4">
        <f>Europe_Sales_Records34[[#This Row],[Total Profit]]/Europe_Sales_Records34[[#This Row],[Total Revenue]]</f>
        <v>0.43067574137092857</v>
      </c>
      <c r="AA977">
        <v>328225.95</v>
      </c>
    </row>
    <row r="978" spans="1:27" x14ac:dyDescent="0.3">
      <c r="A978" t="s">
        <v>14</v>
      </c>
      <c r="B978" t="s">
        <v>264</v>
      </c>
      <c r="C978" t="s">
        <v>102</v>
      </c>
      <c r="D978" t="s">
        <v>23</v>
      </c>
      <c r="E978" t="s">
        <v>24</v>
      </c>
      <c r="F978" t="s">
        <v>1501</v>
      </c>
      <c r="G978" s="2">
        <f t="shared" si="30"/>
        <v>41479</v>
      </c>
      <c r="H978">
        <f>DAY(Europe_Sales_Records34[[#This Row],[Order Date Fixed]])</f>
        <v>24</v>
      </c>
      <c r="I978" t="str">
        <f>TEXT(Europe_Sales_Records34[[#This Row],[Order Date Fixed]],"MMM")</f>
        <v>Jul</v>
      </c>
      <c r="J978">
        <f>YEAR(Europe_Sales_Records34[[#This Row],[Order Date Fixed]])</f>
        <v>2013</v>
      </c>
      <c r="K978" t="str">
        <f>TEXT(Europe_Sales_Records34[[#This Row],[Order Date Fixed]],"MMM-YYYY")</f>
        <v>Jul-2013</v>
      </c>
      <c r="L978">
        <v>638856971</v>
      </c>
      <c r="M978" s="2">
        <f t="shared" si="31"/>
        <v>41507</v>
      </c>
      <c r="N978">
        <f>DAY(Europe_Sales_Records34[[#This Row],[Ship Date Fixed]])</f>
        <v>21</v>
      </c>
      <c r="O978" t="str">
        <f>TEXT(Europe_Sales_Records34[[#This Row],[Ship Date Fixed]],"MMM")</f>
        <v>Aug</v>
      </c>
      <c r="P978">
        <f>YEAR(Europe_Sales_Records34[[#This Row],[Ship Date Fixed]])</f>
        <v>2013</v>
      </c>
      <c r="Q978" t="str">
        <f>TEXT(Europe_Sales_Records34[[#This Row],[Ship Date Fixed]],"MMM-YYYY")</f>
        <v>Aug-2013</v>
      </c>
      <c r="R978" t="s">
        <v>1502</v>
      </c>
      <c r="S978" s="3">
        <f>Europe_Sales_Records34[[#This Row],[Ship Date Fixed]]-Europe_Sales_Records34[[#This Row],[Order Date Fixed]]</f>
        <v>28</v>
      </c>
      <c r="T978">
        <v>829</v>
      </c>
      <c r="U978">
        <v>81.73</v>
      </c>
      <c r="V978">
        <v>56.67</v>
      </c>
      <c r="W978">
        <f>Europe_Sales_Records34[[#This Row],[Total Revenue]]/Europe_Sales_Records34[[#This Row],[Units Sold]]</f>
        <v>81.73</v>
      </c>
      <c r="X978">
        <v>67754.17</v>
      </c>
      <c r="Y978">
        <v>46979.43</v>
      </c>
      <c r="Z978" s="4">
        <f>Europe_Sales_Records34[[#This Row],[Total Profit]]/Europe_Sales_Records34[[#This Row],[Total Revenue]]</f>
        <v>0.30661935641747218</v>
      </c>
      <c r="AA978">
        <v>20774.740000000002</v>
      </c>
    </row>
    <row r="979" spans="1:27" x14ac:dyDescent="0.3">
      <c r="A979" t="s">
        <v>14</v>
      </c>
      <c r="B979" t="s">
        <v>243</v>
      </c>
      <c r="C979" t="s">
        <v>46</v>
      </c>
      <c r="D979" t="s">
        <v>17</v>
      </c>
      <c r="E979" t="s">
        <v>24</v>
      </c>
      <c r="F979" t="s">
        <v>1136</v>
      </c>
      <c r="G979" s="2">
        <f t="shared" si="30"/>
        <v>42522</v>
      </c>
      <c r="H979">
        <f>DAY(Europe_Sales_Records34[[#This Row],[Order Date Fixed]])</f>
        <v>1</v>
      </c>
      <c r="I979" t="str">
        <f>TEXT(Europe_Sales_Records34[[#This Row],[Order Date Fixed]],"MMM")</f>
        <v>Jun</v>
      </c>
      <c r="J979">
        <f>YEAR(Europe_Sales_Records34[[#This Row],[Order Date Fixed]])</f>
        <v>2016</v>
      </c>
      <c r="K979" t="str">
        <f>TEXT(Europe_Sales_Records34[[#This Row],[Order Date Fixed]],"MMM-YYYY")</f>
        <v>Jun-2016</v>
      </c>
      <c r="L979">
        <v>936664998</v>
      </c>
      <c r="M979" s="2">
        <f t="shared" si="31"/>
        <v>42556</v>
      </c>
      <c r="N979">
        <f>DAY(Europe_Sales_Records34[[#This Row],[Ship Date Fixed]])</f>
        <v>5</v>
      </c>
      <c r="O979" t="str">
        <f>TEXT(Europe_Sales_Records34[[#This Row],[Ship Date Fixed]],"MMM")</f>
        <v>Jul</v>
      </c>
      <c r="P979">
        <f>YEAR(Europe_Sales_Records34[[#This Row],[Ship Date Fixed]])</f>
        <v>2016</v>
      </c>
      <c r="Q979" t="str">
        <f>TEXT(Europe_Sales_Records34[[#This Row],[Ship Date Fixed]],"MMM-YYYY")</f>
        <v>Jul-2016</v>
      </c>
      <c r="R979" t="s">
        <v>1009</v>
      </c>
      <c r="S979" s="3">
        <f>Europe_Sales_Records34[[#This Row],[Ship Date Fixed]]-Europe_Sales_Records34[[#This Row],[Order Date Fixed]]</f>
        <v>34</v>
      </c>
      <c r="T979">
        <v>8843</v>
      </c>
      <c r="U979">
        <v>154.06</v>
      </c>
      <c r="V979">
        <v>90.93</v>
      </c>
      <c r="W979">
        <f>Europe_Sales_Records34[[#This Row],[Total Revenue]]/Europe_Sales_Records34[[#This Row],[Units Sold]]</f>
        <v>154.06</v>
      </c>
      <c r="X979">
        <v>1362352.58</v>
      </c>
      <c r="Y979">
        <v>804093.99</v>
      </c>
      <c r="Z979" s="4">
        <f>Europe_Sales_Records34[[#This Row],[Total Profit]]/Europe_Sales_Records34[[#This Row],[Total Revenue]]</f>
        <v>0.40977541217707381</v>
      </c>
      <c r="AA979">
        <v>558258.59</v>
      </c>
    </row>
    <row r="980" spans="1:27" x14ac:dyDescent="0.3">
      <c r="A980" t="s">
        <v>14</v>
      </c>
      <c r="B980" t="s">
        <v>57</v>
      </c>
      <c r="C980" t="s">
        <v>75</v>
      </c>
      <c r="D980" t="s">
        <v>17</v>
      </c>
      <c r="E980" t="s">
        <v>18</v>
      </c>
      <c r="F980" t="s">
        <v>1462</v>
      </c>
      <c r="G980" s="2">
        <f t="shared" si="30"/>
        <v>40684</v>
      </c>
      <c r="H980">
        <f>DAY(Europe_Sales_Records34[[#This Row],[Order Date Fixed]])</f>
        <v>21</v>
      </c>
      <c r="I980" t="str">
        <f>TEXT(Europe_Sales_Records34[[#This Row],[Order Date Fixed]],"MMM")</f>
        <v>May</v>
      </c>
      <c r="J980">
        <f>YEAR(Europe_Sales_Records34[[#This Row],[Order Date Fixed]])</f>
        <v>2011</v>
      </c>
      <c r="K980" t="str">
        <f>TEXT(Europe_Sales_Records34[[#This Row],[Order Date Fixed]],"MMM-YYYY")</f>
        <v>May-2011</v>
      </c>
      <c r="L980">
        <v>695059764</v>
      </c>
      <c r="M980" s="2">
        <f t="shared" si="31"/>
        <v>40723</v>
      </c>
      <c r="N980">
        <f>DAY(Europe_Sales_Records34[[#This Row],[Ship Date Fixed]])</f>
        <v>29</v>
      </c>
      <c r="O980" t="str">
        <f>TEXT(Europe_Sales_Records34[[#This Row],[Ship Date Fixed]],"MMM")</f>
        <v>Jun</v>
      </c>
      <c r="P980">
        <f>YEAR(Europe_Sales_Records34[[#This Row],[Ship Date Fixed]])</f>
        <v>2011</v>
      </c>
      <c r="Q980" t="str">
        <f>TEXT(Europe_Sales_Records34[[#This Row],[Ship Date Fixed]],"MMM-YYYY")</f>
        <v>Jun-2011</v>
      </c>
      <c r="R980" t="s">
        <v>1398</v>
      </c>
      <c r="S980" s="3">
        <f>Europe_Sales_Records34[[#This Row],[Ship Date Fixed]]-Europe_Sales_Records34[[#This Row],[Order Date Fixed]]</f>
        <v>39</v>
      </c>
      <c r="T980">
        <v>2485</v>
      </c>
      <c r="U980">
        <v>437.2</v>
      </c>
      <c r="V980">
        <v>263.33</v>
      </c>
      <c r="W980">
        <f>Europe_Sales_Records34[[#This Row],[Total Revenue]]/Europe_Sales_Records34[[#This Row],[Units Sold]]</f>
        <v>437.2</v>
      </c>
      <c r="X980">
        <v>1086442</v>
      </c>
      <c r="Y980">
        <v>654375.05000000005</v>
      </c>
      <c r="Z980" s="4">
        <f>Europe_Sales_Records34[[#This Row],[Total Profit]]/Europe_Sales_Records34[[#This Row],[Total Revenue]]</f>
        <v>0.39768984446477584</v>
      </c>
      <c r="AA980">
        <v>432066.95</v>
      </c>
    </row>
    <row r="981" spans="1:27" x14ac:dyDescent="0.3">
      <c r="A981" t="s">
        <v>14</v>
      </c>
      <c r="B981" t="s">
        <v>264</v>
      </c>
      <c r="C981" t="s">
        <v>16</v>
      </c>
      <c r="D981" t="s">
        <v>23</v>
      </c>
      <c r="E981" t="s">
        <v>54</v>
      </c>
      <c r="F981" t="s">
        <v>1503</v>
      </c>
      <c r="G981" s="2">
        <f t="shared" si="30"/>
        <v>40245</v>
      </c>
      <c r="H981">
        <f>DAY(Europe_Sales_Records34[[#This Row],[Order Date Fixed]])</f>
        <v>8</v>
      </c>
      <c r="I981" t="str">
        <f>TEXT(Europe_Sales_Records34[[#This Row],[Order Date Fixed]],"MMM")</f>
        <v>Mar</v>
      </c>
      <c r="J981">
        <f>YEAR(Europe_Sales_Records34[[#This Row],[Order Date Fixed]])</f>
        <v>2010</v>
      </c>
      <c r="K981" t="str">
        <f>TEXT(Europe_Sales_Records34[[#This Row],[Order Date Fixed]],"MMM-YYYY")</f>
        <v>Mar-2010</v>
      </c>
      <c r="L981">
        <v>681713092</v>
      </c>
      <c r="M981" s="2">
        <f t="shared" si="31"/>
        <v>40259</v>
      </c>
      <c r="N981">
        <f>DAY(Europe_Sales_Records34[[#This Row],[Ship Date Fixed]])</f>
        <v>22</v>
      </c>
      <c r="O981" t="str">
        <f>TEXT(Europe_Sales_Records34[[#This Row],[Ship Date Fixed]],"MMM")</f>
        <v>Mar</v>
      </c>
      <c r="P981">
        <f>YEAR(Europe_Sales_Records34[[#This Row],[Ship Date Fixed]])</f>
        <v>2010</v>
      </c>
      <c r="Q981" t="str">
        <f>TEXT(Europe_Sales_Records34[[#This Row],[Ship Date Fixed]],"MMM-YYYY")</f>
        <v>Mar-2010</v>
      </c>
      <c r="R981" t="s">
        <v>1504</v>
      </c>
      <c r="S981" s="3">
        <f>Europe_Sales_Records34[[#This Row],[Ship Date Fixed]]-Europe_Sales_Records34[[#This Row],[Order Date Fixed]]</f>
        <v>14</v>
      </c>
      <c r="T981">
        <v>2908</v>
      </c>
      <c r="U981">
        <v>47.45</v>
      </c>
      <c r="V981">
        <v>31.79</v>
      </c>
      <c r="W981">
        <f>Europe_Sales_Records34[[#This Row],[Total Revenue]]/Europe_Sales_Records34[[#This Row],[Units Sold]]</f>
        <v>47.45</v>
      </c>
      <c r="X981">
        <v>137984.6</v>
      </c>
      <c r="Y981">
        <v>92445.32</v>
      </c>
      <c r="Z981" s="4">
        <f>Europe_Sales_Records34[[#This Row],[Total Profit]]/Europe_Sales_Records34[[#This Row],[Total Revenue]]</f>
        <v>0.330031612223393</v>
      </c>
      <c r="AA981">
        <v>45539.28</v>
      </c>
    </row>
    <row r="982" spans="1:27" x14ac:dyDescent="0.3">
      <c r="A982" t="s">
        <v>14</v>
      </c>
      <c r="B982" t="s">
        <v>127</v>
      </c>
      <c r="C982" t="s">
        <v>16</v>
      </c>
      <c r="D982" t="s">
        <v>17</v>
      </c>
      <c r="E982" t="s">
        <v>54</v>
      </c>
      <c r="F982" t="s">
        <v>1147</v>
      </c>
      <c r="G982" s="2">
        <f t="shared" si="30"/>
        <v>40447</v>
      </c>
      <c r="H982">
        <f>DAY(Europe_Sales_Records34[[#This Row],[Order Date Fixed]])</f>
        <v>26</v>
      </c>
      <c r="I982" t="str">
        <f>TEXT(Europe_Sales_Records34[[#This Row],[Order Date Fixed]],"MMM")</f>
        <v>Sep</v>
      </c>
      <c r="J982">
        <f>YEAR(Europe_Sales_Records34[[#This Row],[Order Date Fixed]])</f>
        <v>2010</v>
      </c>
      <c r="K982" t="str">
        <f>TEXT(Europe_Sales_Records34[[#This Row],[Order Date Fixed]],"MMM-YYYY")</f>
        <v>Sep-2010</v>
      </c>
      <c r="L982">
        <v>511155498</v>
      </c>
      <c r="M982" s="2">
        <f t="shared" si="31"/>
        <v>40486</v>
      </c>
      <c r="N982">
        <f>DAY(Europe_Sales_Records34[[#This Row],[Ship Date Fixed]])</f>
        <v>4</v>
      </c>
      <c r="O982" t="str">
        <f>TEXT(Europe_Sales_Records34[[#This Row],[Ship Date Fixed]],"MMM")</f>
        <v>Nov</v>
      </c>
      <c r="P982">
        <f>YEAR(Europe_Sales_Records34[[#This Row],[Ship Date Fixed]])</f>
        <v>2010</v>
      </c>
      <c r="Q982" t="str">
        <f>TEXT(Europe_Sales_Records34[[#This Row],[Ship Date Fixed]],"MMM-YYYY")</f>
        <v>Nov-2010</v>
      </c>
      <c r="R982" t="s">
        <v>1505</v>
      </c>
      <c r="S982" s="3">
        <f>Europe_Sales_Records34[[#This Row],[Ship Date Fixed]]-Europe_Sales_Records34[[#This Row],[Order Date Fixed]]</f>
        <v>39</v>
      </c>
      <c r="T982">
        <v>1126</v>
      </c>
      <c r="U982">
        <v>47.45</v>
      </c>
      <c r="V982">
        <v>31.79</v>
      </c>
      <c r="W982">
        <f>Europe_Sales_Records34[[#This Row],[Total Revenue]]/Europe_Sales_Records34[[#This Row],[Units Sold]]</f>
        <v>47.449999999999996</v>
      </c>
      <c r="X982">
        <v>53428.7</v>
      </c>
      <c r="Y982">
        <v>35795.54</v>
      </c>
      <c r="Z982" s="4">
        <f>Europe_Sales_Records34[[#This Row],[Total Profit]]/Europe_Sales_Records34[[#This Row],[Total Revenue]]</f>
        <v>0.33003161222339306</v>
      </c>
      <c r="AA982">
        <v>17633.16</v>
      </c>
    </row>
    <row r="983" spans="1:27" x14ac:dyDescent="0.3">
      <c r="A983" t="s">
        <v>14</v>
      </c>
      <c r="B983" t="s">
        <v>163</v>
      </c>
      <c r="C983" t="s">
        <v>102</v>
      </c>
      <c r="D983" t="s">
        <v>23</v>
      </c>
      <c r="E983" t="s">
        <v>54</v>
      </c>
      <c r="F983" t="s">
        <v>1506</v>
      </c>
      <c r="G983" s="2">
        <f t="shared" si="30"/>
        <v>40467</v>
      </c>
      <c r="H983">
        <f>DAY(Europe_Sales_Records34[[#This Row],[Order Date Fixed]])</f>
        <v>16</v>
      </c>
      <c r="I983" t="str">
        <f>TEXT(Europe_Sales_Records34[[#This Row],[Order Date Fixed]],"MMM")</f>
        <v>Oct</v>
      </c>
      <c r="J983">
        <f>YEAR(Europe_Sales_Records34[[#This Row],[Order Date Fixed]])</f>
        <v>2010</v>
      </c>
      <c r="K983" t="str">
        <f>TEXT(Europe_Sales_Records34[[#This Row],[Order Date Fixed]],"MMM-YYYY")</f>
        <v>Oct-2010</v>
      </c>
      <c r="L983">
        <v>762655293</v>
      </c>
      <c r="M983" s="2">
        <f t="shared" si="31"/>
        <v>40493</v>
      </c>
      <c r="N983">
        <f>DAY(Europe_Sales_Records34[[#This Row],[Ship Date Fixed]])</f>
        <v>11</v>
      </c>
      <c r="O983" t="str">
        <f>TEXT(Europe_Sales_Records34[[#This Row],[Ship Date Fixed]],"MMM")</f>
        <v>Nov</v>
      </c>
      <c r="P983">
        <f>YEAR(Europe_Sales_Records34[[#This Row],[Ship Date Fixed]])</f>
        <v>2010</v>
      </c>
      <c r="Q983" t="str">
        <f>TEXT(Europe_Sales_Records34[[#This Row],[Ship Date Fixed]],"MMM-YYYY")</f>
        <v>Nov-2010</v>
      </c>
      <c r="R983" t="s">
        <v>1507</v>
      </c>
      <c r="S983" s="3">
        <f>Europe_Sales_Records34[[#This Row],[Ship Date Fixed]]-Europe_Sales_Records34[[#This Row],[Order Date Fixed]]</f>
        <v>26</v>
      </c>
      <c r="T983">
        <v>5504</v>
      </c>
      <c r="U983">
        <v>81.73</v>
      </c>
      <c r="V983">
        <v>56.67</v>
      </c>
      <c r="W983">
        <f>Europe_Sales_Records34[[#This Row],[Total Revenue]]/Europe_Sales_Records34[[#This Row],[Units Sold]]</f>
        <v>81.73</v>
      </c>
      <c r="X983">
        <v>449841.91999999998</v>
      </c>
      <c r="Y983">
        <v>311911.67999999999</v>
      </c>
      <c r="Z983" s="4">
        <f>Europe_Sales_Records34[[#This Row],[Total Profit]]/Europe_Sales_Records34[[#This Row],[Total Revenue]]</f>
        <v>0.30661935641747218</v>
      </c>
      <c r="AA983">
        <v>137930.23999999999</v>
      </c>
    </row>
    <row r="984" spans="1:27" x14ac:dyDescent="0.3">
      <c r="A984" t="s">
        <v>14</v>
      </c>
      <c r="B984" t="s">
        <v>342</v>
      </c>
      <c r="C984" t="s">
        <v>102</v>
      </c>
      <c r="D984" t="s">
        <v>17</v>
      </c>
      <c r="E984" t="s">
        <v>33</v>
      </c>
      <c r="F984" t="s">
        <v>1013</v>
      </c>
      <c r="G984" s="2">
        <f t="shared" si="30"/>
        <v>42018</v>
      </c>
      <c r="H984">
        <f>DAY(Europe_Sales_Records34[[#This Row],[Order Date Fixed]])</f>
        <v>14</v>
      </c>
      <c r="I984" t="str">
        <f>TEXT(Europe_Sales_Records34[[#This Row],[Order Date Fixed]],"MMM")</f>
        <v>Jan</v>
      </c>
      <c r="J984">
        <f>YEAR(Europe_Sales_Records34[[#This Row],[Order Date Fixed]])</f>
        <v>2015</v>
      </c>
      <c r="K984" t="str">
        <f>TEXT(Europe_Sales_Records34[[#This Row],[Order Date Fixed]],"MMM-YYYY")</f>
        <v>Jan-2015</v>
      </c>
      <c r="L984">
        <v>119935786</v>
      </c>
      <c r="M984" s="2">
        <f t="shared" si="31"/>
        <v>42031</v>
      </c>
      <c r="N984">
        <f>DAY(Europe_Sales_Records34[[#This Row],[Ship Date Fixed]])</f>
        <v>27</v>
      </c>
      <c r="O984" t="str">
        <f>TEXT(Europe_Sales_Records34[[#This Row],[Ship Date Fixed]],"MMM")</f>
        <v>Jan</v>
      </c>
      <c r="P984">
        <f>YEAR(Europe_Sales_Records34[[#This Row],[Ship Date Fixed]])</f>
        <v>2015</v>
      </c>
      <c r="Q984" t="str">
        <f>TEXT(Europe_Sales_Records34[[#This Row],[Ship Date Fixed]],"MMM-YYYY")</f>
        <v>Jan-2015</v>
      </c>
      <c r="R984" t="s">
        <v>1176</v>
      </c>
      <c r="S984" s="3">
        <f>Europe_Sales_Records34[[#This Row],[Ship Date Fixed]]-Europe_Sales_Records34[[#This Row],[Order Date Fixed]]</f>
        <v>13</v>
      </c>
      <c r="T984">
        <v>519</v>
      </c>
      <c r="U984">
        <v>81.73</v>
      </c>
      <c r="V984">
        <v>56.67</v>
      </c>
      <c r="W984">
        <f>Europe_Sales_Records34[[#This Row],[Total Revenue]]/Europe_Sales_Records34[[#This Row],[Units Sold]]</f>
        <v>81.73</v>
      </c>
      <c r="X984">
        <v>42417.87</v>
      </c>
      <c r="Y984">
        <v>29411.73</v>
      </c>
      <c r="Z984" s="4">
        <f>Europe_Sales_Records34[[#This Row],[Total Profit]]/Europe_Sales_Records34[[#This Row],[Total Revenue]]</f>
        <v>0.30661935641747212</v>
      </c>
      <c r="AA984">
        <v>13006.14</v>
      </c>
    </row>
    <row r="985" spans="1:27" x14ac:dyDescent="0.3">
      <c r="A985" t="s">
        <v>14</v>
      </c>
      <c r="B985" t="s">
        <v>15</v>
      </c>
      <c r="C985" t="s">
        <v>58</v>
      </c>
      <c r="D985" t="s">
        <v>23</v>
      </c>
      <c r="E985" t="s">
        <v>24</v>
      </c>
      <c r="F985" t="s">
        <v>1508</v>
      </c>
      <c r="G985" s="2">
        <f t="shared" si="30"/>
        <v>40421</v>
      </c>
      <c r="H985">
        <f>DAY(Europe_Sales_Records34[[#This Row],[Order Date Fixed]])</f>
        <v>31</v>
      </c>
      <c r="I985" t="str">
        <f>TEXT(Europe_Sales_Records34[[#This Row],[Order Date Fixed]],"MMM")</f>
        <v>Aug</v>
      </c>
      <c r="J985">
        <f>YEAR(Europe_Sales_Records34[[#This Row],[Order Date Fixed]])</f>
        <v>2010</v>
      </c>
      <c r="K985" t="str">
        <f>TEXT(Europe_Sales_Records34[[#This Row],[Order Date Fixed]],"MMM-YYYY")</f>
        <v>Aug-2010</v>
      </c>
      <c r="L985">
        <v>755605590</v>
      </c>
      <c r="M985" s="2">
        <f t="shared" si="31"/>
        <v>40432</v>
      </c>
      <c r="N985">
        <f>DAY(Europe_Sales_Records34[[#This Row],[Ship Date Fixed]])</f>
        <v>11</v>
      </c>
      <c r="O985" t="str">
        <f>TEXT(Europe_Sales_Records34[[#This Row],[Ship Date Fixed]],"MMM")</f>
        <v>Sep</v>
      </c>
      <c r="P985">
        <f>YEAR(Europe_Sales_Records34[[#This Row],[Ship Date Fixed]])</f>
        <v>2010</v>
      </c>
      <c r="Q985" t="str">
        <f>TEXT(Europe_Sales_Records34[[#This Row],[Ship Date Fixed]],"MMM-YYYY")</f>
        <v>Sep-2010</v>
      </c>
      <c r="R985" t="s">
        <v>590</v>
      </c>
      <c r="S985" s="3">
        <f>Europe_Sales_Records34[[#This Row],[Ship Date Fixed]]-Europe_Sales_Records34[[#This Row],[Order Date Fixed]]</f>
        <v>11</v>
      </c>
      <c r="T985">
        <v>9340</v>
      </c>
      <c r="U985">
        <v>152.58000000000001</v>
      </c>
      <c r="V985">
        <v>97.44</v>
      </c>
      <c r="W985">
        <f>Europe_Sales_Records34[[#This Row],[Total Revenue]]/Europe_Sales_Records34[[#This Row],[Units Sold]]</f>
        <v>152.57999999999998</v>
      </c>
      <c r="X985">
        <v>1425097.2</v>
      </c>
      <c r="Y985">
        <v>910089.6</v>
      </c>
      <c r="Z985" s="4">
        <f>Europe_Sales_Records34[[#This Row],[Total Profit]]/Europe_Sales_Records34[[#This Row],[Total Revenue]]</f>
        <v>0.36138419189933152</v>
      </c>
      <c r="AA985">
        <v>515007.6</v>
      </c>
    </row>
    <row r="986" spans="1:27" x14ac:dyDescent="0.3">
      <c r="A986" t="s">
        <v>14</v>
      </c>
      <c r="B986" t="s">
        <v>146</v>
      </c>
      <c r="C986" t="s">
        <v>50</v>
      </c>
      <c r="D986" t="s">
        <v>23</v>
      </c>
      <c r="E986" t="s">
        <v>24</v>
      </c>
      <c r="F986" t="s">
        <v>1509</v>
      </c>
      <c r="G986" s="2">
        <f t="shared" si="30"/>
        <v>40342</v>
      </c>
      <c r="H986">
        <f>DAY(Europe_Sales_Records34[[#This Row],[Order Date Fixed]])</f>
        <v>13</v>
      </c>
      <c r="I986" t="str">
        <f>TEXT(Europe_Sales_Records34[[#This Row],[Order Date Fixed]],"MMM")</f>
        <v>Jun</v>
      </c>
      <c r="J986">
        <f>YEAR(Europe_Sales_Records34[[#This Row],[Order Date Fixed]])</f>
        <v>2010</v>
      </c>
      <c r="K986" t="str">
        <f>TEXT(Europe_Sales_Records34[[#This Row],[Order Date Fixed]],"MMM-YYYY")</f>
        <v>Jun-2010</v>
      </c>
      <c r="L986">
        <v>907047402</v>
      </c>
      <c r="M986" s="2">
        <f t="shared" si="31"/>
        <v>40391</v>
      </c>
      <c r="N986">
        <f>DAY(Europe_Sales_Records34[[#This Row],[Ship Date Fixed]])</f>
        <v>1</v>
      </c>
      <c r="O986" t="str">
        <f>TEXT(Europe_Sales_Records34[[#This Row],[Ship Date Fixed]],"MMM")</f>
        <v>Aug</v>
      </c>
      <c r="P986">
        <f>YEAR(Europe_Sales_Records34[[#This Row],[Ship Date Fixed]])</f>
        <v>2010</v>
      </c>
      <c r="Q986" t="str">
        <f>TEXT(Europe_Sales_Records34[[#This Row],[Ship Date Fixed]],"MMM-YYYY")</f>
        <v>Aug-2010</v>
      </c>
      <c r="R986" t="s">
        <v>1063</v>
      </c>
      <c r="S986" s="3">
        <f>Europe_Sales_Records34[[#This Row],[Ship Date Fixed]]-Europe_Sales_Records34[[#This Row],[Order Date Fixed]]</f>
        <v>49</v>
      </c>
      <c r="T986">
        <v>4338</v>
      </c>
      <c r="U986">
        <v>421.89</v>
      </c>
      <c r="V986">
        <v>364.69</v>
      </c>
      <c r="W986">
        <f>Europe_Sales_Records34[[#This Row],[Total Revenue]]/Europe_Sales_Records34[[#This Row],[Units Sold]]</f>
        <v>421.89000000000004</v>
      </c>
      <c r="X986">
        <v>1830158.82</v>
      </c>
      <c r="Y986">
        <v>1582025.22</v>
      </c>
      <c r="Z986" s="4">
        <f>Europe_Sales_Records34[[#This Row],[Total Profit]]/Europe_Sales_Records34[[#This Row],[Total Revenue]]</f>
        <v>0.13558036455000119</v>
      </c>
      <c r="AA986">
        <v>248133.6</v>
      </c>
    </row>
    <row r="987" spans="1:27" x14ac:dyDescent="0.3">
      <c r="A987" t="s">
        <v>14</v>
      </c>
      <c r="B987" t="s">
        <v>115</v>
      </c>
      <c r="C987" t="s">
        <v>37</v>
      </c>
      <c r="D987" t="s">
        <v>17</v>
      </c>
      <c r="E987" t="s">
        <v>33</v>
      </c>
      <c r="F987" t="s">
        <v>1510</v>
      </c>
      <c r="G987" s="2">
        <f t="shared" si="30"/>
        <v>41498</v>
      </c>
      <c r="H987">
        <f>DAY(Europe_Sales_Records34[[#This Row],[Order Date Fixed]])</f>
        <v>12</v>
      </c>
      <c r="I987" t="str">
        <f>TEXT(Europe_Sales_Records34[[#This Row],[Order Date Fixed]],"MMM")</f>
        <v>Aug</v>
      </c>
      <c r="J987">
        <f>YEAR(Europe_Sales_Records34[[#This Row],[Order Date Fixed]])</f>
        <v>2013</v>
      </c>
      <c r="K987" t="str">
        <f>TEXT(Europe_Sales_Records34[[#This Row],[Order Date Fixed]],"MMM-YYYY")</f>
        <v>Aug-2013</v>
      </c>
      <c r="L987">
        <v>638937652</v>
      </c>
      <c r="M987" s="2">
        <f t="shared" si="31"/>
        <v>41523</v>
      </c>
      <c r="N987">
        <f>DAY(Europe_Sales_Records34[[#This Row],[Ship Date Fixed]])</f>
        <v>6</v>
      </c>
      <c r="O987" t="str">
        <f>TEXT(Europe_Sales_Records34[[#This Row],[Ship Date Fixed]],"MMM")</f>
        <v>Sep</v>
      </c>
      <c r="P987">
        <f>YEAR(Europe_Sales_Records34[[#This Row],[Ship Date Fixed]])</f>
        <v>2013</v>
      </c>
      <c r="Q987" t="str">
        <f>TEXT(Europe_Sales_Records34[[#This Row],[Ship Date Fixed]],"MMM-YYYY")</f>
        <v>Sep-2013</v>
      </c>
      <c r="R987" t="s">
        <v>734</v>
      </c>
      <c r="S987" s="3">
        <f>Europe_Sales_Records34[[#This Row],[Ship Date Fixed]]-Europe_Sales_Records34[[#This Row],[Order Date Fixed]]</f>
        <v>25</v>
      </c>
      <c r="T987">
        <v>4705</v>
      </c>
      <c r="U987">
        <v>9.33</v>
      </c>
      <c r="V987">
        <v>6.92</v>
      </c>
      <c r="W987">
        <f>Europe_Sales_Records34[[#This Row],[Total Revenue]]/Europe_Sales_Records34[[#This Row],[Units Sold]]</f>
        <v>9.33</v>
      </c>
      <c r="X987">
        <v>43897.65</v>
      </c>
      <c r="Y987">
        <v>32558.6</v>
      </c>
      <c r="Z987" s="4">
        <f>Europe_Sales_Records34[[#This Row],[Total Profit]]/Europe_Sales_Records34[[#This Row],[Total Revenue]]</f>
        <v>0.25830653804930331</v>
      </c>
      <c r="AA987">
        <v>11339.05</v>
      </c>
    </row>
    <row r="988" spans="1:27" x14ac:dyDescent="0.3">
      <c r="A988" t="s">
        <v>14</v>
      </c>
      <c r="B988" t="s">
        <v>163</v>
      </c>
      <c r="C988" t="s">
        <v>28</v>
      </c>
      <c r="D988" t="s">
        <v>17</v>
      </c>
      <c r="E988" t="s">
        <v>54</v>
      </c>
      <c r="F988" t="s">
        <v>1085</v>
      </c>
      <c r="G988" s="2">
        <f t="shared" si="30"/>
        <v>42426</v>
      </c>
      <c r="H988">
        <f>DAY(Europe_Sales_Records34[[#This Row],[Order Date Fixed]])</f>
        <v>26</v>
      </c>
      <c r="I988" t="str">
        <f>TEXT(Europe_Sales_Records34[[#This Row],[Order Date Fixed]],"MMM")</f>
        <v>Feb</v>
      </c>
      <c r="J988">
        <f>YEAR(Europe_Sales_Records34[[#This Row],[Order Date Fixed]])</f>
        <v>2016</v>
      </c>
      <c r="K988" t="str">
        <f>TEXT(Europe_Sales_Records34[[#This Row],[Order Date Fixed]],"MMM-YYYY")</f>
        <v>Feb-2016</v>
      </c>
      <c r="L988">
        <v>449206340</v>
      </c>
      <c r="M988" s="2">
        <f t="shared" si="31"/>
        <v>42463</v>
      </c>
      <c r="N988">
        <f>DAY(Europe_Sales_Records34[[#This Row],[Ship Date Fixed]])</f>
        <v>3</v>
      </c>
      <c r="O988" t="str">
        <f>TEXT(Europe_Sales_Records34[[#This Row],[Ship Date Fixed]],"MMM")</f>
        <v>Apr</v>
      </c>
      <c r="P988">
        <f>YEAR(Europe_Sales_Records34[[#This Row],[Ship Date Fixed]])</f>
        <v>2016</v>
      </c>
      <c r="Q988" t="str">
        <f>TEXT(Europe_Sales_Records34[[#This Row],[Ship Date Fixed]],"MMM-YYYY")</f>
        <v>Apr-2016</v>
      </c>
      <c r="R988" t="s">
        <v>791</v>
      </c>
      <c r="S988" s="3">
        <f>Europe_Sales_Records34[[#This Row],[Ship Date Fixed]]-Europe_Sales_Records34[[#This Row],[Order Date Fixed]]</f>
        <v>37</v>
      </c>
      <c r="T988">
        <v>8993</v>
      </c>
      <c r="U988">
        <v>205.7</v>
      </c>
      <c r="V988">
        <v>117.11</v>
      </c>
      <c r="W988">
        <f>Europe_Sales_Records34[[#This Row],[Total Revenue]]/Europe_Sales_Records34[[#This Row],[Units Sold]]</f>
        <v>205.70000000000002</v>
      </c>
      <c r="X988">
        <v>1849860.1</v>
      </c>
      <c r="Y988">
        <v>1053170.23</v>
      </c>
      <c r="Z988" s="4">
        <f>Europe_Sales_Records34[[#This Row],[Total Profit]]/Europe_Sales_Records34[[#This Row],[Total Revenue]]</f>
        <v>0.43067574137092851</v>
      </c>
      <c r="AA988">
        <v>796689.87</v>
      </c>
    </row>
    <row r="989" spans="1:27" x14ac:dyDescent="0.3">
      <c r="A989" t="s">
        <v>14</v>
      </c>
      <c r="B989" t="s">
        <v>342</v>
      </c>
      <c r="C989" t="s">
        <v>16</v>
      </c>
      <c r="D989" t="s">
        <v>23</v>
      </c>
      <c r="E989" t="s">
        <v>33</v>
      </c>
      <c r="F989" t="s">
        <v>1511</v>
      </c>
      <c r="G989" s="2">
        <f t="shared" si="30"/>
        <v>40369</v>
      </c>
      <c r="H989">
        <f>DAY(Europe_Sales_Records34[[#This Row],[Order Date Fixed]])</f>
        <v>10</v>
      </c>
      <c r="I989" t="str">
        <f>TEXT(Europe_Sales_Records34[[#This Row],[Order Date Fixed]],"MMM")</f>
        <v>Jul</v>
      </c>
      <c r="J989">
        <f>YEAR(Europe_Sales_Records34[[#This Row],[Order Date Fixed]])</f>
        <v>2010</v>
      </c>
      <c r="K989" t="str">
        <f>TEXT(Europe_Sales_Records34[[#This Row],[Order Date Fixed]],"MMM-YYYY")</f>
        <v>Jul-2010</v>
      </c>
      <c r="L989">
        <v>864071118</v>
      </c>
      <c r="M989" s="2">
        <f t="shared" si="31"/>
        <v>40377</v>
      </c>
      <c r="N989">
        <f>DAY(Europe_Sales_Records34[[#This Row],[Ship Date Fixed]])</f>
        <v>18</v>
      </c>
      <c r="O989" t="str">
        <f>TEXT(Europe_Sales_Records34[[#This Row],[Ship Date Fixed]],"MMM")</f>
        <v>Jul</v>
      </c>
      <c r="P989">
        <f>YEAR(Europe_Sales_Records34[[#This Row],[Ship Date Fixed]])</f>
        <v>2010</v>
      </c>
      <c r="Q989" t="str">
        <f>TEXT(Europe_Sales_Records34[[#This Row],[Ship Date Fixed]],"MMM-YYYY")</f>
        <v>Jul-2010</v>
      </c>
      <c r="R989" t="s">
        <v>237</v>
      </c>
      <c r="S989" s="3">
        <f>Europe_Sales_Records34[[#This Row],[Ship Date Fixed]]-Europe_Sales_Records34[[#This Row],[Order Date Fixed]]</f>
        <v>8</v>
      </c>
      <c r="T989">
        <v>6700</v>
      </c>
      <c r="U989">
        <v>47.45</v>
      </c>
      <c r="V989">
        <v>31.79</v>
      </c>
      <c r="W989">
        <f>Europe_Sales_Records34[[#This Row],[Total Revenue]]/Europe_Sales_Records34[[#This Row],[Units Sold]]</f>
        <v>47.45</v>
      </c>
      <c r="X989">
        <v>317915</v>
      </c>
      <c r="Y989">
        <v>212993</v>
      </c>
      <c r="Z989" s="4">
        <f>Europe_Sales_Records34[[#This Row],[Total Profit]]/Europe_Sales_Records34[[#This Row],[Total Revenue]]</f>
        <v>0.33003161222339306</v>
      </c>
      <c r="AA989">
        <v>104922</v>
      </c>
    </row>
    <row r="990" spans="1:27" x14ac:dyDescent="0.3">
      <c r="A990" t="s">
        <v>14</v>
      </c>
      <c r="B990" t="s">
        <v>70</v>
      </c>
      <c r="C990" t="s">
        <v>32</v>
      </c>
      <c r="D990" t="s">
        <v>23</v>
      </c>
      <c r="E990" t="s">
        <v>18</v>
      </c>
      <c r="F990" t="s">
        <v>718</v>
      </c>
      <c r="G990" s="2">
        <f t="shared" si="30"/>
        <v>40528</v>
      </c>
      <c r="H990">
        <f>DAY(Europe_Sales_Records34[[#This Row],[Order Date Fixed]])</f>
        <v>16</v>
      </c>
      <c r="I990" t="str">
        <f>TEXT(Europe_Sales_Records34[[#This Row],[Order Date Fixed]],"MMM")</f>
        <v>Dec</v>
      </c>
      <c r="J990">
        <f>YEAR(Europe_Sales_Records34[[#This Row],[Order Date Fixed]])</f>
        <v>2010</v>
      </c>
      <c r="K990" t="str">
        <f>TEXT(Europe_Sales_Records34[[#This Row],[Order Date Fixed]],"MMM-YYYY")</f>
        <v>Dec-2010</v>
      </c>
      <c r="L990">
        <v>253211104</v>
      </c>
      <c r="M990" s="2">
        <f t="shared" si="31"/>
        <v>40539</v>
      </c>
      <c r="N990">
        <f>DAY(Europe_Sales_Records34[[#This Row],[Ship Date Fixed]])</f>
        <v>27</v>
      </c>
      <c r="O990" t="str">
        <f>TEXT(Europe_Sales_Records34[[#This Row],[Ship Date Fixed]],"MMM")</f>
        <v>Dec</v>
      </c>
      <c r="P990">
        <f>YEAR(Europe_Sales_Records34[[#This Row],[Ship Date Fixed]])</f>
        <v>2010</v>
      </c>
      <c r="Q990" t="str">
        <f>TEXT(Europe_Sales_Records34[[#This Row],[Ship Date Fixed]],"MMM-YYYY")</f>
        <v>Dec-2010</v>
      </c>
      <c r="R990" t="s">
        <v>1512</v>
      </c>
      <c r="S990" s="3">
        <f>Europe_Sales_Records34[[#This Row],[Ship Date Fixed]]-Europe_Sales_Records34[[#This Row],[Order Date Fixed]]</f>
        <v>11</v>
      </c>
      <c r="T990">
        <v>9648</v>
      </c>
      <c r="U990">
        <v>651.21</v>
      </c>
      <c r="V990">
        <v>524.96</v>
      </c>
      <c r="W990">
        <f>Europe_Sales_Records34[[#This Row],[Total Revenue]]/Europe_Sales_Records34[[#This Row],[Units Sold]]</f>
        <v>651.21</v>
      </c>
      <c r="X990">
        <v>6282874.0800000001</v>
      </c>
      <c r="Y990">
        <v>5064814.08</v>
      </c>
      <c r="Z990" s="4">
        <f>Europe_Sales_Records34[[#This Row],[Total Profit]]/Europe_Sales_Records34[[#This Row],[Total Revenue]]</f>
        <v>0.19386987300563566</v>
      </c>
      <c r="AA990">
        <v>1218060</v>
      </c>
    </row>
    <row r="991" spans="1:27" x14ac:dyDescent="0.3">
      <c r="A991" t="s">
        <v>14</v>
      </c>
      <c r="B991" t="s">
        <v>57</v>
      </c>
      <c r="C991" t="s">
        <v>37</v>
      </c>
      <c r="D991" t="s">
        <v>23</v>
      </c>
      <c r="E991" t="s">
        <v>24</v>
      </c>
      <c r="F991" t="s">
        <v>1513</v>
      </c>
      <c r="G991" s="2">
        <f t="shared" si="30"/>
        <v>41588</v>
      </c>
      <c r="H991">
        <f>DAY(Europe_Sales_Records34[[#This Row],[Order Date Fixed]])</f>
        <v>10</v>
      </c>
      <c r="I991" t="str">
        <f>TEXT(Europe_Sales_Records34[[#This Row],[Order Date Fixed]],"MMM")</f>
        <v>Nov</v>
      </c>
      <c r="J991">
        <f>YEAR(Europe_Sales_Records34[[#This Row],[Order Date Fixed]])</f>
        <v>2013</v>
      </c>
      <c r="K991" t="str">
        <f>TEXT(Europe_Sales_Records34[[#This Row],[Order Date Fixed]],"MMM-YYYY")</f>
        <v>Nov-2013</v>
      </c>
      <c r="L991">
        <v>609939754</v>
      </c>
      <c r="M991" s="2">
        <f t="shared" si="31"/>
        <v>41608</v>
      </c>
      <c r="N991">
        <f>DAY(Europe_Sales_Records34[[#This Row],[Ship Date Fixed]])</f>
        <v>30</v>
      </c>
      <c r="O991" t="str">
        <f>TEXT(Europe_Sales_Records34[[#This Row],[Ship Date Fixed]],"MMM")</f>
        <v>Nov</v>
      </c>
      <c r="P991">
        <f>YEAR(Europe_Sales_Records34[[#This Row],[Ship Date Fixed]])</f>
        <v>2013</v>
      </c>
      <c r="Q991" t="str">
        <f>TEXT(Europe_Sales_Records34[[#This Row],[Ship Date Fixed]],"MMM-YYYY")</f>
        <v>Nov-2013</v>
      </c>
      <c r="R991" t="s">
        <v>820</v>
      </c>
      <c r="S991" s="3">
        <f>Europe_Sales_Records34[[#This Row],[Ship Date Fixed]]-Europe_Sales_Records34[[#This Row],[Order Date Fixed]]</f>
        <v>20</v>
      </c>
      <c r="T991">
        <v>3582</v>
      </c>
      <c r="U991">
        <v>9.33</v>
      </c>
      <c r="V991">
        <v>6.92</v>
      </c>
      <c r="W991">
        <f>Europe_Sales_Records34[[#This Row],[Total Revenue]]/Europe_Sales_Records34[[#This Row],[Units Sold]]</f>
        <v>9.33</v>
      </c>
      <c r="X991">
        <v>33420.06</v>
      </c>
      <c r="Y991">
        <v>24787.439999999999</v>
      </c>
      <c r="Z991" s="4">
        <f>Europe_Sales_Records34[[#This Row],[Total Profit]]/Europe_Sales_Records34[[#This Row],[Total Revenue]]</f>
        <v>0.25830653804930337</v>
      </c>
      <c r="AA991">
        <v>8632.6200000000008</v>
      </c>
    </row>
    <row r="992" spans="1:27" x14ac:dyDescent="0.3">
      <c r="A992" t="s">
        <v>14</v>
      </c>
      <c r="B992" t="s">
        <v>138</v>
      </c>
      <c r="C992" t="s">
        <v>28</v>
      </c>
      <c r="D992" t="s">
        <v>17</v>
      </c>
      <c r="E992" t="s">
        <v>24</v>
      </c>
      <c r="F992" t="s">
        <v>1514</v>
      </c>
      <c r="G992" s="2">
        <f t="shared" si="30"/>
        <v>41676</v>
      </c>
      <c r="H992">
        <f>DAY(Europe_Sales_Records34[[#This Row],[Order Date Fixed]])</f>
        <v>6</v>
      </c>
      <c r="I992" t="str">
        <f>TEXT(Europe_Sales_Records34[[#This Row],[Order Date Fixed]],"MMM")</f>
        <v>Feb</v>
      </c>
      <c r="J992">
        <f>YEAR(Europe_Sales_Records34[[#This Row],[Order Date Fixed]])</f>
        <v>2014</v>
      </c>
      <c r="K992" t="str">
        <f>TEXT(Europe_Sales_Records34[[#This Row],[Order Date Fixed]],"MMM-YYYY")</f>
        <v>Feb-2014</v>
      </c>
      <c r="L992">
        <v>907691991</v>
      </c>
      <c r="M992" s="2">
        <f t="shared" si="31"/>
        <v>41707</v>
      </c>
      <c r="N992">
        <f>DAY(Europe_Sales_Records34[[#This Row],[Ship Date Fixed]])</f>
        <v>9</v>
      </c>
      <c r="O992" t="str">
        <f>TEXT(Europe_Sales_Records34[[#This Row],[Ship Date Fixed]],"MMM")</f>
        <v>Mar</v>
      </c>
      <c r="P992">
        <f>YEAR(Europe_Sales_Records34[[#This Row],[Ship Date Fixed]])</f>
        <v>2014</v>
      </c>
      <c r="Q992" t="str">
        <f>TEXT(Europe_Sales_Records34[[#This Row],[Ship Date Fixed]],"MMM-YYYY")</f>
        <v>Mar-2014</v>
      </c>
      <c r="R992" t="s">
        <v>511</v>
      </c>
      <c r="S992" s="3">
        <f>Europe_Sales_Records34[[#This Row],[Ship Date Fixed]]-Europe_Sales_Records34[[#This Row],[Order Date Fixed]]</f>
        <v>31</v>
      </c>
      <c r="T992">
        <v>5086</v>
      </c>
      <c r="U992">
        <v>205.7</v>
      </c>
      <c r="V992">
        <v>117.11</v>
      </c>
      <c r="W992">
        <f>Europe_Sales_Records34[[#This Row],[Total Revenue]]/Europe_Sales_Records34[[#This Row],[Units Sold]]</f>
        <v>205.7</v>
      </c>
      <c r="X992">
        <v>1046190.2</v>
      </c>
      <c r="Y992">
        <v>595621.46</v>
      </c>
      <c r="Z992" s="4">
        <f>Europe_Sales_Records34[[#This Row],[Total Profit]]/Europe_Sales_Records34[[#This Row],[Total Revenue]]</f>
        <v>0.43067574137092857</v>
      </c>
      <c r="AA992">
        <v>450568.74</v>
      </c>
    </row>
    <row r="993" spans="1:27" x14ac:dyDescent="0.3">
      <c r="A993" t="s">
        <v>14</v>
      </c>
      <c r="B993" t="s">
        <v>364</v>
      </c>
      <c r="C993" t="s">
        <v>37</v>
      </c>
      <c r="D993" t="s">
        <v>17</v>
      </c>
      <c r="E993" t="s">
        <v>18</v>
      </c>
      <c r="F993" t="s">
        <v>1192</v>
      </c>
      <c r="G993" s="2">
        <f t="shared" si="30"/>
        <v>42763</v>
      </c>
      <c r="H993">
        <f>DAY(Europe_Sales_Records34[[#This Row],[Order Date Fixed]])</f>
        <v>28</v>
      </c>
      <c r="I993" t="str">
        <f>TEXT(Europe_Sales_Records34[[#This Row],[Order Date Fixed]],"MMM")</f>
        <v>Jan</v>
      </c>
      <c r="J993">
        <f>YEAR(Europe_Sales_Records34[[#This Row],[Order Date Fixed]])</f>
        <v>2017</v>
      </c>
      <c r="K993" t="str">
        <f>TEXT(Europe_Sales_Records34[[#This Row],[Order Date Fixed]],"MMM-YYYY")</f>
        <v>Jan-2017</v>
      </c>
      <c r="L993">
        <v>460693061</v>
      </c>
      <c r="M993" s="2">
        <f t="shared" si="31"/>
        <v>42791</v>
      </c>
      <c r="N993">
        <f>DAY(Europe_Sales_Records34[[#This Row],[Ship Date Fixed]])</f>
        <v>25</v>
      </c>
      <c r="O993" t="str">
        <f>TEXT(Europe_Sales_Records34[[#This Row],[Ship Date Fixed]],"MMM")</f>
        <v>Feb</v>
      </c>
      <c r="P993">
        <f>YEAR(Europe_Sales_Records34[[#This Row],[Ship Date Fixed]])</f>
        <v>2017</v>
      </c>
      <c r="Q993" t="str">
        <f>TEXT(Europe_Sales_Records34[[#This Row],[Ship Date Fixed]],"MMM-YYYY")</f>
        <v>Feb-2017</v>
      </c>
      <c r="R993" t="s">
        <v>1515</v>
      </c>
      <c r="S993" s="3">
        <f>Europe_Sales_Records34[[#This Row],[Ship Date Fixed]]-Europe_Sales_Records34[[#This Row],[Order Date Fixed]]</f>
        <v>28</v>
      </c>
      <c r="T993">
        <v>8169</v>
      </c>
      <c r="U993">
        <v>9.33</v>
      </c>
      <c r="V993">
        <v>6.92</v>
      </c>
      <c r="W993">
        <f>Europe_Sales_Records34[[#This Row],[Total Revenue]]/Europe_Sales_Records34[[#This Row],[Units Sold]]</f>
        <v>9.33</v>
      </c>
      <c r="X993">
        <v>76216.77</v>
      </c>
      <c r="Y993">
        <v>56529.48</v>
      </c>
      <c r="Z993" s="4">
        <f>Europe_Sales_Records34[[#This Row],[Total Profit]]/Europe_Sales_Records34[[#This Row],[Total Revenue]]</f>
        <v>0.25830653804930331</v>
      </c>
      <c r="AA993">
        <v>19687.29</v>
      </c>
    </row>
    <row r="994" spans="1:27" x14ac:dyDescent="0.3">
      <c r="A994" t="s">
        <v>14</v>
      </c>
      <c r="B994" t="s">
        <v>49</v>
      </c>
      <c r="C994" t="s">
        <v>32</v>
      </c>
      <c r="D994" t="s">
        <v>17</v>
      </c>
      <c r="E994" t="s">
        <v>54</v>
      </c>
      <c r="F994" t="s">
        <v>347</v>
      </c>
      <c r="G994" s="2">
        <f t="shared" si="30"/>
        <v>41369</v>
      </c>
      <c r="H994">
        <f>DAY(Europe_Sales_Records34[[#This Row],[Order Date Fixed]])</f>
        <v>5</v>
      </c>
      <c r="I994" t="str">
        <f>TEXT(Europe_Sales_Records34[[#This Row],[Order Date Fixed]],"MMM")</f>
        <v>Apr</v>
      </c>
      <c r="J994">
        <f>YEAR(Europe_Sales_Records34[[#This Row],[Order Date Fixed]])</f>
        <v>2013</v>
      </c>
      <c r="K994" t="str">
        <f>TEXT(Europe_Sales_Records34[[#This Row],[Order Date Fixed]],"MMM-YYYY")</f>
        <v>Apr-2013</v>
      </c>
      <c r="L994">
        <v>424541604</v>
      </c>
      <c r="M994" s="2">
        <f t="shared" si="31"/>
        <v>41411</v>
      </c>
      <c r="N994">
        <f>DAY(Europe_Sales_Records34[[#This Row],[Ship Date Fixed]])</f>
        <v>17</v>
      </c>
      <c r="O994" t="str">
        <f>TEXT(Europe_Sales_Records34[[#This Row],[Ship Date Fixed]],"MMM")</f>
        <v>May</v>
      </c>
      <c r="P994">
        <f>YEAR(Europe_Sales_Records34[[#This Row],[Ship Date Fixed]])</f>
        <v>2013</v>
      </c>
      <c r="Q994" t="str">
        <f>TEXT(Europe_Sales_Records34[[#This Row],[Ship Date Fixed]],"MMM-YYYY")</f>
        <v>May-2013</v>
      </c>
      <c r="R994" t="s">
        <v>1516</v>
      </c>
      <c r="S994" s="3">
        <f>Europe_Sales_Records34[[#This Row],[Ship Date Fixed]]-Europe_Sales_Records34[[#This Row],[Order Date Fixed]]</f>
        <v>42</v>
      </c>
      <c r="T994">
        <v>150</v>
      </c>
      <c r="U994">
        <v>651.21</v>
      </c>
      <c r="V994">
        <v>524.96</v>
      </c>
      <c r="W994">
        <f>Europe_Sales_Records34[[#This Row],[Total Revenue]]/Europe_Sales_Records34[[#This Row],[Units Sold]]</f>
        <v>651.21</v>
      </c>
      <c r="X994">
        <v>97681.5</v>
      </c>
      <c r="Y994">
        <v>78744</v>
      </c>
      <c r="Z994" s="4">
        <f>Europe_Sales_Records34[[#This Row],[Total Profit]]/Europe_Sales_Records34[[#This Row],[Total Revenue]]</f>
        <v>0.19386987300563566</v>
      </c>
      <c r="AA994">
        <v>18937.5</v>
      </c>
    </row>
    <row r="995" spans="1:27" x14ac:dyDescent="0.3">
      <c r="A995" t="s">
        <v>14</v>
      </c>
      <c r="B995" t="s">
        <v>15</v>
      </c>
      <c r="C995" t="s">
        <v>71</v>
      </c>
      <c r="D995" t="s">
        <v>23</v>
      </c>
      <c r="E995" t="s">
        <v>33</v>
      </c>
      <c r="F995" t="s">
        <v>1269</v>
      </c>
      <c r="G995" s="2">
        <f t="shared" si="30"/>
        <v>41876</v>
      </c>
      <c r="H995">
        <f>DAY(Europe_Sales_Records34[[#This Row],[Order Date Fixed]])</f>
        <v>25</v>
      </c>
      <c r="I995" t="str">
        <f>TEXT(Europe_Sales_Records34[[#This Row],[Order Date Fixed]],"MMM")</f>
        <v>Aug</v>
      </c>
      <c r="J995">
        <f>YEAR(Europe_Sales_Records34[[#This Row],[Order Date Fixed]])</f>
        <v>2014</v>
      </c>
      <c r="K995" t="str">
        <f>TEXT(Europe_Sales_Records34[[#This Row],[Order Date Fixed]],"MMM-YYYY")</f>
        <v>Aug-2014</v>
      </c>
      <c r="L995">
        <v>571161448</v>
      </c>
      <c r="M995" s="2">
        <f t="shared" si="31"/>
        <v>41912</v>
      </c>
      <c r="N995">
        <f>DAY(Europe_Sales_Records34[[#This Row],[Ship Date Fixed]])</f>
        <v>30</v>
      </c>
      <c r="O995" t="str">
        <f>TEXT(Europe_Sales_Records34[[#This Row],[Ship Date Fixed]],"MMM")</f>
        <v>Sep</v>
      </c>
      <c r="P995">
        <f>YEAR(Europe_Sales_Records34[[#This Row],[Ship Date Fixed]])</f>
        <v>2014</v>
      </c>
      <c r="Q995" t="str">
        <f>TEXT(Europe_Sales_Records34[[#This Row],[Ship Date Fixed]],"MMM-YYYY")</f>
        <v>Sep-2014</v>
      </c>
      <c r="R995" t="s">
        <v>1389</v>
      </c>
      <c r="S995" s="3">
        <f>Europe_Sales_Records34[[#This Row],[Ship Date Fixed]]-Europe_Sales_Records34[[#This Row],[Order Date Fixed]]</f>
        <v>36</v>
      </c>
      <c r="T995">
        <v>8220</v>
      </c>
      <c r="U995">
        <v>668.27</v>
      </c>
      <c r="V995">
        <v>502.54</v>
      </c>
      <c r="W995">
        <f>Europe_Sales_Records34[[#This Row],[Total Revenue]]/Europe_Sales_Records34[[#This Row],[Units Sold]]</f>
        <v>668.2700000000001</v>
      </c>
      <c r="X995">
        <v>5493179.4000000004</v>
      </c>
      <c r="Y995">
        <v>4130878.8</v>
      </c>
      <c r="Z995" s="4">
        <f>Europe_Sales_Records34[[#This Row],[Total Profit]]/Europe_Sales_Records34[[#This Row],[Total Revenue]]</f>
        <v>0.24799856345489099</v>
      </c>
      <c r="AA995">
        <v>1362300.6</v>
      </c>
    </row>
    <row r="996" spans="1:27" x14ac:dyDescent="0.3">
      <c r="A996" t="s">
        <v>14</v>
      </c>
      <c r="B996" t="s">
        <v>67</v>
      </c>
      <c r="C996" t="s">
        <v>16</v>
      </c>
      <c r="D996" t="s">
        <v>23</v>
      </c>
      <c r="E996" t="s">
        <v>54</v>
      </c>
      <c r="F996" t="s">
        <v>1124</v>
      </c>
      <c r="G996" s="2">
        <f t="shared" si="30"/>
        <v>40578</v>
      </c>
      <c r="H996">
        <f>DAY(Europe_Sales_Records34[[#This Row],[Order Date Fixed]])</f>
        <v>4</v>
      </c>
      <c r="I996" t="str">
        <f>TEXT(Europe_Sales_Records34[[#This Row],[Order Date Fixed]],"MMM")</f>
        <v>Feb</v>
      </c>
      <c r="J996">
        <f>YEAR(Europe_Sales_Records34[[#This Row],[Order Date Fixed]])</f>
        <v>2011</v>
      </c>
      <c r="K996" t="str">
        <f>TEXT(Europe_Sales_Records34[[#This Row],[Order Date Fixed]],"MMM-YYYY")</f>
        <v>Feb-2011</v>
      </c>
      <c r="L996">
        <v>985039174</v>
      </c>
      <c r="M996" s="2">
        <f t="shared" si="31"/>
        <v>40612</v>
      </c>
      <c r="N996">
        <f>DAY(Europe_Sales_Records34[[#This Row],[Ship Date Fixed]])</f>
        <v>10</v>
      </c>
      <c r="O996" t="str">
        <f>TEXT(Europe_Sales_Records34[[#This Row],[Ship Date Fixed]],"MMM")</f>
        <v>Mar</v>
      </c>
      <c r="P996">
        <f>YEAR(Europe_Sales_Records34[[#This Row],[Ship Date Fixed]])</f>
        <v>2011</v>
      </c>
      <c r="Q996" t="str">
        <f>TEXT(Europe_Sales_Records34[[#This Row],[Ship Date Fixed]],"MMM-YYYY")</f>
        <v>Mar-2011</v>
      </c>
      <c r="R996" t="s">
        <v>119</v>
      </c>
      <c r="S996" s="3">
        <f>Europe_Sales_Records34[[#This Row],[Ship Date Fixed]]-Europe_Sales_Records34[[#This Row],[Order Date Fixed]]</f>
        <v>34</v>
      </c>
      <c r="T996">
        <v>3836</v>
      </c>
      <c r="U996">
        <v>47.45</v>
      </c>
      <c r="V996">
        <v>31.79</v>
      </c>
      <c r="W996">
        <f>Europe_Sales_Records34[[#This Row],[Total Revenue]]/Europe_Sales_Records34[[#This Row],[Units Sold]]</f>
        <v>47.45</v>
      </c>
      <c r="X996">
        <v>182018.2</v>
      </c>
      <c r="Y996">
        <v>121946.44</v>
      </c>
      <c r="Z996" s="4">
        <f>Europe_Sales_Records34[[#This Row],[Total Profit]]/Europe_Sales_Records34[[#This Row],[Total Revenue]]</f>
        <v>0.33003161222339306</v>
      </c>
      <c r="AA996">
        <v>60071.76</v>
      </c>
    </row>
    <row r="997" spans="1:27" x14ac:dyDescent="0.3">
      <c r="A997" t="s">
        <v>14</v>
      </c>
      <c r="B997" t="s">
        <v>342</v>
      </c>
      <c r="C997" t="s">
        <v>22</v>
      </c>
      <c r="D997" t="s">
        <v>23</v>
      </c>
      <c r="E997" t="s">
        <v>54</v>
      </c>
      <c r="F997" t="s">
        <v>1517</v>
      </c>
      <c r="G997" s="2">
        <f t="shared" si="30"/>
        <v>42324</v>
      </c>
      <c r="H997">
        <f>DAY(Europe_Sales_Records34[[#This Row],[Order Date Fixed]])</f>
        <v>16</v>
      </c>
      <c r="I997" t="str">
        <f>TEXT(Europe_Sales_Records34[[#This Row],[Order Date Fixed]],"MMM")</f>
        <v>Nov</v>
      </c>
      <c r="J997">
        <f>YEAR(Europe_Sales_Records34[[#This Row],[Order Date Fixed]])</f>
        <v>2015</v>
      </c>
      <c r="K997" t="str">
        <f>TEXT(Europe_Sales_Records34[[#This Row],[Order Date Fixed]],"MMM-YYYY")</f>
        <v>Nov-2015</v>
      </c>
      <c r="L997">
        <v>522323358</v>
      </c>
      <c r="M997" s="2">
        <f t="shared" si="31"/>
        <v>42328</v>
      </c>
      <c r="N997">
        <f>DAY(Europe_Sales_Records34[[#This Row],[Ship Date Fixed]])</f>
        <v>20</v>
      </c>
      <c r="O997" t="str">
        <f>TEXT(Europe_Sales_Records34[[#This Row],[Ship Date Fixed]],"MMM")</f>
        <v>Nov</v>
      </c>
      <c r="P997">
        <f>YEAR(Europe_Sales_Records34[[#This Row],[Ship Date Fixed]])</f>
        <v>2015</v>
      </c>
      <c r="Q997" t="str">
        <f>TEXT(Europe_Sales_Records34[[#This Row],[Ship Date Fixed]],"MMM-YYYY")</f>
        <v>Nov-2015</v>
      </c>
      <c r="R997" t="s">
        <v>1518</v>
      </c>
      <c r="S997" s="3">
        <f>Europe_Sales_Records34[[#This Row],[Ship Date Fixed]]-Europe_Sales_Records34[[#This Row],[Order Date Fixed]]</f>
        <v>4</v>
      </c>
      <c r="T997">
        <v>5944</v>
      </c>
      <c r="U997">
        <v>109.28</v>
      </c>
      <c r="V997">
        <v>35.840000000000003</v>
      </c>
      <c r="W997">
        <f>Europe_Sales_Records34[[#This Row],[Total Revenue]]/Europe_Sales_Records34[[#This Row],[Units Sold]]</f>
        <v>109.27999999999999</v>
      </c>
      <c r="X997">
        <v>649560.31999999995</v>
      </c>
      <c r="Y997">
        <v>213032.95999999999</v>
      </c>
      <c r="Z997" s="4">
        <f>Europe_Sales_Records34[[#This Row],[Total Profit]]/Europe_Sales_Records34[[#This Row],[Total Revenue]]</f>
        <v>0.67203513909224011</v>
      </c>
      <c r="AA997">
        <v>436527.35999999999</v>
      </c>
    </row>
    <row r="998" spans="1:27" x14ac:dyDescent="0.3">
      <c r="A998" t="s">
        <v>14</v>
      </c>
      <c r="B998" t="s">
        <v>80</v>
      </c>
      <c r="C998" t="s">
        <v>46</v>
      </c>
      <c r="D998" t="s">
        <v>17</v>
      </c>
      <c r="E998" t="s">
        <v>24</v>
      </c>
      <c r="F998" t="s">
        <v>858</v>
      </c>
      <c r="G998" s="2">
        <f t="shared" si="30"/>
        <v>42648</v>
      </c>
      <c r="H998">
        <f>DAY(Europe_Sales_Records34[[#This Row],[Order Date Fixed]])</f>
        <v>5</v>
      </c>
      <c r="I998" t="str">
        <f>TEXT(Europe_Sales_Records34[[#This Row],[Order Date Fixed]],"MMM")</f>
        <v>Oct</v>
      </c>
      <c r="J998">
        <f>YEAR(Europe_Sales_Records34[[#This Row],[Order Date Fixed]])</f>
        <v>2016</v>
      </c>
      <c r="K998" t="str">
        <f>TEXT(Europe_Sales_Records34[[#This Row],[Order Date Fixed]],"MMM-YYYY")</f>
        <v>Oct-2016</v>
      </c>
      <c r="L998">
        <v>486461150</v>
      </c>
      <c r="M998" s="2">
        <f t="shared" si="31"/>
        <v>42687</v>
      </c>
      <c r="N998">
        <f>DAY(Europe_Sales_Records34[[#This Row],[Ship Date Fixed]])</f>
        <v>13</v>
      </c>
      <c r="O998" t="str">
        <f>TEXT(Europe_Sales_Records34[[#This Row],[Ship Date Fixed]],"MMM")</f>
        <v>Nov</v>
      </c>
      <c r="P998">
        <f>YEAR(Europe_Sales_Records34[[#This Row],[Ship Date Fixed]])</f>
        <v>2016</v>
      </c>
      <c r="Q998" t="str">
        <f>TEXT(Europe_Sales_Records34[[#This Row],[Ship Date Fixed]],"MMM-YYYY")</f>
        <v>Nov-2016</v>
      </c>
      <c r="R998" t="s">
        <v>1519</v>
      </c>
      <c r="S998" s="3">
        <f>Europe_Sales_Records34[[#This Row],[Ship Date Fixed]]-Europe_Sales_Records34[[#This Row],[Order Date Fixed]]</f>
        <v>39</v>
      </c>
      <c r="T998">
        <v>3519</v>
      </c>
      <c r="U998">
        <v>154.06</v>
      </c>
      <c r="V998">
        <v>90.93</v>
      </c>
      <c r="W998">
        <f>Europe_Sales_Records34[[#This Row],[Total Revenue]]/Europe_Sales_Records34[[#This Row],[Units Sold]]</f>
        <v>154.06</v>
      </c>
      <c r="X998">
        <v>542137.14</v>
      </c>
      <c r="Y998">
        <v>319982.67</v>
      </c>
      <c r="Z998" s="4">
        <f>Europe_Sales_Records34[[#This Row],[Total Profit]]/Europe_Sales_Records34[[#This Row],[Total Revenue]]</f>
        <v>0.40977541217707386</v>
      </c>
      <c r="AA998">
        <v>222154.47</v>
      </c>
    </row>
    <row r="999" spans="1:27" x14ac:dyDescent="0.3">
      <c r="A999" t="s">
        <v>14</v>
      </c>
      <c r="B999" t="s">
        <v>97</v>
      </c>
      <c r="C999" t="s">
        <v>75</v>
      </c>
      <c r="D999" t="s">
        <v>23</v>
      </c>
      <c r="E999" t="s">
        <v>24</v>
      </c>
      <c r="F999" t="s">
        <v>883</v>
      </c>
      <c r="G999" s="2">
        <f t="shared" si="30"/>
        <v>42759</v>
      </c>
      <c r="H999">
        <f>DAY(Europe_Sales_Records34[[#This Row],[Order Date Fixed]])</f>
        <v>24</v>
      </c>
      <c r="I999" t="str">
        <f>TEXT(Europe_Sales_Records34[[#This Row],[Order Date Fixed]],"MMM")</f>
        <v>Jan</v>
      </c>
      <c r="J999">
        <f>YEAR(Europe_Sales_Records34[[#This Row],[Order Date Fixed]])</f>
        <v>2017</v>
      </c>
      <c r="K999" t="str">
        <f>TEXT(Europe_Sales_Records34[[#This Row],[Order Date Fixed]],"MMM-YYYY")</f>
        <v>Jan-2017</v>
      </c>
      <c r="L999">
        <v>949912965</v>
      </c>
      <c r="M999" s="2">
        <f t="shared" si="31"/>
        <v>42800</v>
      </c>
      <c r="N999">
        <f>DAY(Europe_Sales_Records34[[#This Row],[Ship Date Fixed]])</f>
        <v>6</v>
      </c>
      <c r="O999" t="str">
        <f>TEXT(Europe_Sales_Records34[[#This Row],[Ship Date Fixed]],"MMM")</f>
        <v>Mar</v>
      </c>
      <c r="P999">
        <f>YEAR(Europe_Sales_Records34[[#This Row],[Ship Date Fixed]])</f>
        <v>2017</v>
      </c>
      <c r="Q999" t="str">
        <f>TEXT(Europe_Sales_Records34[[#This Row],[Ship Date Fixed]],"MMM-YYYY")</f>
        <v>Mar-2017</v>
      </c>
      <c r="R999" t="s">
        <v>1520</v>
      </c>
      <c r="S999" s="3">
        <f>Europe_Sales_Records34[[#This Row],[Ship Date Fixed]]-Europe_Sales_Records34[[#This Row],[Order Date Fixed]]</f>
        <v>41</v>
      </c>
      <c r="T999">
        <v>9210</v>
      </c>
      <c r="U999">
        <v>437.2</v>
      </c>
      <c r="V999">
        <v>263.33</v>
      </c>
      <c r="W999">
        <f>Europe_Sales_Records34[[#This Row],[Total Revenue]]/Europe_Sales_Records34[[#This Row],[Units Sold]]</f>
        <v>437.2</v>
      </c>
      <c r="X999">
        <v>4026612</v>
      </c>
      <c r="Y999">
        <v>2425269.2999999998</v>
      </c>
      <c r="Z999" s="4">
        <f>Europe_Sales_Records34[[#This Row],[Total Profit]]/Europe_Sales_Records34[[#This Row],[Total Revenue]]</f>
        <v>0.39768984446477584</v>
      </c>
      <c r="AA999">
        <v>1601342.7</v>
      </c>
    </row>
    <row r="1000" spans="1:27" x14ac:dyDescent="0.3">
      <c r="A1000" t="s">
        <v>14</v>
      </c>
      <c r="B1000" t="s">
        <v>163</v>
      </c>
      <c r="C1000" t="s">
        <v>37</v>
      </c>
      <c r="D1000" t="s">
        <v>23</v>
      </c>
      <c r="E1000" t="s">
        <v>33</v>
      </c>
      <c r="F1000" t="s">
        <v>1521</v>
      </c>
      <c r="G1000" s="2">
        <f t="shared" si="30"/>
        <v>41384</v>
      </c>
      <c r="H1000">
        <f>DAY(Europe_Sales_Records34[[#This Row],[Order Date Fixed]])</f>
        <v>20</v>
      </c>
      <c r="I1000" t="str">
        <f>TEXT(Europe_Sales_Records34[[#This Row],[Order Date Fixed]],"MMM")</f>
        <v>Apr</v>
      </c>
      <c r="J1000">
        <f>YEAR(Europe_Sales_Records34[[#This Row],[Order Date Fixed]])</f>
        <v>2013</v>
      </c>
      <c r="K1000" t="str">
        <f>TEXT(Europe_Sales_Records34[[#This Row],[Order Date Fixed]],"MMM-YYYY")</f>
        <v>Apr-2013</v>
      </c>
      <c r="L1000">
        <v>103499639</v>
      </c>
      <c r="M1000" s="2">
        <f t="shared" si="31"/>
        <v>41431</v>
      </c>
      <c r="N1000">
        <f>DAY(Europe_Sales_Records34[[#This Row],[Ship Date Fixed]])</f>
        <v>6</v>
      </c>
      <c r="O1000" t="str">
        <f>TEXT(Europe_Sales_Records34[[#This Row],[Ship Date Fixed]],"MMM")</f>
        <v>Jun</v>
      </c>
      <c r="P1000">
        <f>YEAR(Europe_Sales_Records34[[#This Row],[Ship Date Fixed]])</f>
        <v>2013</v>
      </c>
      <c r="Q1000" t="str">
        <f>TEXT(Europe_Sales_Records34[[#This Row],[Ship Date Fixed]],"MMM-YYYY")</f>
        <v>Jun-2013</v>
      </c>
      <c r="R1000" t="s">
        <v>1291</v>
      </c>
      <c r="S1000" s="3">
        <f>Europe_Sales_Records34[[#This Row],[Ship Date Fixed]]-Europe_Sales_Records34[[#This Row],[Order Date Fixed]]</f>
        <v>47</v>
      </c>
      <c r="T1000">
        <v>6698</v>
      </c>
      <c r="U1000">
        <v>9.33</v>
      </c>
      <c r="V1000">
        <v>6.92</v>
      </c>
      <c r="W1000">
        <f>Europe_Sales_Records34[[#This Row],[Total Revenue]]/Europe_Sales_Records34[[#This Row],[Units Sold]]</f>
        <v>9.33</v>
      </c>
      <c r="X1000">
        <v>62492.34</v>
      </c>
      <c r="Y1000">
        <v>46350.16</v>
      </c>
      <c r="Z1000" s="4">
        <f>Europe_Sales_Records34[[#This Row],[Total Profit]]/Europe_Sales_Records34[[#This Row],[Total Revenue]]</f>
        <v>0.25830653804930337</v>
      </c>
      <c r="AA1000">
        <v>16142.18</v>
      </c>
    </row>
    <row r="1001" spans="1:27" x14ac:dyDescent="0.3">
      <c r="A1001" t="s">
        <v>14</v>
      </c>
      <c r="B1001" t="s">
        <v>243</v>
      </c>
      <c r="C1001" t="s">
        <v>102</v>
      </c>
      <c r="D1001" t="s">
        <v>17</v>
      </c>
      <c r="E1001" t="s">
        <v>18</v>
      </c>
      <c r="F1001" t="s">
        <v>882</v>
      </c>
      <c r="G1001" s="2">
        <f t="shared" si="30"/>
        <v>42727</v>
      </c>
      <c r="H1001">
        <f>DAY(Europe_Sales_Records34[[#This Row],[Order Date Fixed]])</f>
        <v>23</v>
      </c>
      <c r="I1001" t="str">
        <f>TEXT(Europe_Sales_Records34[[#This Row],[Order Date Fixed]],"MMM")</f>
        <v>Dec</v>
      </c>
      <c r="J1001">
        <f>YEAR(Europe_Sales_Records34[[#This Row],[Order Date Fixed]])</f>
        <v>2016</v>
      </c>
      <c r="K1001" t="str">
        <f>TEXT(Europe_Sales_Records34[[#This Row],[Order Date Fixed]],"MMM-YYYY")</f>
        <v>Dec-2016</v>
      </c>
      <c r="L1001">
        <v>877687728</v>
      </c>
      <c r="M1001" s="2">
        <f t="shared" si="31"/>
        <v>42773</v>
      </c>
      <c r="N1001">
        <f>DAY(Europe_Sales_Records34[[#This Row],[Ship Date Fixed]])</f>
        <v>7</v>
      </c>
      <c r="O1001" t="str">
        <f>TEXT(Europe_Sales_Records34[[#This Row],[Ship Date Fixed]],"MMM")</f>
        <v>Feb</v>
      </c>
      <c r="P1001">
        <f>YEAR(Europe_Sales_Records34[[#This Row],[Ship Date Fixed]])</f>
        <v>2017</v>
      </c>
      <c r="Q1001" t="str">
        <f>TEXT(Europe_Sales_Records34[[#This Row],[Ship Date Fixed]],"MMM-YYYY")</f>
        <v>Feb-2017</v>
      </c>
      <c r="R1001" t="s">
        <v>1522</v>
      </c>
      <c r="S1001" s="3">
        <f>Europe_Sales_Records34[[#This Row],[Ship Date Fixed]]-Europe_Sales_Records34[[#This Row],[Order Date Fixed]]</f>
        <v>46</v>
      </c>
      <c r="T1001">
        <v>6158</v>
      </c>
      <c r="U1001">
        <v>81.73</v>
      </c>
      <c r="V1001">
        <v>56.67</v>
      </c>
      <c r="W1001">
        <f>Europe_Sales_Records34[[#This Row],[Total Revenue]]/Europe_Sales_Records34[[#This Row],[Units Sold]]</f>
        <v>81.73</v>
      </c>
      <c r="X1001">
        <v>503293.34</v>
      </c>
      <c r="Y1001">
        <v>348973.86</v>
      </c>
      <c r="Z1001" s="4">
        <f>Europe_Sales_Records34[[#This Row],[Total Profit]]/Europe_Sales_Records34[[#This Row],[Total Revenue]]</f>
        <v>0.30661935641747218</v>
      </c>
      <c r="AA1001">
        <v>154319.48000000001</v>
      </c>
    </row>
    <row r="1002" spans="1:27" x14ac:dyDescent="0.3">
      <c r="A1002" t="s">
        <v>14</v>
      </c>
      <c r="B1002" t="s">
        <v>183</v>
      </c>
      <c r="C1002" t="s">
        <v>64</v>
      </c>
      <c r="D1002" t="s">
        <v>17</v>
      </c>
      <c r="E1002" t="s">
        <v>54</v>
      </c>
      <c r="F1002" t="s">
        <v>1523</v>
      </c>
      <c r="G1002" s="2">
        <f t="shared" si="30"/>
        <v>42019</v>
      </c>
      <c r="H1002">
        <f>DAY(Europe_Sales_Records34[[#This Row],[Order Date Fixed]])</f>
        <v>15</v>
      </c>
      <c r="I1002" t="str">
        <f>TEXT(Europe_Sales_Records34[[#This Row],[Order Date Fixed]],"MMM")</f>
        <v>Jan</v>
      </c>
      <c r="J1002">
        <f>YEAR(Europe_Sales_Records34[[#This Row],[Order Date Fixed]])</f>
        <v>2015</v>
      </c>
      <c r="K1002" t="str">
        <f>TEXT(Europe_Sales_Records34[[#This Row],[Order Date Fixed]],"MMM-YYYY")</f>
        <v>Jan-2015</v>
      </c>
      <c r="L1002">
        <v>288073384</v>
      </c>
      <c r="M1002" s="2">
        <f t="shared" si="31"/>
        <v>42051</v>
      </c>
      <c r="N1002">
        <f>DAY(Europe_Sales_Records34[[#This Row],[Ship Date Fixed]])</f>
        <v>16</v>
      </c>
      <c r="O1002" t="str">
        <f>TEXT(Europe_Sales_Records34[[#This Row],[Ship Date Fixed]],"MMM")</f>
        <v>Feb</v>
      </c>
      <c r="P1002">
        <f>YEAR(Europe_Sales_Records34[[#This Row],[Ship Date Fixed]])</f>
        <v>2015</v>
      </c>
      <c r="Q1002" t="str">
        <f>TEXT(Europe_Sales_Records34[[#This Row],[Ship Date Fixed]],"MMM-YYYY")</f>
        <v>Feb-2015</v>
      </c>
      <c r="R1002" t="s">
        <v>684</v>
      </c>
      <c r="S1002" s="3">
        <f>Europe_Sales_Records34[[#This Row],[Ship Date Fixed]]-Europe_Sales_Records34[[#This Row],[Order Date Fixed]]</f>
        <v>32</v>
      </c>
      <c r="T1002">
        <v>6171</v>
      </c>
      <c r="U1002">
        <v>255.28</v>
      </c>
      <c r="V1002">
        <v>159.41999999999999</v>
      </c>
      <c r="W1002">
        <f>Europe_Sales_Records34[[#This Row],[Total Revenue]]/Europe_Sales_Records34[[#This Row],[Units Sold]]</f>
        <v>255.27999999999997</v>
      </c>
      <c r="X1002">
        <v>1575332.88</v>
      </c>
      <c r="Y1002">
        <v>983780.82</v>
      </c>
      <c r="Z1002" s="4">
        <f>Europe_Sales_Records34[[#This Row],[Total Profit]]/Europe_Sales_Records34[[#This Row],[Total Revenue]]</f>
        <v>0.37550924475086184</v>
      </c>
      <c r="AA1002">
        <v>591552.06000000006</v>
      </c>
    </row>
    <row r="1003" spans="1:27" x14ac:dyDescent="0.3">
      <c r="A1003" t="s">
        <v>14</v>
      </c>
      <c r="B1003" t="s">
        <v>80</v>
      </c>
      <c r="C1003" t="s">
        <v>71</v>
      </c>
      <c r="D1003" t="s">
        <v>23</v>
      </c>
      <c r="E1003" t="s">
        <v>54</v>
      </c>
      <c r="F1003" t="s">
        <v>1524</v>
      </c>
      <c r="G1003" s="2">
        <f t="shared" si="30"/>
        <v>42585</v>
      </c>
      <c r="H1003">
        <f>DAY(Europe_Sales_Records34[[#This Row],[Order Date Fixed]])</f>
        <v>3</v>
      </c>
      <c r="I1003" t="str">
        <f>TEXT(Europe_Sales_Records34[[#This Row],[Order Date Fixed]],"MMM")</f>
        <v>Aug</v>
      </c>
      <c r="J1003">
        <f>YEAR(Europe_Sales_Records34[[#This Row],[Order Date Fixed]])</f>
        <v>2016</v>
      </c>
      <c r="K1003" t="str">
        <f>TEXT(Europe_Sales_Records34[[#This Row],[Order Date Fixed]],"MMM-YYYY")</f>
        <v>Aug-2016</v>
      </c>
      <c r="L1003">
        <v>607756221</v>
      </c>
      <c r="M1003" s="2">
        <f t="shared" si="31"/>
        <v>42593</v>
      </c>
      <c r="N1003">
        <f>DAY(Europe_Sales_Records34[[#This Row],[Ship Date Fixed]])</f>
        <v>11</v>
      </c>
      <c r="O1003" t="str">
        <f>TEXT(Europe_Sales_Records34[[#This Row],[Ship Date Fixed]],"MMM")</f>
        <v>Aug</v>
      </c>
      <c r="P1003">
        <f>YEAR(Europe_Sales_Records34[[#This Row],[Ship Date Fixed]])</f>
        <v>2016</v>
      </c>
      <c r="Q1003" t="str">
        <f>TEXT(Europe_Sales_Records34[[#This Row],[Ship Date Fixed]],"MMM-YYYY")</f>
        <v>Aug-2016</v>
      </c>
      <c r="R1003" t="s">
        <v>1525</v>
      </c>
      <c r="S1003" s="3">
        <f>Europe_Sales_Records34[[#This Row],[Ship Date Fixed]]-Europe_Sales_Records34[[#This Row],[Order Date Fixed]]</f>
        <v>8</v>
      </c>
      <c r="T1003">
        <v>7426</v>
      </c>
      <c r="U1003">
        <v>668.27</v>
      </c>
      <c r="V1003">
        <v>502.54</v>
      </c>
      <c r="W1003">
        <f>Europe_Sales_Records34[[#This Row],[Total Revenue]]/Europe_Sales_Records34[[#This Row],[Units Sold]]</f>
        <v>668.27</v>
      </c>
      <c r="X1003">
        <v>4962573.0199999996</v>
      </c>
      <c r="Y1003">
        <v>3731862.04</v>
      </c>
      <c r="Z1003" s="4">
        <f>Europe_Sales_Records34[[#This Row],[Total Profit]]/Europe_Sales_Records34[[#This Row],[Total Revenue]]</f>
        <v>0.24799856345489102</v>
      </c>
      <c r="AA1003">
        <v>1230710.98</v>
      </c>
    </row>
    <row r="1004" spans="1:27" x14ac:dyDescent="0.3">
      <c r="A1004" t="s">
        <v>14</v>
      </c>
      <c r="B1004" t="s">
        <v>92</v>
      </c>
      <c r="C1004" t="s">
        <v>71</v>
      </c>
      <c r="D1004" t="s">
        <v>23</v>
      </c>
      <c r="E1004" t="s">
        <v>54</v>
      </c>
      <c r="F1004" t="s">
        <v>1526</v>
      </c>
      <c r="G1004" s="2">
        <f t="shared" si="30"/>
        <v>42779</v>
      </c>
      <c r="H1004">
        <f>DAY(Europe_Sales_Records34[[#This Row],[Order Date Fixed]])</f>
        <v>13</v>
      </c>
      <c r="I1004" t="str">
        <f>TEXT(Europe_Sales_Records34[[#This Row],[Order Date Fixed]],"MMM")</f>
        <v>Feb</v>
      </c>
      <c r="J1004">
        <f>YEAR(Europe_Sales_Records34[[#This Row],[Order Date Fixed]])</f>
        <v>2017</v>
      </c>
      <c r="K1004" t="str">
        <f>TEXT(Europe_Sales_Records34[[#This Row],[Order Date Fixed]],"MMM-YYYY")</f>
        <v>Feb-2017</v>
      </c>
      <c r="L1004">
        <v>291179597</v>
      </c>
      <c r="M1004" s="2">
        <f t="shared" si="31"/>
        <v>42786</v>
      </c>
      <c r="N1004">
        <f>DAY(Europe_Sales_Records34[[#This Row],[Ship Date Fixed]])</f>
        <v>20</v>
      </c>
      <c r="O1004" t="str">
        <f>TEXT(Europe_Sales_Records34[[#This Row],[Ship Date Fixed]],"MMM")</f>
        <v>Feb</v>
      </c>
      <c r="P1004">
        <f>YEAR(Europe_Sales_Records34[[#This Row],[Ship Date Fixed]])</f>
        <v>2017</v>
      </c>
      <c r="Q1004" t="str">
        <f>TEXT(Europe_Sales_Records34[[#This Row],[Ship Date Fixed]],"MMM-YYYY")</f>
        <v>Feb-2017</v>
      </c>
      <c r="R1004" t="s">
        <v>822</v>
      </c>
      <c r="S1004" s="3">
        <f>Europe_Sales_Records34[[#This Row],[Ship Date Fixed]]-Europe_Sales_Records34[[#This Row],[Order Date Fixed]]</f>
        <v>7</v>
      </c>
      <c r="T1004">
        <v>5368</v>
      </c>
      <c r="U1004">
        <v>668.27</v>
      </c>
      <c r="V1004">
        <v>502.54</v>
      </c>
      <c r="W1004">
        <f>Europe_Sales_Records34[[#This Row],[Total Revenue]]/Europe_Sales_Records34[[#This Row],[Units Sold]]</f>
        <v>668.27</v>
      </c>
      <c r="X1004">
        <v>3587273.36</v>
      </c>
      <c r="Y1004">
        <v>2697634.72</v>
      </c>
      <c r="Z1004" s="4">
        <f>Europe_Sales_Records34[[#This Row],[Total Profit]]/Europe_Sales_Records34[[#This Row],[Total Revenue]]</f>
        <v>0.24799856345489099</v>
      </c>
      <c r="AA1004">
        <v>889638.64</v>
      </c>
    </row>
    <row r="1005" spans="1:27" x14ac:dyDescent="0.3">
      <c r="A1005" t="s">
        <v>14</v>
      </c>
      <c r="B1005" t="s">
        <v>61</v>
      </c>
      <c r="C1005" t="s">
        <v>37</v>
      </c>
      <c r="D1005" t="s">
        <v>23</v>
      </c>
      <c r="E1005" t="s">
        <v>33</v>
      </c>
      <c r="F1005" t="s">
        <v>171</v>
      </c>
      <c r="G1005" s="2">
        <f t="shared" si="30"/>
        <v>40476</v>
      </c>
      <c r="H1005">
        <f>DAY(Europe_Sales_Records34[[#This Row],[Order Date Fixed]])</f>
        <v>25</v>
      </c>
      <c r="I1005" t="str">
        <f>TEXT(Europe_Sales_Records34[[#This Row],[Order Date Fixed]],"MMM")</f>
        <v>Oct</v>
      </c>
      <c r="J1005">
        <f>YEAR(Europe_Sales_Records34[[#This Row],[Order Date Fixed]])</f>
        <v>2010</v>
      </c>
      <c r="K1005" t="str">
        <f>TEXT(Europe_Sales_Records34[[#This Row],[Order Date Fixed]],"MMM-YYYY")</f>
        <v>Oct-2010</v>
      </c>
      <c r="L1005">
        <v>875220096</v>
      </c>
      <c r="M1005" s="2">
        <f t="shared" si="31"/>
        <v>40488</v>
      </c>
      <c r="N1005">
        <f>DAY(Europe_Sales_Records34[[#This Row],[Ship Date Fixed]])</f>
        <v>6</v>
      </c>
      <c r="O1005" t="str">
        <f>TEXT(Europe_Sales_Records34[[#This Row],[Ship Date Fixed]],"MMM")</f>
        <v>Nov</v>
      </c>
      <c r="P1005">
        <f>YEAR(Europe_Sales_Records34[[#This Row],[Ship Date Fixed]])</f>
        <v>2010</v>
      </c>
      <c r="Q1005" t="str">
        <f>TEXT(Europe_Sales_Records34[[#This Row],[Ship Date Fixed]],"MMM-YYYY")</f>
        <v>Nov-2010</v>
      </c>
      <c r="R1005" t="s">
        <v>1527</v>
      </c>
      <c r="S1005" s="3">
        <f>Europe_Sales_Records34[[#This Row],[Ship Date Fixed]]-Europe_Sales_Records34[[#This Row],[Order Date Fixed]]</f>
        <v>12</v>
      </c>
      <c r="T1005">
        <v>5930</v>
      </c>
      <c r="U1005">
        <v>9.33</v>
      </c>
      <c r="V1005">
        <v>6.92</v>
      </c>
      <c r="W1005">
        <f>Europe_Sales_Records34[[#This Row],[Total Revenue]]/Europe_Sales_Records34[[#This Row],[Units Sold]]</f>
        <v>9.33</v>
      </c>
      <c r="X1005">
        <v>55326.9</v>
      </c>
      <c r="Y1005">
        <v>41035.599999999999</v>
      </c>
      <c r="Z1005" s="4">
        <f>Europe_Sales_Records34[[#This Row],[Total Profit]]/Europe_Sales_Records34[[#This Row],[Total Revenue]]</f>
        <v>0.25830653804930331</v>
      </c>
      <c r="AA1005">
        <v>14291.3</v>
      </c>
    </row>
    <row r="1006" spans="1:27" x14ac:dyDescent="0.3">
      <c r="A1006" t="s">
        <v>14</v>
      </c>
      <c r="B1006" t="s">
        <v>183</v>
      </c>
      <c r="C1006" t="s">
        <v>71</v>
      </c>
      <c r="D1006" t="s">
        <v>17</v>
      </c>
      <c r="E1006" t="s">
        <v>18</v>
      </c>
      <c r="F1006" t="s">
        <v>1492</v>
      </c>
      <c r="G1006" s="2">
        <f t="shared" si="30"/>
        <v>42440</v>
      </c>
      <c r="H1006">
        <f>DAY(Europe_Sales_Records34[[#This Row],[Order Date Fixed]])</f>
        <v>11</v>
      </c>
      <c r="I1006" t="str">
        <f>TEXT(Europe_Sales_Records34[[#This Row],[Order Date Fixed]],"MMM")</f>
        <v>Mar</v>
      </c>
      <c r="J1006">
        <f>YEAR(Europe_Sales_Records34[[#This Row],[Order Date Fixed]])</f>
        <v>2016</v>
      </c>
      <c r="K1006" t="str">
        <f>TEXT(Europe_Sales_Records34[[#This Row],[Order Date Fixed]],"MMM-YYYY")</f>
        <v>Mar-2016</v>
      </c>
      <c r="L1006">
        <v>799848306</v>
      </c>
      <c r="M1006" s="2">
        <f t="shared" si="31"/>
        <v>42483</v>
      </c>
      <c r="N1006">
        <f>DAY(Europe_Sales_Records34[[#This Row],[Ship Date Fixed]])</f>
        <v>23</v>
      </c>
      <c r="O1006" t="str">
        <f>TEXT(Europe_Sales_Records34[[#This Row],[Ship Date Fixed]],"MMM")</f>
        <v>Apr</v>
      </c>
      <c r="P1006">
        <f>YEAR(Europe_Sales_Records34[[#This Row],[Ship Date Fixed]])</f>
        <v>2016</v>
      </c>
      <c r="Q1006" t="str">
        <f>TEXT(Europe_Sales_Records34[[#This Row],[Ship Date Fixed]],"MMM-YYYY")</f>
        <v>Apr-2016</v>
      </c>
      <c r="R1006" t="s">
        <v>720</v>
      </c>
      <c r="S1006" s="3">
        <f>Europe_Sales_Records34[[#This Row],[Ship Date Fixed]]-Europe_Sales_Records34[[#This Row],[Order Date Fixed]]</f>
        <v>43</v>
      </c>
      <c r="T1006">
        <v>1743</v>
      </c>
      <c r="U1006">
        <v>668.27</v>
      </c>
      <c r="V1006">
        <v>502.54</v>
      </c>
      <c r="W1006">
        <f>Europe_Sales_Records34[[#This Row],[Total Revenue]]/Europe_Sales_Records34[[#This Row],[Units Sold]]</f>
        <v>668.2700000000001</v>
      </c>
      <c r="X1006">
        <v>1164794.6100000001</v>
      </c>
      <c r="Y1006">
        <v>875927.22</v>
      </c>
      <c r="Z1006" s="4">
        <f>Europe_Sales_Records34[[#This Row],[Total Profit]]/Europe_Sales_Records34[[#This Row],[Total Revenue]]</f>
        <v>0.24799856345489099</v>
      </c>
      <c r="AA1006">
        <v>288867.39</v>
      </c>
    </row>
    <row r="1007" spans="1:27" x14ac:dyDescent="0.3">
      <c r="A1007" t="s">
        <v>14</v>
      </c>
      <c r="B1007" t="s">
        <v>15</v>
      </c>
      <c r="C1007" t="s">
        <v>50</v>
      </c>
      <c r="D1007" t="s">
        <v>17</v>
      </c>
      <c r="E1007" t="s">
        <v>24</v>
      </c>
      <c r="F1007" t="s">
        <v>1309</v>
      </c>
      <c r="G1007" s="2">
        <f t="shared" si="30"/>
        <v>40882</v>
      </c>
      <c r="H1007">
        <f>DAY(Europe_Sales_Records34[[#This Row],[Order Date Fixed]])</f>
        <v>5</v>
      </c>
      <c r="I1007" t="str">
        <f>TEXT(Europe_Sales_Records34[[#This Row],[Order Date Fixed]],"MMM")</f>
        <v>Dec</v>
      </c>
      <c r="J1007">
        <f>YEAR(Europe_Sales_Records34[[#This Row],[Order Date Fixed]])</f>
        <v>2011</v>
      </c>
      <c r="K1007" t="str">
        <f>TEXT(Europe_Sales_Records34[[#This Row],[Order Date Fixed]],"MMM-YYYY")</f>
        <v>Dec-2011</v>
      </c>
      <c r="L1007">
        <v>693583905</v>
      </c>
      <c r="M1007" s="2">
        <f t="shared" si="31"/>
        <v>40914</v>
      </c>
      <c r="N1007">
        <f>DAY(Europe_Sales_Records34[[#This Row],[Ship Date Fixed]])</f>
        <v>6</v>
      </c>
      <c r="O1007" t="str">
        <f>TEXT(Europe_Sales_Records34[[#This Row],[Ship Date Fixed]],"MMM")</f>
        <v>Jan</v>
      </c>
      <c r="P1007">
        <f>YEAR(Europe_Sales_Records34[[#This Row],[Ship Date Fixed]])</f>
        <v>2012</v>
      </c>
      <c r="Q1007" t="str">
        <f>TEXT(Europe_Sales_Records34[[#This Row],[Ship Date Fixed]],"MMM-YYYY")</f>
        <v>Jan-2012</v>
      </c>
      <c r="R1007" t="s">
        <v>139</v>
      </c>
      <c r="S1007" s="3">
        <f>Europe_Sales_Records34[[#This Row],[Ship Date Fixed]]-Europe_Sales_Records34[[#This Row],[Order Date Fixed]]</f>
        <v>32</v>
      </c>
      <c r="T1007">
        <v>5745</v>
      </c>
      <c r="U1007">
        <v>421.89</v>
      </c>
      <c r="V1007">
        <v>364.69</v>
      </c>
      <c r="W1007">
        <f>Europe_Sales_Records34[[#This Row],[Total Revenue]]/Europe_Sales_Records34[[#This Row],[Units Sold]]</f>
        <v>421.89</v>
      </c>
      <c r="X1007">
        <v>2423758.0499999998</v>
      </c>
      <c r="Y1007">
        <v>2095144.05</v>
      </c>
      <c r="Z1007" s="4">
        <f>Europe_Sales_Records34[[#This Row],[Total Profit]]/Europe_Sales_Records34[[#This Row],[Total Revenue]]</f>
        <v>0.13558036455000119</v>
      </c>
      <c r="AA1007">
        <v>328614</v>
      </c>
    </row>
    <row r="1008" spans="1:27" x14ac:dyDescent="0.3">
      <c r="A1008" t="s">
        <v>14</v>
      </c>
      <c r="B1008" t="s">
        <v>169</v>
      </c>
      <c r="C1008" t="s">
        <v>50</v>
      </c>
      <c r="D1008" t="s">
        <v>23</v>
      </c>
      <c r="E1008" t="s">
        <v>18</v>
      </c>
      <c r="F1008" t="s">
        <v>683</v>
      </c>
      <c r="G1008" s="2">
        <f t="shared" si="30"/>
        <v>42022</v>
      </c>
      <c r="H1008">
        <f>DAY(Europe_Sales_Records34[[#This Row],[Order Date Fixed]])</f>
        <v>18</v>
      </c>
      <c r="I1008" t="str">
        <f>TEXT(Europe_Sales_Records34[[#This Row],[Order Date Fixed]],"MMM")</f>
        <v>Jan</v>
      </c>
      <c r="J1008">
        <f>YEAR(Europe_Sales_Records34[[#This Row],[Order Date Fixed]])</f>
        <v>2015</v>
      </c>
      <c r="K1008" t="str">
        <f>TEXT(Europe_Sales_Records34[[#This Row],[Order Date Fixed]],"MMM-YYYY")</f>
        <v>Jan-2015</v>
      </c>
      <c r="L1008">
        <v>437083184</v>
      </c>
      <c r="M1008" s="2">
        <f t="shared" si="31"/>
        <v>42054</v>
      </c>
      <c r="N1008">
        <f>DAY(Europe_Sales_Records34[[#This Row],[Ship Date Fixed]])</f>
        <v>19</v>
      </c>
      <c r="O1008" t="str">
        <f>TEXT(Europe_Sales_Records34[[#This Row],[Ship Date Fixed]],"MMM")</f>
        <v>Feb</v>
      </c>
      <c r="P1008">
        <f>YEAR(Europe_Sales_Records34[[#This Row],[Ship Date Fixed]])</f>
        <v>2015</v>
      </c>
      <c r="Q1008" t="str">
        <f>TEXT(Europe_Sales_Records34[[#This Row],[Ship Date Fixed]],"MMM-YYYY")</f>
        <v>Feb-2015</v>
      </c>
      <c r="R1008" t="s">
        <v>1367</v>
      </c>
      <c r="S1008" s="3">
        <f>Europe_Sales_Records34[[#This Row],[Ship Date Fixed]]-Europe_Sales_Records34[[#This Row],[Order Date Fixed]]</f>
        <v>32</v>
      </c>
      <c r="T1008">
        <v>1482</v>
      </c>
      <c r="U1008">
        <v>421.89</v>
      </c>
      <c r="V1008">
        <v>364.69</v>
      </c>
      <c r="W1008">
        <f>Europe_Sales_Records34[[#This Row],[Total Revenue]]/Europe_Sales_Records34[[#This Row],[Units Sold]]</f>
        <v>421.89</v>
      </c>
      <c r="X1008">
        <v>625240.98</v>
      </c>
      <c r="Y1008">
        <v>540470.57999999996</v>
      </c>
      <c r="Z1008" s="4">
        <f>Europe_Sales_Records34[[#This Row],[Total Profit]]/Europe_Sales_Records34[[#This Row],[Total Revenue]]</f>
        <v>0.13558036455000119</v>
      </c>
      <c r="AA1008">
        <v>84770.4</v>
      </c>
    </row>
    <row r="1009" spans="1:27" x14ac:dyDescent="0.3">
      <c r="A1009" t="s">
        <v>14</v>
      </c>
      <c r="B1009" t="s">
        <v>181</v>
      </c>
      <c r="C1009" t="s">
        <v>46</v>
      </c>
      <c r="D1009" t="s">
        <v>17</v>
      </c>
      <c r="E1009" t="s">
        <v>18</v>
      </c>
      <c r="F1009" t="s">
        <v>72</v>
      </c>
      <c r="G1009" s="2">
        <f t="shared" si="30"/>
        <v>42926</v>
      </c>
      <c r="H1009">
        <f>DAY(Europe_Sales_Records34[[#This Row],[Order Date Fixed]])</f>
        <v>10</v>
      </c>
      <c r="I1009" t="str">
        <f>TEXT(Europe_Sales_Records34[[#This Row],[Order Date Fixed]],"MMM")</f>
        <v>Jul</v>
      </c>
      <c r="J1009">
        <f>YEAR(Europe_Sales_Records34[[#This Row],[Order Date Fixed]])</f>
        <v>2017</v>
      </c>
      <c r="K1009" t="str">
        <f>TEXT(Europe_Sales_Records34[[#This Row],[Order Date Fixed]],"MMM-YYYY")</f>
        <v>Jul-2017</v>
      </c>
      <c r="L1009">
        <v>759594142</v>
      </c>
      <c r="M1009" s="2">
        <f t="shared" si="31"/>
        <v>42928</v>
      </c>
      <c r="N1009">
        <f>DAY(Europe_Sales_Records34[[#This Row],[Ship Date Fixed]])</f>
        <v>12</v>
      </c>
      <c r="O1009" t="str">
        <f>TEXT(Europe_Sales_Records34[[#This Row],[Ship Date Fixed]],"MMM")</f>
        <v>Jul</v>
      </c>
      <c r="P1009">
        <f>YEAR(Europe_Sales_Records34[[#This Row],[Ship Date Fixed]])</f>
        <v>2017</v>
      </c>
      <c r="Q1009" t="str">
        <f>TEXT(Europe_Sales_Records34[[#This Row],[Ship Date Fixed]],"MMM-YYYY")</f>
        <v>Jul-2017</v>
      </c>
      <c r="R1009" t="s">
        <v>896</v>
      </c>
      <c r="S1009" s="3">
        <f>Europe_Sales_Records34[[#This Row],[Ship Date Fixed]]-Europe_Sales_Records34[[#This Row],[Order Date Fixed]]</f>
        <v>2</v>
      </c>
      <c r="T1009">
        <v>9641</v>
      </c>
      <c r="U1009">
        <v>154.06</v>
      </c>
      <c r="V1009">
        <v>90.93</v>
      </c>
      <c r="W1009">
        <f>Europe_Sales_Records34[[#This Row],[Total Revenue]]/Europe_Sales_Records34[[#This Row],[Units Sold]]</f>
        <v>154.06</v>
      </c>
      <c r="X1009">
        <v>1485292.46</v>
      </c>
      <c r="Y1009">
        <v>876656.13</v>
      </c>
      <c r="Z1009" s="4">
        <f>Europe_Sales_Records34[[#This Row],[Total Profit]]/Europe_Sales_Records34[[#This Row],[Total Revenue]]</f>
        <v>0.40977541217707386</v>
      </c>
      <c r="AA1009">
        <v>608636.32999999996</v>
      </c>
    </row>
    <row r="1010" spans="1:27" x14ac:dyDescent="0.3">
      <c r="A1010" t="s">
        <v>14</v>
      </c>
      <c r="B1010" t="s">
        <v>127</v>
      </c>
      <c r="C1010" t="s">
        <v>71</v>
      </c>
      <c r="D1010" t="s">
        <v>23</v>
      </c>
      <c r="E1010" t="s">
        <v>33</v>
      </c>
      <c r="F1010" t="s">
        <v>1528</v>
      </c>
      <c r="G1010" s="2">
        <f t="shared" si="30"/>
        <v>40314</v>
      </c>
      <c r="H1010">
        <f>DAY(Europe_Sales_Records34[[#This Row],[Order Date Fixed]])</f>
        <v>16</v>
      </c>
      <c r="I1010" t="str">
        <f>TEXT(Europe_Sales_Records34[[#This Row],[Order Date Fixed]],"MMM")</f>
        <v>May</v>
      </c>
      <c r="J1010">
        <f>YEAR(Europe_Sales_Records34[[#This Row],[Order Date Fixed]])</f>
        <v>2010</v>
      </c>
      <c r="K1010" t="str">
        <f>TEXT(Europe_Sales_Records34[[#This Row],[Order Date Fixed]],"MMM-YYYY")</f>
        <v>May-2010</v>
      </c>
      <c r="L1010">
        <v>702815854</v>
      </c>
      <c r="M1010" s="2">
        <f t="shared" si="31"/>
        <v>40335</v>
      </c>
      <c r="N1010">
        <f>DAY(Europe_Sales_Records34[[#This Row],[Ship Date Fixed]])</f>
        <v>6</v>
      </c>
      <c r="O1010" t="str">
        <f>TEXT(Europe_Sales_Records34[[#This Row],[Ship Date Fixed]],"MMM")</f>
        <v>Jun</v>
      </c>
      <c r="P1010">
        <f>YEAR(Europe_Sales_Records34[[#This Row],[Ship Date Fixed]])</f>
        <v>2010</v>
      </c>
      <c r="Q1010" t="str">
        <f>TEXT(Europe_Sales_Records34[[#This Row],[Ship Date Fixed]],"MMM-YYYY")</f>
        <v>Jun-2010</v>
      </c>
      <c r="R1010" t="s">
        <v>134</v>
      </c>
      <c r="S1010" s="3">
        <f>Europe_Sales_Records34[[#This Row],[Ship Date Fixed]]-Europe_Sales_Records34[[#This Row],[Order Date Fixed]]</f>
        <v>21</v>
      </c>
      <c r="T1010">
        <v>7684</v>
      </c>
      <c r="U1010">
        <v>668.27</v>
      </c>
      <c r="V1010">
        <v>502.54</v>
      </c>
      <c r="W1010">
        <f>Europe_Sales_Records34[[#This Row],[Total Revenue]]/Europe_Sales_Records34[[#This Row],[Units Sold]]</f>
        <v>668.27</v>
      </c>
      <c r="X1010">
        <v>5134986.68</v>
      </c>
      <c r="Y1010">
        <v>3861517.36</v>
      </c>
      <c r="Z1010" s="4">
        <f>Europe_Sales_Records34[[#This Row],[Total Profit]]/Europe_Sales_Records34[[#This Row],[Total Revenue]]</f>
        <v>0.24799856345489102</v>
      </c>
      <c r="AA1010">
        <v>1273469.32</v>
      </c>
    </row>
    <row r="1011" spans="1:27" x14ac:dyDescent="0.3">
      <c r="A1011" t="s">
        <v>14</v>
      </c>
      <c r="B1011" t="s">
        <v>169</v>
      </c>
      <c r="C1011" t="s">
        <v>58</v>
      </c>
      <c r="D1011" t="s">
        <v>23</v>
      </c>
      <c r="E1011" t="s">
        <v>18</v>
      </c>
      <c r="F1011" t="s">
        <v>308</v>
      </c>
      <c r="G1011" s="2">
        <f t="shared" si="30"/>
        <v>41426</v>
      </c>
      <c r="H1011">
        <f>DAY(Europe_Sales_Records34[[#This Row],[Order Date Fixed]])</f>
        <v>1</v>
      </c>
      <c r="I1011" t="str">
        <f>TEXT(Europe_Sales_Records34[[#This Row],[Order Date Fixed]],"MMM")</f>
        <v>Jun</v>
      </c>
      <c r="J1011">
        <f>YEAR(Europe_Sales_Records34[[#This Row],[Order Date Fixed]])</f>
        <v>2013</v>
      </c>
      <c r="K1011" t="str">
        <f>TEXT(Europe_Sales_Records34[[#This Row],[Order Date Fixed]],"MMM-YYYY")</f>
        <v>Jun-2013</v>
      </c>
      <c r="L1011">
        <v>971899354</v>
      </c>
      <c r="M1011" s="2">
        <f t="shared" si="31"/>
        <v>41426</v>
      </c>
      <c r="N1011">
        <f>DAY(Europe_Sales_Records34[[#This Row],[Ship Date Fixed]])</f>
        <v>1</v>
      </c>
      <c r="O1011" t="str">
        <f>TEXT(Europe_Sales_Records34[[#This Row],[Ship Date Fixed]],"MMM")</f>
        <v>Jun</v>
      </c>
      <c r="P1011">
        <f>YEAR(Europe_Sales_Records34[[#This Row],[Ship Date Fixed]])</f>
        <v>2013</v>
      </c>
      <c r="Q1011" t="str">
        <f>TEXT(Europe_Sales_Records34[[#This Row],[Ship Date Fixed]],"MMM-YYYY")</f>
        <v>Jun-2013</v>
      </c>
      <c r="R1011" t="s">
        <v>308</v>
      </c>
      <c r="S1011" s="3">
        <f>Europe_Sales_Records34[[#This Row],[Ship Date Fixed]]-Europe_Sales_Records34[[#This Row],[Order Date Fixed]]</f>
        <v>0</v>
      </c>
      <c r="T1011">
        <v>5471</v>
      </c>
      <c r="U1011">
        <v>152.58000000000001</v>
      </c>
      <c r="V1011">
        <v>97.44</v>
      </c>
      <c r="W1011">
        <f>Europe_Sales_Records34[[#This Row],[Total Revenue]]/Europe_Sales_Records34[[#This Row],[Units Sold]]</f>
        <v>152.58000000000001</v>
      </c>
      <c r="X1011">
        <v>834765.18</v>
      </c>
      <c r="Y1011">
        <v>533094.24</v>
      </c>
      <c r="Z1011" s="4">
        <f>Europe_Sales_Records34[[#This Row],[Total Profit]]/Europe_Sales_Records34[[#This Row],[Total Revenue]]</f>
        <v>0.36138419189933146</v>
      </c>
      <c r="AA1011">
        <v>301670.94</v>
      </c>
    </row>
    <row r="1012" spans="1:27" x14ac:dyDescent="0.3">
      <c r="A1012" t="s">
        <v>14</v>
      </c>
      <c r="B1012" t="s">
        <v>15</v>
      </c>
      <c r="C1012" t="s">
        <v>32</v>
      </c>
      <c r="D1012" t="s">
        <v>23</v>
      </c>
      <c r="E1012" t="s">
        <v>24</v>
      </c>
      <c r="F1012" t="s">
        <v>1529</v>
      </c>
      <c r="G1012" s="2">
        <f t="shared" si="30"/>
        <v>40225</v>
      </c>
      <c r="H1012">
        <f>DAY(Europe_Sales_Records34[[#This Row],[Order Date Fixed]])</f>
        <v>16</v>
      </c>
      <c r="I1012" t="str">
        <f>TEXT(Europe_Sales_Records34[[#This Row],[Order Date Fixed]],"MMM")</f>
        <v>Feb</v>
      </c>
      <c r="J1012">
        <f>YEAR(Europe_Sales_Records34[[#This Row],[Order Date Fixed]])</f>
        <v>2010</v>
      </c>
      <c r="K1012" t="str">
        <f>TEXT(Europe_Sales_Records34[[#This Row],[Order Date Fixed]],"MMM-YYYY")</f>
        <v>Feb-2010</v>
      </c>
      <c r="L1012">
        <v>521681344</v>
      </c>
      <c r="M1012" s="2">
        <f t="shared" si="31"/>
        <v>40271</v>
      </c>
      <c r="N1012">
        <f>DAY(Europe_Sales_Records34[[#This Row],[Ship Date Fixed]])</f>
        <v>3</v>
      </c>
      <c r="O1012" t="str">
        <f>TEXT(Europe_Sales_Records34[[#This Row],[Ship Date Fixed]],"MMM")</f>
        <v>Apr</v>
      </c>
      <c r="P1012">
        <f>YEAR(Europe_Sales_Records34[[#This Row],[Ship Date Fixed]])</f>
        <v>2010</v>
      </c>
      <c r="Q1012" t="str">
        <f>TEXT(Europe_Sales_Records34[[#This Row],[Ship Date Fixed]],"MMM-YYYY")</f>
        <v>Apr-2010</v>
      </c>
      <c r="R1012" t="s">
        <v>1530</v>
      </c>
      <c r="S1012" s="3">
        <f>Europe_Sales_Records34[[#This Row],[Ship Date Fixed]]-Europe_Sales_Records34[[#This Row],[Order Date Fixed]]</f>
        <v>46</v>
      </c>
      <c r="T1012">
        <v>5957</v>
      </c>
      <c r="U1012">
        <v>651.21</v>
      </c>
      <c r="V1012">
        <v>524.96</v>
      </c>
      <c r="W1012">
        <f>Europe_Sales_Records34[[#This Row],[Total Revenue]]/Europe_Sales_Records34[[#This Row],[Units Sold]]</f>
        <v>651.21</v>
      </c>
      <c r="X1012">
        <v>3879257.97</v>
      </c>
      <c r="Y1012">
        <v>3127186.72</v>
      </c>
      <c r="Z1012" s="4">
        <f>Europe_Sales_Records34[[#This Row],[Total Profit]]/Europe_Sales_Records34[[#This Row],[Total Revenue]]</f>
        <v>0.19386987300563566</v>
      </c>
      <c r="AA1012">
        <v>752071.25</v>
      </c>
    </row>
    <row r="1013" spans="1:27" x14ac:dyDescent="0.3">
      <c r="A1013" t="s">
        <v>14</v>
      </c>
      <c r="B1013" t="s">
        <v>223</v>
      </c>
      <c r="C1013" t="s">
        <v>32</v>
      </c>
      <c r="D1013" t="s">
        <v>17</v>
      </c>
      <c r="E1013" t="s">
        <v>33</v>
      </c>
      <c r="F1013" t="s">
        <v>1198</v>
      </c>
      <c r="G1013" s="2">
        <f t="shared" si="30"/>
        <v>40926</v>
      </c>
      <c r="H1013">
        <f>DAY(Europe_Sales_Records34[[#This Row],[Order Date Fixed]])</f>
        <v>18</v>
      </c>
      <c r="I1013" t="str">
        <f>TEXT(Europe_Sales_Records34[[#This Row],[Order Date Fixed]],"MMM")</f>
        <v>Jan</v>
      </c>
      <c r="J1013">
        <f>YEAR(Europe_Sales_Records34[[#This Row],[Order Date Fixed]])</f>
        <v>2012</v>
      </c>
      <c r="K1013" t="str">
        <f>TEXT(Europe_Sales_Records34[[#This Row],[Order Date Fixed]],"MMM-YYYY")</f>
        <v>Jan-2012</v>
      </c>
      <c r="L1013">
        <v>239554154</v>
      </c>
      <c r="M1013" s="2">
        <f t="shared" si="31"/>
        <v>40952</v>
      </c>
      <c r="N1013">
        <f>DAY(Europe_Sales_Records34[[#This Row],[Ship Date Fixed]])</f>
        <v>13</v>
      </c>
      <c r="O1013" t="str">
        <f>TEXT(Europe_Sales_Records34[[#This Row],[Ship Date Fixed]],"MMM")</f>
        <v>Feb</v>
      </c>
      <c r="P1013">
        <f>YEAR(Europe_Sales_Records34[[#This Row],[Ship Date Fixed]])</f>
        <v>2012</v>
      </c>
      <c r="Q1013" t="str">
        <f>TEXT(Europe_Sales_Records34[[#This Row],[Ship Date Fixed]],"MMM-YYYY")</f>
        <v>Feb-2012</v>
      </c>
      <c r="R1013" t="s">
        <v>898</v>
      </c>
      <c r="S1013" s="3">
        <f>Europe_Sales_Records34[[#This Row],[Ship Date Fixed]]-Europe_Sales_Records34[[#This Row],[Order Date Fixed]]</f>
        <v>26</v>
      </c>
      <c r="T1013">
        <v>8253</v>
      </c>
      <c r="U1013">
        <v>651.21</v>
      </c>
      <c r="V1013">
        <v>524.96</v>
      </c>
      <c r="W1013">
        <f>Europe_Sales_Records34[[#This Row],[Total Revenue]]/Europe_Sales_Records34[[#This Row],[Units Sold]]</f>
        <v>651.21</v>
      </c>
      <c r="X1013">
        <v>5374436.1299999999</v>
      </c>
      <c r="Y1013">
        <v>4332494.88</v>
      </c>
      <c r="Z1013" s="4">
        <f>Europe_Sales_Records34[[#This Row],[Total Profit]]/Europe_Sales_Records34[[#This Row],[Total Revenue]]</f>
        <v>0.19386987300563566</v>
      </c>
      <c r="AA1013">
        <v>1041941.25</v>
      </c>
    </row>
    <row r="1014" spans="1:27" x14ac:dyDescent="0.3">
      <c r="A1014" t="s">
        <v>14</v>
      </c>
      <c r="B1014" t="s">
        <v>138</v>
      </c>
      <c r="C1014" t="s">
        <v>32</v>
      </c>
      <c r="D1014" t="s">
        <v>23</v>
      </c>
      <c r="E1014" t="s">
        <v>24</v>
      </c>
      <c r="F1014" t="s">
        <v>1531</v>
      </c>
      <c r="G1014" s="2">
        <f t="shared" si="30"/>
        <v>40650</v>
      </c>
      <c r="H1014">
        <f>DAY(Europe_Sales_Records34[[#This Row],[Order Date Fixed]])</f>
        <v>17</v>
      </c>
      <c r="I1014" t="str">
        <f>TEXT(Europe_Sales_Records34[[#This Row],[Order Date Fixed]],"MMM")</f>
        <v>Apr</v>
      </c>
      <c r="J1014">
        <f>YEAR(Europe_Sales_Records34[[#This Row],[Order Date Fixed]])</f>
        <v>2011</v>
      </c>
      <c r="K1014" t="str">
        <f>TEXT(Europe_Sales_Records34[[#This Row],[Order Date Fixed]],"MMM-YYYY")</f>
        <v>Apr-2011</v>
      </c>
      <c r="L1014">
        <v>982566821</v>
      </c>
      <c r="M1014" s="2">
        <f t="shared" si="31"/>
        <v>40699</v>
      </c>
      <c r="N1014">
        <f>DAY(Europe_Sales_Records34[[#This Row],[Ship Date Fixed]])</f>
        <v>5</v>
      </c>
      <c r="O1014" t="str">
        <f>TEXT(Europe_Sales_Records34[[#This Row],[Ship Date Fixed]],"MMM")</f>
        <v>Jun</v>
      </c>
      <c r="P1014">
        <f>YEAR(Europe_Sales_Records34[[#This Row],[Ship Date Fixed]])</f>
        <v>2011</v>
      </c>
      <c r="Q1014" t="str">
        <f>TEXT(Europe_Sales_Records34[[#This Row],[Ship Date Fixed]],"MMM-YYYY")</f>
        <v>Jun-2011</v>
      </c>
      <c r="R1014" t="s">
        <v>1397</v>
      </c>
      <c r="S1014" s="3">
        <f>Europe_Sales_Records34[[#This Row],[Ship Date Fixed]]-Europe_Sales_Records34[[#This Row],[Order Date Fixed]]</f>
        <v>49</v>
      </c>
      <c r="T1014">
        <v>2212</v>
      </c>
      <c r="U1014">
        <v>651.21</v>
      </c>
      <c r="V1014">
        <v>524.96</v>
      </c>
      <c r="W1014">
        <f>Europe_Sales_Records34[[#This Row],[Total Revenue]]/Europe_Sales_Records34[[#This Row],[Units Sold]]</f>
        <v>651.21</v>
      </c>
      <c r="X1014">
        <v>1440476.52</v>
      </c>
      <c r="Y1014">
        <v>1161211.52</v>
      </c>
      <c r="Z1014" s="4">
        <f>Europe_Sales_Records34[[#This Row],[Total Profit]]/Europe_Sales_Records34[[#This Row],[Total Revenue]]</f>
        <v>0.19386987300563566</v>
      </c>
      <c r="AA1014">
        <v>279265</v>
      </c>
    </row>
    <row r="1015" spans="1:27" x14ac:dyDescent="0.3">
      <c r="A1015" t="s">
        <v>14</v>
      </c>
      <c r="B1015" t="s">
        <v>94</v>
      </c>
      <c r="C1015" t="s">
        <v>75</v>
      </c>
      <c r="D1015" t="s">
        <v>23</v>
      </c>
      <c r="E1015" t="s">
        <v>18</v>
      </c>
      <c r="F1015" t="s">
        <v>1532</v>
      </c>
      <c r="G1015" s="2">
        <f t="shared" si="30"/>
        <v>42860</v>
      </c>
      <c r="H1015">
        <f>DAY(Europe_Sales_Records34[[#This Row],[Order Date Fixed]])</f>
        <v>5</v>
      </c>
      <c r="I1015" t="str">
        <f>TEXT(Europe_Sales_Records34[[#This Row],[Order Date Fixed]],"MMM")</f>
        <v>May</v>
      </c>
      <c r="J1015">
        <f>YEAR(Europe_Sales_Records34[[#This Row],[Order Date Fixed]])</f>
        <v>2017</v>
      </c>
      <c r="K1015" t="str">
        <f>TEXT(Europe_Sales_Records34[[#This Row],[Order Date Fixed]],"MMM-YYYY")</f>
        <v>May-2017</v>
      </c>
      <c r="L1015">
        <v>887501180</v>
      </c>
      <c r="M1015" s="2">
        <f t="shared" si="31"/>
        <v>42906</v>
      </c>
      <c r="N1015">
        <f>DAY(Europe_Sales_Records34[[#This Row],[Ship Date Fixed]])</f>
        <v>20</v>
      </c>
      <c r="O1015" t="str">
        <f>TEXT(Europe_Sales_Records34[[#This Row],[Ship Date Fixed]],"MMM")</f>
        <v>Jun</v>
      </c>
      <c r="P1015">
        <f>YEAR(Europe_Sales_Records34[[#This Row],[Ship Date Fixed]])</f>
        <v>2017</v>
      </c>
      <c r="Q1015" t="str">
        <f>TEXT(Europe_Sales_Records34[[#This Row],[Ship Date Fixed]],"MMM-YYYY")</f>
        <v>Jun-2017</v>
      </c>
      <c r="R1015" t="s">
        <v>963</v>
      </c>
      <c r="S1015" s="3">
        <f>Europe_Sales_Records34[[#This Row],[Ship Date Fixed]]-Europe_Sales_Records34[[#This Row],[Order Date Fixed]]</f>
        <v>46</v>
      </c>
      <c r="T1015">
        <v>176</v>
      </c>
      <c r="U1015">
        <v>437.2</v>
      </c>
      <c r="V1015">
        <v>263.33</v>
      </c>
      <c r="W1015">
        <f>Europe_Sales_Records34[[#This Row],[Total Revenue]]/Europe_Sales_Records34[[#This Row],[Units Sold]]</f>
        <v>437.2</v>
      </c>
      <c r="X1015">
        <v>76947.199999999997</v>
      </c>
      <c r="Y1015">
        <v>46346.080000000002</v>
      </c>
      <c r="Z1015" s="4">
        <f>Europe_Sales_Records34[[#This Row],[Total Profit]]/Europe_Sales_Records34[[#This Row],[Total Revenue]]</f>
        <v>0.39768984446477584</v>
      </c>
      <c r="AA1015">
        <v>30601.119999999999</v>
      </c>
    </row>
    <row r="1016" spans="1:27" x14ac:dyDescent="0.3">
      <c r="A1016" t="s">
        <v>14</v>
      </c>
      <c r="B1016" t="s">
        <v>181</v>
      </c>
      <c r="C1016" t="s">
        <v>37</v>
      </c>
      <c r="D1016" t="s">
        <v>23</v>
      </c>
      <c r="E1016" t="s">
        <v>54</v>
      </c>
      <c r="F1016" t="s">
        <v>171</v>
      </c>
      <c r="G1016" s="2">
        <f t="shared" si="30"/>
        <v>40476</v>
      </c>
      <c r="H1016">
        <f>DAY(Europe_Sales_Records34[[#This Row],[Order Date Fixed]])</f>
        <v>25</v>
      </c>
      <c r="I1016" t="str">
        <f>TEXT(Europe_Sales_Records34[[#This Row],[Order Date Fixed]],"MMM")</f>
        <v>Oct</v>
      </c>
      <c r="J1016">
        <f>YEAR(Europe_Sales_Records34[[#This Row],[Order Date Fixed]])</f>
        <v>2010</v>
      </c>
      <c r="K1016" t="str">
        <f>TEXT(Europe_Sales_Records34[[#This Row],[Order Date Fixed]],"MMM-YYYY")</f>
        <v>Oct-2010</v>
      </c>
      <c r="L1016">
        <v>278513133</v>
      </c>
      <c r="M1016" s="2">
        <f t="shared" si="31"/>
        <v>40487</v>
      </c>
      <c r="N1016">
        <f>DAY(Europe_Sales_Records34[[#This Row],[Ship Date Fixed]])</f>
        <v>5</v>
      </c>
      <c r="O1016" t="str">
        <f>TEXT(Europe_Sales_Records34[[#This Row],[Ship Date Fixed]],"MMM")</f>
        <v>Nov</v>
      </c>
      <c r="P1016">
        <f>YEAR(Europe_Sales_Records34[[#This Row],[Ship Date Fixed]])</f>
        <v>2010</v>
      </c>
      <c r="Q1016" t="str">
        <f>TEXT(Europe_Sales_Records34[[#This Row],[Ship Date Fixed]],"MMM-YYYY")</f>
        <v>Nov-2010</v>
      </c>
      <c r="R1016" t="s">
        <v>893</v>
      </c>
      <c r="S1016" s="3">
        <f>Europe_Sales_Records34[[#This Row],[Ship Date Fixed]]-Europe_Sales_Records34[[#This Row],[Order Date Fixed]]</f>
        <v>11</v>
      </c>
      <c r="T1016">
        <v>7080</v>
      </c>
      <c r="U1016">
        <v>9.33</v>
      </c>
      <c r="V1016">
        <v>6.92</v>
      </c>
      <c r="W1016">
        <f>Europe_Sales_Records34[[#This Row],[Total Revenue]]/Europe_Sales_Records34[[#This Row],[Units Sold]]</f>
        <v>9.3299999999999983</v>
      </c>
      <c r="X1016">
        <v>66056.399999999994</v>
      </c>
      <c r="Y1016">
        <v>48993.599999999999</v>
      </c>
      <c r="Z1016" s="4">
        <f>Europe_Sales_Records34[[#This Row],[Total Profit]]/Europe_Sales_Records34[[#This Row],[Total Revenue]]</f>
        <v>0.25830653804930331</v>
      </c>
      <c r="AA1016">
        <v>17062.8</v>
      </c>
    </row>
    <row r="1017" spans="1:27" x14ac:dyDescent="0.3">
      <c r="A1017" t="s">
        <v>14</v>
      </c>
      <c r="B1017" t="s">
        <v>141</v>
      </c>
      <c r="C1017" t="s">
        <v>64</v>
      </c>
      <c r="D1017" t="s">
        <v>17</v>
      </c>
      <c r="E1017" t="s">
        <v>33</v>
      </c>
      <c r="F1017" t="s">
        <v>1496</v>
      </c>
      <c r="G1017" s="2">
        <f t="shared" si="30"/>
        <v>41047</v>
      </c>
      <c r="H1017">
        <f>DAY(Europe_Sales_Records34[[#This Row],[Order Date Fixed]])</f>
        <v>18</v>
      </c>
      <c r="I1017" t="str">
        <f>TEXT(Europe_Sales_Records34[[#This Row],[Order Date Fixed]],"MMM")</f>
        <v>May</v>
      </c>
      <c r="J1017">
        <f>YEAR(Europe_Sales_Records34[[#This Row],[Order Date Fixed]])</f>
        <v>2012</v>
      </c>
      <c r="K1017" t="str">
        <f>TEXT(Europe_Sales_Records34[[#This Row],[Order Date Fixed]],"MMM-YYYY")</f>
        <v>May-2012</v>
      </c>
      <c r="L1017">
        <v>152191388</v>
      </c>
      <c r="M1017" s="2">
        <f t="shared" si="31"/>
        <v>41082</v>
      </c>
      <c r="N1017">
        <f>DAY(Europe_Sales_Records34[[#This Row],[Ship Date Fixed]])</f>
        <v>22</v>
      </c>
      <c r="O1017" t="str">
        <f>TEXT(Europe_Sales_Records34[[#This Row],[Ship Date Fixed]],"MMM")</f>
        <v>Jun</v>
      </c>
      <c r="P1017">
        <f>YEAR(Europe_Sales_Records34[[#This Row],[Ship Date Fixed]])</f>
        <v>2012</v>
      </c>
      <c r="Q1017" t="str">
        <f>TEXT(Europe_Sales_Records34[[#This Row],[Ship Date Fixed]],"MMM-YYYY")</f>
        <v>Jun-2012</v>
      </c>
      <c r="R1017" t="s">
        <v>552</v>
      </c>
      <c r="S1017" s="3">
        <f>Europe_Sales_Records34[[#This Row],[Ship Date Fixed]]-Europe_Sales_Records34[[#This Row],[Order Date Fixed]]</f>
        <v>35</v>
      </c>
      <c r="T1017">
        <v>5669</v>
      </c>
      <c r="U1017">
        <v>255.28</v>
      </c>
      <c r="V1017">
        <v>159.41999999999999</v>
      </c>
      <c r="W1017">
        <f>Europe_Sales_Records34[[#This Row],[Total Revenue]]/Europe_Sales_Records34[[#This Row],[Units Sold]]</f>
        <v>255.28</v>
      </c>
      <c r="X1017">
        <v>1447182.32</v>
      </c>
      <c r="Y1017">
        <v>903751.98</v>
      </c>
      <c r="Z1017" s="4">
        <f>Europe_Sales_Records34[[#This Row],[Total Profit]]/Europe_Sales_Records34[[#This Row],[Total Revenue]]</f>
        <v>0.37550924475086178</v>
      </c>
      <c r="AA1017">
        <v>543430.34</v>
      </c>
    </row>
    <row r="1018" spans="1:27" x14ac:dyDescent="0.3">
      <c r="A1018" t="s">
        <v>14</v>
      </c>
      <c r="B1018" t="s">
        <v>232</v>
      </c>
      <c r="C1018" t="s">
        <v>102</v>
      </c>
      <c r="D1018" t="s">
        <v>17</v>
      </c>
      <c r="E1018" t="s">
        <v>18</v>
      </c>
      <c r="F1018" t="s">
        <v>1092</v>
      </c>
      <c r="G1018" s="2">
        <f t="shared" si="30"/>
        <v>41764</v>
      </c>
      <c r="H1018">
        <f>DAY(Europe_Sales_Records34[[#This Row],[Order Date Fixed]])</f>
        <v>5</v>
      </c>
      <c r="I1018" t="str">
        <f>TEXT(Europe_Sales_Records34[[#This Row],[Order Date Fixed]],"MMM")</f>
        <v>May</v>
      </c>
      <c r="J1018">
        <f>YEAR(Europe_Sales_Records34[[#This Row],[Order Date Fixed]])</f>
        <v>2014</v>
      </c>
      <c r="K1018" t="str">
        <f>TEXT(Europe_Sales_Records34[[#This Row],[Order Date Fixed]],"MMM-YYYY")</f>
        <v>May-2014</v>
      </c>
      <c r="L1018">
        <v>309655511</v>
      </c>
      <c r="M1018" s="2">
        <f t="shared" si="31"/>
        <v>41780</v>
      </c>
      <c r="N1018">
        <f>DAY(Europe_Sales_Records34[[#This Row],[Ship Date Fixed]])</f>
        <v>21</v>
      </c>
      <c r="O1018" t="str">
        <f>TEXT(Europe_Sales_Records34[[#This Row],[Ship Date Fixed]],"MMM")</f>
        <v>May</v>
      </c>
      <c r="P1018">
        <f>YEAR(Europe_Sales_Records34[[#This Row],[Ship Date Fixed]])</f>
        <v>2014</v>
      </c>
      <c r="Q1018" t="str">
        <f>TEXT(Europe_Sales_Records34[[#This Row],[Ship Date Fixed]],"MMM-YYYY")</f>
        <v>May-2014</v>
      </c>
      <c r="R1018" t="s">
        <v>1533</v>
      </c>
      <c r="S1018" s="3">
        <f>Europe_Sales_Records34[[#This Row],[Ship Date Fixed]]-Europe_Sales_Records34[[#This Row],[Order Date Fixed]]</f>
        <v>16</v>
      </c>
      <c r="T1018">
        <v>2802</v>
      </c>
      <c r="U1018">
        <v>81.73</v>
      </c>
      <c r="V1018">
        <v>56.67</v>
      </c>
      <c r="W1018">
        <f>Europe_Sales_Records34[[#This Row],[Total Revenue]]/Europe_Sales_Records34[[#This Row],[Units Sold]]</f>
        <v>81.73</v>
      </c>
      <c r="X1018">
        <v>229007.46</v>
      </c>
      <c r="Y1018">
        <v>158789.34</v>
      </c>
      <c r="Z1018" s="4">
        <f>Europe_Sales_Records34[[#This Row],[Total Profit]]/Europe_Sales_Records34[[#This Row],[Total Revenue]]</f>
        <v>0.30661935641747218</v>
      </c>
      <c r="AA1018">
        <v>70218.12</v>
      </c>
    </row>
    <row r="1019" spans="1:27" x14ac:dyDescent="0.3">
      <c r="A1019" t="s">
        <v>14</v>
      </c>
      <c r="B1019" t="s">
        <v>45</v>
      </c>
      <c r="C1019" t="s">
        <v>50</v>
      </c>
      <c r="D1019" t="s">
        <v>17</v>
      </c>
      <c r="E1019" t="s">
        <v>24</v>
      </c>
      <c r="F1019" t="s">
        <v>516</v>
      </c>
      <c r="G1019" s="2">
        <f t="shared" si="30"/>
        <v>40530</v>
      </c>
      <c r="H1019">
        <f>DAY(Europe_Sales_Records34[[#This Row],[Order Date Fixed]])</f>
        <v>18</v>
      </c>
      <c r="I1019" t="str">
        <f>TEXT(Europe_Sales_Records34[[#This Row],[Order Date Fixed]],"MMM")</f>
        <v>Dec</v>
      </c>
      <c r="J1019">
        <f>YEAR(Europe_Sales_Records34[[#This Row],[Order Date Fixed]])</f>
        <v>2010</v>
      </c>
      <c r="K1019" t="str">
        <f>TEXT(Europe_Sales_Records34[[#This Row],[Order Date Fixed]],"MMM-YYYY")</f>
        <v>Dec-2010</v>
      </c>
      <c r="L1019">
        <v>469129359</v>
      </c>
      <c r="M1019" s="2">
        <f t="shared" si="31"/>
        <v>40569</v>
      </c>
      <c r="N1019">
        <f>DAY(Europe_Sales_Records34[[#This Row],[Ship Date Fixed]])</f>
        <v>26</v>
      </c>
      <c r="O1019" t="str">
        <f>TEXT(Europe_Sales_Records34[[#This Row],[Ship Date Fixed]],"MMM")</f>
        <v>Jan</v>
      </c>
      <c r="P1019">
        <f>YEAR(Europe_Sales_Records34[[#This Row],[Ship Date Fixed]])</f>
        <v>2011</v>
      </c>
      <c r="Q1019" t="str">
        <f>TEXT(Europe_Sales_Records34[[#This Row],[Ship Date Fixed]],"MMM-YYYY")</f>
        <v>Jan-2011</v>
      </c>
      <c r="R1019" t="s">
        <v>1534</v>
      </c>
      <c r="S1019" s="3">
        <f>Europe_Sales_Records34[[#This Row],[Ship Date Fixed]]-Europe_Sales_Records34[[#This Row],[Order Date Fixed]]</f>
        <v>39</v>
      </c>
      <c r="T1019">
        <v>4657</v>
      </c>
      <c r="U1019">
        <v>421.89</v>
      </c>
      <c r="V1019">
        <v>364.69</v>
      </c>
      <c r="W1019">
        <f>Europe_Sales_Records34[[#This Row],[Total Revenue]]/Europe_Sales_Records34[[#This Row],[Units Sold]]</f>
        <v>421.89</v>
      </c>
      <c r="X1019">
        <v>1964741.73</v>
      </c>
      <c r="Y1019">
        <v>1698361.33</v>
      </c>
      <c r="Z1019" s="4">
        <f>Europe_Sales_Records34[[#This Row],[Total Profit]]/Europe_Sales_Records34[[#This Row],[Total Revenue]]</f>
        <v>0.13558036455000119</v>
      </c>
      <c r="AA1019">
        <v>266380.40000000002</v>
      </c>
    </row>
    <row r="1020" spans="1:27" x14ac:dyDescent="0.3">
      <c r="A1020" t="s">
        <v>14</v>
      </c>
      <c r="B1020" t="s">
        <v>122</v>
      </c>
      <c r="C1020" t="s">
        <v>58</v>
      </c>
      <c r="D1020" t="s">
        <v>23</v>
      </c>
      <c r="E1020" t="s">
        <v>33</v>
      </c>
      <c r="F1020" t="s">
        <v>1535</v>
      </c>
      <c r="G1020" s="2">
        <f t="shared" si="30"/>
        <v>42902</v>
      </c>
      <c r="H1020">
        <f>DAY(Europe_Sales_Records34[[#This Row],[Order Date Fixed]])</f>
        <v>16</v>
      </c>
      <c r="I1020" t="str">
        <f>TEXT(Europe_Sales_Records34[[#This Row],[Order Date Fixed]],"MMM")</f>
        <v>Jun</v>
      </c>
      <c r="J1020">
        <f>YEAR(Europe_Sales_Records34[[#This Row],[Order Date Fixed]])</f>
        <v>2017</v>
      </c>
      <c r="K1020" t="str">
        <f>TEXT(Europe_Sales_Records34[[#This Row],[Order Date Fixed]],"MMM-YYYY")</f>
        <v>Jun-2017</v>
      </c>
      <c r="L1020">
        <v>951698243</v>
      </c>
      <c r="M1020" s="2">
        <f t="shared" si="31"/>
        <v>42919</v>
      </c>
      <c r="N1020">
        <f>DAY(Europe_Sales_Records34[[#This Row],[Ship Date Fixed]])</f>
        <v>3</v>
      </c>
      <c r="O1020" t="str">
        <f>TEXT(Europe_Sales_Records34[[#This Row],[Ship Date Fixed]],"MMM")</f>
        <v>Jul</v>
      </c>
      <c r="P1020">
        <f>YEAR(Europe_Sales_Records34[[#This Row],[Ship Date Fixed]])</f>
        <v>2017</v>
      </c>
      <c r="Q1020" t="str">
        <f>TEXT(Europe_Sales_Records34[[#This Row],[Ship Date Fixed]],"MMM-YYYY")</f>
        <v>Jul-2017</v>
      </c>
      <c r="R1020" t="s">
        <v>214</v>
      </c>
      <c r="S1020" s="3">
        <f>Europe_Sales_Records34[[#This Row],[Ship Date Fixed]]-Europe_Sales_Records34[[#This Row],[Order Date Fixed]]</f>
        <v>17</v>
      </c>
      <c r="T1020">
        <v>7514</v>
      </c>
      <c r="U1020">
        <v>152.58000000000001</v>
      </c>
      <c r="V1020">
        <v>97.44</v>
      </c>
      <c r="W1020">
        <f>Europe_Sales_Records34[[#This Row],[Total Revenue]]/Europe_Sales_Records34[[#This Row],[Units Sold]]</f>
        <v>152.58000000000001</v>
      </c>
      <c r="X1020">
        <v>1146486.1200000001</v>
      </c>
      <c r="Y1020">
        <v>732164.16</v>
      </c>
      <c r="Z1020" s="4">
        <f>Europe_Sales_Records34[[#This Row],[Total Profit]]/Europe_Sales_Records34[[#This Row],[Total Revenue]]</f>
        <v>0.36138419189933146</v>
      </c>
      <c r="AA1020">
        <v>414321.96</v>
      </c>
    </row>
    <row r="1021" spans="1:27" x14ac:dyDescent="0.3">
      <c r="A1021" t="s">
        <v>14</v>
      </c>
      <c r="B1021" t="s">
        <v>100</v>
      </c>
      <c r="C1021" t="s">
        <v>58</v>
      </c>
      <c r="D1021" t="s">
        <v>23</v>
      </c>
      <c r="E1021" t="s">
        <v>33</v>
      </c>
      <c r="F1021" t="s">
        <v>1536</v>
      </c>
      <c r="G1021" s="2">
        <f t="shared" si="30"/>
        <v>40935</v>
      </c>
      <c r="H1021">
        <f>DAY(Europe_Sales_Records34[[#This Row],[Order Date Fixed]])</f>
        <v>27</v>
      </c>
      <c r="I1021" t="str">
        <f>TEXT(Europe_Sales_Records34[[#This Row],[Order Date Fixed]],"MMM")</f>
        <v>Jan</v>
      </c>
      <c r="J1021">
        <f>YEAR(Europe_Sales_Records34[[#This Row],[Order Date Fixed]])</f>
        <v>2012</v>
      </c>
      <c r="K1021" t="str">
        <f>TEXT(Europe_Sales_Records34[[#This Row],[Order Date Fixed]],"MMM-YYYY")</f>
        <v>Jan-2012</v>
      </c>
      <c r="L1021">
        <v>981808078</v>
      </c>
      <c r="M1021" s="2">
        <f t="shared" si="31"/>
        <v>40936</v>
      </c>
      <c r="N1021">
        <f>DAY(Europe_Sales_Records34[[#This Row],[Ship Date Fixed]])</f>
        <v>28</v>
      </c>
      <c r="O1021" t="str">
        <f>TEXT(Europe_Sales_Records34[[#This Row],[Ship Date Fixed]],"MMM")</f>
        <v>Jan</v>
      </c>
      <c r="P1021">
        <f>YEAR(Europe_Sales_Records34[[#This Row],[Ship Date Fixed]])</f>
        <v>2012</v>
      </c>
      <c r="Q1021" t="str">
        <f>TEXT(Europe_Sales_Records34[[#This Row],[Ship Date Fixed]],"MMM-YYYY")</f>
        <v>Jan-2012</v>
      </c>
      <c r="R1021" t="s">
        <v>1537</v>
      </c>
      <c r="S1021" s="3">
        <f>Europe_Sales_Records34[[#This Row],[Ship Date Fixed]]-Europe_Sales_Records34[[#This Row],[Order Date Fixed]]</f>
        <v>1</v>
      </c>
      <c r="T1021">
        <v>7683</v>
      </c>
      <c r="U1021">
        <v>152.58000000000001</v>
      </c>
      <c r="V1021">
        <v>97.44</v>
      </c>
      <c r="W1021">
        <f>Europe_Sales_Records34[[#This Row],[Total Revenue]]/Europe_Sales_Records34[[#This Row],[Units Sold]]</f>
        <v>152.57999999999998</v>
      </c>
      <c r="X1021">
        <v>1172272.1399999999</v>
      </c>
      <c r="Y1021">
        <v>748631.52</v>
      </c>
      <c r="Z1021" s="4">
        <f>Europe_Sales_Records34[[#This Row],[Total Profit]]/Europe_Sales_Records34[[#This Row],[Total Revenue]]</f>
        <v>0.36138419189933152</v>
      </c>
      <c r="AA1021">
        <v>423640.62</v>
      </c>
    </row>
    <row r="1022" spans="1:27" x14ac:dyDescent="0.3">
      <c r="A1022" t="s">
        <v>14</v>
      </c>
      <c r="B1022" t="s">
        <v>105</v>
      </c>
      <c r="C1022" t="s">
        <v>28</v>
      </c>
      <c r="D1022" t="s">
        <v>23</v>
      </c>
      <c r="E1022" t="s">
        <v>24</v>
      </c>
      <c r="F1022" t="s">
        <v>716</v>
      </c>
      <c r="G1022" s="2">
        <f t="shared" si="30"/>
        <v>41360</v>
      </c>
      <c r="H1022">
        <f>DAY(Europe_Sales_Records34[[#This Row],[Order Date Fixed]])</f>
        <v>27</v>
      </c>
      <c r="I1022" t="str">
        <f>TEXT(Europe_Sales_Records34[[#This Row],[Order Date Fixed]],"MMM")</f>
        <v>Mar</v>
      </c>
      <c r="J1022">
        <f>YEAR(Europe_Sales_Records34[[#This Row],[Order Date Fixed]])</f>
        <v>2013</v>
      </c>
      <c r="K1022" t="str">
        <f>TEXT(Europe_Sales_Records34[[#This Row],[Order Date Fixed]],"MMM-YYYY")</f>
        <v>Mar-2013</v>
      </c>
      <c r="L1022">
        <v>833706796</v>
      </c>
      <c r="M1022" s="2">
        <f t="shared" si="31"/>
        <v>41367</v>
      </c>
      <c r="N1022">
        <f>DAY(Europe_Sales_Records34[[#This Row],[Ship Date Fixed]])</f>
        <v>3</v>
      </c>
      <c r="O1022" t="str">
        <f>TEXT(Europe_Sales_Records34[[#This Row],[Ship Date Fixed]],"MMM")</f>
        <v>Apr</v>
      </c>
      <c r="P1022">
        <f>YEAR(Europe_Sales_Records34[[#This Row],[Ship Date Fixed]])</f>
        <v>2013</v>
      </c>
      <c r="Q1022" t="str">
        <f>TEXT(Europe_Sales_Records34[[#This Row],[Ship Date Fixed]],"MMM-YYYY")</f>
        <v>Apr-2013</v>
      </c>
      <c r="R1022" t="s">
        <v>280</v>
      </c>
      <c r="S1022" s="3">
        <f>Europe_Sales_Records34[[#This Row],[Ship Date Fixed]]-Europe_Sales_Records34[[#This Row],[Order Date Fixed]]</f>
        <v>7</v>
      </c>
      <c r="T1022">
        <v>1223</v>
      </c>
      <c r="U1022">
        <v>205.7</v>
      </c>
      <c r="V1022">
        <v>117.11</v>
      </c>
      <c r="W1022">
        <f>Europe_Sales_Records34[[#This Row],[Total Revenue]]/Europe_Sales_Records34[[#This Row],[Units Sold]]</f>
        <v>205.70000000000002</v>
      </c>
      <c r="X1022">
        <v>251571.1</v>
      </c>
      <c r="Y1022">
        <v>143225.53</v>
      </c>
      <c r="Z1022" s="4">
        <f>Europe_Sales_Records34[[#This Row],[Total Profit]]/Europe_Sales_Records34[[#This Row],[Total Revenue]]</f>
        <v>0.43067574137092857</v>
      </c>
      <c r="AA1022">
        <v>108345.57</v>
      </c>
    </row>
    <row r="1023" spans="1:27" x14ac:dyDescent="0.3">
      <c r="A1023" t="s">
        <v>14</v>
      </c>
      <c r="B1023" t="s">
        <v>232</v>
      </c>
      <c r="C1023" t="s">
        <v>32</v>
      </c>
      <c r="D1023" t="s">
        <v>23</v>
      </c>
      <c r="E1023" t="s">
        <v>54</v>
      </c>
      <c r="F1023" t="s">
        <v>1538</v>
      </c>
      <c r="G1023" s="2">
        <f t="shared" si="30"/>
        <v>40338</v>
      </c>
      <c r="H1023">
        <f>DAY(Europe_Sales_Records34[[#This Row],[Order Date Fixed]])</f>
        <v>9</v>
      </c>
      <c r="I1023" t="str">
        <f>TEXT(Europe_Sales_Records34[[#This Row],[Order Date Fixed]],"MMM")</f>
        <v>Jun</v>
      </c>
      <c r="J1023">
        <f>YEAR(Europe_Sales_Records34[[#This Row],[Order Date Fixed]])</f>
        <v>2010</v>
      </c>
      <c r="K1023" t="str">
        <f>TEXT(Europe_Sales_Records34[[#This Row],[Order Date Fixed]],"MMM-YYYY")</f>
        <v>Jun-2010</v>
      </c>
      <c r="L1023">
        <v>650078475</v>
      </c>
      <c r="M1023" s="2">
        <f t="shared" si="31"/>
        <v>40347</v>
      </c>
      <c r="N1023">
        <f>DAY(Europe_Sales_Records34[[#This Row],[Ship Date Fixed]])</f>
        <v>18</v>
      </c>
      <c r="O1023" t="str">
        <f>TEXT(Europe_Sales_Records34[[#This Row],[Ship Date Fixed]],"MMM")</f>
        <v>Jun</v>
      </c>
      <c r="P1023">
        <f>YEAR(Europe_Sales_Records34[[#This Row],[Ship Date Fixed]])</f>
        <v>2010</v>
      </c>
      <c r="Q1023" t="str">
        <f>TEXT(Europe_Sales_Records34[[#This Row],[Ship Date Fixed]],"MMM-YYYY")</f>
        <v>Jun-2010</v>
      </c>
      <c r="R1023" t="s">
        <v>1539</v>
      </c>
      <c r="S1023" s="3">
        <f>Europe_Sales_Records34[[#This Row],[Ship Date Fixed]]-Europe_Sales_Records34[[#This Row],[Order Date Fixed]]</f>
        <v>9</v>
      </c>
      <c r="T1023">
        <v>1522</v>
      </c>
      <c r="U1023">
        <v>651.21</v>
      </c>
      <c r="V1023">
        <v>524.96</v>
      </c>
      <c r="W1023">
        <f>Europe_Sales_Records34[[#This Row],[Total Revenue]]/Europe_Sales_Records34[[#This Row],[Units Sold]]</f>
        <v>651.21</v>
      </c>
      <c r="X1023">
        <v>991141.62</v>
      </c>
      <c r="Y1023">
        <v>798989.12</v>
      </c>
      <c r="Z1023" s="4">
        <f>Europe_Sales_Records34[[#This Row],[Total Profit]]/Europe_Sales_Records34[[#This Row],[Total Revenue]]</f>
        <v>0.19386987300563566</v>
      </c>
      <c r="AA1023">
        <v>192152.5</v>
      </c>
    </row>
    <row r="1024" spans="1:27" x14ac:dyDescent="0.3">
      <c r="A1024" t="s">
        <v>14</v>
      </c>
      <c r="B1024" t="s">
        <v>169</v>
      </c>
      <c r="C1024" t="s">
        <v>58</v>
      </c>
      <c r="D1024" t="s">
        <v>17</v>
      </c>
      <c r="E1024" t="s">
        <v>54</v>
      </c>
      <c r="F1024" t="s">
        <v>1540</v>
      </c>
      <c r="G1024" s="2">
        <f t="shared" si="30"/>
        <v>41209</v>
      </c>
      <c r="H1024">
        <f>DAY(Europe_Sales_Records34[[#This Row],[Order Date Fixed]])</f>
        <v>27</v>
      </c>
      <c r="I1024" t="str">
        <f>TEXT(Europe_Sales_Records34[[#This Row],[Order Date Fixed]],"MMM")</f>
        <v>Oct</v>
      </c>
      <c r="J1024">
        <f>YEAR(Europe_Sales_Records34[[#This Row],[Order Date Fixed]])</f>
        <v>2012</v>
      </c>
      <c r="K1024" t="str">
        <f>TEXT(Europe_Sales_Records34[[#This Row],[Order Date Fixed]],"MMM-YYYY")</f>
        <v>Oct-2012</v>
      </c>
      <c r="L1024">
        <v>507531726</v>
      </c>
      <c r="M1024" s="2">
        <f t="shared" si="31"/>
        <v>41224</v>
      </c>
      <c r="N1024">
        <f>DAY(Europe_Sales_Records34[[#This Row],[Ship Date Fixed]])</f>
        <v>11</v>
      </c>
      <c r="O1024" t="str">
        <f>TEXT(Europe_Sales_Records34[[#This Row],[Ship Date Fixed]],"MMM")</f>
        <v>Nov</v>
      </c>
      <c r="P1024">
        <f>YEAR(Europe_Sales_Records34[[#This Row],[Ship Date Fixed]])</f>
        <v>2012</v>
      </c>
      <c r="Q1024" t="str">
        <f>TEXT(Europe_Sales_Records34[[#This Row],[Ship Date Fixed]],"MMM-YYYY")</f>
        <v>Nov-2012</v>
      </c>
      <c r="R1024" t="s">
        <v>1541</v>
      </c>
      <c r="S1024" s="3">
        <f>Europe_Sales_Records34[[#This Row],[Ship Date Fixed]]-Europe_Sales_Records34[[#This Row],[Order Date Fixed]]</f>
        <v>15</v>
      </c>
      <c r="T1024">
        <v>8771</v>
      </c>
      <c r="U1024">
        <v>152.58000000000001</v>
      </c>
      <c r="V1024">
        <v>97.44</v>
      </c>
      <c r="W1024">
        <f>Europe_Sales_Records34[[#This Row],[Total Revenue]]/Europe_Sales_Records34[[#This Row],[Units Sold]]</f>
        <v>152.57999999999998</v>
      </c>
      <c r="X1024">
        <v>1338279.18</v>
      </c>
      <c r="Y1024">
        <v>854646.24</v>
      </c>
      <c r="Z1024" s="4">
        <f>Europe_Sales_Records34[[#This Row],[Total Profit]]/Europe_Sales_Records34[[#This Row],[Total Revenue]]</f>
        <v>0.36138419189933152</v>
      </c>
      <c r="AA1024">
        <v>483632.94</v>
      </c>
    </row>
    <row r="1025" spans="1:27" x14ac:dyDescent="0.3">
      <c r="A1025" t="s">
        <v>14</v>
      </c>
      <c r="B1025" t="s">
        <v>67</v>
      </c>
      <c r="C1025" t="s">
        <v>102</v>
      </c>
      <c r="D1025" t="s">
        <v>23</v>
      </c>
      <c r="E1025" t="s">
        <v>18</v>
      </c>
      <c r="F1025" t="s">
        <v>1542</v>
      </c>
      <c r="G1025" s="2">
        <f t="shared" si="30"/>
        <v>40978</v>
      </c>
      <c r="H1025">
        <f>DAY(Europe_Sales_Records34[[#This Row],[Order Date Fixed]])</f>
        <v>10</v>
      </c>
      <c r="I1025" t="str">
        <f>TEXT(Europe_Sales_Records34[[#This Row],[Order Date Fixed]],"MMM")</f>
        <v>Mar</v>
      </c>
      <c r="J1025">
        <f>YEAR(Europe_Sales_Records34[[#This Row],[Order Date Fixed]])</f>
        <v>2012</v>
      </c>
      <c r="K1025" t="str">
        <f>TEXT(Europe_Sales_Records34[[#This Row],[Order Date Fixed]],"MMM-YYYY")</f>
        <v>Mar-2012</v>
      </c>
      <c r="L1025">
        <v>544741475</v>
      </c>
      <c r="M1025" s="2">
        <f t="shared" si="31"/>
        <v>40993</v>
      </c>
      <c r="N1025">
        <f>DAY(Europe_Sales_Records34[[#This Row],[Ship Date Fixed]])</f>
        <v>25</v>
      </c>
      <c r="O1025" t="str">
        <f>TEXT(Europe_Sales_Records34[[#This Row],[Ship Date Fixed]],"MMM")</f>
        <v>Mar</v>
      </c>
      <c r="P1025">
        <f>YEAR(Europe_Sales_Records34[[#This Row],[Ship Date Fixed]])</f>
        <v>2012</v>
      </c>
      <c r="Q1025" t="str">
        <f>TEXT(Europe_Sales_Records34[[#This Row],[Ship Date Fixed]],"MMM-YYYY")</f>
        <v>Mar-2012</v>
      </c>
      <c r="R1025" t="s">
        <v>497</v>
      </c>
      <c r="S1025" s="3">
        <f>Europe_Sales_Records34[[#This Row],[Ship Date Fixed]]-Europe_Sales_Records34[[#This Row],[Order Date Fixed]]</f>
        <v>15</v>
      </c>
      <c r="T1025">
        <v>9963</v>
      </c>
      <c r="U1025">
        <v>81.73</v>
      </c>
      <c r="V1025">
        <v>56.67</v>
      </c>
      <c r="W1025">
        <f>Europe_Sales_Records34[[#This Row],[Total Revenue]]/Europe_Sales_Records34[[#This Row],[Units Sold]]</f>
        <v>81.73</v>
      </c>
      <c r="X1025">
        <v>814275.99</v>
      </c>
      <c r="Y1025">
        <v>564603.21</v>
      </c>
      <c r="Z1025" s="4">
        <f>Europe_Sales_Records34[[#This Row],[Total Profit]]/Europe_Sales_Records34[[#This Row],[Total Revenue]]</f>
        <v>0.30661935641747218</v>
      </c>
      <c r="AA1025">
        <v>249672.78</v>
      </c>
    </row>
    <row r="1026" spans="1:27" x14ac:dyDescent="0.3">
      <c r="A1026" t="s">
        <v>14</v>
      </c>
      <c r="B1026" t="s">
        <v>185</v>
      </c>
      <c r="C1026" t="s">
        <v>64</v>
      </c>
      <c r="D1026" t="s">
        <v>23</v>
      </c>
      <c r="E1026" t="s">
        <v>54</v>
      </c>
      <c r="F1026" t="s">
        <v>1543</v>
      </c>
      <c r="G1026" s="2">
        <f t="shared" ref="G1026:G1089" si="32">DATE(
  RIGHT(F1026,4),
  LEFT(F1026,FIND("/",F1026)-1),
  MID(F1026,FIND("/",F1026)+1, FIND("/",F1026,FIND("/",F1026)+1)-FIND("/",F1026)-1)
)</f>
        <v>40558</v>
      </c>
      <c r="H1026">
        <f>DAY(Europe_Sales_Records34[[#This Row],[Order Date Fixed]])</f>
        <v>15</v>
      </c>
      <c r="I1026" t="str">
        <f>TEXT(Europe_Sales_Records34[[#This Row],[Order Date Fixed]],"MMM")</f>
        <v>Jan</v>
      </c>
      <c r="J1026">
        <f>YEAR(Europe_Sales_Records34[[#This Row],[Order Date Fixed]])</f>
        <v>2011</v>
      </c>
      <c r="K1026" t="str">
        <f>TEXT(Europe_Sales_Records34[[#This Row],[Order Date Fixed]],"MMM-YYYY")</f>
        <v>Jan-2011</v>
      </c>
      <c r="L1026">
        <v>926826655</v>
      </c>
      <c r="M1026" s="2">
        <f t="shared" ref="M1026:M1089" si="33">DATE(
  RIGHT(R1026,4),
  LEFT(R1026,FIND("/",R1026)-1),
  MID(
      R1026,
      FIND("/",R1026)+1,
      FIND("/",R1026,FIND("/",R1026)+1)-FIND("/",R1026)-1
     )
)</f>
        <v>40590</v>
      </c>
      <c r="N1026">
        <f>DAY(Europe_Sales_Records34[[#This Row],[Ship Date Fixed]])</f>
        <v>16</v>
      </c>
      <c r="O1026" t="str">
        <f>TEXT(Europe_Sales_Records34[[#This Row],[Ship Date Fixed]],"MMM")</f>
        <v>Feb</v>
      </c>
      <c r="P1026">
        <f>YEAR(Europe_Sales_Records34[[#This Row],[Ship Date Fixed]])</f>
        <v>2011</v>
      </c>
      <c r="Q1026" t="str">
        <f>TEXT(Europe_Sales_Records34[[#This Row],[Ship Date Fixed]],"MMM-YYYY")</f>
        <v>Feb-2011</v>
      </c>
      <c r="R1026" t="s">
        <v>1544</v>
      </c>
      <c r="S1026" s="3">
        <f>Europe_Sales_Records34[[#This Row],[Ship Date Fixed]]-Europe_Sales_Records34[[#This Row],[Order Date Fixed]]</f>
        <v>32</v>
      </c>
      <c r="T1026">
        <v>7458</v>
      </c>
      <c r="U1026">
        <v>255.28</v>
      </c>
      <c r="V1026">
        <v>159.41999999999999</v>
      </c>
      <c r="W1026">
        <f>Europe_Sales_Records34[[#This Row],[Total Revenue]]/Europe_Sales_Records34[[#This Row],[Units Sold]]</f>
        <v>255.28</v>
      </c>
      <c r="X1026">
        <v>1903878.24</v>
      </c>
      <c r="Y1026">
        <v>1188954.3600000001</v>
      </c>
      <c r="Z1026" s="4">
        <f>Europe_Sales_Records34[[#This Row],[Total Profit]]/Europe_Sales_Records34[[#This Row],[Total Revenue]]</f>
        <v>0.37550924475086178</v>
      </c>
      <c r="AA1026">
        <v>714923.88</v>
      </c>
    </row>
    <row r="1027" spans="1:27" x14ac:dyDescent="0.3">
      <c r="A1027" t="s">
        <v>14</v>
      </c>
      <c r="B1027" t="s">
        <v>15</v>
      </c>
      <c r="C1027" t="s">
        <v>71</v>
      </c>
      <c r="D1027" t="s">
        <v>23</v>
      </c>
      <c r="E1027" t="s">
        <v>33</v>
      </c>
      <c r="F1027" t="s">
        <v>1545</v>
      </c>
      <c r="G1027" s="2">
        <f t="shared" si="32"/>
        <v>40595</v>
      </c>
      <c r="H1027">
        <f>DAY(Europe_Sales_Records34[[#This Row],[Order Date Fixed]])</f>
        <v>21</v>
      </c>
      <c r="I1027" t="str">
        <f>TEXT(Europe_Sales_Records34[[#This Row],[Order Date Fixed]],"MMM")</f>
        <v>Feb</v>
      </c>
      <c r="J1027">
        <f>YEAR(Europe_Sales_Records34[[#This Row],[Order Date Fixed]])</f>
        <v>2011</v>
      </c>
      <c r="K1027" t="str">
        <f>TEXT(Europe_Sales_Records34[[#This Row],[Order Date Fixed]],"MMM-YYYY")</f>
        <v>Feb-2011</v>
      </c>
      <c r="L1027">
        <v>759086453</v>
      </c>
      <c r="M1027" s="2">
        <f t="shared" si="33"/>
        <v>40601</v>
      </c>
      <c r="N1027">
        <f>DAY(Europe_Sales_Records34[[#This Row],[Ship Date Fixed]])</f>
        <v>27</v>
      </c>
      <c r="O1027" t="str">
        <f>TEXT(Europe_Sales_Records34[[#This Row],[Ship Date Fixed]],"MMM")</f>
        <v>Feb</v>
      </c>
      <c r="P1027">
        <f>YEAR(Europe_Sales_Records34[[#This Row],[Ship Date Fixed]])</f>
        <v>2011</v>
      </c>
      <c r="Q1027" t="str">
        <f>TEXT(Europe_Sales_Records34[[#This Row],[Ship Date Fixed]],"MMM-YYYY")</f>
        <v>Feb-2011</v>
      </c>
      <c r="R1027" t="s">
        <v>1546</v>
      </c>
      <c r="S1027" s="3">
        <f>Europe_Sales_Records34[[#This Row],[Ship Date Fixed]]-Europe_Sales_Records34[[#This Row],[Order Date Fixed]]</f>
        <v>6</v>
      </c>
      <c r="T1027">
        <v>9405</v>
      </c>
      <c r="U1027">
        <v>668.27</v>
      </c>
      <c r="V1027">
        <v>502.54</v>
      </c>
      <c r="W1027">
        <f>Europe_Sales_Records34[[#This Row],[Total Revenue]]/Europe_Sales_Records34[[#This Row],[Units Sold]]</f>
        <v>668.27</v>
      </c>
      <c r="X1027">
        <v>6285079.3499999996</v>
      </c>
      <c r="Y1027">
        <v>4726388.7</v>
      </c>
      <c r="Z1027" s="4">
        <f>Europe_Sales_Records34[[#This Row],[Total Profit]]/Europe_Sales_Records34[[#This Row],[Total Revenue]]</f>
        <v>0.24799856345489099</v>
      </c>
      <c r="AA1027">
        <v>1558690.65</v>
      </c>
    </row>
    <row r="1028" spans="1:27" x14ac:dyDescent="0.3">
      <c r="A1028" t="s">
        <v>14</v>
      </c>
      <c r="B1028" t="s">
        <v>196</v>
      </c>
      <c r="C1028" t="s">
        <v>64</v>
      </c>
      <c r="D1028" t="s">
        <v>17</v>
      </c>
      <c r="E1028" t="s">
        <v>18</v>
      </c>
      <c r="F1028" t="s">
        <v>1547</v>
      </c>
      <c r="G1028" s="2">
        <f t="shared" si="32"/>
        <v>41944</v>
      </c>
      <c r="H1028">
        <f>DAY(Europe_Sales_Records34[[#This Row],[Order Date Fixed]])</f>
        <v>1</v>
      </c>
      <c r="I1028" t="str">
        <f>TEXT(Europe_Sales_Records34[[#This Row],[Order Date Fixed]],"MMM")</f>
        <v>Nov</v>
      </c>
      <c r="J1028">
        <f>YEAR(Europe_Sales_Records34[[#This Row],[Order Date Fixed]])</f>
        <v>2014</v>
      </c>
      <c r="K1028" t="str">
        <f>TEXT(Europe_Sales_Records34[[#This Row],[Order Date Fixed]],"MMM-YYYY")</f>
        <v>Nov-2014</v>
      </c>
      <c r="L1028">
        <v>523899209</v>
      </c>
      <c r="M1028" s="2">
        <f t="shared" si="33"/>
        <v>41959</v>
      </c>
      <c r="N1028">
        <f>DAY(Europe_Sales_Records34[[#This Row],[Ship Date Fixed]])</f>
        <v>16</v>
      </c>
      <c r="O1028" t="str">
        <f>TEXT(Europe_Sales_Records34[[#This Row],[Ship Date Fixed]],"MMM")</f>
        <v>Nov</v>
      </c>
      <c r="P1028">
        <f>YEAR(Europe_Sales_Records34[[#This Row],[Ship Date Fixed]])</f>
        <v>2014</v>
      </c>
      <c r="Q1028" t="str">
        <f>TEXT(Europe_Sales_Records34[[#This Row],[Ship Date Fixed]],"MMM-YYYY")</f>
        <v>Nov-2014</v>
      </c>
      <c r="R1028" t="s">
        <v>1548</v>
      </c>
      <c r="S1028" s="3">
        <f>Europe_Sales_Records34[[#This Row],[Ship Date Fixed]]-Europe_Sales_Records34[[#This Row],[Order Date Fixed]]</f>
        <v>15</v>
      </c>
      <c r="T1028">
        <v>2273</v>
      </c>
      <c r="U1028">
        <v>255.28</v>
      </c>
      <c r="V1028">
        <v>159.41999999999999</v>
      </c>
      <c r="W1028">
        <f>Europe_Sales_Records34[[#This Row],[Total Revenue]]/Europe_Sales_Records34[[#This Row],[Units Sold]]</f>
        <v>255.27999999999997</v>
      </c>
      <c r="X1028">
        <v>580251.43999999994</v>
      </c>
      <c r="Y1028">
        <v>362361.66</v>
      </c>
      <c r="Z1028" s="4">
        <f>Europe_Sales_Records34[[#This Row],[Total Profit]]/Europe_Sales_Records34[[#This Row],[Total Revenue]]</f>
        <v>0.37550924475086184</v>
      </c>
      <c r="AA1028">
        <v>217889.78</v>
      </c>
    </row>
    <row r="1029" spans="1:27" x14ac:dyDescent="0.3">
      <c r="A1029" t="s">
        <v>14</v>
      </c>
      <c r="B1029" t="s">
        <v>141</v>
      </c>
      <c r="C1029" t="s">
        <v>22</v>
      </c>
      <c r="D1029" t="s">
        <v>23</v>
      </c>
      <c r="E1029" t="s">
        <v>24</v>
      </c>
      <c r="F1029" t="s">
        <v>1549</v>
      </c>
      <c r="G1029" s="2">
        <f t="shared" si="32"/>
        <v>40640</v>
      </c>
      <c r="H1029">
        <f>DAY(Europe_Sales_Records34[[#This Row],[Order Date Fixed]])</f>
        <v>7</v>
      </c>
      <c r="I1029" t="str">
        <f>TEXT(Europe_Sales_Records34[[#This Row],[Order Date Fixed]],"MMM")</f>
        <v>Apr</v>
      </c>
      <c r="J1029">
        <f>YEAR(Europe_Sales_Records34[[#This Row],[Order Date Fixed]])</f>
        <v>2011</v>
      </c>
      <c r="K1029" t="str">
        <f>TEXT(Europe_Sales_Records34[[#This Row],[Order Date Fixed]],"MMM-YYYY")</f>
        <v>Apr-2011</v>
      </c>
      <c r="L1029">
        <v>647943866</v>
      </c>
      <c r="M1029" s="2">
        <f t="shared" si="33"/>
        <v>40651</v>
      </c>
      <c r="N1029">
        <f>DAY(Europe_Sales_Records34[[#This Row],[Ship Date Fixed]])</f>
        <v>18</v>
      </c>
      <c r="O1029" t="str">
        <f>TEXT(Europe_Sales_Records34[[#This Row],[Ship Date Fixed]],"MMM")</f>
        <v>Apr</v>
      </c>
      <c r="P1029">
        <f>YEAR(Europe_Sales_Records34[[#This Row],[Ship Date Fixed]])</f>
        <v>2011</v>
      </c>
      <c r="Q1029" t="str">
        <f>TEXT(Europe_Sales_Records34[[#This Row],[Ship Date Fixed]],"MMM-YYYY")</f>
        <v>Apr-2011</v>
      </c>
      <c r="R1029" t="s">
        <v>1401</v>
      </c>
      <c r="S1029" s="3">
        <f>Europe_Sales_Records34[[#This Row],[Ship Date Fixed]]-Europe_Sales_Records34[[#This Row],[Order Date Fixed]]</f>
        <v>11</v>
      </c>
      <c r="T1029">
        <v>9843</v>
      </c>
      <c r="U1029">
        <v>109.28</v>
      </c>
      <c r="V1029">
        <v>35.840000000000003</v>
      </c>
      <c r="W1029">
        <f>Europe_Sales_Records34[[#This Row],[Total Revenue]]/Europe_Sales_Records34[[#This Row],[Units Sold]]</f>
        <v>109.28</v>
      </c>
      <c r="X1029">
        <v>1075643.04</v>
      </c>
      <c r="Y1029">
        <v>352773.12</v>
      </c>
      <c r="Z1029" s="4">
        <f>Europe_Sales_Records34[[#This Row],[Total Profit]]/Europe_Sales_Records34[[#This Row],[Total Revenue]]</f>
        <v>0.67203513909224011</v>
      </c>
      <c r="AA1029">
        <v>722869.92</v>
      </c>
    </row>
    <row r="1030" spans="1:27" x14ac:dyDescent="0.3">
      <c r="A1030" t="s">
        <v>14</v>
      </c>
      <c r="B1030" t="s">
        <v>342</v>
      </c>
      <c r="C1030" t="s">
        <v>28</v>
      </c>
      <c r="D1030" t="s">
        <v>17</v>
      </c>
      <c r="E1030" t="s">
        <v>18</v>
      </c>
      <c r="F1030" t="s">
        <v>1550</v>
      </c>
      <c r="G1030" s="2">
        <f t="shared" si="32"/>
        <v>41181</v>
      </c>
      <c r="H1030">
        <f>DAY(Europe_Sales_Records34[[#This Row],[Order Date Fixed]])</f>
        <v>29</v>
      </c>
      <c r="I1030" t="str">
        <f>TEXT(Europe_Sales_Records34[[#This Row],[Order Date Fixed]],"MMM")</f>
        <v>Sep</v>
      </c>
      <c r="J1030">
        <f>YEAR(Europe_Sales_Records34[[#This Row],[Order Date Fixed]])</f>
        <v>2012</v>
      </c>
      <c r="K1030" t="str">
        <f>TEXT(Europe_Sales_Records34[[#This Row],[Order Date Fixed]],"MMM-YYYY")</f>
        <v>Sep-2012</v>
      </c>
      <c r="L1030">
        <v>812632358</v>
      </c>
      <c r="M1030" s="2">
        <f t="shared" si="33"/>
        <v>41199</v>
      </c>
      <c r="N1030">
        <f>DAY(Europe_Sales_Records34[[#This Row],[Ship Date Fixed]])</f>
        <v>17</v>
      </c>
      <c r="O1030" t="str">
        <f>TEXT(Europe_Sales_Records34[[#This Row],[Ship Date Fixed]],"MMM")</f>
        <v>Oct</v>
      </c>
      <c r="P1030">
        <f>YEAR(Europe_Sales_Records34[[#This Row],[Ship Date Fixed]])</f>
        <v>2012</v>
      </c>
      <c r="Q1030" t="str">
        <f>TEXT(Europe_Sales_Records34[[#This Row],[Ship Date Fixed]],"MMM-YYYY")</f>
        <v>Oct-2012</v>
      </c>
      <c r="R1030" t="s">
        <v>1551</v>
      </c>
      <c r="S1030" s="3">
        <f>Europe_Sales_Records34[[#This Row],[Ship Date Fixed]]-Europe_Sales_Records34[[#This Row],[Order Date Fixed]]</f>
        <v>18</v>
      </c>
      <c r="T1030">
        <v>4828</v>
      </c>
      <c r="U1030">
        <v>205.7</v>
      </c>
      <c r="V1030">
        <v>117.11</v>
      </c>
      <c r="W1030">
        <f>Europe_Sales_Records34[[#This Row],[Total Revenue]]/Europe_Sales_Records34[[#This Row],[Units Sold]]</f>
        <v>205.7</v>
      </c>
      <c r="X1030">
        <v>993119.6</v>
      </c>
      <c r="Y1030">
        <v>565407.07999999996</v>
      </c>
      <c r="Z1030" s="4">
        <f>Europe_Sales_Records34[[#This Row],[Total Profit]]/Europe_Sales_Records34[[#This Row],[Total Revenue]]</f>
        <v>0.43067574137092857</v>
      </c>
      <c r="AA1030">
        <v>427712.52</v>
      </c>
    </row>
    <row r="1031" spans="1:27" x14ac:dyDescent="0.3">
      <c r="A1031" t="s">
        <v>14</v>
      </c>
      <c r="B1031" t="s">
        <v>264</v>
      </c>
      <c r="C1031" t="s">
        <v>75</v>
      </c>
      <c r="D1031" t="s">
        <v>23</v>
      </c>
      <c r="E1031" t="s">
        <v>33</v>
      </c>
      <c r="F1031" t="s">
        <v>1552</v>
      </c>
      <c r="G1031" s="2">
        <f t="shared" si="32"/>
        <v>41929</v>
      </c>
      <c r="H1031">
        <f>DAY(Europe_Sales_Records34[[#This Row],[Order Date Fixed]])</f>
        <v>17</v>
      </c>
      <c r="I1031" t="str">
        <f>TEXT(Europe_Sales_Records34[[#This Row],[Order Date Fixed]],"MMM")</f>
        <v>Oct</v>
      </c>
      <c r="J1031">
        <f>YEAR(Europe_Sales_Records34[[#This Row],[Order Date Fixed]])</f>
        <v>2014</v>
      </c>
      <c r="K1031" t="str">
        <f>TEXT(Europe_Sales_Records34[[#This Row],[Order Date Fixed]],"MMM-YYYY")</f>
        <v>Oct-2014</v>
      </c>
      <c r="L1031">
        <v>231861150</v>
      </c>
      <c r="M1031" s="2">
        <f t="shared" si="33"/>
        <v>41944</v>
      </c>
      <c r="N1031">
        <f>DAY(Europe_Sales_Records34[[#This Row],[Ship Date Fixed]])</f>
        <v>1</v>
      </c>
      <c r="O1031" t="str">
        <f>TEXT(Europe_Sales_Records34[[#This Row],[Ship Date Fixed]],"MMM")</f>
        <v>Nov</v>
      </c>
      <c r="P1031">
        <f>YEAR(Europe_Sales_Records34[[#This Row],[Ship Date Fixed]])</f>
        <v>2014</v>
      </c>
      <c r="Q1031" t="str">
        <f>TEXT(Europe_Sales_Records34[[#This Row],[Ship Date Fixed]],"MMM-YYYY")</f>
        <v>Nov-2014</v>
      </c>
      <c r="R1031" t="s">
        <v>1547</v>
      </c>
      <c r="S1031" s="3">
        <f>Europe_Sales_Records34[[#This Row],[Ship Date Fixed]]-Europe_Sales_Records34[[#This Row],[Order Date Fixed]]</f>
        <v>15</v>
      </c>
      <c r="T1031">
        <v>1722</v>
      </c>
      <c r="U1031">
        <v>437.2</v>
      </c>
      <c r="V1031">
        <v>263.33</v>
      </c>
      <c r="W1031">
        <f>Europe_Sales_Records34[[#This Row],[Total Revenue]]/Europe_Sales_Records34[[#This Row],[Units Sold]]</f>
        <v>437.2</v>
      </c>
      <c r="X1031">
        <v>752858.4</v>
      </c>
      <c r="Y1031">
        <v>453454.26</v>
      </c>
      <c r="Z1031" s="4">
        <f>Europe_Sales_Records34[[#This Row],[Total Profit]]/Europe_Sales_Records34[[#This Row],[Total Revenue]]</f>
        <v>0.39768984446477584</v>
      </c>
      <c r="AA1031">
        <v>299404.14</v>
      </c>
    </row>
    <row r="1032" spans="1:27" x14ac:dyDescent="0.3">
      <c r="A1032" t="s">
        <v>14</v>
      </c>
      <c r="B1032" t="s">
        <v>220</v>
      </c>
      <c r="C1032" t="s">
        <v>58</v>
      </c>
      <c r="D1032" t="s">
        <v>23</v>
      </c>
      <c r="E1032" t="s">
        <v>24</v>
      </c>
      <c r="F1032" t="s">
        <v>1311</v>
      </c>
      <c r="G1032" s="2">
        <f t="shared" si="32"/>
        <v>40301</v>
      </c>
      <c r="H1032">
        <f>DAY(Europe_Sales_Records34[[#This Row],[Order Date Fixed]])</f>
        <v>3</v>
      </c>
      <c r="I1032" t="str">
        <f>TEXT(Europe_Sales_Records34[[#This Row],[Order Date Fixed]],"MMM")</f>
        <v>May</v>
      </c>
      <c r="J1032">
        <f>YEAR(Europe_Sales_Records34[[#This Row],[Order Date Fixed]])</f>
        <v>2010</v>
      </c>
      <c r="K1032" t="str">
        <f>TEXT(Europe_Sales_Records34[[#This Row],[Order Date Fixed]],"MMM-YYYY")</f>
        <v>May-2010</v>
      </c>
      <c r="L1032">
        <v>348080623</v>
      </c>
      <c r="M1032" s="2">
        <f t="shared" si="33"/>
        <v>40317</v>
      </c>
      <c r="N1032">
        <f>DAY(Europe_Sales_Records34[[#This Row],[Ship Date Fixed]])</f>
        <v>19</v>
      </c>
      <c r="O1032" t="str">
        <f>TEXT(Europe_Sales_Records34[[#This Row],[Ship Date Fixed]],"MMM")</f>
        <v>May</v>
      </c>
      <c r="P1032">
        <f>YEAR(Europe_Sales_Records34[[#This Row],[Ship Date Fixed]])</f>
        <v>2010</v>
      </c>
      <c r="Q1032" t="str">
        <f>TEXT(Europe_Sales_Records34[[#This Row],[Ship Date Fixed]],"MMM-YYYY")</f>
        <v>May-2010</v>
      </c>
      <c r="R1032" t="s">
        <v>1553</v>
      </c>
      <c r="S1032" s="3">
        <f>Europe_Sales_Records34[[#This Row],[Ship Date Fixed]]-Europe_Sales_Records34[[#This Row],[Order Date Fixed]]</f>
        <v>16</v>
      </c>
      <c r="T1032">
        <v>3646</v>
      </c>
      <c r="U1032">
        <v>152.58000000000001</v>
      </c>
      <c r="V1032">
        <v>97.44</v>
      </c>
      <c r="W1032">
        <f>Europe_Sales_Records34[[#This Row],[Total Revenue]]/Europe_Sales_Records34[[#This Row],[Units Sold]]</f>
        <v>152.58000000000001</v>
      </c>
      <c r="X1032">
        <v>556306.68000000005</v>
      </c>
      <c r="Y1032">
        <v>355266.24</v>
      </c>
      <c r="Z1032" s="4">
        <f>Europe_Sales_Records34[[#This Row],[Total Profit]]/Europe_Sales_Records34[[#This Row],[Total Revenue]]</f>
        <v>0.36138419189933146</v>
      </c>
      <c r="AA1032">
        <v>201040.44</v>
      </c>
    </row>
    <row r="1033" spans="1:27" x14ac:dyDescent="0.3">
      <c r="A1033" t="s">
        <v>14</v>
      </c>
      <c r="B1033" t="s">
        <v>196</v>
      </c>
      <c r="C1033" t="s">
        <v>32</v>
      </c>
      <c r="D1033" t="s">
        <v>23</v>
      </c>
      <c r="E1033" t="s">
        <v>33</v>
      </c>
      <c r="F1033" t="s">
        <v>1554</v>
      </c>
      <c r="G1033" s="2">
        <f t="shared" si="32"/>
        <v>41528</v>
      </c>
      <c r="H1033">
        <f>DAY(Europe_Sales_Records34[[#This Row],[Order Date Fixed]])</f>
        <v>11</v>
      </c>
      <c r="I1033" t="str">
        <f>TEXT(Europe_Sales_Records34[[#This Row],[Order Date Fixed]],"MMM")</f>
        <v>Sep</v>
      </c>
      <c r="J1033">
        <f>YEAR(Europe_Sales_Records34[[#This Row],[Order Date Fixed]])</f>
        <v>2013</v>
      </c>
      <c r="K1033" t="str">
        <f>TEXT(Europe_Sales_Records34[[#This Row],[Order Date Fixed]],"MMM-YYYY")</f>
        <v>Sep-2013</v>
      </c>
      <c r="L1033">
        <v>368865811</v>
      </c>
      <c r="M1033" s="2">
        <f t="shared" si="33"/>
        <v>41563</v>
      </c>
      <c r="N1033">
        <f>DAY(Europe_Sales_Records34[[#This Row],[Ship Date Fixed]])</f>
        <v>16</v>
      </c>
      <c r="O1033" t="str">
        <f>TEXT(Europe_Sales_Records34[[#This Row],[Ship Date Fixed]],"MMM")</f>
        <v>Oct</v>
      </c>
      <c r="P1033">
        <f>YEAR(Europe_Sales_Records34[[#This Row],[Ship Date Fixed]])</f>
        <v>2013</v>
      </c>
      <c r="Q1033" t="str">
        <f>TEXT(Europe_Sales_Records34[[#This Row],[Ship Date Fixed]],"MMM-YYYY")</f>
        <v>Oct-2013</v>
      </c>
      <c r="R1033" t="s">
        <v>1555</v>
      </c>
      <c r="S1033" s="3">
        <f>Europe_Sales_Records34[[#This Row],[Ship Date Fixed]]-Europe_Sales_Records34[[#This Row],[Order Date Fixed]]</f>
        <v>35</v>
      </c>
      <c r="T1033">
        <v>4445</v>
      </c>
      <c r="U1033">
        <v>651.21</v>
      </c>
      <c r="V1033">
        <v>524.96</v>
      </c>
      <c r="W1033">
        <f>Europe_Sales_Records34[[#This Row],[Total Revenue]]/Europe_Sales_Records34[[#This Row],[Units Sold]]</f>
        <v>651.21</v>
      </c>
      <c r="X1033">
        <v>2894628.45</v>
      </c>
      <c r="Y1033">
        <v>2333447.2000000002</v>
      </c>
      <c r="Z1033" s="4">
        <f>Europe_Sales_Records34[[#This Row],[Total Profit]]/Europe_Sales_Records34[[#This Row],[Total Revenue]]</f>
        <v>0.19386987300563566</v>
      </c>
      <c r="AA1033">
        <v>561181.25</v>
      </c>
    </row>
    <row r="1034" spans="1:27" x14ac:dyDescent="0.3">
      <c r="A1034" t="s">
        <v>14</v>
      </c>
      <c r="B1034" t="s">
        <v>127</v>
      </c>
      <c r="C1034" t="s">
        <v>102</v>
      </c>
      <c r="D1034" t="s">
        <v>23</v>
      </c>
      <c r="E1034" t="s">
        <v>33</v>
      </c>
      <c r="F1034" t="s">
        <v>352</v>
      </c>
      <c r="G1034" s="2">
        <f t="shared" si="32"/>
        <v>42404</v>
      </c>
      <c r="H1034">
        <f>DAY(Europe_Sales_Records34[[#This Row],[Order Date Fixed]])</f>
        <v>4</v>
      </c>
      <c r="I1034" t="str">
        <f>TEXT(Europe_Sales_Records34[[#This Row],[Order Date Fixed]],"MMM")</f>
        <v>Feb</v>
      </c>
      <c r="J1034">
        <f>YEAR(Europe_Sales_Records34[[#This Row],[Order Date Fixed]])</f>
        <v>2016</v>
      </c>
      <c r="K1034" t="str">
        <f>TEXT(Europe_Sales_Records34[[#This Row],[Order Date Fixed]],"MMM-YYYY")</f>
        <v>Feb-2016</v>
      </c>
      <c r="L1034">
        <v>478840672</v>
      </c>
      <c r="M1034" s="2">
        <f t="shared" si="33"/>
        <v>42409</v>
      </c>
      <c r="N1034">
        <f>DAY(Europe_Sales_Records34[[#This Row],[Ship Date Fixed]])</f>
        <v>9</v>
      </c>
      <c r="O1034" t="str">
        <f>TEXT(Europe_Sales_Records34[[#This Row],[Ship Date Fixed]],"MMM")</f>
        <v>Feb</v>
      </c>
      <c r="P1034">
        <f>YEAR(Europe_Sales_Records34[[#This Row],[Ship Date Fixed]])</f>
        <v>2016</v>
      </c>
      <c r="Q1034" t="str">
        <f>TEXT(Europe_Sales_Records34[[#This Row],[Ship Date Fixed]],"MMM-YYYY")</f>
        <v>Feb-2016</v>
      </c>
      <c r="R1034" t="s">
        <v>1099</v>
      </c>
      <c r="S1034" s="3">
        <f>Europe_Sales_Records34[[#This Row],[Ship Date Fixed]]-Europe_Sales_Records34[[#This Row],[Order Date Fixed]]</f>
        <v>5</v>
      </c>
      <c r="T1034">
        <v>8451</v>
      </c>
      <c r="U1034">
        <v>81.73</v>
      </c>
      <c r="V1034">
        <v>56.67</v>
      </c>
      <c r="W1034">
        <f>Europe_Sales_Records34[[#This Row],[Total Revenue]]/Europe_Sales_Records34[[#This Row],[Units Sold]]</f>
        <v>81.73</v>
      </c>
      <c r="X1034">
        <v>690700.23</v>
      </c>
      <c r="Y1034">
        <v>478918.17</v>
      </c>
      <c r="Z1034" s="4">
        <f>Europe_Sales_Records34[[#This Row],[Total Profit]]/Europe_Sales_Records34[[#This Row],[Total Revenue]]</f>
        <v>0.30661935641747218</v>
      </c>
      <c r="AA1034">
        <v>211782.06</v>
      </c>
    </row>
    <row r="1035" spans="1:27" x14ac:dyDescent="0.3">
      <c r="A1035" t="s">
        <v>14</v>
      </c>
      <c r="B1035" t="s">
        <v>169</v>
      </c>
      <c r="C1035" t="s">
        <v>28</v>
      </c>
      <c r="D1035" t="s">
        <v>23</v>
      </c>
      <c r="E1035" t="s">
        <v>33</v>
      </c>
      <c r="F1035" t="s">
        <v>1556</v>
      </c>
      <c r="G1035" s="2">
        <f t="shared" si="32"/>
        <v>40378</v>
      </c>
      <c r="H1035">
        <f>DAY(Europe_Sales_Records34[[#This Row],[Order Date Fixed]])</f>
        <v>19</v>
      </c>
      <c r="I1035" t="str">
        <f>TEXT(Europe_Sales_Records34[[#This Row],[Order Date Fixed]],"MMM")</f>
        <v>Jul</v>
      </c>
      <c r="J1035">
        <f>YEAR(Europe_Sales_Records34[[#This Row],[Order Date Fixed]])</f>
        <v>2010</v>
      </c>
      <c r="K1035" t="str">
        <f>TEXT(Europe_Sales_Records34[[#This Row],[Order Date Fixed]],"MMM-YYYY")</f>
        <v>Jul-2010</v>
      </c>
      <c r="L1035">
        <v>772643411</v>
      </c>
      <c r="M1035" s="2">
        <f t="shared" si="33"/>
        <v>40415</v>
      </c>
      <c r="N1035">
        <f>DAY(Europe_Sales_Records34[[#This Row],[Ship Date Fixed]])</f>
        <v>25</v>
      </c>
      <c r="O1035" t="str">
        <f>TEXT(Europe_Sales_Records34[[#This Row],[Ship Date Fixed]],"MMM")</f>
        <v>Aug</v>
      </c>
      <c r="P1035">
        <f>YEAR(Europe_Sales_Records34[[#This Row],[Ship Date Fixed]])</f>
        <v>2010</v>
      </c>
      <c r="Q1035" t="str">
        <f>TEXT(Europe_Sales_Records34[[#This Row],[Ship Date Fixed]],"MMM-YYYY")</f>
        <v>Aug-2010</v>
      </c>
      <c r="R1035" t="s">
        <v>779</v>
      </c>
      <c r="S1035" s="3">
        <f>Europe_Sales_Records34[[#This Row],[Ship Date Fixed]]-Europe_Sales_Records34[[#This Row],[Order Date Fixed]]</f>
        <v>37</v>
      </c>
      <c r="T1035">
        <v>1210</v>
      </c>
      <c r="U1035">
        <v>205.7</v>
      </c>
      <c r="V1035">
        <v>117.11</v>
      </c>
      <c r="W1035">
        <f>Europe_Sales_Records34[[#This Row],[Total Revenue]]/Europe_Sales_Records34[[#This Row],[Units Sold]]</f>
        <v>205.7</v>
      </c>
      <c r="X1035">
        <v>248897</v>
      </c>
      <c r="Y1035">
        <v>141703.1</v>
      </c>
      <c r="Z1035" s="4">
        <f>Europe_Sales_Records34[[#This Row],[Total Profit]]/Europe_Sales_Records34[[#This Row],[Total Revenue]]</f>
        <v>0.43067574137092851</v>
      </c>
      <c r="AA1035">
        <v>107193.9</v>
      </c>
    </row>
    <row r="1036" spans="1:27" x14ac:dyDescent="0.3">
      <c r="A1036" t="s">
        <v>14</v>
      </c>
      <c r="B1036" t="s">
        <v>89</v>
      </c>
      <c r="C1036" t="s">
        <v>16</v>
      </c>
      <c r="D1036" t="s">
        <v>23</v>
      </c>
      <c r="E1036" t="s">
        <v>24</v>
      </c>
      <c r="F1036" t="s">
        <v>1557</v>
      </c>
      <c r="G1036" s="2">
        <f t="shared" si="32"/>
        <v>41508</v>
      </c>
      <c r="H1036">
        <f>DAY(Europe_Sales_Records34[[#This Row],[Order Date Fixed]])</f>
        <v>22</v>
      </c>
      <c r="I1036" t="str">
        <f>TEXT(Europe_Sales_Records34[[#This Row],[Order Date Fixed]],"MMM")</f>
        <v>Aug</v>
      </c>
      <c r="J1036">
        <f>YEAR(Europe_Sales_Records34[[#This Row],[Order Date Fixed]])</f>
        <v>2013</v>
      </c>
      <c r="K1036" t="str">
        <f>TEXT(Europe_Sales_Records34[[#This Row],[Order Date Fixed]],"MMM-YYYY")</f>
        <v>Aug-2013</v>
      </c>
      <c r="L1036">
        <v>742843854</v>
      </c>
      <c r="M1036" s="2">
        <f t="shared" si="33"/>
        <v>41521</v>
      </c>
      <c r="N1036">
        <f>DAY(Europe_Sales_Records34[[#This Row],[Ship Date Fixed]])</f>
        <v>4</v>
      </c>
      <c r="O1036" t="str">
        <f>TEXT(Europe_Sales_Records34[[#This Row],[Ship Date Fixed]],"MMM")</f>
        <v>Sep</v>
      </c>
      <c r="P1036">
        <f>YEAR(Europe_Sales_Records34[[#This Row],[Ship Date Fixed]])</f>
        <v>2013</v>
      </c>
      <c r="Q1036" t="str">
        <f>TEXT(Europe_Sales_Records34[[#This Row],[Ship Date Fixed]],"MMM-YYYY")</f>
        <v>Sep-2013</v>
      </c>
      <c r="R1036" t="s">
        <v>1558</v>
      </c>
      <c r="S1036" s="3">
        <f>Europe_Sales_Records34[[#This Row],[Ship Date Fixed]]-Europe_Sales_Records34[[#This Row],[Order Date Fixed]]</f>
        <v>13</v>
      </c>
      <c r="T1036">
        <v>2859</v>
      </c>
      <c r="U1036">
        <v>47.45</v>
      </c>
      <c r="V1036">
        <v>31.79</v>
      </c>
      <c r="W1036">
        <f>Europe_Sales_Records34[[#This Row],[Total Revenue]]/Europe_Sales_Records34[[#This Row],[Units Sold]]</f>
        <v>47.449999999999996</v>
      </c>
      <c r="X1036">
        <v>135659.54999999999</v>
      </c>
      <c r="Y1036">
        <v>90887.61</v>
      </c>
      <c r="Z1036" s="4">
        <f>Europe_Sales_Records34[[#This Row],[Total Profit]]/Europe_Sales_Records34[[#This Row],[Total Revenue]]</f>
        <v>0.33003161222339311</v>
      </c>
      <c r="AA1036">
        <v>44771.94</v>
      </c>
    </row>
    <row r="1037" spans="1:27" x14ac:dyDescent="0.3">
      <c r="A1037" t="s">
        <v>14</v>
      </c>
      <c r="B1037" t="s">
        <v>83</v>
      </c>
      <c r="C1037" t="s">
        <v>16</v>
      </c>
      <c r="D1037" t="s">
        <v>17</v>
      </c>
      <c r="E1037" t="s">
        <v>18</v>
      </c>
      <c r="F1037" t="s">
        <v>1234</v>
      </c>
      <c r="G1037" s="2">
        <f t="shared" si="32"/>
        <v>41266</v>
      </c>
      <c r="H1037">
        <f>DAY(Europe_Sales_Records34[[#This Row],[Order Date Fixed]])</f>
        <v>23</v>
      </c>
      <c r="I1037" t="str">
        <f>TEXT(Europe_Sales_Records34[[#This Row],[Order Date Fixed]],"MMM")</f>
        <v>Dec</v>
      </c>
      <c r="J1037">
        <f>YEAR(Europe_Sales_Records34[[#This Row],[Order Date Fixed]])</f>
        <v>2012</v>
      </c>
      <c r="K1037" t="str">
        <f>TEXT(Europe_Sales_Records34[[#This Row],[Order Date Fixed]],"MMM-YYYY")</f>
        <v>Dec-2012</v>
      </c>
      <c r="L1037">
        <v>308582627</v>
      </c>
      <c r="M1037" s="2">
        <f t="shared" si="33"/>
        <v>41314</v>
      </c>
      <c r="N1037">
        <f>DAY(Europe_Sales_Records34[[#This Row],[Ship Date Fixed]])</f>
        <v>9</v>
      </c>
      <c r="O1037" t="str">
        <f>TEXT(Europe_Sales_Records34[[#This Row],[Ship Date Fixed]],"MMM")</f>
        <v>Feb</v>
      </c>
      <c r="P1037">
        <f>YEAR(Europe_Sales_Records34[[#This Row],[Ship Date Fixed]])</f>
        <v>2013</v>
      </c>
      <c r="Q1037" t="str">
        <f>TEXT(Europe_Sales_Records34[[#This Row],[Ship Date Fixed]],"MMM-YYYY")</f>
        <v>Feb-2013</v>
      </c>
      <c r="R1037" t="s">
        <v>408</v>
      </c>
      <c r="S1037" s="3">
        <f>Europe_Sales_Records34[[#This Row],[Ship Date Fixed]]-Europe_Sales_Records34[[#This Row],[Order Date Fixed]]</f>
        <v>48</v>
      </c>
      <c r="T1037">
        <v>5312</v>
      </c>
      <c r="U1037">
        <v>47.45</v>
      </c>
      <c r="V1037">
        <v>31.79</v>
      </c>
      <c r="W1037">
        <f>Europe_Sales_Records34[[#This Row],[Total Revenue]]/Europe_Sales_Records34[[#This Row],[Units Sold]]</f>
        <v>47.449999999999996</v>
      </c>
      <c r="X1037">
        <v>252054.39999999999</v>
      </c>
      <c r="Y1037">
        <v>168868.48000000001</v>
      </c>
      <c r="Z1037" s="4">
        <f>Europe_Sales_Records34[[#This Row],[Total Profit]]/Europe_Sales_Records34[[#This Row],[Total Revenue]]</f>
        <v>0.33003161222339306</v>
      </c>
      <c r="AA1037">
        <v>83185.919999999998</v>
      </c>
    </row>
    <row r="1038" spans="1:27" x14ac:dyDescent="0.3">
      <c r="A1038" t="s">
        <v>14</v>
      </c>
      <c r="B1038" t="s">
        <v>80</v>
      </c>
      <c r="C1038" t="s">
        <v>102</v>
      </c>
      <c r="D1038" t="s">
        <v>23</v>
      </c>
      <c r="E1038" t="s">
        <v>33</v>
      </c>
      <c r="F1038" t="s">
        <v>885</v>
      </c>
      <c r="G1038" s="2">
        <f t="shared" si="32"/>
        <v>40631</v>
      </c>
      <c r="H1038">
        <f>DAY(Europe_Sales_Records34[[#This Row],[Order Date Fixed]])</f>
        <v>29</v>
      </c>
      <c r="I1038" t="str">
        <f>TEXT(Europe_Sales_Records34[[#This Row],[Order Date Fixed]],"MMM")</f>
        <v>Mar</v>
      </c>
      <c r="J1038">
        <f>YEAR(Europe_Sales_Records34[[#This Row],[Order Date Fixed]])</f>
        <v>2011</v>
      </c>
      <c r="K1038" t="str">
        <f>TEXT(Europe_Sales_Records34[[#This Row],[Order Date Fixed]],"MMM-YYYY")</f>
        <v>Mar-2011</v>
      </c>
      <c r="L1038">
        <v>140499961</v>
      </c>
      <c r="M1038" s="2">
        <f t="shared" si="33"/>
        <v>40663</v>
      </c>
      <c r="N1038">
        <f>DAY(Europe_Sales_Records34[[#This Row],[Ship Date Fixed]])</f>
        <v>30</v>
      </c>
      <c r="O1038" t="str">
        <f>TEXT(Europe_Sales_Records34[[#This Row],[Ship Date Fixed]],"MMM")</f>
        <v>Apr</v>
      </c>
      <c r="P1038">
        <f>YEAR(Europe_Sales_Records34[[#This Row],[Ship Date Fixed]])</f>
        <v>2011</v>
      </c>
      <c r="Q1038" t="str">
        <f>TEXT(Europe_Sales_Records34[[#This Row],[Ship Date Fixed]],"MMM-YYYY")</f>
        <v>Apr-2011</v>
      </c>
      <c r="R1038" t="s">
        <v>1559</v>
      </c>
      <c r="S1038" s="3">
        <f>Europe_Sales_Records34[[#This Row],[Ship Date Fixed]]-Europe_Sales_Records34[[#This Row],[Order Date Fixed]]</f>
        <v>32</v>
      </c>
      <c r="T1038">
        <v>5915</v>
      </c>
      <c r="U1038">
        <v>81.73</v>
      </c>
      <c r="V1038">
        <v>56.67</v>
      </c>
      <c r="W1038">
        <f>Europe_Sales_Records34[[#This Row],[Total Revenue]]/Europe_Sales_Records34[[#This Row],[Units Sold]]</f>
        <v>81.73</v>
      </c>
      <c r="X1038">
        <v>483432.95</v>
      </c>
      <c r="Y1038">
        <v>335203.05</v>
      </c>
      <c r="Z1038" s="4">
        <f>Europe_Sales_Records34[[#This Row],[Total Profit]]/Europe_Sales_Records34[[#This Row],[Total Revenue]]</f>
        <v>0.30661935641747212</v>
      </c>
      <c r="AA1038">
        <v>148229.9</v>
      </c>
    </row>
    <row r="1039" spans="1:27" x14ac:dyDescent="0.3">
      <c r="A1039" t="s">
        <v>14</v>
      </c>
      <c r="B1039" t="s">
        <v>92</v>
      </c>
      <c r="C1039" t="s">
        <v>28</v>
      </c>
      <c r="D1039" t="s">
        <v>23</v>
      </c>
      <c r="E1039" t="s">
        <v>24</v>
      </c>
      <c r="F1039" t="s">
        <v>1560</v>
      </c>
      <c r="G1039" s="2">
        <f t="shared" si="32"/>
        <v>40525</v>
      </c>
      <c r="H1039">
        <f>DAY(Europe_Sales_Records34[[#This Row],[Order Date Fixed]])</f>
        <v>13</v>
      </c>
      <c r="I1039" t="str">
        <f>TEXT(Europe_Sales_Records34[[#This Row],[Order Date Fixed]],"MMM")</f>
        <v>Dec</v>
      </c>
      <c r="J1039">
        <f>YEAR(Europe_Sales_Records34[[#This Row],[Order Date Fixed]])</f>
        <v>2010</v>
      </c>
      <c r="K1039" t="str">
        <f>TEXT(Europe_Sales_Records34[[#This Row],[Order Date Fixed]],"MMM-YYYY")</f>
        <v>Dec-2010</v>
      </c>
      <c r="L1039">
        <v>856648051</v>
      </c>
      <c r="M1039" s="2">
        <f t="shared" si="33"/>
        <v>40535</v>
      </c>
      <c r="N1039">
        <f>DAY(Europe_Sales_Records34[[#This Row],[Ship Date Fixed]])</f>
        <v>23</v>
      </c>
      <c r="O1039" t="str">
        <f>TEXT(Europe_Sales_Records34[[#This Row],[Ship Date Fixed]],"MMM")</f>
        <v>Dec</v>
      </c>
      <c r="P1039">
        <f>YEAR(Europe_Sales_Records34[[#This Row],[Ship Date Fixed]])</f>
        <v>2010</v>
      </c>
      <c r="Q1039" t="str">
        <f>TEXT(Europe_Sales_Records34[[#This Row],[Ship Date Fixed]],"MMM-YYYY")</f>
        <v>Dec-2010</v>
      </c>
      <c r="R1039" t="s">
        <v>549</v>
      </c>
      <c r="S1039" s="3">
        <f>Europe_Sales_Records34[[#This Row],[Ship Date Fixed]]-Europe_Sales_Records34[[#This Row],[Order Date Fixed]]</f>
        <v>10</v>
      </c>
      <c r="T1039">
        <v>50</v>
      </c>
      <c r="U1039">
        <v>205.7</v>
      </c>
      <c r="V1039">
        <v>117.11</v>
      </c>
      <c r="W1039">
        <f>Europe_Sales_Records34[[#This Row],[Total Revenue]]/Europe_Sales_Records34[[#This Row],[Units Sold]]</f>
        <v>205.7</v>
      </c>
      <c r="X1039">
        <v>10285</v>
      </c>
      <c r="Y1039">
        <v>5855.5</v>
      </c>
      <c r="Z1039" s="4">
        <f>Europe_Sales_Records34[[#This Row],[Total Profit]]/Europe_Sales_Records34[[#This Row],[Total Revenue]]</f>
        <v>0.43067574137092851</v>
      </c>
      <c r="AA1039">
        <v>4429.5</v>
      </c>
    </row>
    <row r="1040" spans="1:27" x14ac:dyDescent="0.3">
      <c r="A1040" t="s">
        <v>14</v>
      </c>
      <c r="B1040" t="s">
        <v>243</v>
      </c>
      <c r="C1040" t="s">
        <v>75</v>
      </c>
      <c r="D1040" t="s">
        <v>17</v>
      </c>
      <c r="E1040" t="s">
        <v>54</v>
      </c>
      <c r="F1040" t="s">
        <v>873</v>
      </c>
      <c r="G1040" s="2">
        <f t="shared" si="32"/>
        <v>41073</v>
      </c>
      <c r="H1040">
        <f>DAY(Europe_Sales_Records34[[#This Row],[Order Date Fixed]])</f>
        <v>13</v>
      </c>
      <c r="I1040" t="str">
        <f>TEXT(Europe_Sales_Records34[[#This Row],[Order Date Fixed]],"MMM")</f>
        <v>Jun</v>
      </c>
      <c r="J1040">
        <f>YEAR(Europe_Sales_Records34[[#This Row],[Order Date Fixed]])</f>
        <v>2012</v>
      </c>
      <c r="K1040" t="str">
        <f>TEXT(Europe_Sales_Records34[[#This Row],[Order Date Fixed]],"MMM-YYYY")</f>
        <v>Jun-2012</v>
      </c>
      <c r="L1040">
        <v>780899035</v>
      </c>
      <c r="M1040" s="2">
        <f t="shared" si="33"/>
        <v>41120</v>
      </c>
      <c r="N1040">
        <f>DAY(Europe_Sales_Records34[[#This Row],[Ship Date Fixed]])</f>
        <v>30</v>
      </c>
      <c r="O1040" t="str">
        <f>TEXT(Europe_Sales_Records34[[#This Row],[Ship Date Fixed]],"MMM")</f>
        <v>Jul</v>
      </c>
      <c r="P1040">
        <f>YEAR(Europe_Sales_Records34[[#This Row],[Ship Date Fixed]])</f>
        <v>2012</v>
      </c>
      <c r="Q1040" t="str">
        <f>TEXT(Europe_Sales_Records34[[#This Row],[Ship Date Fixed]],"MMM-YYYY")</f>
        <v>Jul-2012</v>
      </c>
      <c r="R1040" t="s">
        <v>1561</v>
      </c>
      <c r="S1040" s="3">
        <f>Europe_Sales_Records34[[#This Row],[Ship Date Fixed]]-Europe_Sales_Records34[[#This Row],[Order Date Fixed]]</f>
        <v>47</v>
      </c>
      <c r="T1040">
        <v>4233</v>
      </c>
      <c r="U1040">
        <v>437.2</v>
      </c>
      <c r="V1040">
        <v>263.33</v>
      </c>
      <c r="W1040">
        <f>Europe_Sales_Records34[[#This Row],[Total Revenue]]/Europe_Sales_Records34[[#This Row],[Units Sold]]</f>
        <v>437.20000000000005</v>
      </c>
      <c r="X1040">
        <v>1850667.6</v>
      </c>
      <c r="Y1040">
        <v>1114675.8899999999</v>
      </c>
      <c r="Z1040" s="4">
        <f>Europe_Sales_Records34[[#This Row],[Total Profit]]/Europe_Sales_Records34[[#This Row],[Total Revenue]]</f>
        <v>0.39768984446477579</v>
      </c>
      <c r="AA1040">
        <v>735991.71</v>
      </c>
    </row>
    <row r="1041" spans="1:27" x14ac:dyDescent="0.3">
      <c r="A1041" t="s">
        <v>14</v>
      </c>
      <c r="B1041" t="s">
        <v>110</v>
      </c>
      <c r="C1041" t="s">
        <v>50</v>
      </c>
      <c r="D1041" t="s">
        <v>17</v>
      </c>
      <c r="E1041" t="s">
        <v>33</v>
      </c>
      <c r="F1041" t="s">
        <v>1562</v>
      </c>
      <c r="G1041" s="2">
        <f t="shared" si="32"/>
        <v>41470</v>
      </c>
      <c r="H1041">
        <f>DAY(Europe_Sales_Records34[[#This Row],[Order Date Fixed]])</f>
        <v>15</v>
      </c>
      <c r="I1041" t="str">
        <f>TEXT(Europe_Sales_Records34[[#This Row],[Order Date Fixed]],"MMM")</f>
        <v>Jul</v>
      </c>
      <c r="J1041">
        <f>YEAR(Europe_Sales_Records34[[#This Row],[Order Date Fixed]])</f>
        <v>2013</v>
      </c>
      <c r="K1041" t="str">
        <f>TEXT(Europe_Sales_Records34[[#This Row],[Order Date Fixed]],"MMM-YYYY")</f>
        <v>Jul-2013</v>
      </c>
      <c r="L1041">
        <v>177147090</v>
      </c>
      <c r="M1041" s="2">
        <f t="shared" si="33"/>
        <v>41503</v>
      </c>
      <c r="N1041">
        <f>DAY(Europe_Sales_Records34[[#This Row],[Ship Date Fixed]])</f>
        <v>17</v>
      </c>
      <c r="O1041" t="str">
        <f>TEXT(Europe_Sales_Records34[[#This Row],[Ship Date Fixed]],"MMM")</f>
        <v>Aug</v>
      </c>
      <c r="P1041">
        <f>YEAR(Europe_Sales_Records34[[#This Row],[Ship Date Fixed]])</f>
        <v>2013</v>
      </c>
      <c r="Q1041" t="str">
        <f>TEXT(Europe_Sales_Records34[[#This Row],[Ship Date Fixed]],"MMM-YYYY")</f>
        <v>Aug-2013</v>
      </c>
      <c r="R1041" t="s">
        <v>1563</v>
      </c>
      <c r="S1041" s="3">
        <f>Europe_Sales_Records34[[#This Row],[Ship Date Fixed]]-Europe_Sales_Records34[[#This Row],[Order Date Fixed]]</f>
        <v>33</v>
      </c>
      <c r="T1041">
        <v>615</v>
      </c>
      <c r="U1041">
        <v>421.89</v>
      </c>
      <c r="V1041">
        <v>364.69</v>
      </c>
      <c r="W1041">
        <f>Europe_Sales_Records34[[#This Row],[Total Revenue]]/Europe_Sales_Records34[[#This Row],[Units Sold]]</f>
        <v>421.89</v>
      </c>
      <c r="X1041">
        <v>259462.35</v>
      </c>
      <c r="Y1041">
        <v>224284.35</v>
      </c>
      <c r="Z1041" s="4">
        <f>Europe_Sales_Records34[[#This Row],[Total Profit]]/Europe_Sales_Records34[[#This Row],[Total Revenue]]</f>
        <v>0.13558036455000119</v>
      </c>
      <c r="AA1041">
        <v>35178</v>
      </c>
    </row>
    <row r="1042" spans="1:27" x14ac:dyDescent="0.3">
      <c r="A1042" t="s">
        <v>14</v>
      </c>
      <c r="B1042" t="s">
        <v>86</v>
      </c>
      <c r="C1042" t="s">
        <v>32</v>
      </c>
      <c r="D1042" t="s">
        <v>17</v>
      </c>
      <c r="E1042" t="s">
        <v>18</v>
      </c>
      <c r="F1042" t="s">
        <v>1564</v>
      </c>
      <c r="G1042" s="2">
        <f t="shared" si="32"/>
        <v>40956</v>
      </c>
      <c r="H1042">
        <f>DAY(Europe_Sales_Records34[[#This Row],[Order Date Fixed]])</f>
        <v>17</v>
      </c>
      <c r="I1042" t="str">
        <f>TEXT(Europe_Sales_Records34[[#This Row],[Order Date Fixed]],"MMM")</f>
        <v>Feb</v>
      </c>
      <c r="J1042">
        <f>YEAR(Europe_Sales_Records34[[#This Row],[Order Date Fixed]])</f>
        <v>2012</v>
      </c>
      <c r="K1042" t="str">
        <f>TEXT(Europe_Sales_Records34[[#This Row],[Order Date Fixed]],"MMM-YYYY")</f>
        <v>Feb-2012</v>
      </c>
      <c r="L1042">
        <v>775849616</v>
      </c>
      <c r="M1042" s="2">
        <f t="shared" si="33"/>
        <v>40973</v>
      </c>
      <c r="N1042">
        <f>DAY(Europe_Sales_Records34[[#This Row],[Ship Date Fixed]])</f>
        <v>5</v>
      </c>
      <c r="O1042" t="str">
        <f>TEXT(Europe_Sales_Records34[[#This Row],[Ship Date Fixed]],"MMM")</f>
        <v>Mar</v>
      </c>
      <c r="P1042">
        <f>YEAR(Europe_Sales_Records34[[#This Row],[Ship Date Fixed]])</f>
        <v>2012</v>
      </c>
      <c r="Q1042" t="str">
        <f>TEXT(Europe_Sales_Records34[[#This Row],[Ship Date Fixed]],"MMM-YYYY")</f>
        <v>Mar-2012</v>
      </c>
      <c r="R1042" t="s">
        <v>990</v>
      </c>
      <c r="S1042" s="3">
        <f>Europe_Sales_Records34[[#This Row],[Ship Date Fixed]]-Europe_Sales_Records34[[#This Row],[Order Date Fixed]]</f>
        <v>17</v>
      </c>
      <c r="T1042">
        <v>9997</v>
      </c>
      <c r="U1042">
        <v>651.21</v>
      </c>
      <c r="V1042">
        <v>524.96</v>
      </c>
      <c r="W1042">
        <f>Europe_Sales_Records34[[#This Row],[Total Revenue]]/Europe_Sales_Records34[[#This Row],[Units Sold]]</f>
        <v>651.21</v>
      </c>
      <c r="X1042">
        <v>6510146.3700000001</v>
      </c>
      <c r="Y1042">
        <v>5248025.12</v>
      </c>
      <c r="Z1042" s="4">
        <f>Europe_Sales_Records34[[#This Row],[Total Profit]]/Europe_Sales_Records34[[#This Row],[Total Revenue]]</f>
        <v>0.19386987300563566</v>
      </c>
      <c r="AA1042">
        <v>1262121.25</v>
      </c>
    </row>
    <row r="1043" spans="1:27" x14ac:dyDescent="0.3">
      <c r="A1043" t="s">
        <v>14</v>
      </c>
      <c r="B1043" t="s">
        <v>181</v>
      </c>
      <c r="C1043" t="s">
        <v>50</v>
      </c>
      <c r="D1043" t="s">
        <v>23</v>
      </c>
      <c r="E1043" t="s">
        <v>18</v>
      </c>
      <c r="F1043" t="s">
        <v>659</v>
      </c>
      <c r="G1043" s="2">
        <f t="shared" si="32"/>
        <v>41622</v>
      </c>
      <c r="H1043">
        <f>DAY(Europe_Sales_Records34[[#This Row],[Order Date Fixed]])</f>
        <v>14</v>
      </c>
      <c r="I1043" t="str">
        <f>TEXT(Europe_Sales_Records34[[#This Row],[Order Date Fixed]],"MMM")</f>
        <v>Dec</v>
      </c>
      <c r="J1043">
        <f>YEAR(Europe_Sales_Records34[[#This Row],[Order Date Fixed]])</f>
        <v>2013</v>
      </c>
      <c r="K1043" t="str">
        <f>TEXT(Europe_Sales_Records34[[#This Row],[Order Date Fixed]],"MMM-YYYY")</f>
        <v>Dec-2013</v>
      </c>
      <c r="L1043">
        <v>979200112</v>
      </c>
      <c r="M1043" s="2">
        <f t="shared" si="33"/>
        <v>41638</v>
      </c>
      <c r="N1043">
        <f>DAY(Europe_Sales_Records34[[#This Row],[Ship Date Fixed]])</f>
        <v>30</v>
      </c>
      <c r="O1043" t="str">
        <f>TEXT(Europe_Sales_Records34[[#This Row],[Ship Date Fixed]],"MMM")</f>
        <v>Dec</v>
      </c>
      <c r="P1043">
        <f>YEAR(Europe_Sales_Records34[[#This Row],[Ship Date Fixed]])</f>
        <v>2013</v>
      </c>
      <c r="Q1043" t="str">
        <f>TEXT(Europe_Sales_Records34[[#This Row],[Ship Date Fixed]],"MMM-YYYY")</f>
        <v>Dec-2013</v>
      </c>
      <c r="R1043" t="s">
        <v>756</v>
      </c>
      <c r="S1043" s="3">
        <f>Europe_Sales_Records34[[#This Row],[Ship Date Fixed]]-Europe_Sales_Records34[[#This Row],[Order Date Fixed]]</f>
        <v>16</v>
      </c>
      <c r="T1043">
        <v>5928</v>
      </c>
      <c r="U1043">
        <v>421.89</v>
      </c>
      <c r="V1043">
        <v>364.69</v>
      </c>
      <c r="W1043">
        <f>Europe_Sales_Records34[[#This Row],[Total Revenue]]/Europe_Sales_Records34[[#This Row],[Units Sold]]</f>
        <v>421.89</v>
      </c>
      <c r="X1043">
        <v>2500963.92</v>
      </c>
      <c r="Y1043">
        <v>2161882.3199999998</v>
      </c>
      <c r="Z1043" s="4">
        <f>Europe_Sales_Records34[[#This Row],[Total Profit]]/Europe_Sales_Records34[[#This Row],[Total Revenue]]</f>
        <v>0.13558036455000119</v>
      </c>
      <c r="AA1043">
        <v>339081.6</v>
      </c>
    </row>
    <row r="1044" spans="1:27" x14ac:dyDescent="0.3">
      <c r="A1044" t="s">
        <v>14</v>
      </c>
      <c r="B1044" t="s">
        <v>257</v>
      </c>
      <c r="C1044" t="s">
        <v>58</v>
      </c>
      <c r="D1044" t="s">
        <v>17</v>
      </c>
      <c r="E1044" t="s">
        <v>24</v>
      </c>
      <c r="F1044" t="s">
        <v>117</v>
      </c>
      <c r="G1044" s="2">
        <f t="shared" si="32"/>
        <v>41930</v>
      </c>
      <c r="H1044">
        <f>DAY(Europe_Sales_Records34[[#This Row],[Order Date Fixed]])</f>
        <v>18</v>
      </c>
      <c r="I1044" t="str">
        <f>TEXT(Europe_Sales_Records34[[#This Row],[Order Date Fixed]],"MMM")</f>
        <v>Oct</v>
      </c>
      <c r="J1044">
        <f>YEAR(Europe_Sales_Records34[[#This Row],[Order Date Fixed]])</f>
        <v>2014</v>
      </c>
      <c r="K1044" t="str">
        <f>TEXT(Europe_Sales_Records34[[#This Row],[Order Date Fixed]],"MMM-YYYY")</f>
        <v>Oct-2014</v>
      </c>
      <c r="L1044">
        <v>429123675</v>
      </c>
      <c r="M1044" s="2">
        <f t="shared" si="33"/>
        <v>41954</v>
      </c>
      <c r="N1044">
        <f>DAY(Europe_Sales_Records34[[#This Row],[Ship Date Fixed]])</f>
        <v>11</v>
      </c>
      <c r="O1044" t="str">
        <f>TEXT(Europe_Sales_Records34[[#This Row],[Ship Date Fixed]],"MMM")</f>
        <v>Nov</v>
      </c>
      <c r="P1044">
        <f>YEAR(Europe_Sales_Records34[[#This Row],[Ship Date Fixed]])</f>
        <v>2014</v>
      </c>
      <c r="Q1044" t="str">
        <f>TEXT(Europe_Sales_Records34[[#This Row],[Ship Date Fixed]],"MMM-YYYY")</f>
        <v>Nov-2014</v>
      </c>
      <c r="R1044" t="s">
        <v>1565</v>
      </c>
      <c r="S1044" s="3">
        <f>Europe_Sales_Records34[[#This Row],[Ship Date Fixed]]-Europe_Sales_Records34[[#This Row],[Order Date Fixed]]</f>
        <v>24</v>
      </c>
      <c r="T1044">
        <v>6086</v>
      </c>
      <c r="U1044">
        <v>152.58000000000001</v>
      </c>
      <c r="V1044">
        <v>97.44</v>
      </c>
      <c r="W1044">
        <f>Europe_Sales_Records34[[#This Row],[Total Revenue]]/Europe_Sales_Records34[[#This Row],[Units Sold]]</f>
        <v>152.58000000000001</v>
      </c>
      <c r="X1044">
        <v>928601.88</v>
      </c>
      <c r="Y1044">
        <v>593019.84</v>
      </c>
      <c r="Z1044" s="4">
        <f>Europe_Sales_Records34[[#This Row],[Total Profit]]/Europe_Sales_Records34[[#This Row],[Total Revenue]]</f>
        <v>0.36138419189933146</v>
      </c>
      <c r="AA1044">
        <v>335582.04</v>
      </c>
    </row>
    <row r="1045" spans="1:27" x14ac:dyDescent="0.3">
      <c r="A1045" t="s">
        <v>14</v>
      </c>
      <c r="B1045" t="s">
        <v>61</v>
      </c>
      <c r="C1045" t="s">
        <v>46</v>
      </c>
      <c r="D1045" t="s">
        <v>17</v>
      </c>
      <c r="E1045" t="s">
        <v>33</v>
      </c>
      <c r="F1045" t="s">
        <v>1378</v>
      </c>
      <c r="G1045" s="2">
        <f t="shared" si="32"/>
        <v>40958</v>
      </c>
      <c r="H1045">
        <f>DAY(Europe_Sales_Records34[[#This Row],[Order Date Fixed]])</f>
        <v>19</v>
      </c>
      <c r="I1045" t="str">
        <f>TEXT(Europe_Sales_Records34[[#This Row],[Order Date Fixed]],"MMM")</f>
        <v>Feb</v>
      </c>
      <c r="J1045">
        <f>YEAR(Europe_Sales_Records34[[#This Row],[Order Date Fixed]])</f>
        <v>2012</v>
      </c>
      <c r="K1045" t="str">
        <f>TEXT(Europe_Sales_Records34[[#This Row],[Order Date Fixed]],"MMM-YYYY")</f>
        <v>Feb-2012</v>
      </c>
      <c r="L1045">
        <v>515771901</v>
      </c>
      <c r="M1045" s="2">
        <f t="shared" si="33"/>
        <v>40987</v>
      </c>
      <c r="N1045">
        <f>DAY(Europe_Sales_Records34[[#This Row],[Ship Date Fixed]])</f>
        <v>19</v>
      </c>
      <c r="O1045" t="str">
        <f>TEXT(Europe_Sales_Records34[[#This Row],[Ship Date Fixed]],"MMM")</f>
        <v>Mar</v>
      </c>
      <c r="P1045">
        <f>YEAR(Europe_Sales_Records34[[#This Row],[Ship Date Fixed]])</f>
        <v>2012</v>
      </c>
      <c r="Q1045" t="str">
        <f>TEXT(Europe_Sales_Records34[[#This Row],[Ship Date Fixed]],"MMM-YYYY")</f>
        <v>Mar-2012</v>
      </c>
      <c r="R1045" t="s">
        <v>1566</v>
      </c>
      <c r="S1045" s="3">
        <f>Europe_Sales_Records34[[#This Row],[Ship Date Fixed]]-Europe_Sales_Records34[[#This Row],[Order Date Fixed]]</f>
        <v>29</v>
      </c>
      <c r="T1045">
        <v>7222</v>
      </c>
      <c r="U1045">
        <v>154.06</v>
      </c>
      <c r="V1045">
        <v>90.93</v>
      </c>
      <c r="W1045">
        <f>Europe_Sales_Records34[[#This Row],[Total Revenue]]/Europe_Sales_Records34[[#This Row],[Units Sold]]</f>
        <v>154.06</v>
      </c>
      <c r="X1045">
        <v>1112621.32</v>
      </c>
      <c r="Y1045">
        <v>656696.46</v>
      </c>
      <c r="Z1045" s="4">
        <f>Europe_Sales_Records34[[#This Row],[Total Profit]]/Europe_Sales_Records34[[#This Row],[Total Revenue]]</f>
        <v>0.40977541217707381</v>
      </c>
      <c r="AA1045">
        <v>455924.86</v>
      </c>
    </row>
    <row r="1046" spans="1:27" x14ac:dyDescent="0.3">
      <c r="A1046" t="s">
        <v>14</v>
      </c>
      <c r="B1046" t="s">
        <v>74</v>
      </c>
      <c r="C1046" t="s">
        <v>28</v>
      </c>
      <c r="D1046" t="s">
        <v>23</v>
      </c>
      <c r="E1046" t="s">
        <v>18</v>
      </c>
      <c r="F1046" t="s">
        <v>1567</v>
      </c>
      <c r="G1046" s="2">
        <f t="shared" si="32"/>
        <v>41128</v>
      </c>
      <c r="H1046">
        <f>DAY(Europe_Sales_Records34[[#This Row],[Order Date Fixed]])</f>
        <v>7</v>
      </c>
      <c r="I1046" t="str">
        <f>TEXT(Europe_Sales_Records34[[#This Row],[Order Date Fixed]],"MMM")</f>
        <v>Aug</v>
      </c>
      <c r="J1046">
        <f>YEAR(Europe_Sales_Records34[[#This Row],[Order Date Fixed]])</f>
        <v>2012</v>
      </c>
      <c r="K1046" t="str">
        <f>TEXT(Europe_Sales_Records34[[#This Row],[Order Date Fixed]],"MMM-YYYY")</f>
        <v>Aug-2012</v>
      </c>
      <c r="L1046">
        <v>626109397</v>
      </c>
      <c r="M1046" s="2">
        <f t="shared" si="33"/>
        <v>41167</v>
      </c>
      <c r="N1046">
        <f>DAY(Europe_Sales_Records34[[#This Row],[Ship Date Fixed]])</f>
        <v>15</v>
      </c>
      <c r="O1046" t="str">
        <f>TEXT(Europe_Sales_Records34[[#This Row],[Ship Date Fixed]],"MMM")</f>
        <v>Sep</v>
      </c>
      <c r="P1046">
        <f>YEAR(Europe_Sales_Records34[[#This Row],[Ship Date Fixed]])</f>
        <v>2012</v>
      </c>
      <c r="Q1046" t="str">
        <f>TEXT(Europe_Sales_Records34[[#This Row],[Ship Date Fixed]],"MMM-YYYY")</f>
        <v>Sep-2012</v>
      </c>
      <c r="R1046" t="s">
        <v>1568</v>
      </c>
      <c r="S1046" s="3">
        <f>Europe_Sales_Records34[[#This Row],[Ship Date Fixed]]-Europe_Sales_Records34[[#This Row],[Order Date Fixed]]</f>
        <v>39</v>
      </c>
      <c r="T1046">
        <v>8539</v>
      </c>
      <c r="U1046">
        <v>205.7</v>
      </c>
      <c r="V1046">
        <v>117.11</v>
      </c>
      <c r="W1046">
        <f>Europe_Sales_Records34[[#This Row],[Total Revenue]]/Europe_Sales_Records34[[#This Row],[Units Sold]]</f>
        <v>205.70000000000002</v>
      </c>
      <c r="X1046">
        <v>1756472.3</v>
      </c>
      <c r="Y1046">
        <v>1000002.29</v>
      </c>
      <c r="Z1046" s="4">
        <f>Europe_Sales_Records34[[#This Row],[Total Profit]]/Europe_Sales_Records34[[#This Row],[Total Revenue]]</f>
        <v>0.43067574137092851</v>
      </c>
      <c r="AA1046">
        <v>756470.01</v>
      </c>
    </row>
    <row r="1047" spans="1:27" x14ac:dyDescent="0.3">
      <c r="A1047" t="s">
        <v>14</v>
      </c>
      <c r="B1047" t="s">
        <v>15</v>
      </c>
      <c r="C1047" t="s">
        <v>71</v>
      </c>
      <c r="D1047" t="s">
        <v>17</v>
      </c>
      <c r="E1047" t="s">
        <v>54</v>
      </c>
      <c r="F1047" t="s">
        <v>1569</v>
      </c>
      <c r="G1047" s="2">
        <f t="shared" si="32"/>
        <v>41248</v>
      </c>
      <c r="H1047">
        <f>DAY(Europe_Sales_Records34[[#This Row],[Order Date Fixed]])</f>
        <v>5</v>
      </c>
      <c r="I1047" t="str">
        <f>TEXT(Europe_Sales_Records34[[#This Row],[Order Date Fixed]],"MMM")</f>
        <v>Dec</v>
      </c>
      <c r="J1047">
        <f>YEAR(Europe_Sales_Records34[[#This Row],[Order Date Fixed]])</f>
        <v>2012</v>
      </c>
      <c r="K1047" t="str">
        <f>TEXT(Europe_Sales_Records34[[#This Row],[Order Date Fixed]],"MMM-YYYY")</f>
        <v>Dec-2012</v>
      </c>
      <c r="L1047">
        <v>574247491</v>
      </c>
      <c r="M1047" s="2">
        <f t="shared" si="33"/>
        <v>41260</v>
      </c>
      <c r="N1047">
        <f>DAY(Europe_Sales_Records34[[#This Row],[Ship Date Fixed]])</f>
        <v>17</v>
      </c>
      <c r="O1047" t="str">
        <f>TEXT(Europe_Sales_Records34[[#This Row],[Ship Date Fixed]],"MMM")</f>
        <v>Dec</v>
      </c>
      <c r="P1047">
        <f>YEAR(Europe_Sales_Records34[[#This Row],[Ship Date Fixed]])</f>
        <v>2012</v>
      </c>
      <c r="Q1047" t="str">
        <f>TEXT(Europe_Sales_Records34[[#This Row],[Ship Date Fixed]],"MMM-YYYY")</f>
        <v>Dec-2012</v>
      </c>
      <c r="R1047" t="s">
        <v>847</v>
      </c>
      <c r="S1047" s="3">
        <f>Europe_Sales_Records34[[#This Row],[Ship Date Fixed]]-Europe_Sales_Records34[[#This Row],[Order Date Fixed]]</f>
        <v>12</v>
      </c>
      <c r="T1047">
        <v>1448</v>
      </c>
      <c r="U1047">
        <v>668.27</v>
      </c>
      <c r="V1047">
        <v>502.54</v>
      </c>
      <c r="W1047">
        <f>Europe_Sales_Records34[[#This Row],[Total Revenue]]/Europe_Sales_Records34[[#This Row],[Units Sold]]</f>
        <v>668.27</v>
      </c>
      <c r="X1047">
        <v>967654.96</v>
      </c>
      <c r="Y1047">
        <v>727677.92</v>
      </c>
      <c r="Z1047" s="4">
        <f>Europe_Sales_Records34[[#This Row],[Total Profit]]/Europe_Sales_Records34[[#This Row],[Total Revenue]]</f>
        <v>0.24799856345489102</v>
      </c>
      <c r="AA1047">
        <v>239977.04</v>
      </c>
    </row>
    <row r="1048" spans="1:27" x14ac:dyDescent="0.3">
      <c r="A1048" t="s">
        <v>14</v>
      </c>
      <c r="B1048" t="s">
        <v>70</v>
      </c>
      <c r="C1048" t="s">
        <v>58</v>
      </c>
      <c r="D1048" t="s">
        <v>23</v>
      </c>
      <c r="E1048" t="s">
        <v>24</v>
      </c>
      <c r="F1048" t="s">
        <v>203</v>
      </c>
      <c r="G1048" s="2">
        <f t="shared" si="32"/>
        <v>41279</v>
      </c>
      <c r="H1048">
        <f>DAY(Europe_Sales_Records34[[#This Row],[Order Date Fixed]])</f>
        <v>5</v>
      </c>
      <c r="I1048" t="str">
        <f>TEXT(Europe_Sales_Records34[[#This Row],[Order Date Fixed]],"MMM")</f>
        <v>Jan</v>
      </c>
      <c r="J1048">
        <f>YEAR(Europe_Sales_Records34[[#This Row],[Order Date Fixed]])</f>
        <v>2013</v>
      </c>
      <c r="K1048" t="str">
        <f>TEXT(Europe_Sales_Records34[[#This Row],[Order Date Fixed]],"MMM-YYYY")</f>
        <v>Jan-2013</v>
      </c>
      <c r="L1048">
        <v>941933286</v>
      </c>
      <c r="M1048" s="2">
        <f t="shared" si="33"/>
        <v>41313</v>
      </c>
      <c r="N1048">
        <f>DAY(Europe_Sales_Records34[[#This Row],[Ship Date Fixed]])</f>
        <v>8</v>
      </c>
      <c r="O1048" t="str">
        <f>TEXT(Europe_Sales_Records34[[#This Row],[Ship Date Fixed]],"MMM")</f>
        <v>Feb</v>
      </c>
      <c r="P1048">
        <f>YEAR(Europe_Sales_Records34[[#This Row],[Ship Date Fixed]])</f>
        <v>2013</v>
      </c>
      <c r="Q1048" t="str">
        <f>TEXT(Europe_Sales_Records34[[#This Row],[Ship Date Fixed]],"MMM-YYYY")</f>
        <v>Feb-2013</v>
      </c>
      <c r="R1048" t="s">
        <v>1030</v>
      </c>
      <c r="S1048" s="3">
        <f>Europe_Sales_Records34[[#This Row],[Ship Date Fixed]]-Europe_Sales_Records34[[#This Row],[Order Date Fixed]]</f>
        <v>34</v>
      </c>
      <c r="T1048">
        <v>7846</v>
      </c>
      <c r="U1048">
        <v>152.58000000000001</v>
      </c>
      <c r="V1048">
        <v>97.44</v>
      </c>
      <c r="W1048">
        <f>Europe_Sales_Records34[[#This Row],[Total Revenue]]/Europe_Sales_Records34[[#This Row],[Units Sold]]</f>
        <v>152.57999999999998</v>
      </c>
      <c r="X1048">
        <v>1197142.68</v>
      </c>
      <c r="Y1048">
        <v>764514.24</v>
      </c>
      <c r="Z1048" s="4">
        <f>Europe_Sales_Records34[[#This Row],[Total Profit]]/Europe_Sales_Records34[[#This Row],[Total Revenue]]</f>
        <v>0.36138419189933152</v>
      </c>
      <c r="AA1048">
        <v>432628.44</v>
      </c>
    </row>
    <row r="1049" spans="1:27" x14ac:dyDescent="0.3">
      <c r="A1049" t="s">
        <v>14</v>
      </c>
      <c r="B1049" t="s">
        <v>163</v>
      </c>
      <c r="C1049" t="s">
        <v>28</v>
      </c>
      <c r="D1049" t="s">
        <v>17</v>
      </c>
      <c r="E1049" t="s">
        <v>33</v>
      </c>
      <c r="F1049" t="s">
        <v>1570</v>
      </c>
      <c r="G1049" s="2">
        <f t="shared" si="32"/>
        <v>40418</v>
      </c>
      <c r="H1049">
        <f>DAY(Europe_Sales_Records34[[#This Row],[Order Date Fixed]])</f>
        <v>28</v>
      </c>
      <c r="I1049" t="str">
        <f>TEXT(Europe_Sales_Records34[[#This Row],[Order Date Fixed]],"MMM")</f>
        <v>Aug</v>
      </c>
      <c r="J1049">
        <f>YEAR(Europe_Sales_Records34[[#This Row],[Order Date Fixed]])</f>
        <v>2010</v>
      </c>
      <c r="K1049" t="str">
        <f>TEXT(Europe_Sales_Records34[[#This Row],[Order Date Fixed]],"MMM-YYYY")</f>
        <v>Aug-2010</v>
      </c>
      <c r="L1049">
        <v>797718417</v>
      </c>
      <c r="M1049" s="2">
        <f t="shared" si="33"/>
        <v>40466</v>
      </c>
      <c r="N1049">
        <f>DAY(Europe_Sales_Records34[[#This Row],[Ship Date Fixed]])</f>
        <v>15</v>
      </c>
      <c r="O1049" t="str">
        <f>TEXT(Europe_Sales_Records34[[#This Row],[Ship Date Fixed]],"MMM")</f>
        <v>Oct</v>
      </c>
      <c r="P1049">
        <f>YEAR(Europe_Sales_Records34[[#This Row],[Ship Date Fixed]])</f>
        <v>2010</v>
      </c>
      <c r="Q1049" t="str">
        <f>TEXT(Europe_Sales_Records34[[#This Row],[Ship Date Fixed]],"MMM-YYYY")</f>
        <v>Oct-2010</v>
      </c>
      <c r="R1049" t="s">
        <v>1571</v>
      </c>
      <c r="S1049" s="3">
        <f>Europe_Sales_Records34[[#This Row],[Ship Date Fixed]]-Europe_Sales_Records34[[#This Row],[Order Date Fixed]]</f>
        <v>48</v>
      </c>
      <c r="T1049">
        <v>1462</v>
      </c>
      <c r="U1049">
        <v>205.7</v>
      </c>
      <c r="V1049">
        <v>117.11</v>
      </c>
      <c r="W1049">
        <f>Europe_Sales_Records34[[#This Row],[Total Revenue]]/Europe_Sales_Records34[[#This Row],[Units Sold]]</f>
        <v>205.70000000000002</v>
      </c>
      <c r="X1049">
        <v>300733.40000000002</v>
      </c>
      <c r="Y1049">
        <v>171214.82</v>
      </c>
      <c r="Z1049" s="4">
        <f>Europe_Sales_Records34[[#This Row],[Total Profit]]/Europe_Sales_Records34[[#This Row],[Total Revenue]]</f>
        <v>0.43067574137092851</v>
      </c>
      <c r="AA1049">
        <v>129518.58</v>
      </c>
    </row>
    <row r="1050" spans="1:27" x14ac:dyDescent="0.3">
      <c r="A1050" t="s">
        <v>14</v>
      </c>
      <c r="B1050" t="s">
        <v>36</v>
      </c>
      <c r="C1050" t="s">
        <v>28</v>
      </c>
      <c r="D1050" t="s">
        <v>23</v>
      </c>
      <c r="E1050" t="s">
        <v>18</v>
      </c>
      <c r="F1050" t="s">
        <v>25</v>
      </c>
      <c r="G1050" s="2">
        <f t="shared" si="32"/>
        <v>41561</v>
      </c>
      <c r="H1050">
        <f>DAY(Europe_Sales_Records34[[#This Row],[Order Date Fixed]])</f>
        <v>14</v>
      </c>
      <c r="I1050" t="str">
        <f>TEXT(Europe_Sales_Records34[[#This Row],[Order Date Fixed]],"MMM")</f>
        <v>Oct</v>
      </c>
      <c r="J1050">
        <f>YEAR(Europe_Sales_Records34[[#This Row],[Order Date Fixed]])</f>
        <v>2013</v>
      </c>
      <c r="K1050" t="str">
        <f>TEXT(Europe_Sales_Records34[[#This Row],[Order Date Fixed]],"MMM-YYYY")</f>
        <v>Oct-2013</v>
      </c>
      <c r="L1050">
        <v>220607459</v>
      </c>
      <c r="M1050" s="2">
        <f t="shared" si="33"/>
        <v>41564</v>
      </c>
      <c r="N1050">
        <f>DAY(Europe_Sales_Records34[[#This Row],[Ship Date Fixed]])</f>
        <v>17</v>
      </c>
      <c r="O1050" t="str">
        <f>TEXT(Europe_Sales_Records34[[#This Row],[Ship Date Fixed]],"MMM")</f>
        <v>Oct</v>
      </c>
      <c r="P1050">
        <f>YEAR(Europe_Sales_Records34[[#This Row],[Ship Date Fixed]])</f>
        <v>2013</v>
      </c>
      <c r="Q1050" t="str">
        <f>TEXT(Europe_Sales_Records34[[#This Row],[Ship Date Fixed]],"MMM-YYYY")</f>
        <v>Oct-2013</v>
      </c>
      <c r="R1050" t="s">
        <v>636</v>
      </c>
      <c r="S1050" s="3">
        <f>Europe_Sales_Records34[[#This Row],[Ship Date Fixed]]-Europe_Sales_Records34[[#This Row],[Order Date Fixed]]</f>
        <v>3</v>
      </c>
      <c r="T1050">
        <v>1504</v>
      </c>
      <c r="U1050">
        <v>205.7</v>
      </c>
      <c r="V1050">
        <v>117.11</v>
      </c>
      <c r="W1050">
        <f>Europe_Sales_Records34[[#This Row],[Total Revenue]]/Europe_Sales_Records34[[#This Row],[Units Sold]]</f>
        <v>205.7</v>
      </c>
      <c r="X1050">
        <v>309372.79999999999</v>
      </c>
      <c r="Y1050">
        <v>176133.44</v>
      </c>
      <c r="Z1050" s="4">
        <f>Europe_Sales_Records34[[#This Row],[Total Profit]]/Europe_Sales_Records34[[#This Row],[Total Revenue]]</f>
        <v>0.43067574137092851</v>
      </c>
      <c r="AA1050">
        <v>133239.35999999999</v>
      </c>
    </row>
    <row r="1051" spans="1:27" x14ac:dyDescent="0.3">
      <c r="A1051" t="s">
        <v>14</v>
      </c>
      <c r="B1051" t="s">
        <v>271</v>
      </c>
      <c r="C1051" t="s">
        <v>64</v>
      </c>
      <c r="D1051" t="s">
        <v>17</v>
      </c>
      <c r="E1051" t="s">
        <v>33</v>
      </c>
      <c r="F1051" t="s">
        <v>1556</v>
      </c>
      <c r="G1051" s="2">
        <f t="shared" si="32"/>
        <v>40378</v>
      </c>
      <c r="H1051">
        <f>DAY(Europe_Sales_Records34[[#This Row],[Order Date Fixed]])</f>
        <v>19</v>
      </c>
      <c r="I1051" t="str">
        <f>TEXT(Europe_Sales_Records34[[#This Row],[Order Date Fixed]],"MMM")</f>
        <v>Jul</v>
      </c>
      <c r="J1051">
        <f>YEAR(Europe_Sales_Records34[[#This Row],[Order Date Fixed]])</f>
        <v>2010</v>
      </c>
      <c r="K1051" t="str">
        <f>TEXT(Europe_Sales_Records34[[#This Row],[Order Date Fixed]],"MMM-YYYY")</f>
        <v>Jul-2010</v>
      </c>
      <c r="L1051">
        <v>629301440</v>
      </c>
      <c r="M1051" s="2">
        <f t="shared" si="33"/>
        <v>40388</v>
      </c>
      <c r="N1051">
        <f>DAY(Europe_Sales_Records34[[#This Row],[Ship Date Fixed]])</f>
        <v>29</v>
      </c>
      <c r="O1051" t="str">
        <f>TEXT(Europe_Sales_Records34[[#This Row],[Ship Date Fixed]],"MMM")</f>
        <v>Jul</v>
      </c>
      <c r="P1051">
        <f>YEAR(Europe_Sales_Records34[[#This Row],[Ship Date Fixed]])</f>
        <v>2010</v>
      </c>
      <c r="Q1051" t="str">
        <f>TEXT(Europe_Sales_Records34[[#This Row],[Ship Date Fixed]],"MMM-YYYY")</f>
        <v>Jul-2010</v>
      </c>
      <c r="R1051" t="s">
        <v>1572</v>
      </c>
      <c r="S1051" s="3">
        <f>Europe_Sales_Records34[[#This Row],[Ship Date Fixed]]-Europe_Sales_Records34[[#This Row],[Order Date Fixed]]</f>
        <v>10</v>
      </c>
      <c r="T1051">
        <v>3135</v>
      </c>
      <c r="U1051">
        <v>255.28</v>
      </c>
      <c r="V1051">
        <v>159.41999999999999</v>
      </c>
      <c r="W1051">
        <f>Europe_Sales_Records34[[#This Row],[Total Revenue]]/Europe_Sales_Records34[[#This Row],[Units Sold]]</f>
        <v>255.28</v>
      </c>
      <c r="X1051">
        <v>800302.8</v>
      </c>
      <c r="Y1051">
        <v>499781.7</v>
      </c>
      <c r="Z1051" s="4">
        <f>Europe_Sales_Records34[[#This Row],[Total Profit]]/Europe_Sales_Records34[[#This Row],[Total Revenue]]</f>
        <v>0.37550924475086173</v>
      </c>
      <c r="AA1051">
        <v>300521.09999999998</v>
      </c>
    </row>
    <row r="1052" spans="1:27" x14ac:dyDescent="0.3">
      <c r="A1052" t="s">
        <v>14</v>
      </c>
      <c r="B1052" t="s">
        <v>181</v>
      </c>
      <c r="C1052" t="s">
        <v>22</v>
      </c>
      <c r="D1052" t="s">
        <v>17</v>
      </c>
      <c r="E1052" t="s">
        <v>54</v>
      </c>
      <c r="F1052" t="s">
        <v>458</v>
      </c>
      <c r="G1052" s="2">
        <f t="shared" si="32"/>
        <v>42583</v>
      </c>
      <c r="H1052">
        <f>DAY(Europe_Sales_Records34[[#This Row],[Order Date Fixed]])</f>
        <v>1</v>
      </c>
      <c r="I1052" t="str">
        <f>TEXT(Europe_Sales_Records34[[#This Row],[Order Date Fixed]],"MMM")</f>
        <v>Aug</v>
      </c>
      <c r="J1052">
        <f>YEAR(Europe_Sales_Records34[[#This Row],[Order Date Fixed]])</f>
        <v>2016</v>
      </c>
      <c r="K1052" t="str">
        <f>TEXT(Europe_Sales_Records34[[#This Row],[Order Date Fixed]],"MMM-YYYY")</f>
        <v>Aug-2016</v>
      </c>
      <c r="L1052">
        <v>431432092</v>
      </c>
      <c r="M1052" s="2">
        <f t="shared" si="33"/>
        <v>42626</v>
      </c>
      <c r="N1052">
        <f>DAY(Europe_Sales_Records34[[#This Row],[Ship Date Fixed]])</f>
        <v>13</v>
      </c>
      <c r="O1052" t="str">
        <f>TEXT(Europe_Sales_Records34[[#This Row],[Ship Date Fixed]],"MMM")</f>
        <v>Sep</v>
      </c>
      <c r="P1052">
        <f>YEAR(Europe_Sales_Records34[[#This Row],[Ship Date Fixed]])</f>
        <v>2016</v>
      </c>
      <c r="Q1052" t="str">
        <f>TEXT(Europe_Sales_Records34[[#This Row],[Ship Date Fixed]],"MMM-YYYY")</f>
        <v>Sep-2016</v>
      </c>
      <c r="R1052" t="s">
        <v>891</v>
      </c>
      <c r="S1052" s="3">
        <f>Europe_Sales_Records34[[#This Row],[Ship Date Fixed]]-Europe_Sales_Records34[[#This Row],[Order Date Fixed]]</f>
        <v>43</v>
      </c>
      <c r="T1052">
        <v>9198</v>
      </c>
      <c r="U1052">
        <v>109.28</v>
      </c>
      <c r="V1052">
        <v>35.840000000000003</v>
      </c>
      <c r="W1052">
        <f>Europe_Sales_Records34[[#This Row],[Total Revenue]]/Europe_Sales_Records34[[#This Row],[Units Sold]]</f>
        <v>109.27999999999999</v>
      </c>
      <c r="X1052">
        <v>1005157.44</v>
      </c>
      <c r="Y1052">
        <v>329656.32000000001</v>
      </c>
      <c r="Z1052" s="4">
        <f>Europe_Sales_Records34[[#This Row],[Total Profit]]/Europe_Sales_Records34[[#This Row],[Total Revenue]]</f>
        <v>0.67203513909224011</v>
      </c>
      <c r="AA1052">
        <v>675501.12</v>
      </c>
    </row>
    <row r="1053" spans="1:27" x14ac:dyDescent="0.3">
      <c r="A1053" t="s">
        <v>14</v>
      </c>
      <c r="B1053" t="s">
        <v>220</v>
      </c>
      <c r="C1053" t="s">
        <v>64</v>
      </c>
      <c r="D1053" t="s">
        <v>23</v>
      </c>
      <c r="E1053" t="s">
        <v>54</v>
      </c>
      <c r="F1053" t="s">
        <v>892</v>
      </c>
      <c r="G1053" s="2">
        <f t="shared" si="32"/>
        <v>40448</v>
      </c>
      <c r="H1053">
        <f>DAY(Europe_Sales_Records34[[#This Row],[Order Date Fixed]])</f>
        <v>27</v>
      </c>
      <c r="I1053" t="str">
        <f>TEXT(Europe_Sales_Records34[[#This Row],[Order Date Fixed]],"MMM")</f>
        <v>Sep</v>
      </c>
      <c r="J1053">
        <f>YEAR(Europe_Sales_Records34[[#This Row],[Order Date Fixed]])</f>
        <v>2010</v>
      </c>
      <c r="K1053" t="str">
        <f>TEXT(Europe_Sales_Records34[[#This Row],[Order Date Fixed]],"MMM-YYYY")</f>
        <v>Sep-2010</v>
      </c>
      <c r="L1053">
        <v>442318427</v>
      </c>
      <c r="M1053" s="2">
        <f t="shared" si="33"/>
        <v>40459</v>
      </c>
      <c r="N1053">
        <f>DAY(Europe_Sales_Records34[[#This Row],[Ship Date Fixed]])</f>
        <v>8</v>
      </c>
      <c r="O1053" t="str">
        <f>TEXT(Europe_Sales_Records34[[#This Row],[Ship Date Fixed]],"MMM")</f>
        <v>Oct</v>
      </c>
      <c r="P1053">
        <f>YEAR(Europe_Sales_Records34[[#This Row],[Ship Date Fixed]])</f>
        <v>2010</v>
      </c>
      <c r="Q1053" t="str">
        <f>TEXT(Europe_Sales_Records34[[#This Row],[Ship Date Fixed]],"MMM-YYYY")</f>
        <v>Oct-2010</v>
      </c>
      <c r="R1053" t="s">
        <v>1573</v>
      </c>
      <c r="S1053" s="3">
        <f>Europe_Sales_Records34[[#This Row],[Ship Date Fixed]]-Europe_Sales_Records34[[#This Row],[Order Date Fixed]]</f>
        <v>11</v>
      </c>
      <c r="T1053">
        <v>707</v>
      </c>
      <c r="U1053">
        <v>255.28</v>
      </c>
      <c r="V1053">
        <v>159.41999999999999</v>
      </c>
      <c r="W1053">
        <f>Europe_Sales_Records34[[#This Row],[Total Revenue]]/Europe_Sales_Records34[[#This Row],[Units Sold]]</f>
        <v>255.28</v>
      </c>
      <c r="X1053">
        <v>180482.96</v>
      </c>
      <c r="Y1053">
        <v>112709.94</v>
      </c>
      <c r="Z1053" s="4">
        <f>Europe_Sales_Records34[[#This Row],[Total Profit]]/Europe_Sales_Records34[[#This Row],[Total Revenue]]</f>
        <v>0.37550924475086184</v>
      </c>
      <c r="AA1053">
        <v>67773.02</v>
      </c>
    </row>
    <row r="1054" spans="1:27" x14ac:dyDescent="0.3">
      <c r="A1054" t="s">
        <v>14</v>
      </c>
      <c r="B1054" t="s">
        <v>27</v>
      </c>
      <c r="C1054" t="s">
        <v>75</v>
      </c>
      <c r="D1054" t="s">
        <v>17</v>
      </c>
      <c r="E1054" t="s">
        <v>33</v>
      </c>
      <c r="F1054" t="s">
        <v>662</v>
      </c>
      <c r="G1054" s="2">
        <f t="shared" si="32"/>
        <v>40383</v>
      </c>
      <c r="H1054">
        <f>DAY(Europe_Sales_Records34[[#This Row],[Order Date Fixed]])</f>
        <v>24</v>
      </c>
      <c r="I1054" t="str">
        <f>TEXT(Europe_Sales_Records34[[#This Row],[Order Date Fixed]],"MMM")</f>
        <v>Jul</v>
      </c>
      <c r="J1054">
        <f>YEAR(Europe_Sales_Records34[[#This Row],[Order Date Fixed]])</f>
        <v>2010</v>
      </c>
      <c r="K1054" t="str">
        <f>TEXT(Europe_Sales_Records34[[#This Row],[Order Date Fixed]],"MMM-YYYY")</f>
        <v>Jul-2010</v>
      </c>
      <c r="L1054">
        <v>540982520</v>
      </c>
      <c r="M1054" s="2">
        <f t="shared" si="33"/>
        <v>40422</v>
      </c>
      <c r="N1054">
        <f>DAY(Europe_Sales_Records34[[#This Row],[Ship Date Fixed]])</f>
        <v>1</v>
      </c>
      <c r="O1054" t="str">
        <f>TEXT(Europe_Sales_Records34[[#This Row],[Ship Date Fixed]],"MMM")</f>
        <v>Sep</v>
      </c>
      <c r="P1054">
        <f>YEAR(Europe_Sales_Records34[[#This Row],[Ship Date Fixed]])</f>
        <v>2010</v>
      </c>
      <c r="Q1054" t="str">
        <f>TEXT(Europe_Sales_Records34[[#This Row],[Ship Date Fixed]],"MMM-YYYY")</f>
        <v>Sep-2010</v>
      </c>
      <c r="R1054" t="s">
        <v>664</v>
      </c>
      <c r="S1054" s="3">
        <f>Europe_Sales_Records34[[#This Row],[Ship Date Fixed]]-Europe_Sales_Records34[[#This Row],[Order Date Fixed]]</f>
        <v>39</v>
      </c>
      <c r="T1054">
        <v>7604</v>
      </c>
      <c r="U1054">
        <v>437.2</v>
      </c>
      <c r="V1054">
        <v>263.33</v>
      </c>
      <c r="W1054">
        <f>Europe_Sales_Records34[[#This Row],[Total Revenue]]/Europe_Sales_Records34[[#This Row],[Units Sold]]</f>
        <v>437.2</v>
      </c>
      <c r="X1054">
        <v>3324468.8</v>
      </c>
      <c r="Y1054">
        <v>2002361.32</v>
      </c>
      <c r="Z1054" s="4">
        <f>Europe_Sales_Records34[[#This Row],[Total Profit]]/Europe_Sales_Records34[[#This Row],[Total Revenue]]</f>
        <v>0.39768984446477584</v>
      </c>
      <c r="AA1054">
        <v>1322107.48</v>
      </c>
    </row>
    <row r="1055" spans="1:27" x14ac:dyDescent="0.3">
      <c r="A1055" t="s">
        <v>14</v>
      </c>
      <c r="B1055" t="s">
        <v>223</v>
      </c>
      <c r="C1055" t="s">
        <v>22</v>
      </c>
      <c r="D1055" t="s">
        <v>17</v>
      </c>
      <c r="E1055" t="s">
        <v>18</v>
      </c>
      <c r="F1055" t="s">
        <v>1507</v>
      </c>
      <c r="G1055" s="2">
        <f t="shared" si="32"/>
        <v>40493</v>
      </c>
      <c r="H1055">
        <f>DAY(Europe_Sales_Records34[[#This Row],[Order Date Fixed]])</f>
        <v>11</v>
      </c>
      <c r="I1055" t="str">
        <f>TEXT(Europe_Sales_Records34[[#This Row],[Order Date Fixed]],"MMM")</f>
        <v>Nov</v>
      </c>
      <c r="J1055">
        <f>YEAR(Europe_Sales_Records34[[#This Row],[Order Date Fixed]])</f>
        <v>2010</v>
      </c>
      <c r="K1055" t="str">
        <f>TEXT(Europe_Sales_Records34[[#This Row],[Order Date Fixed]],"MMM-YYYY")</f>
        <v>Nov-2010</v>
      </c>
      <c r="L1055">
        <v>563939225</v>
      </c>
      <c r="M1055" s="2">
        <f t="shared" si="33"/>
        <v>40531</v>
      </c>
      <c r="N1055">
        <f>DAY(Europe_Sales_Records34[[#This Row],[Ship Date Fixed]])</f>
        <v>19</v>
      </c>
      <c r="O1055" t="str">
        <f>TEXT(Europe_Sales_Records34[[#This Row],[Ship Date Fixed]],"MMM")</f>
        <v>Dec</v>
      </c>
      <c r="P1055">
        <f>YEAR(Europe_Sales_Records34[[#This Row],[Ship Date Fixed]])</f>
        <v>2010</v>
      </c>
      <c r="Q1055" t="str">
        <f>TEXT(Europe_Sales_Records34[[#This Row],[Ship Date Fixed]],"MMM-YYYY")</f>
        <v>Dec-2010</v>
      </c>
      <c r="R1055" t="s">
        <v>1574</v>
      </c>
      <c r="S1055" s="3">
        <f>Europe_Sales_Records34[[#This Row],[Ship Date Fixed]]-Europe_Sales_Records34[[#This Row],[Order Date Fixed]]</f>
        <v>38</v>
      </c>
      <c r="T1055">
        <v>1004</v>
      </c>
      <c r="U1055">
        <v>109.28</v>
      </c>
      <c r="V1055">
        <v>35.840000000000003</v>
      </c>
      <c r="W1055">
        <f>Europe_Sales_Records34[[#This Row],[Total Revenue]]/Europe_Sales_Records34[[#This Row],[Units Sold]]</f>
        <v>109.28</v>
      </c>
      <c r="X1055">
        <v>109717.12</v>
      </c>
      <c r="Y1055">
        <v>35983.360000000001</v>
      </c>
      <c r="Z1055" s="4">
        <f>Europe_Sales_Records34[[#This Row],[Total Profit]]/Europe_Sales_Records34[[#This Row],[Total Revenue]]</f>
        <v>0.67203513909224011</v>
      </c>
      <c r="AA1055">
        <v>73733.759999999995</v>
      </c>
    </row>
    <row r="1056" spans="1:27" x14ac:dyDescent="0.3">
      <c r="A1056" t="s">
        <v>14</v>
      </c>
      <c r="B1056" t="s">
        <v>27</v>
      </c>
      <c r="C1056" t="s">
        <v>28</v>
      </c>
      <c r="D1056" t="s">
        <v>23</v>
      </c>
      <c r="E1056" t="s">
        <v>54</v>
      </c>
      <c r="F1056" t="s">
        <v>1575</v>
      </c>
      <c r="G1056" s="2">
        <f t="shared" si="32"/>
        <v>42362</v>
      </c>
      <c r="H1056">
        <f>DAY(Europe_Sales_Records34[[#This Row],[Order Date Fixed]])</f>
        <v>24</v>
      </c>
      <c r="I1056" t="str">
        <f>TEXT(Europe_Sales_Records34[[#This Row],[Order Date Fixed]],"MMM")</f>
        <v>Dec</v>
      </c>
      <c r="J1056">
        <f>YEAR(Europe_Sales_Records34[[#This Row],[Order Date Fixed]])</f>
        <v>2015</v>
      </c>
      <c r="K1056" t="str">
        <f>TEXT(Europe_Sales_Records34[[#This Row],[Order Date Fixed]],"MMM-YYYY")</f>
        <v>Dec-2015</v>
      </c>
      <c r="L1056">
        <v>323293578</v>
      </c>
      <c r="M1056" s="2">
        <f t="shared" si="33"/>
        <v>42402</v>
      </c>
      <c r="N1056">
        <f>DAY(Europe_Sales_Records34[[#This Row],[Ship Date Fixed]])</f>
        <v>2</v>
      </c>
      <c r="O1056" t="str">
        <f>TEXT(Europe_Sales_Records34[[#This Row],[Ship Date Fixed]],"MMM")</f>
        <v>Feb</v>
      </c>
      <c r="P1056">
        <f>YEAR(Europe_Sales_Records34[[#This Row],[Ship Date Fixed]])</f>
        <v>2016</v>
      </c>
      <c r="Q1056" t="str">
        <f>TEXT(Europe_Sales_Records34[[#This Row],[Ship Date Fixed]],"MMM-YYYY")</f>
        <v>Feb-2016</v>
      </c>
      <c r="R1056" t="s">
        <v>1576</v>
      </c>
      <c r="S1056" s="3">
        <f>Europe_Sales_Records34[[#This Row],[Ship Date Fixed]]-Europe_Sales_Records34[[#This Row],[Order Date Fixed]]</f>
        <v>40</v>
      </c>
      <c r="T1056">
        <v>8609</v>
      </c>
      <c r="U1056">
        <v>205.7</v>
      </c>
      <c r="V1056">
        <v>117.11</v>
      </c>
      <c r="W1056">
        <f>Europe_Sales_Records34[[#This Row],[Total Revenue]]/Europe_Sales_Records34[[#This Row],[Units Sold]]</f>
        <v>205.70000000000002</v>
      </c>
      <c r="X1056">
        <v>1770871.3</v>
      </c>
      <c r="Y1056">
        <v>1008199.99</v>
      </c>
      <c r="Z1056" s="4">
        <f>Europe_Sales_Records34[[#This Row],[Total Profit]]/Europe_Sales_Records34[[#This Row],[Total Revenue]]</f>
        <v>0.43067574137092857</v>
      </c>
      <c r="AA1056">
        <v>762671.31</v>
      </c>
    </row>
    <row r="1057" spans="1:27" x14ac:dyDescent="0.3">
      <c r="A1057" t="s">
        <v>14</v>
      </c>
      <c r="B1057" t="s">
        <v>36</v>
      </c>
      <c r="C1057" t="s">
        <v>58</v>
      </c>
      <c r="D1057" t="s">
        <v>23</v>
      </c>
      <c r="E1057" t="s">
        <v>33</v>
      </c>
      <c r="F1057" t="s">
        <v>1577</v>
      </c>
      <c r="G1057" s="2">
        <f t="shared" si="32"/>
        <v>42207</v>
      </c>
      <c r="H1057">
        <f>DAY(Europe_Sales_Records34[[#This Row],[Order Date Fixed]])</f>
        <v>22</v>
      </c>
      <c r="I1057" t="str">
        <f>TEXT(Europe_Sales_Records34[[#This Row],[Order Date Fixed]],"MMM")</f>
        <v>Jul</v>
      </c>
      <c r="J1057">
        <f>YEAR(Europe_Sales_Records34[[#This Row],[Order Date Fixed]])</f>
        <v>2015</v>
      </c>
      <c r="K1057" t="str">
        <f>TEXT(Europe_Sales_Records34[[#This Row],[Order Date Fixed]],"MMM-YYYY")</f>
        <v>Jul-2015</v>
      </c>
      <c r="L1057">
        <v>507040774</v>
      </c>
      <c r="M1057" s="2">
        <f t="shared" si="33"/>
        <v>42210</v>
      </c>
      <c r="N1057">
        <f>DAY(Europe_Sales_Records34[[#This Row],[Ship Date Fixed]])</f>
        <v>25</v>
      </c>
      <c r="O1057" t="str">
        <f>TEXT(Europe_Sales_Records34[[#This Row],[Ship Date Fixed]],"MMM")</f>
        <v>Jul</v>
      </c>
      <c r="P1057">
        <f>YEAR(Europe_Sales_Records34[[#This Row],[Ship Date Fixed]])</f>
        <v>2015</v>
      </c>
      <c r="Q1057" t="str">
        <f>TEXT(Europe_Sales_Records34[[#This Row],[Ship Date Fixed]],"MMM-YYYY")</f>
        <v>Jul-2015</v>
      </c>
      <c r="R1057" t="s">
        <v>582</v>
      </c>
      <c r="S1057" s="3">
        <f>Europe_Sales_Records34[[#This Row],[Ship Date Fixed]]-Europe_Sales_Records34[[#This Row],[Order Date Fixed]]</f>
        <v>3</v>
      </c>
      <c r="T1057">
        <v>3488</v>
      </c>
      <c r="U1057">
        <v>152.58000000000001</v>
      </c>
      <c r="V1057">
        <v>97.44</v>
      </c>
      <c r="W1057">
        <f>Europe_Sales_Records34[[#This Row],[Total Revenue]]/Europe_Sales_Records34[[#This Row],[Units Sold]]</f>
        <v>152.58000000000001</v>
      </c>
      <c r="X1057">
        <v>532199.04</v>
      </c>
      <c r="Y1057">
        <v>339870.71999999997</v>
      </c>
      <c r="Z1057" s="4">
        <f>Europe_Sales_Records34[[#This Row],[Total Profit]]/Europe_Sales_Records34[[#This Row],[Total Revenue]]</f>
        <v>0.36138419189933146</v>
      </c>
      <c r="AA1057">
        <v>192328.32000000001</v>
      </c>
    </row>
    <row r="1058" spans="1:27" x14ac:dyDescent="0.3">
      <c r="A1058" t="s">
        <v>14</v>
      </c>
      <c r="B1058" t="s">
        <v>183</v>
      </c>
      <c r="C1058" t="s">
        <v>32</v>
      </c>
      <c r="D1058" t="s">
        <v>17</v>
      </c>
      <c r="E1058" t="s">
        <v>24</v>
      </c>
      <c r="F1058" t="s">
        <v>1393</v>
      </c>
      <c r="G1058" s="2">
        <f t="shared" si="32"/>
        <v>41366</v>
      </c>
      <c r="H1058">
        <f>DAY(Europe_Sales_Records34[[#This Row],[Order Date Fixed]])</f>
        <v>2</v>
      </c>
      <c r="I1058" t="str">
        <f>TEXT(Europe_Sales_Records34[[#This Row],[Order Date Fixed]],"MMM")</f>
        <v>Apr</v>
      </c>
      <c r="J1058">
        <f>YEAR(Europe_Sales_Records34[[#This Row],[Order Date Fixed]])</f>
        <v>2013</v>
      </c>
      <c r="K1058" t="str">
        <f>TEXT(Europe_Sales_Records34[[#This Row],[Order Date Fixed]],"MMM-YYYY")</f>
        <v>Apr-2013</v>
      </c>
      <c r="L1058">
        <v>516599738</v>
      </c>
      <c r="M1058" s="2">
        <f t="shared" si="33"/>
        <v>41403</v>
      </c>
      <c r="N1058">
        <f>DAY(Europe_Sales_Records34[[#This Row],[Ship Date Fixed]])</f>
        <v>9</v>
      </c>
      <c r="O1058" t="str">
        <f>TEXT(Europe_Sales_Records34[[#This Row],[Ship Date Fixed]],"MMM")</f>
        <v>May</v>
      </c>
      <c r="P1058">
        <f>YEAR(Europe_Sales_Records34[[#This Row],[Ship Date Fixed]])</f>
        <v>2013</v>
      </c>
      <c r="Q1058" t="str">
        <f>TEXT(Europe_Sales_Records34[[#This Row],[Ship Date Fixed]],"MMM-YYYY")</f>
        <v>May-2013</v>
      </c>
      <c r="R1058" t="s">
        <v>281</v>
      </c>
      <c r="S1058" s="3">
        <f>Europe_Sales_Records34[[#This Row],[Ship Date Fixed]]-Europe_Sales_Records34[[#This Row],[Order Date Fixed]]</f>
        <v>37</v>
      </c>
      <c r="T1058">
        <v>2197</v>
      </c>
      <c r="U1058">
        <v>651.21</v>
      </c>
      <c r="V1058">
        <v>524.96</v>
      </c>
      <c r="W1058">
        <f>Europe_Sales_Records34[[#This Row],[Total Revenue]]/Europe_Sales_Records34[[#This Row],[Units Sold]]</f>
        <v>651.21</v>
      </c>
      <c r="X1058">
        <v>1430708.37</v>
      </c>
      <c r="Y1058">
        <v>1153337.1200000001</v>
      </c>
      <c r="Z1058" s="4">
        <f>Europe_Sales_Records34[[#This Row],[Total Profit]]/Europe_Sales_Records34[[#This Row],[Total Revenue]]</f>
        <v>0.19386987300563566</v>
      </c>
      <c r="AA1058">
        <v>277371.25</v>
      </c>
    </row>
    <row r="1059" spans="1:27" x14ac:dyDescent="0.3">
      <c r="A1059" t="s">
        <v>14</v>
      </c>
      <c r="B1059" t="s">
        <v>264</v>
      </c>
      <c r="C1059" t="s">
        <v>22</v>
      </c>
      <c r="D1059" t="s">
        <v>23</v>
      </c>
      <c r="E1059" t="s">
        <v>54</v>
      </c>
      <c r="F1059" t="s">
        <v>1578</v>
      </c>
      <c r="G1059" s="2">
        <f t="shared" si="32"/>
        <v>42573</v>
      </c>
      <c r="H1059">
        <f>DAY(Europe_Sales_Records34[[#This Row],[Order Date Fixed]])</f>
        <v>22</v>
      </c>
      <c r="I1059" t="str">
        <f>TEXT(Europe_Sales_Records34[[#This Row],[Order Date Fixed]],"MMM")</f>
        <v>Jul</v>
      </c>
      <c r="J1059">
        <f>YEAR(Europe_Sales_Records34[[#This Row],[Order Date Fixed]])</f>
        <v>2016</v>
      </c>
      <c r="K1059" t="str">
        <f>TEXT(Europe_Sales_Records34[[#This Row],[Order Date Fixed]],"MMM-YYYY")</f>
        <v>Jul-2016</v>
      </c>
      <c r="L1059">
        <v>383611094</v>
      </c>
      <c r="M1059" s="2">
        <f t="shared" si="33"/>
        <v>42608</v>
      </c>
      <c r="N1059">
        <f>DAY(Europe_Sales_Records34[[#This Row],[Ship Date Fixed]])</f>
        <v>26</v>
      </c>
      <c r="O1059" t="str">
        <f>TEXT(Europe_Sales_Records34[[#This Row],[Ship Date Fixed]],"MMM")</f>
        <v>Aug</v>
      </c>
      <c r="P1059">
        <f>YEAR(Europe_Sales_Records34[[#This Row],[Ship Date Fixed]])</f>
        <v>2016</v>
      </c>
      <c r="Q1059" t="str">
        <f>TEXT(Europe_Sales_Records34[[#This Row],[Ship Date Fixed]],"MMM-YYYY")</f>
        <v>Aug-2016</v>
      </c>
      <c r="R1059" t="s">
        <v>1579</v>
      </c>
      <c r="S1059" s="3">
        <f>Europe_Sales_Records34[[#This Row],[Ship Date Fixed]]-Europe_Sales_Records34[[#This Row],[Order Date Fixed]]</f>
        <v>35</v>
      </c>
      <c r="T1059">
        <v>7902</v>
      </c>
      <c r="U1059">
        <v>109.28</v>
      </c>
      <c r="V1059">
        <v>35.840000000000003</v>
      </c>
      <c r="W1059">
        <f>Europe_Sales_Records34[[#This Row],[Total Revenue]]/Europe_Sales_Records34[[#This Row],[Units Sold]]</f>
        <v>109.28</v>
      </c>
      <c r="X1059">
        <v>863530.56</v>
      </c>
      <c r="Y1059">
        <v>283207.67999999999</v>
      </c>
      <c r="Z1059" s="4">
        <f>Europe_Sales_Records34[[#This Row],[Total Profit]]/Europe_Sales_Records34[[#This Row],[Total Revenue]]</f>
        <v>0.67203513909224011</v>
      </c>
      <c r="AA1059">
        <v>580322.88</v>
      </c>
    </row>
    <row r="1060" spans="1:27" x14ac:dyDescent="0.3">
      <c r="A1060" t="s">
        <v>14</v>
      </c>
      <c r="B1060" t="s">
        <v>61</v>
      </c>
      <c r="C1060" t="s">
        <v>64</v>
      </c>
      <c r="D1060" t="s">
        <v>17</v>
      </c>
      <c r="E1060" t="s">
        <v>24</v>
      </c>
      <c r="F1060" t="s">
        <v>1580</v>
      </c>
      <c r="G1060" s="2">
        <f t="shared" si="32"/>
        <v>42524</v>
      </c>
      <c r="H1060">
        <f>DAY(Europe_Sales_Records34[[#This Row],[Order Date Fixed]])</f>
        <v>3</v>
      </c>
      <c r="I1060" t="str">
        <f>TEXT(Europe_Sales_Records34[[#This Row],[Order Date Fixed]],"MMM")</f>
        <v>Jun</v>
      </c>
      <c r="J1060">
        <f>YEAR(Europe_Sales_Records34[[#This Row],[Order Date Fixed]])</f>
        <v>2016</v>
      </c>
      <c r="K1060" t="str">
        <f>TEXT(Europe_Sales_Records34[[#This Row],[Order Date Fixed]],"MMM-YYYY")</f>
        <v>Jun-2016</v>
      </c>
      <c r="L1060">
        <v>412416303</v>
      </c>
      <c r="M1060" s="2">
        <f t="shared" si="33"/>
        <v>42532</v>
      </c>
      <c r="N1060">
        <f>DAY(Europe_Sales_Records34[[#This Row],[Ship Date Fixed]])</f>
        <v>11</v>
      </c>
      <c r="O1060" t="str">
        <f>TEXT(Europe_Sales_Records34[[#This Row],[Ship Date Fixed]],"MMM")</f>
        <v>Jun</v>
      </c>
      <c r="P1060">
        <f>YEAR(Europe_Sales_Records34[[#This Row],[Ship Date Fixed]])</f>
        <v>2016</v>
      </c>
      <c r="Q1060" t="str">
        <f>TEXT(Europe_Sales_Records34[[#This Row],[Ship Date Fixed]],"MMM-YYYY")</f>
        <v>Jun-2016</v>
      </c>
      <c r="R1060" t="s">
        <v>1581</v>
      </c>
      <c r="S1060" s="3">
        <f>Europe_Sales_Records34[[#This Row],[Ship Date Fixed]]-Europe_Sales_Records34[[#This Row],[Order Date Fixed]]</f>
        <v>8</v>
      </c>
      <c r="T1060">
        <v>2004</v>
      </c>
      <c r="U1060">
        <v>255.28</v>
      </c>
      <c r="V1060">
        <v>159.41999999999999</v>
      </c>
      <c r="W1060">
        <f>Europe_Sales_Records34[[#This Row],[Total Revenue]]/Europe_Sales_Records34[[#This Row],[Units Sold]]</f>
        <v>255.28</v>
      </c>
      <c r="X1060">
        <v>511581.12</v>
      </c>
      <c r="Y1060">
        <v>319477.68</v>
      </c>
      <c r="Z1060" s="4">
        <f>Europe_Sales_Records34[[#This Row],[Total Profit]]/Europe_Sales_Records34[[#This Row],[Total Revenue]]</f>
        <v>0.37550924475086178</v>
      </c>
      <c r="AA1060">
        <v>192103.44</v>
      </c>
    </row>
    <row r="1061" spans="1:27" x14ac:dyDescent="0.3">
      <c r="A1061" t="s">
        <v>14</v>
      </c>
      <c r="B1061" t="s">
        <v>232</v>
      </c>
      <c r="C1061" t="s">
        <v>75</v>
      </c>
      <c r="D1061" t="s">
        <v>17</v>
      </c>
      <c r="E1061" t="s">
        <v>24</v>
      </c>
      <c r="F1061" t="s">
        <v>1218</v>
      </c>
      <c r="G1061" s="2">
        <f t="shared" si="32"/>
        <v>40954</v>
      </c>
      <c r="H1061">
        <f>DAY(Europe_Sales_Records34[[#This Row],[Order Date Fixed]])</f>
        <v>15</v>
      </c>
      <c r="I1061" t="str">
        <f>TEXT(Europe_Sales_Records34[[#This Row],[Order Date Fixed]],"MMM")</f>
        <v>Feb</v>
      </c>
      <c r="J1061">
        <f>YEAR(Europe_Sales_Records34[[#This Row],[Order Date Fixed]])</f>
        <v>2012</v>
      </c>
      <c r="K1061" t="str">
        <f>TEXT(Europe_Sales_Records34[[#This Row],[Order Date Fixed]],"MMM-YYYY")</f>
        <v>Feb-2012</v>
      </c>
      <c r="L1061">
        <v>364715468</v>
      </c>
      <c r="M1061" s="2">
        <f t="shared" si="33"/>
        <v>40958</v>
      </c>
      <c r="N1061">
        <f>DAY(Europe_Sales_Records34[[#This Row],[Ship Date Fixed]])</f>
        <v>19</v>
      </c>
      <c r="O1061" t="str">
        <f>TEXT(Europe_Sales_Records34[[#This Row],[Ship Date Fixed]],"MMM")</f>
        <v>Feb</v>
      </c>
      <c r="P1061">
        <f>YEAR(Europe_Sales_Records34[[#This Row],[Ship Date Fixed]])</f>
        <v>2012</v>
      </c>
      <c r="Q1061" t="str">
        <f>TEXT(Europe_Sales_Records34[[#This Row],[Ship Date Fixed]],"MMM-YYYY")</f>
        <v>Feb-2012</v>
      </c>
      <c r="R1061" t="s">
        <v>1378</v>
      </c>
      <c r="S1061" s="3">
        <f>Europe_Sales_Records34[[#This Row],[Ship Date Fixed]]-Europe_Sales_Records34[[#This Row],[Order Date Fixed]]</f>
        <v>4</v>
      </c>
      <c r="T1061">
        <v>6267</v>
      </c>
      <c r="U1061">
        <v>437.2</v>
      </c>
      <c r="V1061">
        <v>263.33</v>
      </c>
      <c r="W1061">
        <f>Europe_Sales_Records34[[#This Row],[Total Revenue]]/Europe_Sales_Records34[[#This Row],[Units Sold]]</f>
        <v>437.2</v>
      </c>
      <c r="X1061">
        <v>2739932.4</v>
      </c>
      <c r="Y1061">
        <v>1650289.11</v>
      </c>
      <c r="Z1061" s="4">
        <f>Europe_Sales_Records34[[#This Row],[Total Profit]]/Europe_Sales_Records34[[#This Row],[Total Revenue]]</f>
        <v>0.3976898444647759</v>
      </c>
      <c r="AA1061">
        <v>1089643.29</v>
      </c>
    </row>
    <row r="1062" spans="1:27" x14ac:dyDescent="0.3">
      <c r="A1062" t="s">
        <v>14</v>
      </c>
      <c r="B1062" t="s">
        <v>67</v>
      </c>
      <c r="C1062" t="s">
        <v>102</v>
      </c>
      <c r="D1062" t="s">
        <v>17</v>
      </c>
      <c r="E1062" t="s">
        <v>54</v>
      </c>
      <c r="F1062" t="s">
        <v>1061</v>
      </c>
      <c r="G1062" s="2">
        <f t="shared" si="32"/>
        <v>40306</v>
      </c>
      <c r="H1062">
        <f>DAY(Europe_Sales_Records34[[#This Row],[Order Date Fixed]])</f>
        <v>8</v>
      </c>
      <c r="I1062" t="str">
        <f>TEXT(Europe_Sales_Records34[[#This Row],[Order Date Fixed]],"MMM")</f>
        <v>May</v>
      </c>
      <c r="J1062">
        <f>YEAR(Europe_Sales_Records34[[#This Row],[Order Date Fixed]])</f>
        <v>2010</v>
      </c>
      <c r="K1062" t="str">
        <f>TEXT(Europe_Sales_Records34[[#This Row],[Order Date Fixed]],"MMM-YYYY")</f>
        <v>May-2010</v>
      </c>
      <c r="L1062">
        <v>392752492</v>
      </c>
      <c r="M1062" s="2">
        <f t="shared" si="33"/>
        <v>40332</v>
      </c>
      <c r="N1062">
        <f>DAY(Europe_Sales_Records34[[#This Row],[Ship Date Fixed]])</f>
        <v>3</v>
      </c>
      <c r="O1062" t="str">
        <f>TEXT(Europe_Sales_Records34[[#This Row],[Ship Date Fixed]],"MMM")</f>
        <v>Jun</v>
      </c>
      <c r="P1062">
        <f>YEAR(Europe_Sales_Records34[[#This Row],[Ship Date Fixed]])</f>
        <v>2010</v>
      </c>
      <c r="Q1062" t="str">
        <f>TEXT(Europe_Sales_Records34[[#This Row],[Ship Date Fixed]],"MMM-YYYY")</f>
        <v>Jun-2010</v>
      </c>
      <c r="R1062" t="s">
        <v>1582</v>
      </c>
      <c r="S1062" s="3">
        <f>Europe_Sales_Records34[[#This Row],[Ship Date Fixed]]-Europe_Sales_Records34[[#This Row],[Order Date Fixed]]</f>
        <v>26</v>
      </c>
      <c r="T1062">
        <v>3045</v>
      </c>
      <c r="U1062">
        <v>81.73</v>
      </c>
      <c r="V1062">
        <v>56.67</v>
      </c>
      <c r="W1062">
        <f>Europe_Sales_Records34[[#This Row],[Total Revenue]]/Europe_Sales_Records34[[#This Row],[Units Sold]]</f>
        <v>81.73</v>
      </c>
      <c r="X1062">
        <v>248867.85</v>
      </c>
      <c r="Y1062">
        <v>172560.15</v>
      </c>
      <c r="Z1062" s="4">
        <f>Europe_Sales_Records34[[#This Row],[Total Profit]]/Europe_Sales_Records34[[#This Row],[Total Revenue]]</f>
        <v>0.30661935641747212</v>
      </c>
      <c r="AA1062">
        <v>76307.7</v>
      </c>
    </row>
    <row r="1063" spans="1:27" x14ac:dyDescent="0.3">
      <c r="A1063" t="s">
        <v>14</v>
      </c>
      <c r="B1063" t="s">
        <v>135</v>
      </c>
      <c r="C1063" t="s">
        <v>37</v>
      </c>
      <c r="D1063" t="s">
        <v>17</v>
      </c>
      <c r="E1063" t="s">
        <v>54</v>
      </c>
      <c r="F1063" t="s">
        <v>601</v>
      </c>
      <c r="G1063" s="2">
        <f t="shared" si="32"/>
        <v>41643</v>
      </c>
      <c r="H1063">
        <f>DAY(Europe_Sales_Records34[[#This Row],[Order Date Fixed]])</f>
        <v>4</v>
      </c>
      <c r="I1063" t="str">
        <f>TEXT(Europe_Sales_Records34[[#This Row],[Order Date Fixed]],"MMM")</f>
        <v>Jan</v>
      </c>
      <c r="J1063">
        <f>YEAR(Europe_Sales_Records34[[#This Row],[Order Date Fixed]])</f>
        <v>2014</v>
      </c>
      <c r="K1063" t="str">
        <f>TEXT(Europe_Sales_Records34[[#This Row],[Order Date Fixed]],"MMM-YYYY")</f>
        <v>Jan-2014</v>
      </c>
      <c r="L1063">
        <v>633992946</v>
      </c>
      <c r="M1063" s="2">
        <f t="shared" si="33"/>
        <v>41645</v>
      </c>
      <c r="N1063">
        <f>DAY(Europe_Sales_Records34[[#This Row],[Ship Date Fixed]])</f>
        <v>6</v>
      </c>
      <c r="O1063" t="str">
        <f>TEXT(Europe_Sales_Records34[[#This Row],[Ship Date Fixed]],"MMM")</f>
        <v>Jan</v>
      </c>
      <c r="P1063">
        <f>YEAR(Europe_Sales_Records34[[#This Row],[Ship Date Fixed]])</f>
        <v>2014</v>
      </c>
      <c r="Q1063" t="str">
        <f>TEXT(Europe_Sales_Records34[[#This Row],[Ship Date Fixed]],"MMM-YYYY")</f>
        <v>Jan-2014</v>
      </c>
      <c r="R1063" t="s">
        <v>1583</v>
      </c>
      <c r="S1063" s="3">
        <f>Europe_Sales_Records34[[#This Row],[Ship Date Fixed]]-Europe_Sales_Records34[[#This Row],[Order Date Fixed]]</f>
        <v>2</v>
      </c>
      <c r="T1063">
        <v>1456</v>
      </c>
      <c r="U1063">
        <v>9.33</v>
      </c>
      <c r="V1063">
        <v>6.92</v>
      </c>
      <c r="W1063">
        <f>Europe_Sales_Records34[[#This Row],[Total Revenue]]/Europe_Sales_Records34[[#This Row],[Units Sold]]</f>
        <v>9.33</v>
      </c>
      <c r="X1063">
        <v>13584.48</v>
      </c>
      <c r="Y1063">
        <v>10075.52</v>
      </c>
      <c r="Z1063" s="4">
        <f>Europe_Sales_Records34[[#This Row],[Total Profit]]/Europe_Sales_Records34[[#This Row],[Total Revenue]]</f>
        <v>0.25830653804930331</v>
      </c>
      <c r="AA1063">
        <v>3508.96</v>
      </c>
    </row>
    <row r="1064" spans="1:27" x14ac:dyDescent="0.3">
      <c r="A1064" t="s">
        <v>14</v>
      </c>
      <c r="B1064" t="s">
        <v>61</v>
      </c>
      <c r="C1064" t="s">
        <v>22</v>
      </c>
      <c r="D1064" t="s">
        <v>23</v>
      </c>
      <c r="E1064" t="s">
        <v>18</v>
      </c>
      <c r="F1064" t="s">
        <v>1584</v>
      </c>
      <c r="G1064" s="2">
        <f t="shared" si="32"/>
        <v>40846</v>
      </c>
      <c r="H1064">
        <f>DAY(Europe_Sales_Records34[[#This Row],[Order Date Fixed]])</f>
        <v>30</v>
      </c>
      <c r="I1064" t="str">
        <f>TEXT(Europe_Sales_Records34[[#This Row],[Order Date Fixed]],"MMM")</f>
        <v>Oct</v>
      </c>
      <c r="J1064">
        <f>YEAR(Europe_Sales_Records34[[#This Row],[Order Date Fixed]])</f>
        <v>2011</v>
      </c>
      <c r="K1064" t="str">
        <f>TEXT(Europe_Sales_Records34[[#This Row],[Order Date Fixed]],"MMM-YYYY")</f>
        <v>Oct-2011</v>
      </c>
      <c r="L1064">
        <v>937875640</v>
      </c>
      <c r="M1064" s="2">
        <f t="shared" si="33"/>
        <v>40877</v>
      </c>
      <c r="N1064">
        <f>DAY(Europe_Sales_Records34[[#This Row],[Ship Date Fixed]])</f>
        <v>30</v>
      </c>
      <c r="O1064" t="str">
        <f>TEXT(Europe_Sales_Records34[[#This Row],[Ship Date Fixed]],"MMM")</f>
        <v>Nov</v>
      </c>
      <c r="P1064">
        <f>YEAR(Europe_Sales_Records34[[#This Row],[Ship Date Fixed]])</f>
        <v>2011</v>
      </c>
      <c r="Q1064" t="str">
        <f>TEXT(Europe_Sales_Records34[[#This Row],[Ship Date Fixed]],"MMM-YYYY")</f>
        <v>Nov-2011</v>
      </c>
      <c r="R1064" t="s">
        <v>1585</v>
      </c>
      <c r="S1064" s="3">
        <f>Europe_Sales_Records34[[#This Row],[Ship Date Fixed]]-Europe_Sales_Records34[[#This Row],[Order Date Fixed]]</f>
        <v>31</v>
      </c>
      <c r="T1064">
        <v>7098</v>
      </c>
      <c r="U1064">
        <v>109.28</v>
      </c>
      <c r="V1064">
        <v>35.840000000000003</v>
      </c>
      <c r="W1064">
        <f>Europe_Sales_Records34[[#This Row],[Total Revenue]]/Europe_Sales_Records34[[#This Row],[Units Sold]]</f>
        <v>109.27999999999999</v>
      </c>
      <c r="X1064">
        <v>775669.44</v>
      </c>
      <c r="Y1064">
        <v>254392.32000000001</v>
      </c>
      <c r="Z1064" s="4">
        <f>Europe_Sales_Records34[[#This Row],[Total Profit]]/Europe_Sales_Records34[[#This Row],[Total Revenue]]</f>
        <v>0.67203513909224011</v>
      </c>
      <c r="AA1064">
        <v>521277.12</v>
      </c>
    </row>
    <row r="1065" spans="1:27" x14ac:dyDescent="0.3">
      <c r="A1065" t="s">
        <v>14</v>
      </c>
      <c r="B1065" t="s">
        <v>264</v>
      </c>
      <c r="C1065" t="s">
        <v>46</v>
      </c>
      <c r="D1065" t="s">
        <v>23</v>
      </c>
      <c r="E1065" t="s">
        <v>18</v>
      </c>
      <c r="F1065" t="s">
        <v>1586</v>
      </c>
      <c r="G1065" s="2">
        <f t="shared" si="32"/>
        <v>42594</v>
      </c>
      <c r="H1065">
        <f>DAY(Europe_Sales_Records34[[#This Row],[Order Date Fixed]])</f>
        <v>12</v>
      </c>
      <c r="I1065" t="str">
        <f>TEXT(Europe_Sales_Records34[[#This Row],[Order Date Fixed]],"MMM")</f>
        <v>Aug</v>
      </c>
      <c r="J1065">
        <f>YEAR(Europe_Sales_Records34[[#This Row],[Order Date Fixed]])</f>
        <v>2016</v>
      </c>
      <c r="K1065" t="str">
        <f>TEXT(Europe_Sales_Records34[[#This Row],[Order Date Fixed]],"MMM-YYYY")</f>
        <v>Aug-2016</v>
      </c>
      <c r="L1065">
        <v>614054477</v>
      </c>
      <c r="M1065" s="2">
        <f t="shared" si="33"/>
        <v>42598</v>
      </c>
      <c r="N1065">
        <f>DAY(Europe_Sales_Records34[[#This Row],[Ship Date Fixed]])</f>
        <v>16</v>
      </c>
      <c r="O1065" t="str">
        <f>TEXT(Europe_Sales_Records34[[#This Row],[Ship Date Fixed]],"MMM")</f>
        <v>Aug</v>
      </c>
      <c r="P1065">
        <f>YEAR(Europe_Sales_Records34[[#This Row],[Ship Date Fixed]])</f>
        <v>2016</v>
      </c>
      <c r="Q1065" t="str">
        <f>TEXT(Europe_Sales_Records34[[#This Row],[Ship Date Fixed]],"MMM-YYYY")</f>
        <v>Aug-2016</v>
      </c>
      <c r="R1065" t="s">
        <v>419</v>
      </c>
      <c r="S1065" s="3">
        <f>Europe_Sales_Records34[[#This Row],[Ship Date Fixed]]-Europe_Sales_Records34[[#This Row],[Order Date Fixed]]</f>
        <v>4</v>
      </c>
      <c r="T1065">
        <v>1220</v>
      </c>
      <c r="U1065">
        <v>154.06</v>
      </c>
      <c r="V1065">
        <v>90.93</v>
      </c>
      <c r="W1065">
        <f>Europe_Sales_Records34[[#This Row],[Total Revenue]]/Europe_Sales_Records34[[#This Row],[Units Sold]]</f>
        <v>154.06</v>
      </c>
      <c r="X1065">
        <v>187953.2</v>
      </c>
      <c r="Y1065">
        <v>110934.6</v>
      </c>
      <c r="Z1065" s="4">
        <f>Europe_Sales_Records34[[#This Row],[Total Profit]]/Europe_Sales_Records34[[#This Row],[Total Revenue]]</f>
        <v>0.40977541217707386</v>
      </c>
      <c r="AA1065">
        <v>77018.600000000006</v>
      </c>
    </row>
    <row r="1066" spans="1:27" x14ac:dyDescent="0.3">
      <c r="A1066" t="s">
        <v>14</v>
      </c>
      <c r="B1066" t="s">
        <v>169</v>
      </c>
      <c r="C1066" t="s">
        <v>64</v>
      </c>
      <c r="D1066" t="s">
        <v>17</v>
      </c>
      <c r="E1066" t="s">
        <v>54</v>
      </c>
      <c r="F1066" t="s">
        <v>885</v>
      </c>
      <c r="G1066" s="2">
        <f t="shared" si="32"/>
        <v>40631</v>
      </c>
      <c r="H1066">
        <f>DAY(Europe_Sales_Records34[[#This Row],[Order Date Fixed]])</f>
        <v>29</v>
      </c>
      <c r="I1066" t="str">
        <f>TEXT(Europe_Sales_Records34[[#This Row],[Order Date Fixed]],"MMM")</f>
        <v>Mar</v>
      </c>
      <c r="J1066">
        <f>YEAR(Europe_Sales_Records34[[#This Row],[Order Date Fixed]])</f>
        <v>2011</v>
      </c>
      <c r="K1066" t="str">
        <f>TEXT(Europe_Sales_Records34[[#This Row],[Order Date Fixed]],"MMM-YYYY")</f>
        <v>Mar-2011</v>
      </c>
      <c r="L1066">
        <v>369170081</v>
      </c>
      <c r="M1066" s="2">
        <f t="shared" si="33"/>
        <v>40636</v>
      </c>
      <c r="N1066">
        <f>DAY(Europe_Sales_Records34[[#This Row],[Ship Date Fixed]])</f>
        <v>3</v>
      </c>
      <c r="O1066" t="str">
        <f>TEXT(Europe_Sales_Records34[[#This Row],[Ship Date Fixed]],"MMM")</f>
        <v>Apr</v>
      </c>
      <c r="P1066">
        <f>YEAR(Europe_Sales_Records34[[#This Row],[Ship Date Fixed]])</f>
        <v>2011</v>
      </c>
      <c r="Q1066" t="str">
        <f>TEXT(Europe_Sales_Records34[[#This Row],[Ship Date Fixed]],"MMM-YYYY")</f>
        <v>Apr-2011</v>
      </c>
      <c r="R1066" t="s">
        <v>1587</v>
      </c>
      <c r="S1066" s="3">
        <f>Europe_Sales_Records34[[#This Row],[Ship Date Fixed]]-Europe_Sales_Records34[[#This Row],[Order Date Fixed]]</f>
        <v>5</v>
      </c>
      <c r="T1066">
        <v>4486</v>
      </c>
      <c r="U1066">
        <v>255.28</v>
      </c>
      <c r="V1066">
        <v>159.41999999999999</v>
      </c>
      <c r="W1066">
        <f>Europe_Sales_Records34[[#This Row],[Total Revenue]]/Europe_Sales_Records34[[#This Row],[Units Sold]]</f>
        <v>255.28000000000003</v>
      </c>
      <c r="X1066">
        <v>1145186.08</v>
      </c>
      <c r="Y1066">
        <v>715158.12</v>
      </c>
      <c r="Z1066" s="4">
        <f>Europe_Sales_Records34[[#This Row],[Total Profit]]/Europe_Sales_Records34[[#This Row],[Total Revenue]]</f>
        <v>0.37550924475086178</v>
      </c>
      <c r="AA1066">
        <v>430027.96</v>
      </c>
    </row>
    <row r="1067" spans="1:27" x14ac:dyDescent="0.3">
      <c r="A1067" t="s">
        <v>14</v>
      </c>
      <c r="B1067" t="s">
        <v>141</v>
      </c>
      <c r="C1067" t="s">
        <v>22</v>
      </c>
      <c r="D1067" t="s">
        <v>17</v>
      </c>
      <c r="E1067" t="s">
        <v>18</v>
      </c>
      <c r="F1067" t="s">
        <v>413</v>
      </c>
      <c r="G1067" s="2">
        <f t="shared" si="32"/>
        <v>42385</v>
      </c>
      <c r="H1067">
        <f>DAY(Europe_Sales_Records34[[#This Row],[Order Date Fixed]])</f>
        <v>16</v>
      </c>
      <c r="I1067" t="str">
        <f>TEXT(Europe_Sales_Records34[[#This Row],[Order Date Fixed]],"MMM")</f>
        <v>Jan</v>
      </c>
      <c r="J1067">
        <f>YEAR(Europe_Sales_Records34[[#This Row],[Order Date Fixed]])</f>
        <v>2016</v>
      </c>
      <c r="K1067" t="str">
        <f>TEXT(Europe_Sales_Records34[[#This Row],[Order Date Fixed]],"MMM-YYYY")</f>
        <v>Jan-2016</v>
      </c>
      <c r="L1067">
        <v>357930982</v>
      </c>
      <c r="M1067" s="2">
        <f t="shared" si="33"/>
        <v>42434</v>
      </c>
      <c r="N1067">
        <f>DAY(Europe_Sales_Records34[[#This Row],[Ship Date Fixed]])</f>
        <v>5</v>
      </c>
      <c r="O1067" t="str">
        <f>TEXT(Europe_Sales_Records34[[#This Row],[Ship Date Fixed]],"MMM")</f>
        <v>Mar</v>
      </c>
      <c r="P1067">
        <f>YEAR(Europe_Sales_Records34[[#This Row],[Ship Date Fixed]])</f>
        <v>2016</v>
      </c>
      <c r="Q1067" t="str">
        <f>TEXT(Europe_Sales_Records34[[#This Row],[Ship Date Fixed]],"MMM-YYYY")</f>
        <v>Mar-2016</v>
      </c>
      <c r="R1067" t="s">
        <v>1465</v>
      </c>
      <c r="S1067" s="3">
        <f>Europe_Sales_Records34[[#This Row],[Ship Date Fixed]]-Europe_Sales_Records34[[#This Row],[Order Date Fixed]]</f>
        <v>49</v>
      </c>
      <c r="T1067">
        <v>8586</v>
      </c>
      <c r="U1067">
        <v>109.28</v>
      </c>
      <c r="V1067">
        <v>35.840000000000003</v>
      </c>
      <c r="W1067">
        <f>Europe_Sales_Records34[[#This Row],[Total Revenue]]/Europe_Sales_Records34[[#This Row],[Units Sold]]</f>
        <v>109.28</v>
      </c>
      <c r="X1067">
        <v>938278.08</v>
      </c>
      <c r="Y1067">
        <v>307722.23999999999</v>
      </c>
      <c r="Z1067" s="4">
        <f>Europe_Sales_Records34[[#This Row],[Total Profit]]/Europe_Sales_Records34[[#This Row],[Total Revenue]]</f>
        <v>0.67203513909224011</v>
      </c>
      <c r="AA1067">
        <v>630555.84</v>
      </c>
    </row>
    <row r="1068" spans="1:27" x14ac:dyDescent="0.3">
      <c r="A1068" t="s">
        <v>14</v>
      </c>
      <c r="B1068" t="s">
        <v>70</v>
      </c>
      <c r="C1068" t="s">
        <v>32</v>
      </c>
      <c r="D1068" t="s">
        <v>17</v>
      </c>
      <c r="E1068" t="s">
        <v>24</v>
      </c>
      <c r="F1068" t="s">
        <v>1588</v>
      </c>
      <c r="G1068" s="2">
        <f t="shared" si="32"/>
        <v>41348</v>
      </c>
      <c r="H1068">
        <f>DAY(Europe_Sales_Records34[[#This Row],[Order Date Fixed]])</f>
        <v>15</v>
      </c>
      <c r="I1068" t="str">
        <f>TEXT(Europe_Sales_Records34[[#This Row],[Order Date Fixed]],"MMM")</f>
        <v>Mar</v>
      </c>
      <c r="J1068">
        <f>YEAR(Europe_Sales_Records34[[#This Row],[Order Date Fixed]])</f>
        <v>2013</v>
      </c>
      <c r="K1068" t="str">
        <f>TEXT(Europe_Sales_Records34[[#This Row],[Order Date Fixed]],"MMM-YYYY")</f>
        <v>Mar-2013</v>
      </c>
      <c r="L1068">
        <v>586812674</v>
      </c>
      <c r="M1068" s="2">
        <f t="shared" si="33"/>
        <v>41364</v>
      </c>
      <c r="N1068">
        <f>DAY(Europe_Sales_Records34[[#This Row],[Ship Date Fixed]])</f>
        <v>31</v>
      </c>
      <c r="O1068" t="str">
        <f>TEXT(Europe_Sales_Records34[[#This Row],[Ship Date Fixed]],"MMM")</f>
        <v>Mar</v>
      </c>
      <c r="P1068">
        <f>YEAR(Europe_Sales_Records34[[#This Row],[Ship Date Fixed]])</f>
        <v>2013</v>
      </c>
      <c r="Q1068" t="str">
        <f>TEXT(Europe_Sales_Records34[[#This Row],[Ship Date Fixed]],"MMM-YYYY")</f>
        <v>Mar-2013</v>
      </c>
      <c r="R1068" t="s">
        <v>346</v>
      </c>
      <c r="S1068" s="3">
        <f>Europe_Sales_Records34[[#This Row],[Ship Date Fixed]]-Europe_Sales_Records34[[#This Row],[Order Date Fixed]]</f>
        <v>16</v>
      </c>
      <c r="T1068">
        <v>9766</v>
      </c>
      <c r="U1068">
        <v>651.21</v>
      </c>
      <c r="V1068">
        <v>524.96</v>
      </c>
      <c r="W1068">
        <f>Europe_Sales_Records34[[#This Row],[Total Revenue]]/Europe_Sales_Records34[[#This Row],[Units Sold]]</f>
        <v>651.21</v>
      </c>
      <c r="X1068">
        <v>6359716.8600000003</v>
      </c>
      <c r="Y1068">
        <v>5126759.3600000003</v>
      </c>
      <c r="Z1068" s="4">
        <f>Europe_Sales_Records34[[#This Row],[Total Profit]]/Europe_Sales_Records34[[#This Row],[Total Revenue]]</f>
        <v>0.19386987300563566</v>
      </c>
      <c r="AA1068">
        <v>1232957.5</v>
      </c>
    </row>
    <row r="1069" spans="1:27" x14ac:dyDescent="0.3">
      <c r="A1069" t="s">
        <v>14</v>
      </c>
      <c r="B1069" t="s">
        <v>169</v>
      </c>
      <c r="C1069" t="s">
        <v>37</v>
      </c>
      <c r="D1069" t="s">
        <v>23</v>
      </c>
      <c r="E1069" t="s">
        <v>33</v>
      </c>
      <c r="F1069" t="s">
        <v>1589</v>
      </c>
      <c r="G1069" s="2">
        <f t="shared" si="32"/>
        <v>42471</v>
      </c>
      <c r="H1069">
        <f>DAY(Europe_Sales_Records34[[#This Row],[Order Date Fixed]])</f>
        <v>11</v>
      </c>
      <c r="I1069" t="str">
        <f>TEXT(Europe_Sales_Records34[[#This Row],[Order Date Fixed]],"MMM")</f>
        <v>Apr</v>
      </c>
      <c r="J1069">
        <f>YEAR(Europe_Sales_Records34[[#This Row],[Order Date Fixed]])</f>
        <v>2016</v>
      </c>
      <c r="K1069" t="str">
        <f>TEXT(Europe_Sales_Records34[[#This Row],[Order Date Fixed]],"MMM-YYYY")</f>
        <v>Apr-2016</v>
      </c>
      <c r="L1069">
        <v>311221492</v>
      </c>
      <c r="M1069" s="2">
        <f t="shared" si="33"/>
        <v>42497</v>
      </c>
      <c r="N1069">
        <f>DAY(Europe_Sales_Records34[[#This Row],[Ship Date Fixed]])</f>
        <v>7</v>
      </c>
      <c r="O1069" t="str">
        <f>TEXT(Europe_Sales_Records34[[#This Row],[Ship Date Fixed]],"MMM")</f>
        <v>May</v>
      </c>
      <c r="P1069">
        <f>YEAR(Europe_Sales_Records34[[#This Row],[Ship Date Fixed]])</f>
        <v>2016</v>
      </c>
      <c r="Q1069" t="str">
        <f>TEXT(Europe_Sales_Records34[[#This Row],[Ship Date Fixed]],"MMM-YYYY")</f>
        <v>May-2016</v>
      </c>
      <c r="R1069" t="s">
        <v>1590</v>
      </c>
      <c r="S1069" s="3">
        <f>Europe_Sales_Records34[[#This Row],[Ship Date Fixed]]-Europe_Sales_Records34[[#This Row],[Order Date Fixed]]</f>
        <v>26</v>
      </c>
      <c r="T1069">
        <v>6210</v>
      </c>
      <c r="U1069">
        <v>9.33</v>
      </c>
      <c r="V1069">
        <v>6.92</v>
      </c>
      <c r="W1069">
        <f>Europe_Sales_Records34[[#This Row],[Total Revenue]]/Europe_Sales_Records34[[#This Row],[Units Sold]]</f>
        <v>9.33</v>
      </c>
      <c r="X1069">
        <v>57939.3</v>
      </c>
      <c r="Y1069">
        <v>42973.2</v>
      </c>
      <c r="Z1069" s="4">
        <f>Europe_Sales_Records34[[#This Row],[Total Profit]]/Europe_Sales_Records34[[#This Row],[Total Revenue]]</f>
        <v>0.25830653804930331</v>
      </c>
      <c r="AA1069">
        <v>14966.1</v>
      </c>
    </row>
    <row r="1070" spans="1:27" x14ac:dyDescent="0.3">
      <c r="A1070" t="s">
        <v>14</v>
      </c>
      <c r="B1070" t="s">
        <v>169</v>
      </c>
      <c r="C1070" t="s">
        <v>58</v>
      </c>
      <c r="D1070" t="s">
        <v>23</v>
      </c>
      <c r="E1070" t="s">
        <v>24</v>
      </c>
      <c r="F1070" t="s">
        <v>436</v>
      </c>
      <c r="G1070" s="2">
        <f t="shared" si="32"/>
        <v>41057</v>
      </c>
      <c r="H1070">
        <f>DAY(Europe_Sales_Records34[[#This Row],[Order Date Fixed]])</f>
        <v>28</v>
      </c>
      <c r="I1070" t="str">
        <f>TEXT(Europe_Sales_Records34[[#This Row],[Order Date Fixed]],"MMM")</f>
        <v>May</v>
      </c>
      <c r="J1070">
        <f>YEAR(Europe_Sales_Records34[[#This Row],[Order Date Fixed]])</f>
        <v>2012</v>
      </c>
      <c r="K1070" t="str">
        <f>TEXT(Europe_Sales_Records34[[#This Row],[Order Date Fixed]],"MMM-YYYY")</f>
        <v>May-2012</v>
      </c>
      <c r="L1070">
        <v>274989354</v>
      </c>
      <c r="M1070" s="2">
        <f t="shared" si="33"/>
        <v>41100</v>
      </c>
      <c r="N1070">
        <f>DAY(Europe_Sales_Records34[[#This Row],[Ship Date Fixed]])</f>
        <v>10</v>
      </c>
      <c r="O1070" t="str">
        <f>TEXT(Europe_Sales_Records34[[#This Row],[Ship Date Fixed]],"MMM")</f>
        <v>Jul</v>
      </c>
      <c r="P1070">
        <f>YEAR(Europe_Sales_Records34[[#This Row],[Ship Date Fixed]])</f>
        <v>2012</v>
      </c>
      <c r="Q1070" t="str">
        <f>TEXT(Europe_Sales_Records34[[#This Row],[Ship Date Fixed]],"MMM-YYYY")</f>
        <v>Jul-2012</v>
      </c>
      <c r="R1070" t="s">
        <v>1591</v>
      </c>
      <c r="S1070" s="3">
        <f>Europe_Sales_Records34[[#This Row],[Ship Date Fixed]]-Europe_Sales_Records34[[#This Row],[Order Date Fixed]]</f>
        <v>43</v>
      </c>
      <c r="T1070">
        <v>4316</v>
      </c>
      <c r="U1070">
        <v>152.58000000000001</v>
      </c>
      <c r="V1070">
        <v>97.44</v>
      </c>
      <c r="W1070">
        <f>Europe_Sales_Records34[[#This Row],[Total Revenue]]/Europe_Sales_Records34[[#This Row],[Units Sold]]</f>
        <v>152.58000000000001</v>
      </c>
      <c r="X1070">
        <v>658535.28</v>
      </c>
      <c r="Y1070">
        <v>420551.04</v>
      </c>
      <c r="Z1070" s="4">
        <f>Europe_Sales_Records34[[#This Row],[Total Profit]]/Europe_Sales_Records34[[#This Row],[Total Revenue]]</f>
        <v>0.36138419189933146</v>
      </c>
      <c r="AA1070">
        <v>237984.24</v>
      </c>
    </row>
    <row r="1071" spans="1:27" x14ac:dyDescent="0.3">
      <c r="A1071" t="s">
        <v>14</v>
      </c>
      <c r="B1071" t="s">
        <v>105</v>
      </c>
      <c r="C1071" t="s">
        <v>32</v>
      </c>
      <c r="D1071" t="s">
        <v>17</v>
      </c>
      <c r="E1071" t="s">
        <v>33</v>
      </c>
      <c r="F1071" t="s">
        <v>1592</v>
      </c>
      <c r="G1071" s="2">
        <f t="shared" si="32"/>
        <v>41402</v>
      </c>
      <c r="H1071">
        <f>DAY(Europe_Sales_Records34[[#This Row],[Order Date Fixed]])</f>
        <v>8</v>
      </c>
      <c r="I1071" t="str">
        <f>TEXT(Europe_Sales_Records34[[#This Row],[Order Date Fixed]],"MMM")</f>
        <v>May</v>
      </c>
      <c r="J1071">
        <f>YEAR(Europe_Sales_Records34[[#This Row],[Order Date Fixed]])</f>
        <v>2013</v>
      </c>
      <c r="K1071" t="str">
        <f>TEXT(Europe_Sales_Records34[[#This Row],[Order Date Fixed]],"MMM-YYYY")</f>
        <v>May-2013</v>
      </c>
      <c r="L1071">
        <v>897785842</v>
      </c>
      <c r="M1071" s="2">
        <f t="shared" si="33"/>
        <v>41406</v>
      </c>
      <c r="N1071">
        <f>DAY(Europe_Sales_Records34[[#This Row],[Ship Date Fixed]])</f>
        <v>12</v>
      </c>
      <c r="O1071" t="str">
        <f>TEXT(Europe_Sales_Records34[[#This Row],[Ship Date Fixed]],"MMM")</f>
        <v>May</v>
      </c>
      <c r="P1071">
        <f>YEAR(Europe_Sales_Records34[[#This Row],[Ship Date Fixed]])</f>
        <v>2013</v>
      </c>
      <c r="Q1071" t="str">
        <f>TEXT(Europe_Sales_Records34[[#This Row],[Ship Date Fixed]],"MMM-YYYY")</f>
        <v>May-2013</v>
      </c>
      <c r="R1071" t="s">
        <v>1593</v>
      </c>
      <c r="S1071" s="3">
        <f>Europe_Sales_Records34[[#This Row],[Ship Date Fixed]]-Europe_Sales_Records34[[#This Row],[Order Date Fixed]]</f>
        <v>4</v>
      </c>
      <c r="T1071">
        <v>3636</v>
      </c>
      <c r="U1071">
        <v>651.21</v>
      </c>
      <c r="V1071">
        <v>524.96</v>
      </c>
      <c r="W1071">
        <f>Europe_Sales_Records34[[#This Row],[Total Revenue]]/Europe_Sales_Records34[[#This Row],[Units Sold]]</f>
        <v>651.21</v>
      </c>
      <c r="X1071">
        <v>2367799.56</v>
      </c>
      <c r="Y1071">
        <v>1908754.56</v>
      </c>
      <c r="Z1071" s="4">
        <f>Europe_Sales_Records34[[#This Row],[Total Profit]]/Europe_Sales_Records34[[#This Row],[Total Revenue]]</f>
        <v>0.19386987300563566</v>
      </c>
      <c r="AA1071">
        <v>459045</v>
      </c>
    </row>
    <row r="1072" spans="1:27" x14ac:dyDescent="0.3">
      <c r="A1072" t="s">
        <v>14</v>
      </c>
      <c r="B1072" t="s">
        <v>342</v>
      </c>
      <c r="C1072" t="s">
        <v>50</v>
      </c>
      <c r="D1072" t="s">
        <v>23</v>
      </c>
      <c r="E1072" t="s">
        <v>54</v>
      </c>
      <c r="F1072" t="s">
        <v>1594</v>
      </c>
      <c r="G1072" s="2">
        <f t="shared" si="32"/>
        <v>42877</v>
      </c>
      <c r="H1072">
        <f>DAY(Europe_Sales_Records34[[#This Row],[Order Date Fixed]])</f>
        <v>22</v>
      </c>
      <c r="I1072" t="str">
        <f>TEXT(Europe_Sales_Records34[[#This Row],[Order Date Fixed]],"MMM")</f>
        <v>May</v>
      </c>
      <c r="J1072">
        <f>YEAR(Europe_Sales_Records34[[#This Row],[Order Date Fixed]])</f>
        <v>2017</v>
      </c>
      <c r="K1072" t="str">
        <f>TEXT(Europe_Sales_Records34[[#This Row],[Order Date Fixed]],"MMM-YYYY")</f>
        <v>May-2017</v>
      </c>
      <c r="L1072">
        <v>929812705</v>
      </c>
      <c r="M1072" s="2">
        <f t="shared" si="33"/>
        <v>42880</v>
      </c>
      <c r="N1072">
        <f>DAY(Europe_Sales_Records34[[#This Row],[Ship Date Fixed]])</f>
        <v>25</v>
      </c>
      <c r="O1072" t="str">
        <f>TEXT(Europe_Sales_Records34[[#This Row],[Ship Date Fixed]],"MMM")</f>
        <v>May</v>
      </c>
      <c r="P1072">
        <f>YEAR(Europe_Sales_Records34[[#This Row],[Ship Date Fixed]])</f>
        <v>2017</v>
      </c>
      <c r="Q1072" t="str">
        <f>TEXT(Europe_Sales_Records34[[#This Row],[Ship Date Fixed]],"MMM-YYYY")</f>
        <v>May-2017</v>
      </c>
      <c r="R1072" t="s">
        <v>1595</v>
      </c>
      <c r="S1072" s="3">
        <f>Europe_Sales_Records34[[#This Row],[Ship Date Fixed]]-Europe_Sales_Records34[[#This Row],[Order Date Fixed]]</f>
        <v>3</v>
      </c>
      <c r="T1072">
        <v>1097</v>
      </c>
      <c r="U1072">
        <v>421.89</v>
      </c>
      <c r="V1072">
        <v>364.69</v>
      </c>
      <c r="W1072">
        <f>Europe_Sales_Records34[[#This Row],[Total Revenue]]/Europe_Sales_Records34[[#This Row],[Units Sold]]</f>
        <v>421.89000000000004</v>
      </c>
      <c r="X1072">
        <v>462813.33</v>
      </c>
      <c r="Y1072">
        <v>400064.93</v>
      </c>
      <c r="Z1072" s="4">
        <f>Europe_Sales_Records34[[#This Row],[Total Profit]]/Europe_Sales_Records34[[#This Row],[Total Revenue]]</f>
        <v>0.13558036455000119</v>
      </c>
      <c r="AA1072">
        <v>62748.4</v>
      </c>
    </row>
    <row r="1073" spans="1:27" x14ac:dyDescent="0.3">
      <c r="A1073" t="s">
        <v>14</v>
      </c>
      <c r="B1073" t="s">
        <v>74</v>
      </c>
      <c r="C1073" t="s">
        <v>75</v>
      </c>
      <c r="D1073" t="s">
        <v>23</v>
      </c>
      <c r="E1073" t="s">
        <v>54</v>
      </c>
      <c r="F1073" t="s">
        <v>1596</v>
      </c>
      <c r="G1073" s="2">
        <f t="shared" si="32"/>
        <v>40937</v>
      </c>
      <c r="H1073">
        <f>DAY(Europe_Sales_Records34[[#This Row],[Order Date Fixed]])</f>
        <v>29</v>
      </c>
      <c r="I1073" t="str">
        <f>TEXT(Europe_Sales_Records34[[#This Row],[Order Date Fixed]],"MMM")</f>
        <v>Jan</v>
      </c>
      <c r="J1073">
        <f>YEAR(Europe_Sales_Records34[[#This Row],[Order Date Fixed]])</f>
        <v>2012</v>
      </c>
      <c r="K1073" t="str">
        <f>TEXT(Europe_Sales_Records34[[#This Row],[Order Date Fixed]],"MMM-YYYY")</f>
        <v>Jan-2012</v>
      </c>
      <c r="L1073">
        <v>202047002</v>
      </c>
      <c r="M1073" s="2">
        <f t="shared" si="33"/>
        <v>40974</v>
      </c>
      <c r="N1073">
        <f>DAY(Europe_Sales_Records34[[#This Row],[Ship Date Fixed]])</f>
        <v>6</v>
      </c>
      <c r="O1073" t="str">
        <f>TEXT(Europe_Sales_Records34[[#This Row],[Ship Date Fixed]],"MMM")</f>
        <v>Mar</v>
      </c>
      <c r="P1073">
        <f>YEAR(Europe_Sales_Records34[[#This Row],[Ship Date Fixed]])</f>
        <v>2012</v>
      </c>
      <c r="Q1073" t="str">
        <f>TEXT(Europe_Sales_Records34[[#This Row],[Ship Date Fixed]],"MMM-YYYY")</f>
        <v>Mar-2012</v>
      </c>
      <c r="R1073" t="s">
        <v>1399</v>
      </c>
      <c r="S1073" s="3">
        <f>Europe_Sales_Records34[[#This Row],[Ship Date Fixed]]-Europe_Sales_Records34[[#This Row],[Order Date Fixed]]</f>
        <v>37</v>
      </c>
      <c r="T1073">
        <v>9053</v>
      </c>
      <c r="U1073">
        <v>437.2</v>
      </c>
      <c r="V1073">
        <v>263.33</v>
      </c>
      <c r="W1073">
        <f>Europe_Sales_Records34[[#This Row],[Total Revenue]]/Europe_Sales_Records34[[#This Row],[Units Sold]]</f>
        <v>437.2</v>
      </c>
      <c r="X1073">
        <v>3957971.6</v>
      </c>
      <c r="Y1073">
        <v>2383926.4900000002</v>
      </c>
      <c r="Z1073" s="4">
        <f>Europe_Sales_Records34[[#This Row],[Total Profit]]/Europe_Sales_Records34[[#This Row],[Total Revenue]]</f>
        <v>0.39768984446477584</v>
      </c>
      <c r="AA1073">
        <v>1574045.11</v>
      </c>
    </row>
    <row r="1074" spans="1:27" x14ac:dyDescent="0.3">
      <c r="A1074" t="s">
        <v>14</v>
      </c>
      <c r="B1074" t="s">
        <v>132</v>
      </c>
      <c r="C1074" t="s">
        <v>37</v>
      </c>
      <c r="D1074" t="s">
        <v>23</v>
      </c>
      <c r="E1074" t="s">
        <v>33</v>
      </c>
      <c r="F1074" t="s">
        <v>919</v>
      </c>
      <c r="G1074" s="2">
        <f t="shared" si="32"/>
        <v>40782</v>
      </c>
      <c r="H1074">
        <f>DAY(Europe_Sales_Records34[[#This Row],[Order Date Fixed]])</f>
        <v>27</v>
      </c>
      <c r="I1074" t="str">
        <f>TEXT(Europe_Sales_Records34[[#This Row],[Order Date Fixed]],"MMM")</f>
        <v>Aug</v>
      </c>
      <c r="J1074">
        <f>YEAR(Europe_Sales_Records34[[#This Row],[Order Date Fixed]])</f>
        <v>2011</v>
      </c>
      <c r="K1074" t="str">
        <f>TEXT(Europe_Sales_Records34[[#This Row],[Order Date Fixed]],"MMM-YYYY")</f>
        <v>Aug-2011</v>
      </c>
      <c r="L1074">
        <v>919922006</v>
      </c>
      <c r="M1074" s="2">
        <f t="shared" si="33"/>
        <v>40804</v>
      </c>
      <c r="N1074">
        <f>DAY(Europe_Sales_Records34[[#This Row],[Ship Date Fixed]])</f>
        <v>18</v>
      </c>
      <c r="O1074" t="str">
        <f>TEXT(Europe_Sales_Records34[[#This Row],[Ship Date Fixed]],"MMM")</f>
        <v>Sep</v>
      </c>
      <c r="P1074">
        <f>YEAR(Europe_Sales_Records34[[#This Row],[Ship Date Fixed]])</f>
        <v>2011</v>
      </c>
      <c r="Q1074" t="str">
        <f>TEXT(Europe_Sales_Records34[[#This Row],[Ship Date Fixed]],"MMM-YYYY")</f>
        <v>Sep-2011</v>
      </c>
      <c r="R1074" t="s">
        <v>326</v>
      </c>
      <c r="S1074" s="3">
        <f>Europe_Sales_Records34[[#This Row],[Ship Date Fixed]]-Europe_Sales_Records34[[#This Row],[Order Date Fixed]]</f>
        <v>22</v>
      </c>
      <c r="T1074">
        <v>4219</v>
      </c>
      <c r="U1074">
        <v>9.33</v>
      </c>
      <c r="V1074">
        <v>6.92</v>
      </c>
      <c r="W1074">
        <f>Europe_Sales_Records34[[#This Row],[Total Revenue]]/Europe_Sales_Records34[[#This Row],[Units Sold]]</f>
        <v>9.33</v>
      </c>
      <c r="X1074">
        <v>39363.269999999997</v>
      </c>
      <c r="Y1074">
        <v>29195.48</v>
      </c>
      <c r="Z1074" s="4">
        <f>Europe_Sales_Records34[[#This Row],[Total Profit]]/Europe_Sales_Records34[[#This Row],[Total Revenue]]</f>
        <v>0.25830653804930337</v>
      </c>
      <c r="AA1074">
        <v>10167.790000000001</v>
      </c>
    </row>
    <row r="1075" spans="1:27" x14ac:dyDescent="0.3">
      <c r="A1075" t="s">
        <v>14</v>
      </c>
      <c r="B1075" t="s">
        <v>146</v>
      </c>
      <c r="C1075" t="s">
        <v>16</v>
      </c>
      <c r="D1075" t="s">
        <v>17</v>
      </c>
      <c r="E1075" t="s">
        <v>54</v>
      </c>
      <c r="F1075" t="s">
        <v>1597</v>
      </c>
      <c r="G1075" s="2">
        <f t="shared" si="32"/>
        <v>41442</v>
      </c>
      <c r="H1075">
        <f>DAY(Europe_Sales_Records34[[#This Row],[Order Date Fixed]])</f>
        <v>17</v>
      </c>
      <c r="I1075" t="str">
        <f>TEXT(Europe_Sales_Records34[[#This Row],[Order Date Fixed]],"MMM")</f>
        <v>Jun</v>
      </c>
      <c r="J1075">
        <f>YEAR(Europe_Sales_Records34[[#This Row],[Order Date Fixed]])</f>
        <v>2013</v>
      </c>
      <c r="K1075" t="str">
        <f>TEXT(Europe_Sales_Records34[[#This Row],[Order Date Fixed]],"MMM-YYYY")</f>
        <v>Jun-2013</v>
      </c>
      <c r="L1075">
        <v>243226420</v>
      </c>
      <c r="M1075" s="2">
        <f t="shared" si="33"/>
        <v>41458</v>
      </c>
      <c r="N1075">
        <f>DAY(Europe_Sales_Records34[[#This Row],[Ship Date Fixed]])</f>
        <v>3</v>
      </c>
      <c r="O1075" t="str">
        <f>TEXT(Europe_Sales_Records34[[#This Row],[Ship Date Fixed]],"MMM")</f>
        <v>Jul</v>
      </c>
      <c r="P1075">
        <f>YEAR(Europe_Sales_Records34[[#This Row],[Ship Date Fixed]])</f>
        <v>2013</v>
      </c>
      <c r="Q1075" t="str">
        <f>TEXT(Europe_Sales_Records34[[#This Row],[Ship Date Fixed]],"MMM-YYYY")</f>
        <v>Jul-2013</v>
      </c>
      <c r="R1075" t="s">
        <v>1598</v>
      </c>
      <c r="S1075" s="3">
        <f>Europe_Sales_Records34[[#This Row],[Ship Date Fixed]]-Europe_Sales_Records34[[#This Row],[Order Date Fixed]]</f>
        <v>16</v>
      </c>
      <c r="T1075">
        <v>4958</v>
      </c>
      <c r="U1075">
        <v>47.45</v>
      </c>
      <c r="V1075">
        <v>31.79</v>
      </c>
      <c r="W1075">
        <f>Europe_Sales_Records34[[#This Row],[Total Revenue]]/Europe_Sales_Records34[[#This Row],[Units Sold]]</f>
        <v>47.45</v>
      </c>
      <c r="X1075">
        <v>235257.1</v>
      </c>
      <c r="Y1075">
        <v>157614.82</v>
      </c>
      <c r="Z1075" s="4">
        <f>Europe_Sales_Records34[[#This Row],[Total Profit]]/Europe_Sales_Records34[[#This Row],[Total Revenue]]</f>
        <v>0.33003161222339306</v>
      </c>
      <c r="AA1075">
        <v>77642.28</v>
      </c>
    </row>
    <row r="1076" spans="1:27" x14ac:dyDescent="0.3">
      <c r="A1076" t="s">
        <v>14</v>
      </c>
      <c r="B1076" t="s">
        <v>94</v>
      </c>
      <c r="C1076" t="s">
        <v>22</v>
      </c>
      <c r="D1076" t="s">
        <v>23</v>
      </c>
      <c r="E1076" t="s">
        <v>24</v>
      </c>
      <c r="F1076" t="s">
        <v>1519</v>
      </c>
      <c r="G1076" s="2">
        <f t="shared" si="32"/>
        <v>42687</v>
      </c>
      <c r="H1076">
        <f>DAY(Europe_Sales_Records34[[#This Row],[Order Date Fixed]])</f>
        <v>13</v>
      </c>
      <c r="I1076" t="str">
        <f>TEXT(Europe_Sales_Records34[[#This Row],[Order Date Fixed]],"MMM")</f>
        <v>Nov</v>
      </c>
      <c r="J1076">
        <f>YEAR(Europe_Sales_Records34[[#This Row],[Order Date Fixed]])</f>
        <v>2016</v>
      </c>
      <c r="K1076" t="str">
        <f>TEXT(Europe_Sales_Records34[[#This Row],[Order Date Fixed]],"MMM-YYYY")</f>
        <v>Nov-2016</v>
      </c>
      <c r="L1076">
        <v>249765861</v>
      </c>
      <c r="M1076" s="2">
        <f t="shared" si="33"/>
        <v>42698</v>
      </c>
      <c r="N1076">
        <f>DAY(Europe_Sales_Records34[[#This Row],[Ship Date Fixed]])</f>
        <v>24</v>
      </c>
      <c r="O1076" t="str">
        <f>TEXT(Europe_Sales_Records34[[#This Row],[Ship Date Fixed]],"MMM")</f>
        <v>Nov</v>
      </c>
      <c r="P1076">
        <f>YEAR(Europe_Sales_Records34[[#This Row],[Ship Date Fixed]])</f>
        <v>2016</v>
      </c>
      <c r="Q1076" t="str">
        <f>TEXT(Europe_Sales_Records34[[#This Row],[Ship Date Fixed]],"MMM-YYYY")</f>
        <v>Nov-2016</v>
      </c>
      <c r="R1076" t="s">
        <v>1458</v>
      </c>
      <c r="S1076" s="3">
        <f>Europe_Sales_Records34[[#This Row],[Ship Date Fixed]]-Europe_Sales_Records34[[#This Row],[Order Date Fixed]]</f>
        <v>11</v>
      </c>
      <c r="T1076">
        <v>123</v>
      </c>
      <c r="U1076">
        <v>109.28</v>
      </c>
      <c r="V1076">
        <v>35.840000000000003</v>
      </c>
      <c r="W1076">
        <f>Europe_Sales_Records34[[#This Row],[Total Revenue]]/Europe_Sales_Records34[[#This Row],[Units Sold]]</f>
        <v>109.28</v>
      </c>
      <c r="X1076">
        <v>13441.44</v>
      </c>
      <c r="Y1076">
        <v>4408.32</v>
      </c>
      <c r="Z1076" s="4">
        <f>Europe_Sales_Records34[[#This Row],[Total Profit]]/Europe_Sales_Records34[[#This Row],[Total Revenue]]</f>
        <v>0.67203513909224011</v>
      </c>
      <c r="AA1076">
        <v>9033.1200000000008</v>
      </c>
    </row>
    <row r="1077" spans="1:27" x14ac:dyDescent="0.3">
      <c r="A1077" t="s">
        <v>14</v>
      </c>
      <c r="B1077" t="s">
        <v>342</v>
      </c>
      <c r="C1077" t="s">
        <v>16</v>
      </c>
      <c r="D1077" t="s">
        <v>23</v>
      </c>
      <c r="E1077" t="s">
        <v>54</v>
      </c>
      <c r="F1077" t="s">
        <v>1326</v>
      </c>
      <c r="G1077" s="2">
        <f t="shared" si="32"/>
        <v>42521</v>
      </c>
      <c r="H1077">
        <f>DAY(Europe_Sales_Records34[[#This Row],[Order Date Fixed]])</f>
        <v>31</v>
      </c>
      <c r="I1077" t="str">
        <f>TEXT(Europe_Sales_Records34[[#This Row],[Order Date Fixed]],"MMM")</f>
        <v>May</v>
      </c>
      <c r="J1077">
        <f>YEAR(Europe_Sales_Records34[[#This Row],[Order Date Fixed]])</f>
        <v>2016</v>
      </c>
      <c r="K1077" t="str">
        <f>TEXT(Europe_Sales_Records34[[#This Row],[Order Date Fixed]],"MMM-YYYY")</f>
        <v>May-2016</v>
      </c>
      <c r="L1077">
        <v>253055322</v>
      </c>
      <c r="M1077" s="2">
        <f t="shared" si="33"/>
        <v>42533</v>
      </c>
      <c r="N1077">
        <f>DAY(Europe_Sales_Records34[[#This Row],[Ship Date Fixed]])</f>
        <v>12</v>
      </c>
      <c r="O1077" t="str">
        <f>TEXT(Europe_Sales_Records34[[#This Row],[Ship Date Fixed]],"MMM")</f>
        <v>Jun</v>
      </c>
      <c r="P1077">
        <f>YEAR(Europe_Sales_Records34[[#This Row],[Ship Date Fixed]])</f>
        <v>2016</v>
      </c>
      <c r="Q1077" t="str">
        <f>TEXT(Europe_Sales_Records34[[#This Row],[Ship Date Fixed]],"MMM-YYYY")</f>
        <v>Jun-2016</v>
      </c>
      <c r="R1077" t="s">
        <v>1599</v>
      </c>
      <c r="S1077" s="3">
        <f>Europe_Sales_Records34[[#This Row],[Ship Date Fixed]]-Europe_Sales_Records34[[#This Row],[Order Date Fixed]]</f>
        <v>12</v>
      </c>
      <c r="T1077">
        <v>3548</v>
      </c>
      <c r="U1077">
        <v>47.45</v>
      </c>
      <c r="V1077">
        <v>31.79</v>
      </c>
      <c r="W1077">
        <f>Europe_Sales_Records34[[#This Row],[Total Revenue]]/Europe_Sales_Records34[[#This Row],[Units Sold]]</f>
        <v>47.45</v>
      </c>
      <c r="X1077">
        <v>168352.6</v>
      </c>
      <c r="Y1077">
        <v>112790.92</v>
      </c>
      <c r="Z1077" s="4">
        <f>Europe_Sales_Records34[[#This Row],[Total Profit]]/Europe_Sales_Records34[[#This Row],[Total Revenue]]</f>
        <v>0.33003161222339306</v>
      </c>
      <c r="AA1077">
        <v>55561.68</v>
      </c>
    </row>
    <row r="1078" spans="1:27" x14ac:dyDescent="0.3">
      <c r="A1078" t="s">
        <v>14</v>
      </c>
      <c r="B1078" t="s">
        <v>40</v>
      </c>
      <c r="C1078" t="s">
        <v>16</v>
      </c>
      <c r="D1078" t="s">
        <v>17</v>
      </c>
      <c r="E1078" t="s">
        <v>18</v>
      </c>
      <c r="F1078" t="s">
        <v>1391</v>
      </c>
      <c r="G1078" s="2">
        <f t="shared" si="32"/>
        <v>42588</v>
      </c>
      <c r="H1078">
        <f>DAY(Europe_Sales_Records34[[#This Row],[Order Date Fixed]])</f>
        <v>6</v>
      </c>
      <c r="I1078" t="str">
        <f>TEXT(Europe_Sales_Records34[[#This Row],[Order Date Fixed]],"MMM")</f>
        <v>Aug</v>
      </c>
      <c r="J1078">
        <f>YEAR(Europe_Sales_Records34[[#This Row],[Order Date Fixed]])</f>
        <v>2016</v>
      </c>
      <c r="K1078" t="str">
        <f>TEXT(Europe_Sales_Records34[[#This Row],[Order Date Fixed]],"MMM-YYYY")</f>
        <v>Aug-2016</v>
      </c>
      <c r="L1078">
        <v>243340575</v>
      </c>
      <c r="M1078" s="2">
        <f t="shared" si="33"/>
        <v>42617</v>
      </c>
      <c r="N1078">
        <f>DAY(Europe_Sales_Records34[[#This Row],[Ship Date Fixed]])</f>
        <v>4</v>
      </c>
      <c r="O1078" t="str">
        <f>TEXT(Europe_Sales_Records34[[#This Row],[Ship Date Fixed]],"MMM")</f>
        <v>Sep</v>
      </c>
      <c r="P1078">
        <f>YEAR(Europe_Sales_Records34[[#This Row],[Ship Date Fixed]])</f>
        <v>2016</v>
      </c>
      <c r="Q1078" t="str">
        <f>TEXT(Europe_Sales_Records34[[#This Row],[Ship Date Fixed]],"MMM-YYYY")</f>
        <v>Sep-2016</v>
      </c>
      <c r="R1078" t="s">
        <v>1600</v>
      </c>
      <c r="S1078" s="3">
        <f>Europe_Sales_Records34[[#This Row],[Ship Date Fixed]]-Europe_Sales_Records34[[#This Row],[Order Date Fixed]]</f>
        <v>29</v>
      </c>
      <c r="T1078">
        <v>8739</v>
      </c>
      <c r="U1078">
        <v>47.45</v>
      </c>
      <c r="V1078">
        <v>31.79</v>
      </c>
      <c r="W1078">
        <f>Europe_Sales_Records34[[#This Row],[Total Revenue]]/Europe_Sales_Records34[[#This Row],[Units Sold]]</f>
        <v>47.449999999999996</v>
      </c>
      <c r="X1078">
        <v>414665.55</v>
      </c>
      <c r="Y1078">
        <v>277812.81</v>
      </c>
      <c r="Z1078" s="4">
        <f>Europe_Sales_Records34[[#This Row],[Total Profit]]/Europe_Sales_Records34[[#This Row],[Total Revenue]]</f>
        <v>0.33003161222339306</v>
      </c>
      <c r="AA1078">
        <v>136852.74</v>
      </c>
    </row>
    <row r="1079" spans="1:27" x14ac:dyDescent="0.3">
      <c r="A1079" t="s">
        <v>14</v>
      </c>
      <c r="B1079" t="s">
        <v>15</v>
      </c>
      <c r="C1079" t="s">
        <v>71</v>
      </c>
      <c r="D1079" t="s">
        <v>17</v>
      </c>
      <c r="E1079" t="s">
        <v>54</v>
      </c>
      <c r="F1079" t="s">
        <v>1248</v>
      </c>
      <c r="G1079" s="2">
        <f t="shared" si="32"/>
        <v>41949</v>
      </c>
      <c r="H1079">
        <f>DAY(Europe_Sales_Records34[[#This Row],[Order Date Fixed]])</f>
        <v>6</v>
      </c>
      <c r="I1079" t="str">
        <f>TEXT(Europe_Sales_Records34[[#This Row],[Order Date Fixed]],"MMM")</f>
        <v>Nov</v>
      </c>
      <c r="J1079">
        <f>YEAR(Europe_Sales_Records34[[#This Row],[Order Date Fixed]])</f>
        <v>2014</v>
      </c>
      <c r="K1079" t="str">
        <f>TEXT(Europe_Sales_Records34[[#This Row],[Order Date Fixed]],"MMM-YYYY")</f>
        <v>Nov-2014</v>
      </c>
      <c r="L1079">
        <v>988599860</v>
      </c>
      <c r="M1079" s="2">
        <f t="shared" si="33"/>
        <v>41984</v>
      </c>
      <c r="N1079">
        <f>DAY(Europe_Sales_Records34[[#This Row],[Ship Date Fixed]])</f>
        <v>11</v>
      </c>
      <c r="O1079" t="str">
        <f>TEXT(Europe_Sales_Records34[[#This Row],[Ship Date Fixed]],"MMM")</f>
        <v>Dec</v>
      </c>
      <c r="P1079">
        <f>YEAR(Europe_Sales_Records34[[#This Row],[Ship Date Fixed]])</f>
        <v>2014</v>
      </c>
      <c r="Q1079" t="str">
        <f>TEXT(Europe_Sales_Records34[[#This Row],[Ship Date Fixed]],"MMM-YYYY")</f>
        <v>Dec-2014</v>
      </c>
      <c r="R1079" t="s">
        <v>1429</v>
      </c>
      <c r="S1079" s="3">
        <f>Europe_Sales_Records34[[#This Row],[Ship Date Fixed]]-Europe_Sales_Records34[[#This Row],[Order Date Fixed]]</f>
        <v>35</v>
      </c>
      <c r="T1079">
        <v>7522</v>
      </c>
      <c r="U1079">
        <v>668.27</v>
      </c>
      <c r="V1079">
        <v>502.54</v>
      </c>
      <c r="W1079">
        <f>Europe_Sales_Records34[[#This Row],[Total Revenue]]/Europe_Sales_Records34[[#This Row],[Units Sold]]</f>
        <v>668.2700000000001</v>
      </c>
      <c r="X1079">
        <v>5026726.9400000004</v>
      </c>
      <c r="Y1079">
        <v>3780105.88</v>
      </c>
      <c r="Z1079" s="4">
        <f>Europe_Sales_Records34[[#This Row],[Total Profit]]/Europe_Sales_Records34[[#This Row],[Total Revenue]]</f>
        <v>0.24799856345489099</v>
      </c>
      <c r="AA1079">
        <v>1246621.06</v>
      </c>
    </row>
    <row r="1080" spans="1:27" x14ac:dyDescent="0.3">
      <c r="A1080" t="s">
        <v>14</v>
      </c>
      <c r="B1080" t="s">
        <v>105</v>
      </c>
      <c r="C1080" t="s">
        <v>58</v>
      </c>
      <c r="D1080" t="s">
        <v>23</v>
      </c>
      <c r="E1080" t="s">
        <v>24</v>
      </c>
      <c r="F1080" t="s">
        <v>1401</v>
      </c>
      <c r="G1080" s="2">
        <f t="shared" si="32"/>
        <v>40651</v>
      </c>
      <c r="H1080">
        <f>DAY(Europe_Sales_Records34[[#This Row],[Order Date Fixed]])</f>
        <v>18</v>
      </c>
      <c r="I1080" t="str">
        <f>TEXT(Europe_Sales_Records34[[#This Row],[Order Date Fixed]],"MMM")</f>
        <v>Apr</v>
      </c>
      <c r="J1080">
        <f>YEAR(Europe_Sales_Records34[[#This Row],[Order Date Fixed]])</f>
        <v>2011</v>
      </c>
      <c r="K1080" t="str">
        <f>TEXT(Europe_Sales_Records34[[#This Row],[Order Date Fixed]],"MMM-YYYY")</f>
        <v>Apr-2011</v>
      </c>
      <c r="L1080">
        <v>581193768</v>
      </c>
      <c r="M1080" s="2">
        <f t="shared" si="33"/>
        <v>40657</v>
      </c>
      <c r="N1080">
        <f>DAY(Europe_Sales_Records34[[#This Row],[Ship Date Fixed]])</f>
        <v>24</v>
      </c>
      <c r="O1080" t="str">
        <f>TEXT(Europe_Sales_Records34[[#This Row],[Ship Date Fixed]],"MMM")</f>
        <v>Apr</v>
      </c>
      <c r="P1080">
        <f>YEAR(Europe_Sales_Records34[[#This Row],[Ship Date Fixed]])</f>
        <v>2011</v>
      </c>
      <c r="Q1080" t="str">
        <f>TEXT(Europe_Sales_Records34[[#This Row],[Ship Date Fixed]],"MMM-YYYY")</f>
        <v>Apr-2011</v>
      </c>
      <c r="R1080" t="s">
        <v>1046</v>
      </c>
      <c r="S1080" s="3">
        <f>Europe_Sales_Records34[[#This Row],[Ship Date Fixed]]-Europe_Sales_Records34[[#This Row],[Order Date Fixed]]</f>
        <v>6</v>
      </c>
      <c r="T1080">
        <v>7006</v>
      </c>
      <c r="U1080">
        <v>152.58000000000001</v>
      </c>
      <c r="V1080">
        <v>97.44</v>
      </c>
      <c r="W1080">
        <f>Europe_Sales_Records34[[#This Row],[Total Revenue]]/Europe_Sales_Records34[[#This Row],[Units Sold]]</f>
        <v>152.57999999999998</v>
      </c>
      <c r="X1080">
        <v>1068975.48</v>
      </c>
      <c r="Y1080">
        <v>682664.64</v>
      </c>
      <c r="Z1080" s="4">
        <f>Europe_Sales_Records34[[#This Row],[Total Profit]]/Europe_Sales_Records34[[#This Row],[Total Revenue]]</f>
        <v>0.36138419189933152</v>
      </c>
      <c r="AA1080">
        <v>386310.84</v>
      </c>
    </row>
    <row r="1081" spans="1:27" x14ac:dyDescent="0.3">
      <c r="A1081" t="s">
        <v>14</v>
      </c>
      <c r="B1081" t="s">
        <v>83</v>
      </c>
      <c r="C1081" t="s">
        <v>28</v>
      </c>
      <c r="D1081" t="s">
        <v>17</v>
      </c>
      <c r="E1081" t="s">
        <v>18</v>
      </c>
      <c r="F1081" t="s">
        <v>1525</v>
      </c>
      <c r="G1081" s="2">
        <f t="shared" si="32"/>
        <v>42593</v>
      </c>
      <c r="H1081">
        <f>DAY(Europe_Sales_Records34[[#This Row],[Order Date Fixed]])</f>
        <v>11</v>
      </c>
      <c r="I1081" t="str">
        <f>TEXT(Europe_Sales_Records34[[#This Row],[Order Date Fixed]],"MMM")</f>
        <v>Aug</v>
      </c>
      <c r="J1081">
        <f>YEAR(Europe_Sales_Records34[[#This Row],[Order Date Fixed]])</f>
        <v>2016</v>
      </c>
      <c r="K1081" t="str">
        <f>TEXT(Europe_Sales_Records34[[#This Row],[Order Date Fixed]],"MMM-YYYY")</f>
        <v>Aug-2016</v>
      </c>
      <c r="L1081">
        <v>100983083</v>
      </c>
      <c r="M1081" s="2">
        <f t="shared" si="33"/>
        <v>42593</v>
      </c>
      <c r="N1081">
        <f>DAY(Europe_Sales_Records34[[#This Row],[Ship Date Fixed]])</f>
        <v>11</v>
      </c>
      <c r="O1081" t="str">
        <f>TEXT(Europe_Sales_Records34[[#This Row],[Ship Date Fixed]],"MMM")</f>
        <v>Aug</v>
      </c>
      <c r="P1081">
        <f>YEAR(Europe_Sales_Records34[[#This Row],[Ship Date Fixed]])</f>
        <v>2016</v>
      </c>
      <c r="Q1081" t="str">
        <f>TEXT(Europe_Sales_Records34[[#This Row],[Ship Date Fixed]],"MMM-YYYY")</f>
        <v>Aug-2016</v>
      </c>
      <c r="R1081" t="s">
        <v>1525</v>
      </c>
      <c r="S1081" s="3">
        <f>Europe_Sales_Records34[[#This Row],[Ship Date Fixed]]-Europe_Sales_Records34[[#This Row],[Order Date Fixed]]</f>
        <v>0</v>
      </c>
      <c r="T1081">
        <v>1993</v>
      </c>
      <c r="U1081">
        <v>205.7</v>
      </c>
      <c r="V1081">
        <v>117.11</v>
      </c>
      <c r="W1081">
        <f>Europe_Sales_Records34[[#This Row],[Total Revenue]]/Europe_Sales_Records34[[#This Row],[Units Sold]]</f>
        <v>205.7</v>
      </c>
      <c r="X1081">
        <v>409960.1</v>
      </c>
      <c r="Y1081">
        <v>233400.23</v>
      </c>
      <c r="Z1081" s="4">
        <f>Europe_Sales_Records34[[#This Row],[Total Profit]]/Europe_Sales_Records34[[#This Row],[Total Revenue]]</f>
        <v>0.43067574137092857</v>
      </c>
      <c r="AA1081">
        <v>176559.87</v>
      </c>
    </row>
    <row r="1082" spans="1:27" x14ac:dyDescent="0.3">
      <c r="A1082" t="s">
        <v>14</v>
      </c>
      <c r="B1082" t="s">
        <v>80</v>
      </c>
      <c r="C1082" t="s">
        <v>102</v>
      </c>
      <c r="D1082" t="s">
        <v>17</v>
      </c>
      <c r="E1082" t="s">
        <v>33</v>
      </c>
      <c r="F1082" t="s">
        <v>732</v>
      </c>
      <c r="G1082" s="2">
        <f t="shared" si="32"/>
        <v>41165</v>
      </c>
      <c r="H1082">
        <f>DAY(Europe_Sales_Records34[[#This Row],[Order Date Fixed]])</f>
        <v>13</v>
      </c>
      <c r="I1082" t="str">
        <f>TEXT(Europe_Sales_Records34[[#This Row],[Order Date Fixed]],"MMM")</f>
        <v>Sep</v>
      </c>
      <c r="J1082">
        <f>YEAR(Europe_Sales_Records34[[#This Row],[Order Date Fixed]])</f>
        <v>2012</v>
      </c>
      <c r="K1082" t="str">
        <f>TEXT(Europe_Sales_Records34[[#This Row],[Order Date Fixed]],"MMM-YYYY")</f>
        <v>Sep-2012</v>
      </c>
      <c r="L1082">
        <v>936411798</v>
      </c>
      <c r="M1082" s="2">
        <f t="shared" si="33"/>
        <v>41169</v>
      </c>
      <c r="N1082">
        <f>DAY(Europe_Sales_Records34[[#This Row],[Ship Date Fixed]])</f>
        <v>17</v>
      </c>
      <c r="O1082" t="str">
        <f>TEXT(Europe_Sales_Records34[[#This Row],[Ship Date Fixed]],"MMM")</f>
        <v>Sep</v>
      </c>
      <c r="P1082">
        <f>YEAR(Europe_Sales_Records34[[#This Row],[Ship Date Fixed]])</f>
        <v>2012</v>
      </c>
      <c r="Q1082" t="str">
        <f>TEXT(Europe_Sales_Records34[[#This Row],[Ship Date Fixed]],"MMM-YYYY")</f>
        <v>Sep-2012</v>
      </c>
      <c r="R1082" t="s">
        <v>937</v>
      </c>
      <c r="S1082" s="3">
        <f>Europe_Sales_Records34[[#This Row],[Ship Date Fixed]]-Europe_Sales_Records34[[#This Row],[Order Date Fixed]]</f>
        <v>4</v>
      </c>
      <c r="T1082">
        <v>3915</v>
      </c>
      <c r="U1082">
        <v>81.73</v>
      </c>
      <c r="V1082">
        <v>56.67</v>
      </c>
      <c r="W1082">
        <f>Europe_Sales_Records34[[#This Row],[Total Revenue]]/Europe_Sales_Records34[[#This Row],[Units Sold]]</f>
        <v>81.73</v>
      </c>
      <c r="X1082">
        <v>319972.95</v>
      </c>
      <c r="Y1082">
        <v>221863.05</v>
      </c>
      <c r="Z1082" s="4">
        <f>Europe_Sales_Records34[[#This Row],[Total Profit]]/Europe_Sales_Records34[[#This Row],[Total Revenue]]</f>
        <v>0.30661935641747212</v>
      </c>
      <c r="AA1082">
        <v>98109.9</v>
      </c>
    </row>
    <row r="1083" spans="1:27" x14ac:dyDescent="0.3">
      <c r="A1083" t="s">
        <v>14</v>
      </c>
      <c r="B1083" t="s">
        <v>21</v>
      </c>
      <c r="C1083" t="s">
        <v>71</v>
      </c>
      <c r="D1083" t="s">
        <v>17</v>
      </c>
      <c r="E1083" t="s">
        <v>24</v>
      </c>
      <c r="F1083" t="s">
        <v>1240</v>
      </c>
      <c r="G1083" s="2">
        <f t="shared" si="32"/>
        <v>42177</v>
      </c>
      <c r="H1083">
        <f>DAY(Europe_Sales_Records34[[#This Row],[Order Date Fixed]])</f>
        <v>22</v>
      </c>
      <c r="I1083" t="str">
        <f>TEXT(Europe_Sales_Records34[[#This Row],[Order Date Fixed]],"MMM")</f>
        <v>Jun</v>
      </c>
      <c r="J1083">
        <f>YEAR(Europe_Sales_Records34[[#This Row],[Order Date Fixed]])</f>
        <v>2015</v>
      </c>
      <c r="K1083" t="str">
        <f>TEXT(Europe_Sales_Records34[[#This Row],[Order Date Fixed]],"MMM-YYYY")</f>
        <v>Jun-2015</v>
      </c>
      <c r="L1083">
        <v>261640536</v>
      </c>
      <c r="M1083" s="2">
        <f t="shared" si="33"/>
        <v>42217</v>
      </c>
      <c r="N1083">
        <f>DAY(Europe_Sales_Records34[[#This Row],[Ship Date Fixed]])</f>
        <v>1</v>
      </c>
      <c r="O1083" t="str">
        <f>TEXT(Europe_Sales_Records34[[#This Row],[Ship Date Fixed]],"MMM")</f>
        <v>Aug</v>
      </c>
      <c r="P1083">
        <f>YEAR(Europe_Sales_Records34[[#This Row],[Ship Date Fixed]])</f>
        <v>2015</v>
      </c>
      <c r="Q1083" t="str">
        <f>TEXT(Europe_Sales_Records34[[#This Row],[Ship Date Fixed]],"MMM-YYYY")</f>
        <v>Aug-2015</v>
      </c>
      <c r="R1083" t="s">
        <v>247</v>
      </c>
      <c r="S1083" s="3">
        <f>Europe_Sales_Records34[[#This Row],[Ship Date Fixed]]-Europe_Sales_Records34[[#This Row],[Order Date Fixed]]</f>
        <v>40</v>
      </c>
      <c r="T1083">
        <v>4104</v>
      </c>
      <c r="U1083">
        <v>668.27</v>
      </c>
      <c r="V1083">
        <v>502.54</v>
      </c>
      <c r="W1083">
        <f>Europe_Sales_Records34[[#This Row],[Total Revenue]]/Europe_Sales_Records34[[#This Row],[Units Sold]]</f>
        <v>668.27</v>
      </c>
      <c r="X1083">
        <v>2742580.08</v>
      </c>
      <c r="Y1083">
        <v>2062424.16</v>
      </c>
      <c r="Z1083" s="4">
        <f>Europe_Sales_Records34[[#This Row],[Total Profit]]/Europe_Sales_Records34[[#This Row],[Total Revenue]]</f>
        <v>0.24799856345489099</v>
      </c>
      <c r="AA1083">
        <v>680155.92</v>
      </c>
    </row>
    <row r="1084" spans="1:27" x14ac:dyDescent="0.3">
      <c r="A1084" t="s">
        <v>14</v>
      </c>
      <c r="B1084" t="s">
        <v>53</v>
      </c>
      <c r="C1084" t="s">
        <v>64</v>
      </c>
      <c r="D1084" t="s">
        <v>17</v>
      </c>
      <c r="E1084" t="s">
        <v>33</v>
      </c>
      <c r="F1084" t="s">
        <v>1601</v>
      </c>
      <c r="G1084" s="2">
        <f t="shared" si="32"/>
        <v>42846</v>
      </c>
      <c r="H1084">
        <f>DAY(Europe_Sales_Records34[[#This Row],[Order Date Fixed]])</f>
        <v>21</v>
      </c>
      <c r="I1084" t="str">
        <f>TEXT(Europe_Sales_Records34[[#This Row],[Order Date Fixed]],"MMM")</f>
        <v>Apr</v>
      </c>
      <c r="J1084">
        <f>YEAR(Europe_Sales_Records34[[#This Row],[Order Date Fixed]])</f>
        <v>2017</v>
      </c>
      <c r="K1084" t="str">
        <f>TEXT(Europe_Sales_Records34[[#This Row],[Order Date Fixed]],"MMM-YYYY")</f>
        <v>Apr-2017</v>
      </c>
      <c r="L1084">
        <v>564173543</v>
      </c>
      <c r="M1084" s="2">
        <f t="shared" si="33"/>
        <v>42851</v>
      </c>
      <c r="N1084">
        <f>DAY(Europe_Sales_Records34[[#This Row],[Ship Date Fixed]])</f>
        <v>26</v>
      </c>
      <c r="O1084" t="str">
        <f>TEXT(Europe_Sales_Records34[[#This Row],[Ship Date Fixed]],"MMM")</f>
        <v>Apr</v>
      </c>
      <c r="P1084">
        <f>YEAR(Europe_Sales_Records34[[#This Row],[Ship Date Fixed]])</f>
        <v>2017</v>
      </c>
      <c r="Q1084" t="str">
        <f>TEXT(Europe_Sales_Records34[[#This Row],[Ship Date Fixed]],"MMM-YYYY")</f>
        <v>Apr-2017</v>
      </c>
      <c r="R1084" t="s">
        <v>1602</v>
      </c>
      <c r="S1084" s="3">
        <f>Europe_Sales_Records34[[#This Row],[Ship Date Fixed]]-Europe_Sales_Records34[[#This Row],[Order Date Fixed]]</f>
        <v>5</v>
      </c>
      <c r="T1084">
        <v>343</v>
      </c>
      <c r="U1084">
        <v>255.28</v>
      </c>
      <c r="V1084">
        <v>159.41999999999999</v>
      </c>
      <c r="W1084">
        <f>Europe_Sales_Records34[[#This Row],[Total Revenue]]/Europe_Sales_Records34[[#This Row],[Units Sold]]</f>
        <v>255.27999999999997</v>
      </c>
      <c r="X1084">
        <v>87561.04</v>
      </c>
      <c r="Y1084">
        <v>54681.06</v>
      </c>
      <c r="Z1084" s="4">
        <f>Europe_Sales_Records34[[#This Row],[Total Profit]]/Europe_Sales_Records34[[#This Row],[Total Revenue]]</f>
        <v>0.37550924475086184</v>
      </c>
      <c r="AA1084">
        <v>32879.980000000003</v>
      </c>
    </row>
    <row r="1085" spans="1:27" x14ac:dyDescent="0.3">
      <c r="A1085" t="s">
        <v>14</v>
      </c>
      <c r="B1085" t="s">
        <v>74</v>
      </c>
      <c r="C1085" t="s">
        <v>28</v>
      </c>
      <c r="D1085" t="s">
        <v>17</v>
      </c>
      <c r="E1085" t="s">
        <v>18</v>
      </c>
      <c r="F1085" t="s">
        <v>344</v>
      </c>
      <c r="G1085" s="2">
        <f t="shared" si="32"/>
        <v>40826</v>
      </c>
      <c r="H1085">
        <f>DAY(Europe_Sales_Records34[[#This Row],[Order Date Fixed]])</f>
        <v>10</v>
      </c>
      <c r="I1085" t="str">
        <f>TEXT(Europe_Sales_Records34[[#This Row],[Order Date Fixed]],"MMM")</f>
        <v>Oct</v>
      </c>
      <c r="J1085">
        <f>YEAR(Europe_Sales_Records34[[#This Row],[Order Date Fixed]])</f>
        <v>2011</v>
      </c>
      <c r="K1085" t="str">
        <f>TEXT(Europe_Sales_Records34[[#This Row],[Order Date Fixed]],"MMM-YYYY")</f>
        <v>Oct-2011</v>
      </c>
      <c r="L1085">
        <v>580463349</v>
      </c>
      <c r="M1085" s="2">
        <f t="shared" si="33"/>
        <v>40855</v>
      </c>
      <c r="N1085">
        <f>DAY(Europe_Sales_Records34[[#This Row],[Ship Date Fixed]])</f>
        <v>8</v>
      </c>
      <c r="O1085" t="str">
        <f>TEXT(Europe_Sales_Records34[[#This Row],[Ship Date Fixed]],"MMM")</f>
        <v>Nov</v>
      </c>
      <c r="P1085">
        <f>YEAR(Europe_Sales_Records34[[#This Row],[Ship Date Fixed]])</f>
        <v>2011</v>
      </c>
      <c r="Q1085" t="str">
        <f>TEXT(Europe_Sales_Records34[[#This Row],[Ship Date Fixed]],"MMM-YYYY")</f>
        <v>Nov-2011</v>
      </c>
      <c r="R1085" t="s">
        <v>1603</v>
      </c>
      <c r="S1085" s="3">
        <f>Europe_Sales_Records34[[#This Row],[Ship Date Fixed]]-Europe_Sales_Records34[[#This Row],[Order Date Fixed]]</f>
        <v>29</v>
      </c>
      <c r="T1085">
        <v>859</v>
      </c>
      <c r="U1085">
        <v>205.7</v>
      </c>
      <c r="V1085">
        <v>117.11</v>
      </c>
      <c r="W1085">
        <f>Europe_Sales_Records34[[#This Row],[Total Revenue]]/Europe_Sales_Records34[[#This Row],[Units Sold]]</f>
        <v>205.7</v>
      </c>
      <c r="X1085">
        <v>176696.3</v>
      </c>
      <c r="Y1085">
        <v>100597.49</v>
      </c>
      <c r="Z1085" s="4">
        <f>Europe_Sales_Records34[[#This Row],[Total Profit]]/Europe_Sales_Records34[[#This Row],[Total Revenue]]</f>
        <v>0.43067574137092857</v>
      </c>
      <c r="AA1085">
        <v>76098.81</v>
      </c>
    </row>
    <row r="1086" spans="1:27" x14ac:dyDescent="0.3">
      <c r="A1086" t="s">
        <v>14</v>
      </c>
      <c r="B1086" t="s">
        <v>163</v>
      </c>
      <c r="C1086" t="s">
        <v>32</v>
      </c>
      <c r="D1086" t="s">
        <v>17</v>
      </c>
      <c r="E1086" t="s">
        <v>24</v>
      </c>
      <c r="F1086" t="s">
        <v>26</v>
      </c>
      <c r="G1086" s="2">
        <f t="shared" si="32"/>
        <v>41582</v>
      </c>
      <c r="H1086">
        <f>DAY(Europe_Sales_Records34[[#This Row],[Order Date Fixed]])</f>
        <v>4</v>
      </c>
      <c r="I1086" t="str">
        <f>TEXT(Europe_Sales_Records34[[#This Row],[Order Date Fixed]],"MMM")</f>
        <v>Nov</v>
      </c>
      <c r="J1086">
        <f>YEAR(Europe_Sales_Records34[[#This Row],[Order Date Fixed]])</f>
        <v>2013</v>
      </c>
      <c r="K1086" t="str">
        <f>TEXT(Europe_Sales_Records34[[#This Row],[Order Date Fixed]],"MMM-YYYY")</f>
        <v>Nov-2013</v>
      </c>
      <c r="L1086">
        <v>428419864</v>
      </c>
      <c r="M1086" s="2">
        <f t="shared" si="33"/>
        <v>41613</v>
      </c>
      <c r="N1086">
        <f>DAY(Europe_Sales_Records34[[#This Row],[Ship Date Fixed]])</f>
        <v>5</v>
      </c>
      <c r="O1086" t="str">
        <f>TEXT(Europe_Sales_Records34[[#This Row],[Ship Date Fixed]],"MMM")</f>
        <v>Dec</v>
      </c>
      <c r="P1086">
        <f>YEAR(Europe_Sales_Records34[[#This Row],[Ship Date Fixed]])</f>
        <v>2013</v>
      </c>
      <c r="Q1086" t="str">
        <f>TEXT(Europe_Sales_Records34[[#This Row],[Ship Date Fixed]],"MMM-YYYY")</f>
        <v>Dec-2013</v>
      </c>
      <c r="R1086" t="s">
        <v>1604</v>
      </c>
      <c r="S1086" s="3">
        <f>Europe_Sales_Records34[[#This Row],[Ship Date Fixed]]-Europe_Sales_Records34[[#This Row],[Order Date Fixed]]</f>
        <v>31</v>
      </c>
      <c r="T1086">
        <v>7813</v>
      </c>
      <c r="U1086">
        <v>651.21</v>
      </c>
      <c r="V1086">
        <v>524.96</v>
      </c>
      <c r="W1086">
        <f>Europe_Sales_Records34[[#This Row],[Total Revenue]]/Europe_Sales_Records34[[#This Row],[Units Sold]]</f>
        <v>651.21</v>
      </c>
      <c r="X1086">
        <v>5087903.7300000004</v>
      </c>
      <c r="Y1086">
        <v>4101512.48</v>
      </c>
      <c r="Z1086" s="4">
        <f>Europe_Sales_Records34[[#This Row],[Total Profit]]/Europe_Sales_Records34[[#This Row],[Total Revenue]]</f>
        <v>0.19386987300563566</v>
      </c>
      <c r="AA1086">
        <v>986391.25</v>
      </c>
    </row>
    <row r="1087" spans="1:27" x14ac:dyDescent="0.3">
      <c r="A1087" t="s">
        <v>14</v>
      </c>
      <c r="B1087" t="s">
        <v>86</v>
      </c>
      <c r="C1087" t="s">
        <v>64</v>
      </c>
      <c r="D1087" t="s">
        <v>17</v>
      </c>
      <c r="E1087" t="s">
        <v>18</v>
      </c>
      <c r="F1087" t="s">
        <v>629</v>
      </c>
      <c r="G1087" s="2">
        <f t="shared" si="32"/>
        <v>40189</v>
      </c>
      <c r="H1087">
        <f>DAY(Europe_Sales_Records34[[#This Row],[Order Date Fixed]])</f>
        <v>11</v>
      </c>
      <c r="I1087" t="str">
        <f>TEXT(Europe_Sales_Records34[[#This Row],[Order Date Fixed]],"MMM")</f>
        <v>Jan</v>
      </c>
      <c r="J1087">
        <f>YEAR(Europe_Sales_Records34[[#This Row],[Order Date Fixed]])</f>
        <v>2010</v>
      </c>
      <c r="K1087" t="str">
        <f>TEXT(Europe_Sales_Records34[[#This Row],[Order Date Fixed]],"MMM-YYYY")</f>
        <v>Jan-2010</v>
      </c>
      <c r="L1087">
        <v>479171121</v>
      </c>
      <c r="M1087" s="2">
        <f t="shared" si="33"/>
        <v>40205</v>
      </c>
      <c r="N1087">
        <f>DAY(Europe_Sales_Records34[[#This Row],[Ship Date Fixed]])</f>
        <v>27</v>
      </c>
      <c r="O1087" t="str">
        <f>TEXT(Europe_Sales_Records34[[#This Row],[Ship Date Fixed]],"MMM")</f>
        <v>Jan</v>
      </c>
      <c r="P1087">
        <f>YEAR(Europe_Sales_Records34[[#This Row],[Ship Date Fixed]])</f>
        <v>2010</v>
      </c>
      <c r="Q1087" t="str">
        <f>TEXT(Europe_Sales_Records34[[#This Row],[Ship Date Fixed]],"MMM-YYYY")</f>
        <v>Jan-2010</v>
      </c>
      <c r="R1087" t="s">
        <v>1605</v>
      </c>
      <c r="S1087" s="3">
        <f>Europe_Sales_Records34[[#This Row],[Ship Date Fixed]]-Europe_Sales_Records34[[#This Row],[Order Date Fixed]]</f>
        <v>16</v>
      </c>
      <c r="T1087">
        <v>6238</v>
      </c>
      <c r="U1087">
        <v>255.28</v>
      </c>
      <c r="V1087">
        <v>159.41999999999999</v>
      </c>
      <c r="W1087">
        <f>Europe_Sales_Records34[[#This Row],[Total Revenue]]/Europe_Sales_Records34[[#This Row],[Units Sold]]</f>
        <v>255.27999999999997</v>
      </c>
      <c r="X1087">
        <v>1592436.64</v>
      </c>
      <c r="Y1087">
        <v>994461.96</v>
      </c>
      <c r="Z1087" s="4">
        <f>Europe_Sales_Records34[[#This Row],[Total Profit]]/Europe_Sales_Records34[[#This Row],[Total Revenue]]</f>
        <v>0.37550924475086184</v>
      </c>
      <c r="AA1087">
        <v>597974.68000000005</v>
      </c>
    </row>
    <row r="1088" spans="1:27" x14ac:dyDescent="0.3">
      <c r="A1088" t="s">
        <v>14</v>
      </c>
      <c r="B1088" t="s">
        <v>138</v>
      </c>
      <c r="C1088" t="s">
        <v>102</v>
      </c>
      <c r="D1088" t="s">
        <v>23</v>
      </c>
      <c r="E1088" t="s">
        <v>54</v>
      </c>
      <c r="F1088" t="s">
        <v>1606</v>
      </c>
      <c r="G1088" s="2">
        <f t="shared" si="32"/>
        <v>42137</v>
      </c>
      <c r="H1088">
        <f>DAY(Europe_Sales_Records34[[#This Row],[Order Date Fixed]])</f>
        <v>13</v>
      </c>
      <c r="I1088" t="str">
        <f>TEXT(Europe_Sales_Records34[[#This Row],[Order Date Fixed]],"MMM")</f>
        <v>May</v>
      </c>
      <c r="J1088">
        <f>YEAR(Europe_Sales_Records34[[#This Row],[Order Date Fixed]])</f>
        <v>2015</v>
      </c>
      <c r="K1088" t="str">
        <f>TEXT(Europe_Sales_Records34[[#This Row],[Order Date Fixed]],"MMM-YYYY")</f>
        <v>May-2015</v>
      </c>
      <c r="L1088">
        <v>120419871</v>
      </c>
      <c r="M1088" s="2">
        <f t="shared" si="33"/>
        <v>42181</v>
      </c>
      <c r="N1088">
        <f>DAY(Europe_Sales_Records34[[#This Row],[Ship Date Fixed]])</f>
        <v>26</v>
      </c>
      <c r="O1088" t="str">
        <f>TEXT(Europe_Sales_Records34[[#This Row],[Ship Date Fixed]],"MMM")</f>
        <v>Jun</v>
      </c>
      <c r="P1088">
        <f>YEAR(Europe_Sales_Records34[[#This Row],[Ship Date Fixed]])</f>
        <v>2015</v>
      </c>
      <c r="Q1088" t="str">
        <f>TEXT(Europe_Sales_Records34[[#This Row],[Ship Date Fixed]],"MMM-YYYY")</f>
        <v>Jun-2015</v>
      </c>
      <c r="R1088" t="s">
        <v>1148</v>
      </c>
      <c r="S1088" s="3">
        <f>Europe_Sales_Records34[[#This Row],[Ship Date Fixed]]-Europe_Sales_Records34[[#This Row],[Order Date Fixed]]</f>
        <v>44</v>
      </c>
      <c r="T1088">
        <v>3771</v>
      </c>
      <c r="U1088">
        <v>81.73</v>
      </c>
      <c r="V1088">
        <v>56.67</v>
      </c>
      <c r="W1088">
        <f>Europe_Sales_Records34[[#This Row],[Total Revenue]]/Europe_Sales_Records34[[#This Row],[Units Sold]]</f>
        <v>81.73</v>
      </c>
      <c r="X1088">
        <v>308203.83</v>
      </c>
      <c r="Y1088">
        <v>213702.57</v>
      </c>
      <c r="Z1088" s="4">
        <f>Europe_Sales_Records34[[#This Row],[Total Profit]]/Europe_Sales_Records34[[#This Row],[Total Revenue]]</f>
        <v>0.30661935641747212</v>
      </c>
      <c r="AA1088">
        <v>94501.26</v>
      </c>
    </row>
    <row r="1089" spans="1:27" x14ac:dyDescent="0.3">
      <c r="A1089" t="s">
        <v>14</v>
      </c>
      <c r="B1089" t="s">
        <v>185</v>
      </c>
      <c r="C1089" t="s">
        <v>22</v>
      </c>
      <c r="D1089" t="s">
        <v>17</v>
      </c>
      <c r="E1089" t="s">
        <v>24</v>
      </c>
      <c r="F1089" t="s">
        <v>1607</v>
      </c>
      <c r="G1089" s="2">
        <f t="shared" si="32"/>
        <v>41163</v>
      </c>
      <c r="H1089">
        <f>DAY(Europe_Sales_Records34[[#This Row],[Order Date Fixed]])</f>
        <v>11</v>
      </c>
      <c r="I1089" t="str">
        <f>TEXT(Europe_Sales_Records34[[#This Row],[Order Date Fixed]],"MMM")</f>
        <v>Sep</v>
      </c>
      <c r="J1089">
        <f>YEAR(Europe_Sales_Records34[[#This Row],[Order Date Fixed]])</f>
        <v>2012</v>
      </c>
      <c r="K1089" t="str">
        <f>TEXT(Europe_Sales_Records34[[#This Row],[Order Date Fixed]],"MMM-YYYY")</f>
        <v>Sep-2012</v>
      </c>
      <c r="L1089">
        <v>602301251</v>
      </c>
      <c r="M1089" s="2">
        <f t="shared" si="33"/>
        <v>41179</v>
      </c>
      <c r="N1089">
        <f>DAY(Europe_Sales_Records34[[#This Row],[Ship Date Fixed]])</f>
        <v>27</v>
      </c>
      <c r="O1089" t="str">
        <f>TEXT(Europe_Sales_Records34[[#This Row],[Ship Date Fixed]],"MMM")</f>
        <v>Sep</v>
      </c>
      <c r="P1089">
        <f>YEAR(Europe_Sales_Records34[[#This Row],[Ship Date Fixed]])</f>
        <v>2012</v>
      </c>
      <c r="Q1089" t="str">
        <f>TEXT(Europe_Sales_Records34[[#This Row],[Ship Date Fixed]],"MMM-YYYY")</f>
        <v>Sep-2012</v>
      </c>
      <c r="R1089" t="s">
        <v>1608</v>
      </c>
      <c r="S1089" s="3">
        <f>Europe_Sales_Records34[[#This Row],[Ship Date Fixed]]-Europe_Sales_Records34[[#This Row],[Order Date Fixed]]</f>
        <v>16</v>
      </c>
      <c r="T1089">
        <v>3180</v>
      </c>
      <c r="U1089">
        <v>109.28</v>
      </c>
      <c r="V1089">
        <v>35.840000000000003</v>
      </c>
      <c r="W1089">
        <f>Europe_Sales_Records34[[#This Row],[Total Revenue]]/Europe_Sales_Records34[[#This Row],[Units Sold]]</f>
        <v>109.28</v>
      </c>
      <c r="X1089">
        <v>347510.4</v>
      </c>
      <c r="Y1089">
        <v>113971.2</v>
      </c>
      <c r="Z1089" s="4">
        <f>Europe_Sales_Records34[[#This Row],[Total Profit]]/Europe_Sales_Records34[[#This Row],[Total Revenue]]</f>
        <v>0.67203513909224011</v>
      </c>
      <c r="AA1089">
        <v>233539.20000000001</v>
      </c>
    </row>
    <row r="1090" spans="1:27" x14ac:dyDescent="0.3">
      <c r="A1090" t="s">
        <v>14</v>
      </c>
      <c r="B1090" t="s">
        <v>127</v>
      </c>
      <c r="C1090" t="s">
        <v>64</v>
      </c>
      <c r="D1090" t="s">
        <v>23</v>
      </c>
      <c r="E1090" t="s">
        <v>24</v>
      </c>
      <c r="F1090" t="s">
        <v>1609</v>
      </c>
      <c r="G1090" s="2">
        <f t="shared" ref="G1090:G1153" si="34">DATE(
  RIGHT(F1090,4),
  LEFT(F1090,FIND("/",F1090)-1),
  MID(F1090,FIND("/",F1090)+1, FIND("/",F1090,FIND("/",F1090)+1)-FIND("/",F1090)-1)
)</f>
        <v>41252</v>
      </c>
      <c r="H1090">
        <f>DAY(Europe_Sales_Records34[[#This Row],[Order Date Fixed]])</f>
        <v>9</v>
      </c>
      <c r="I1090" t="str">
        <f>TEXT(Europe_Sales_Records34[[#This Row],[Order Date Fixed]],"MMM")</f>
        <v>Dec</v>
      </c>
      <c r="J1090">
        <f>YEAR(Europe_Sales_Records34[[#This Row],[Order Date Fixed]])</f>
        <v>2012</v>
      </c>
      <c r="K1090" t="str">
        <f>TEXT(Europe_Sales_Records34[[#This Row],[Order Date Fixed]],"MMM-YYYY")</f>
        <v>Dec-2012</v>
      </c>
      <c r="L1090">
        <v>471484124</v>
      </c>
      <c r="M1090" s="2">
        <f t="shared" ref="M1090:M1153" si="35">DATE(
  RIGHT(R1090,4),
  LEFT(R1090,FIND("/",R1090)-1),
  MID(
      R1090,
      FIND("/",R1090)+1,
      FIND("/",R1090,FIND("/",R1090)+1)-FIND("/",R1090)-1
     )
)</f>
        <v>41298</v>
      </c>
      <c r="N1090">
        <f>DAY(Europe_Sales_Records34[[#This Row],[Ship Date Fixed]])</f>
        <v>24</v>
      </c>
      <c r="O1090" t="str">
        <f>TEXT(Europe_Sales_Records34[[#This Row],[Ship Date Fixed]],"MMM")</f>
        <v>Jan</v>
      </c>
      <c r="P1090">
        <f>YEAR(Europe_Sales_Records34[[#This Row],[Ship Date Fixed]])</f>
        <v>2013</v>
      </c>
      <c r="Q1090" t="str">
        <f>TEXT(Europe_Sales_Records34[[#This Row],[Ship Date Fixed]],"MMM-YYYY")</f>
        <v>Jan-2013</v>
      </c>
      <c r="R1090" t="s">
        <v>1060</v>
      </c>
      <c r="S1090" s="3">
        <f>Europe_Sales_Records34[[#This Row],[Ship Date Fixed]]-Europe_Sales_Records34[[#This Row],[Order Date Fixed]]</f>
        <v>46</v>
      </c>
      <c r="T1090">
        <v>1485</v>
      </c>
      <c r="U1090">
        <v>255.28</v>
      </c>
      <c r="V1090">
        <v>159.41999999999999</v>
      </c>
      <c r="W1090">
        <f>Europe_Sales_Records34[[#This Row],[Total Revenue]]/Europe_Sales_Records34[[#This Row],[Units Sold]]</f>
        <v>255.28</v>
      </c>
      <c r="X1090">
        <v>379090.8</v>
      </c>
      <c r="Y1090">
        <v>236738.7</v>
      </c>
      <c r="Z1090" s="4">
        <f>Europe_Sales_Records34[[#This Row],[Total Profit]]/Europe_Sales_Records34[[#This Row],[Total Revenue]]</f>
        <v>0.37550924475086184</v>
      </c>
      <c r="AA1090">
        <v>142352.1</v>
      </c>
    </row>
    <row r="1091" spans="1:27" x14ac:dyDescent="0.3">
      <c r="A1091" t="s">
        <v>14</v>
      </c>
      <c r="B1091" t="s">
        <v>135</v>
      </c>
      <c r="C1091" t="s">
        <v>58</v>
      </c>
      <c r="D1091" t="s">
        <v>17</v>
      </c>
      <c r="E1091" t="s">
        <v>24</v>
      </c>
      <c r="F1091" t="s">
        <v>1610</v>
      </c>
      <c r="G1091" s="2">
        <f t="shared" si="34"/>
        <v>42767</v>
      </c>
      <c r="H1091">
        <f>DAY(Europe_Sales_Records34[[#This Row],[Order Date Fixed]])</f>
        <v>1</v>
      </c>
      <c r="I1091" t="str">
        <f>TEXT(Europe_Sales_Records34[[#This Row],[Order Date Fixed]],"MMM")</f>
        <v>Feb</v>
      </c>
      <c r="J1091">
        <f>YEAR(Europe_Sales_Records34[[#This Row],[Order Date Fixed]])</f>
        <v>2017</v>
      </c>
      <c r="K1091" t="str">
        <f>TEXT(Europe_Sales_Records34[[#This Row],[Order Date Fixed]],"MMM-YYYY")</f>
        <v>Feb-2017</v>
      </c>
      <c r="L1091">
        <v>291611325</v>
      </c>
      <c r="M1091" s="2">
        <f t="shared" si="35"/>
        <v>42776</v>
      </c>
      <c r="N1091">
        <f>DAY(Europe_Sales_Records34[[#This Row],[Ship Date Fixed]])</f>
        <v>10</v>
      </c>
      <c r="O1091" t="str">
        <f>TEXT(Europe_Sales_Records34[[#This Row],[Ship Date Fixed]],"MMM")</f>
        <v>Feb</v>
      </c>
      <c r="P1091">
        <f>YEAR(Europe_Sales_Records34[[#This Row],[Ship Date Fixed]])</f>
        <v>2017</v>
      </c>
      <c r="Q1091" t="str">
        <f>TEXT(Europe_Sales_Records34[[#This Row],[Ship Date Fixed]],"MMM-YYYY")</f>
        <v>Feb-2017</v>
      </c>
      <c r="R1091" t="s">
        <v>396</v>
      </c>
      <c r="S1091" s="3">
        <f>Europe_Sales_Records34[[#This Row],[Ship Date Fixed]]-Europe_Sales_Records34[[#This Row],[Order Date Fixed]]</f>
        <v>9</v>
      </c>
      <c r="T1091">
        <v>3126</v>
      </c>
      <c r="U1091">
        <v>152.58000000000001</v>
      </c>
      <c r="V1091">
        <v>97.44</v>
      </c>
      <c r="W1091">
        <f>Europe_Sales_Records34[[#This Row],[Total Revenue]]/Europe_Sales_Records34[[#This Row],[Units Sold]]</f>
        <v>152.58000000000001</v>
      </c>
      <c r="X1091">
        <v>476965.08</v>
      </c>
      <c r="Y1091">
        <v>304597.44</v>
      </c>
      <c r="Z1091" s="4">
        <f>Europe_Sales_Records34[[#This Row],[Total Profit]]/Europe_Sales_Records34[[#This Row],[Total Revenue]]</f>
        <v>0.36138419189933152</v>
      </c>
      <c r="AA1091">
        <v>172367.64</v>
      </c>
    </row>
    <row r="1092" spans="1:27" x14ac:dyDescent="0.3">
      <c r="A1092" t="s">
        <v>14</v>
      </c>
      <c r="B1092" t="s">
        <v>97</v>
      </c>
      <c r="C1092" t="s">
        <v>46</v>
      </c>
      <c r="D1092" t="s">
        <v>17</v>
      </c>
      <c r="E1092" t="s">
        <v>24</v>
      </c>
      <c r="F1092" t="s">
        <v>1062</v>
      </c>
      <c r="G1092" s="2">
        <f t="shared" si="34"/>
        <v>41315</v>
      </c>
      <c r="H1092">
        <f>DAY(Europe_Sales_Records34[[#This Row],[Order Date Fixed]])</f>
        <v>10</v>
      </c>
      <c r="I1092" t="str">
        <f>TEXT(Europe_Sales_Records34[[#This Row],[Order Date Fixed]],"MMM")</f>
        <v>Feb</v>
      </c>
      <c r="J1092">
        <f>YEAR(Europe_Sales_Records34[[#This Row],[Order Date Fixed]])</f>
        <v>2013</v>
      </c>
      <c r="K1092" t="str">
        <f>TEXT(Europe_Sales_Records34[[#This Row],[Order Date Fixed]],"MMM-YYYY")</f>
        <v>Feb-2013</v>
      </c>
      <c r="L1092">
        <v>691383635</v>
      </c>
      <c r="M1092" s="2">
        <f t="shared" si="35"/>
        <v>41352</v>
      </c>
      <c r="N1092">
        <f>DAY(Europe_Sales_Records34[[#This Row],[Ship Date Fixed]])</f>
        <v>19</v>
      </c>
      <c r="O1092" t="str">
        <f>TEXT(Europe_Sales_Records34[[#This Row],[Ship Date Fixed]],"MMM")</f>
        <v>Mar</v>
      </c>
      <c r="P1092">
        <f>YEAR(Europe_Sales_Records34[[#This Row],[Ship Date Fixed]])</f>
        <v>2013</v>
      </c>
      <c r="Q1092" t="str">
        <f>TEXT(Europe_Sales_Records34[[#This Row],[Ship Date Fixed]],"MMM-YYYY")</f>
        <v>Mar-2013</v>
      </c>
      <c r="R1092" t="s">
        <v>1459</v>
      </c>
      <c r="S1092" s="3">
        <f>Europe_Sales_Records34[[#This Row],[Ship Date Fixed]]-Europe_Sales_Records34[[#This Row],[Order Date Fixed]]</f>
        <v>37</v>
      </c>
      <c r="T1092">
        <v>4637</v>
      </c>
      <c r="U1092">
        <v>154.06</v>
      </c>
      <c r="V1092">
        <v>90.93</v>
      </c>
      <c r="W1092">
        <f>Europe_Sales_Records34[[#This Row],[Total Revenue]]/Europe_Sales_Records34[[#This Row],[Units Sold]]</f>
        <v>154.06</v>
      </c>
      <c r="X1092">
        <v>714376.22</v>
      </c>
      <c r="Y1092">
        <v>421642.41</v>
      </c>
      <c r="Z1092" s="4">
        <f>Europe_Sales_Records34[[#This Row],[Total Profit]]/Europe_Sales_Records34[[#This Row],[Total Revenue]]</f>
        <v>0.40977541217707386</v>
      </c>
      <c r="AA1092">
        <v>292733.81</v>
      </c>
    </row>
    <row r="1093" spans="1:27" x14ac:dyDescent="0.3">
      <c r="A1093" t="s">
        <v>14</v>
      </c>
      <c r="B1093" t="s">
        <v>132</v>
      </c>
      <c r="C1093" t="s">
        <v>58</v>
      </c>
      <c r="D1093" t="s">
        <v>23</v>
      </c>
      <c r="E1093" t="s">
        <v>54</v>
      </c>
      <c r="F1093" t="s">
        <v>296</v>
      </c>
      <c r="G1093" s="2">
        <f t="shared" si="34"/>
        <v>41310</v>
      </c>
      <c r="H1093">
        <f>DAY(Europe_Sales_Records34[[#This Row],[Order Date Fixed]])</f>
        <v>5</v>
      </c>
      <c r="I1093" t="str">
        <f>TEXT(Europe_Sales_Records34[[#This Row],[Order Date Fixed]],"MMM")</f>
        <v>Feb</v>
      </c>
      <c r="J1093">
        <f>YEAR(Europe_Sales_Records34[[#This Row],[Order Date Fixed]])</f>
        <v>2013</v>
      </c>
      <c r="K1093" t="str">
        <f>TEXT(Europe_Sales_Records34[[#This Row],[Order Date Fixed]],"MMM-YYYY")</f>
        <v>Feb-2013</v>
      </c>
      <c r="L1093">
        <v>783913838</v>
      </c>
      <c r="M1093" s="2">
        <f t="shared" si="35"/>
        <v>41342</v>
      </c>
      <c r="N1093">
        <f>DAY(Europe_Sales_Records34[[#This Row],[Ship Date Fixed]])</f>
        <v>9</v>
      </c>
      <c r="O1093" t="str">
        <f>TEXT(Europe_Sales_Records34[[#This Row],[Ship Date Fixed]],"MMM")</f>
        <v>Mar</v>
      </c>
      <c r="P1093">
        <f>YEAR(Europe_Sales_Records34[[#This Row],[Ship Date Fixed]])</f>
        <v>2013</v>
      </c>
      <c r="Q1093" t="str">
        <f>TEXT(Europe_Sales_Records34[[#This Row],[Ship Date Fixed]],"MMM-YYYY")</f>
        <v>Mar-2013</v>
      </c>
      <c r="R1093" t="s">
        <v>1611</v>
      </c>
      <c r="S1093" s="3">
        <f>Europe_Sales_Records34[[#This Row],[Ship Date Fixed]]-Europe_Sales_Records34[[#This Row],[Order Date Fixed]]</f>
        <v>32</v>
      </c>
      <c r="T1093">
        <v>6380</v>
      </c>
      <c r="U1093">
        <v>152.58000000000001</v>
      </c>
      <c r="V1093">
        <v>97.44</v>
      </c>
      <c r="W1093">
        <f>Europe_Sales_Records34[[#This Row],[Total Revenue]]/Europe_Sales_Records34[[#This Row],[Units Sold]]</f>
        <v>152.58000000000001</v>
      </c>
      <c r="X1093">
        <v>973460.4</v>
      </c>
      <c r="Y1093">
        <v>621667.19999999995</v>
      </c>
      <c r="Z1093" s="4">
        <f>Europe_Sales_Records34[[#This Row],[Total Profit]]/Europe_Sales_Records34[[#This Row],[Total Revenue]]</f>
        <v>0.36138419189933152</v>
      </c>
      <c r="AA1093">
        <v>351793.2</v>
      </c>
    </row>
    <row r="1094" spans="1:27" x14ac:dyDescent="0.3">
      <c r="A1094" t="s">
        <v>14</v>
      </c>
      <c r="B1094" t="s">
        <v>181</v>
      </c>
      <c r="C1094" t="s">
        <v>22</v>
      </c>
      <c r="D1094" t="s">
        <v>23</v>
      </c>
      <c r="E1094" t="s">
        <v>18</v>
      </c>
      <c r="F1094" t="s">
        <v>1612</v>
      </c>
      <c r="G1094" s="2">
        <f t="shared" si="34"/>
        <v>41347</v>
      </c>
      <c r="H1094">
        <f>DAY(Europe_Sales_Records34[[#This Row],[Order Date Fixed]])</f>
        <v>14</v>
      </c>
      <c r="I1094" t="str">
        <f>TEXT(Europe_Sales_Records34[[#This Row],[Order Date Fixed]],"MMM")</f>
        <v>Mar</v>
      </c>
      <c r="J1094">
        <f>YEAR(Europe_Sales_Records34[[#This Row],[Order Date Fixed]])</f>
        <v>2013</v>
      </c>
      <c r="K1094" t="str">
        <f>TEXT(Europe_Sales_Records34[[#This Row],[Order Date Fixed]],"MMM-YYYY")</f>
        <v>Mar-2013</v>
      </c>
      <c r="L1094">
        <v>799109733</v>
      </c>
      <c r="M1094" s="2">
        <f t="shared" si="35"/>
        <v>41393</v>
      </c>
      <c r="N1094">
        <f>DAY(Europe_Sales_Records34[[#This Row],[Ship Date Fixed]])</f>
        <v>29</v>
      </c>
      <c r="O1094" t="str">
        <f>TEXT(Europe_Sales_Records34[[#This Row],[Ship Date Fixed]],"MMM")</f>
        <v>Apr</v>
      </c>
      <c r="P1094">
        <f>YEAR(Europe_Sales_Records34[[#This Row],[Ship Date Fixed]])</f>
        <v>2013</v>
      </c>
      <c r="Q1094" t="str">
        <f>TEXT(Europe_Sales_Records34[[#This Row],[Ship Date Fixed]],"MMM-YYYY")</f>
        <v>Apr-2013</v>
      </c>
      <c r="R1094" t="s">
        <v>1089</v>
      </c>
      <c r="S1094" s="3">
        <f>Europe_Sales_Records34[[#This Row],[Ship Date Fixed]]-Europe_Sales_Records34[[#This Row],[Order Date Fixed]]</f>
        <v>46</v>
      </c>
      <c r="T1094">
        <v>3183</v>
      </c>
      <c r="U1094">
        <v>109.28</v>
      </c>
      <c r="V1094">
        <v>35.840000000000003</v>
      </c>
      <c r="W1094">
        <f>Europe_Sales_Records34[[#This Row],[Total Revenue]]/Europe_Sales_Records34[[#This Row],[Units Sold]]</f>
        <v>109.28</v>
      </c>
      <c r="X1094">
        <v>347838.24</v>
      </c>
      <c r="Y1094">
        <v>114078.72</v>
      </c>
      <c r="Z1094" s="4">
        <f>Europe_Sales_Records34[[#This Row],[Total Profit]]/Europe_Sales_Records34[[#This Row],[Total Revenue]]</f>
        <v>0.67203513909224011</v>
      </c>
      <c r="AA1094">
        <v>233759.52</v>
      </c>
    </row>
    <row r="1095" spans="1:27" x14ac:dyDescent="0.3">
      <c r="A1095" t="s">
        <v>14</v>
      </c>
      <c r="B1095" t="s">
        <v>127</v>
      </c>
      <c r="C1095" t="s">
        <v>16</v>
      </c>
      <c r="D1095" t="s">
        <v>23</v>
      </c>
      <c r="E1095" t="s">
        <v>33</v>
      </c>
      <c r="F1095" t="s">
        <v>954</v>
      </c>
      <c r="G1095" s="2">
        <f t="shared" si="34"/>
        <v>42695</v>
      </c>
      <c r="H1095">
        <f>DAY(Europe_Sales_Records34[[#This Row],[Order Date Fixed]])</f>
        <v>21</v>
      </c>
      <c r="I1095" t="str">
        <f>TEXT(Europe_Sales_Records34[[#This Row],[Order Date Fixed]],"MMM")</f>
        <v>Nov</v>
      </c>
      <c r="J1095">
        <f>YEAR(Europe_Sales_Records34[[#This Row],[Order Date Fixed]])</f>
        <v>2016</v>
      </c>
      <c r="K1095" t="str">
        <f>TEXT(Europe_Sales_Records34[[#This Row],[Order Date Fixed]],"MMM-YYYY")</f>
        <v>Nov-2016</v>
      </c>
      <c r="L1095">
        <v>223199975</v>
      </c>
      <c r="M1095" s="2">
        <f t="shared" si="35"/>
        <v>42739</v>
      </c>
      <c r="N1095">
        <f>DAY(Europe_Sales_Records34[[#This Row],[Ship Date Fixed]])</f>
        <v>4</v>
      </c>
      <c r="O1095" t="str">
        <f>TEXT(Europe_Sales_Records34[[#This Row],[Ship Date Fixed]],"MMM")</f>
        <v>Jan</v>
      </c>
      <c r="P1095">
        <f>YEAR(Europe_Sales_Records34[[#This Row],[Ship Date Fixed]])</f>
        <v>2017</v>
      </c>
      <c r="Q1095" t="str">
        <f>TEXT(Europe_Sales_Records34[[#This Row],[Ship Date Fixed]],"MMM-YYYY")</f>
        <v>Jan-2017</v>
      </c>
      <c r="R1095" t="s">
        <v>1091</v>
      </c>
      <c r="S1095" s="3">
        <f>Europe_Sales_Records34[[#This Row],[Ship Date Fixed]]-Europe_Sales_Records34[[#This Row],[Order Date Fixed]]</f>
        <v>44</v>
      </c>
      <c r="T1095">
        <v>8687</v>
      </c>
      <c r="U1095">
        <v>47.45</v>
      </c>
      <c r="V1095">
        <v>31.79</v>
      </c>
      <c r="W1095">
        <f>Europe_Sales_Records34[[#This Row],[Total Revenue]]/Europe_Sales_Records34[[#This Row],[Units Sold]]</f>
        <v>47.45</v>
      </c>
      <c r="X1095">
        <v>412198.15</v>
      </c>
      <c r="Y1095">
        <v>276159.73</v>
      </c>
      <c r="Z1095" s="4">
        <f>Europe_Sales_Records34[[#This Row],[Total Profit]]/Europe_Sales_Records34[[#This Row],[Total Revenue]]</f>
        <v>0.33003161222339306</v>
      </c>
      <c r="AA1095">
        <v>136038.42000000001</v>
      </c>
    </row>
    <row r="1096" spans="1:27" x14ac:dyDescent="0.3">
      <c r="A1096" t="s">
        <v>14</v>
      </c>
      <c r="B1096" t="s">
        <v>364</v>
      </c>
      <c r="C1096" t="s">
        <v>28</v>
      </c>
      <c r="D1096" t="s">
        <v>17</v>
      </c>
      <c r="E1096" t="s">
        <v>54</v>
      </c>
      <c r="F1096" t="s">
        <v>1613</v>
      </c>
      <c r="G1096" s="2">
        <f t="shared" si="34"/>
        <v>42704</v>
      </c>
      <c r="H1096">
        <f>DAY(Europe_Sales_Records34[[#This Row],[Order Date Fixed]])</f>
        <v>30</v>
      </c>
      <c r="I1096" t="str">
        <f>TEXT(Europe_Sales_Records34[[#This Row],[Order Date Fixed]],"MMM")</f>
        <v>Nov</v>
      </c>
      <c r="J1096">
        <f>YEAR(Europe_Sales_Records34[[#This Row],[Order Date Fixed]])</f>
        <v>2016</v>
      </c>
      <c r="K1096" t="str">
        <f>TEXT(Europe_Sales_Records34[[#This Row],[Order Date Fixed]],"MMM-YYYY")</f>
        <v>Nov-2016</v>
      </c>
      <c r="L1096">
        <v>391849982</v>
      </c>
      <c r="M1096" s="2">
        <f t="shared" si="35"/>
        <v>42715</v>
      </c>
      <c r="N1096">
        <f>DAY(Europe_Sales_Records34[[#This Row],[Ship Date Fixed]])</f>
        <v>11</v>
      </c>
      <c r="O1096" t="str">
        <f>TEXT(Europe_Sales_Records34[[#This Row],[Ship Date Fixed]],"MMM")</f>
        <v>Dec</v>
      </c>
      <c r="P1096">
        <f>YEAR(Europe_Sales_Records34[[#This Row],[Ship Date Fixed]])</f>
        <v>2016</v>
      </c>
      <c r="Q1096" t="str">
        <f>TEXT(Europe_Sales_Records34[[#This Row],[Ship Date Fixed]],"MMM-YYYY")</f>
        <v>Dec-2016</v>
      </c>
      <c r="R1096" t="s">
        <v>1614</v>
      </c>
      <c r="S1096" s="3">
        <f>Europe_Sales_Records34[[#This Row],[Ship Date Fixed]]-Europe_Sales_Records34[[#This Row],[Order Date Fixed]]</f>
        <v>11</v>
      </c>
      <c r="T1096">
        <v>5972</v>
      </c>
      <c r="U1096">
        <v>205.7</v>
      </c>
      <c r="V1096">
        <v>117.11</v>
      </c>
      <c r="W1096">
        <f>Europe_Sales_Records34[[#This Row],[Total Revenue]]/Europe_Sales_Records34[[#This Row],[Units Sold]]</f>
        <v>205.7</v>
      </c>
      <c r="X1096">
        <v>1228440.3999999999</v>
      </c>
      <c r="Y1096">
        <v>699380.92</v>
      </c>
      <c r="Z1096" s="4">
        <f>Europe_Sales_Records34[[#This Row],[Total Profit]]/Europe_Sales_Records34[[#This Row],[Total Revenue]]</f>
        <v>0.43067574137092857</v>
      </c>
      <c r="AA1096">
        <v>529059.48</v>
      </c>
    </row>
    <row r="1097" spans="1:27" x14ac:dyDescent="0.3">
      <c r="A1097" t="s">
        <v>14</v>
      </c>
      <c r="B1097" t="s">
        <v>232</v>
      </c>
      <c r="C1097" t="s">
        <v>22</v>
      </c>
      <c r="D1097" t="s">
        <v>23</v>
      </c>
      <c r="E1097" t="s">
        <v>54</v>
      </c>
      <c r="F1097" t="s">
        <v>561</v>
      </c>
      <c r="G1097" s="2">
        <f t="shared" si="34"/>
        <v>41652</v>
      </c>
      <c r="H1097">
        <f>DAY(Europe_Sales_Records34[[#This Row],[Order Date Fixed]])</f>
        <v>13</v>
      </c>
      <c r="I1097" t="str">
        <f>TEXT(Europe_Sales_Records34[[#This Row],[Order Date Fixed]],"MMM")</f>
        <v>Jan</v>
      </c>
      <c r="J1097">
        <f>YEAR(Europe_Sales_Records34[[#This Row],[Order Date Fixed]])</f>
        <v>2014</v>
      </c>
      <c r="K1097" t="str">
        <f>TEXT(Europe_Sales_Records34[[#This Row],[Order Date Fixed]],"MMM-YYYY")</f>
        <v>Jan-2014</v>
      </c>
      <c r="L1097">
        <v>906508815</v>
      </c>
      <c r="M1097" s="2">
        <f t="shared" si="35"/>
        <v>41662</v>
      </c>
      <c r="N1097">
        <f>DAY(Europe_Sales_Records34[[#This Row],[Ship Date Fixed]])</f>
        <v>23</v>
      </c>
      <c r="O1097" t="str">
        <f>TEXT(Europe_Sales_Records34[[#This Row],[Ship Date Fixed]],"MMM")</f>
        <v>Jan</v>
      </c>
      <c r="P1097">
        <f>YEAR(Europe_Sales_Records34[[#This Row],[Ship Date Fixed]])</f>
        <v>2014</v>
      </c>
      <c r="Q1097" t="str">
        <f>TEXT(Europe_Sales_Records34[[#This Row],[Ship Date Fixed]],"MMM-YYYY")</f>
        <v>Jan-2014</v>
      </c>
      <c r="R1097" t="s">
        <v>1615</v>
      </c>
      <c r="S1097" s="3">
        <f>Europe_Sales_Records34[[#This Row],[Ship Date Fixed]]-Europe_Sales_Records34[[#This Row],[Order Date Fixed]]</f>
        <v>10</v>
      </c>
      <c r="T1097">
        <v>4958</v>
      </c>
      <c r="U1097">
        <v>109.28</v>
      </c>
      <c r="V1097">
        <v>35.840000000000003</v>
      </c>
      <c r="W1097">
        <f>Europe_Sales_Records34[[#This Row],[Total Revenue]]/Europe_Sales_Records34[[#This Row],[Units Sold]]</f>
        <v>109.28</v>
      </c>
      <c r="X1097">
        <v>541810.24</v>
      </c>
      <c r="Y1097">
        <v>177694.72</v>
      </c>
      <c r="Z1097" s="4">
        <f>Europe_Sales_Records34[[#This Row],[Total Profit]]/Europe_Sales_Records34[[#This Row],[Total Revenue]]</f>
        <v>0.67203513909224011</v>
      </c>
      <c r="AA1097">
        <v>364115.52</v>
      </c>
    </row>
    <row r="1098" spans="1:27" x14ac:dyDescent="0.3">
      <c r="A1098" t="s">
        <v>14</v>
      </c>
      <c r="B1098" t="s">
        <v>183</v>
      </c>
      <c r="C1098" t="s">
        <v>28</v>
      </c>
      <c r="D1098" t="s">
        <v>17</v>
      </c>
      <c r="E1098" t="s">
        <v>24</v>
      </c>
      <c r="F1098" t="s">
        <v>1167</v>
      </c>
      <c r="G1098" s="2">
        <f t="shared" si="34"/>
        <v>41557</v>
      </c>
      <c r="H1098">
        <f>DAY(Europe_Sales_Records34[[#This Row],[Order Date Fixed]])</f>
        <v>10</v>
      </c>
      <c r="I1098" t="str">
        <f>TEXT(Europe_Sales_Records34[[#This Row],[Order Date Fixed]],"MMM")</f>
        <v>Oct</v>
      </c>
      <c r="J1098">
        <f>YEAR(Europe_Sales_Records34[[#This Row],[Order Date Fixed]])</f>
        <v>2013</v>
      </c>
      <c r="K1098" t="str">
        <f>TEXT(Europe_Sales_Records34[[#This Row],[Order Date Fixed]],"MMM-YYYY")</f>
        <v>Oct-2013</v>
      </c>
      <c r="L1098">
        <v>524844634</v>
      </c>
      <c r="M1098" s="2">
        <f t="shared" si="35"/>
        <v>41560</v>
      </c>
      <c r="N1098">
        <f>DAY(Europe_Sales_Records34[[#This Row],[Ship Date Fixed]])</f>
        <v>13</v>
      </c>
      <c r="O1098" t="str">
        <f>TEXT(Europe_Sales_Records34[[#This Row],[Ship Date Fixed]],"MMM")</f>
        <v>Oct</v>
      </c>
      <c r="P1098">
        <f>YEAR(Europe_Sales_Records34[[#This Row],[Ship Date Fixed]])</f>
        <v>2013</v>
      </c>
      <c r="Q1098" t="str">
        <f>TEXT(Europe_Sales_Records34[[#This Row],[Ship Date Fixed]],"MMM-YYYY")</f>
        <v>Oct-2013</v>
      </c>
      <c r="R1098" t="s">
        <v>1616</v>
      </c>
      <c r="S1098" s="3">
        <f>Europe_Sales_Records34[[#This Row],[Ship Date Fixed]]-Europe_Sales_Records34[[#This Row],[Order Date Fixed]]</f>
        <v>3</v>
      </c>
      <c r="T1098">
        <v>2045</v>
      </c>
      <c r="U1098">
        <v>205.7</v>
      </c>
      <c r="V1098">
        <v>117.11</v>
      </c>
      <c r="W1098">
        <f>Europe_Sales_Records34[[#This Row],[Total Revenue]]/Europe_Sales_Records34[[#This Row],[Units Sold]]</f>
        <v>205.7</v>
      </c>
      <c r="X1098">
        <v>420656.5</v>
      </c>
      <c r="Y1098">
        <v>239489.95</v>
      </c>
      <c r="Z1098" s="4">
        <f>Europe_Sales_Records34[[#This Row],[Total Profit]]/Europe_Sales_Records34[[#This Row],[Total Revenue]]</f>
        <v>0.43067574137092851</v>
      </c>
      <c r="AA1098">
        <v>181166.55</v>
      </c>
    </row>
    <row r="1099" spans="1:27" x14ac:dyDescent="0.3">
      <c r="A1099" t="s">
        <v>14</v>
      </c>
      <c r="B1099" t="s">
        <v>223</v>
      </c>
      <c r="C1099" t="s">
        <v>37</v>
      </c>
      <c r="D1099" t="s">
        <v>23</v>
      </c>
      <c r="E1099" t="s">
        <v>54</v>
      </c>
      <c r="F1099" t="s">
        <v>1617</v>
      </c>
      <c r="G1099" s="2">
        <f t="shared" si="34"/>
        <v>41933</v>
      </c>
      <c r="H1099">
        <f>DAY(Europe_Sales_Records34[[#This Row],[Order Date Fixed]])</f>
        <v>21</v>
      </c>
      <c r="I1099" t="str">
        <f>TEXT(Europe_Sales_Records34[[#This Row],[Order Date Fixed]],"MMM")</f>
        <v>Oct</v>
      </c>
      <c r="J1099">
        <f>YEAR(Europe_Sales_Records34[[#This Row],[Order Date Fixed]])</f>
        <v>2014</v>
      </c>
      <c r="K1099" t="str">
        <f>TEXT(Europe_Sales_Records34[[#This Row],[Order Date Fixed]],"MMM-YYYY")</f>
        <v>Oct-2014</v>
      </c>
      <c r="L1099">
        <v>640476596</v>
      </c>
      <c r="M1099" s="2">
        <f t="shared" si="35"/>
        <v>41936</v>
      </c>
      <c r="N1099">
        <f>DAY(Europe_Sales_Records34[[#This Row],[Ship Date Fixed]])</f>
        <v>24</v>
      </c>
      <c r="O1099" t="str">
        <f>TEXT(Europe_Sales_Records34[[#This Row],[Ship Date Fixed]],"MMM")</f>
        <v>Oct</v>
      </c>
      <c r="P1099">
        <f>YEAR(Europe_Sales_Records34[[#This Row],[Ship Date Fixed]])</f>
        <v>2014</v>
      </c>
      <c r="Q1099" t="str">
        <f>TEXT(Europe_Sales_Records34[[#This Row],[Ship Date Fixed]],"MMM-YYYY")</f>
        <v>Oct-2014</v>
      </c>
      <c r="R1099" t="s">
        <v>1618</v>
      </c>
      <c r="S1099" s="3">
        <f>Europe_Sales_Records34[[#This Row],[Ship Date Fixed]]-Europe_Sales_Records34[[#This Row],[Order Date Fixed]]</f>
        <v>3</v>
      </c>
      <c r="T1099">
        <v>112</v>
      </c>
      <c r="U1099">
        <v>9.33</v>
      </c>
      <c r="V1099">
        <v>6.92</v>
      </c>
      <c r="W1099">
        <f>Europe_Sales_Records34[[#This Row],[Total Revenue]]/Europe_Sales_Records34[[#This Row],[Units Sold]]</f>
        <v>9.33</v>
      </c>
      <c r="X1099">
        <v>1044.96</v>
      </c>
      <c r="Y1099">
        <v>775.04</v>
      </c>
      <c r="Z1099" s="4">
        <f>Europe_Sales_Records34[[#This Row],[Total Profit]]/Europe_Sales_Records34[[#This Row],[Total Revenue]]</f>
        <v>0.25830653804930331</v>
      </c>
      <c r="AA1099">
        <v>269.92</v>
      </c>
    </row>
    <row r="1100" spans="1:27" x14ac:dyDescent="0.3">
      <c r="A1100" t="s">
        <v>14</v>
      </c>
      <c r="B1100" t="s">
        <v>74</v>
      </c>
      <c r="C1100" t="s">
        <v>50</v>
      </c>
      <c r="D1100" t="s">
        <v>23</v>
      </c>
      <c r="E1100" t="s">
        <v>24</v>
      </c>
      <c r="F1100" t="s">
        <v>1619</v>
      </c>
      <c r="G1100" s="2">
        <f t="shared" si="34"/>
        <v>41141</v>
      </c>
      <c r="H1100">
        <f>DAY(Europe_Sales_Records34[[#This Row],[Order Date Fixed]])</f>
        <v>20</v>
      </c>
      <c r="I1100" t="str">
        <f>TEXT(Europe_Sales_Records34[[#This Row],[Order Date Fixed]],"MMM")</f>
        <v>Aug</v>
      </c>
      <c r="J1100">
        <f>YEAR(Europe_Sales_Records34[[#This Row],[Order Date Fixed]])</f>
        <v>2012</v>
      </c>
      <c r="K1100" t="str">
        <f>TEXT(Europe_Sales_Records34[[#This Row],[Order Date Fixed]],"MMM-YYYY")</f>
        <v>Aug-2012</v>
      </c>
      <c r="L1100">
        <v>733636796</v>
      </c>
      <c r="M1100" s="2">
        <f t="shared" si="35"/>
        <v>41167</v>
      </c>
      <c r="N1100">
        <f>DAY(Europe_Sales_Records34[[#This Row],[Ship Date Fixed]])</f>
        <v>15</v>
      </c>
      <c r="O1100" t="str">
        <f>TEXT(Europe_Sales_Records34[[#This Row],[Ship Date Fixed]],"MMM")</f>
        <v>Sep</v>
      </c>
      <c r="P1100">
        <f>YEAR(Europe_Sales_Records34[[#This Row],[Ship Date Fixed]])</f>
        <v>2012</v>
      </c>
      <c r="Q1100" t="str">
        <f>TEXT(Europe_Sales_Records34[[#This Row],[Ship Date Fixed]],"MMM-YYYY")</f>
        <v>Sep-2012</v>
      </c>
      <c r="R1100" t="s">
        <v>1568</v>
      </c>
      <c r="S1100" s="3">
        <f>Europe_Sales_Records34[[#This Row],[Ship Date Fixed]]-Europe_Sales_Records34[[#This Row],[Order Date Fixed]]</f>
        <v>26</v>
      </c>
      <c r="T1100">
        <v>8286</v>
      </c>
      <c r="U1100">
        <v>421.89</v>
      </c>
      <c r="V1100">
        <v>364.69</v>
      </c>
      <c r="W1100">
        <f>Europe_Sales_Records34[[#This Row],[Total Revenue]]/Europe_Sales_Records34[[#This Row],[Units Sold]]</f>
        <v>421.89</v>
      </c>
      <c r="X1100">
        <v>3495780.54</v>
      </c>
      <c r="Y1100">
        <v>3021821.34</v>
      </c>
      <c r="Z1100" s="4">
        <f>Europe_Sales_Records34[[#This Row],[Total Profit]]/Europe_Sales_Records34[[#This Row],[Total Revenue]]</f>
        <v>0.13558036455000119</v>
      </c>
      <c r="AA1100">
        <v>473959.2</v>
      </c>
    </row>
    <row r="1101" spans="1:27" x14ac:dyDescent="0.3">
      <c r="A1101" t="s">
        <v>14</v>
      </c>
      <c r="B1101" t="s">
        <v>21</v>
      </c>
      <c r="C1101" t="s">
        <v>58</v>
      </c>
      <c r="D1101" t="s">
        <v>23</v>
      </c>
      <c r="E1101" t="s">
        <v>33</v>
      </c>
      <c r="F1101" t="s">
        <v>723</v>
      </c>
      <c r="G1101" s="2">
        <f t="shared" si="34"/>
        <v>41267</v>
      </c>
      <c r="H1101">
        <f>DAY(Europe_Sales_Records34[[#This Row],[Order Date Fixed]])</f>
        <v>24</v>
      </c>
      <c r="I1101" t="str">
        <f>TEXT(Europe_Sales_Records34[[#This Row],[Order Date Fixed]],"MMM")</f>
        <v>Dec</v>
      </c>
      <c r="J1101">
        <f>YEAR(Europe_Sales_Records34[[#This Row],[Order Date Fixed]])</f>
        <v>2012</v>
      </c>
      <c r="K1101" t="str">
        <f>TEXT(Europe_Sales_Records34[[#This Row],[Order Date Fixed]],"MMM-YYYY")</f>
        <v>Dec-2012</v>
      </c>
      <c r="L1101">
        <v>183778369</v>
      </c>
      <c r="M1101" s="2">
        <f t="shared" si="35"/>
        <v>41281</v>
      </c>
      <c r="N1101">
        <f>DAY(Europe_Sales_Records34[[#This Row],[Ship Date Fixed]])</f>
        <v>7</v>
      </c>
      <c r="O1101" t="str">
        <f>TEXT(Europe_Sales_Records34[[#This Row],[Ship Date Fixed]],"MMM")</f>
        <v>Jan</v>
      </c>
      <c r="P1101">
        <f>YEAR(Europe_Sales_Records34[[#This Row],[Ship Date Fixed]])</f>
        <v>2013</v>
      </c>
      <c r="Q1101" t="str">
        <f>TEXT(Europe_Sales_Records34[[#This Row],[Ship Date Fixed]],"MMM-YYYY")</f>
        <v>Jan-2013</v>
      </c>
      <c r="R1101" t="s">
        <v>1620</v>
      </c>
      <c r="S1101" s="3">
        <f>Europe_Sales_Records34[[#This Row],[Ship Date Fixed]]-Europe_Sales_Records34[[#This Row],[Order Date Fixed]]</f>
        <v>14</v>
      </c>
      <c r="T1101">
        <v>2958</v>
      </c>
      <c r="U1101">
        <v>152.58000000000001</v>
      </c>
      <c r="V1101">
        <v>97.44</v>
      </c>
      <c r="W1101">
        <f>Europe_Sales_Records34[[#This Row],[Total Revenue]]/Europe_Sales_Records34[[#This Row],[Units Sold]]</f>
        <v>152.58000000000001</v>
      </c>
      <c r="X1101">
        <v>451331.64</v>
      </c>
      <c r="Y1101">
        <v>288227.52</v>
      </c>
      <c r="Z1101" s="4">
        <f>Europe_Sales_Records34[[#This Row],[Total Profit]]/Europe_Sales_Records34[[#This Row],[Total Revenue]]</f>
        <v>0.36138419189933146</v>
      </c>
      <c r="AA1101">
        <v>163104.12</v>
      </c>
    </row>
    <row r="1102" spans="1:27" x14ac:dyDescent="0.3">
      <c r="A1102" t="s">
        <v>14</v>
      </c>
      <c r="B1102" t="s">
        <v>45</v>
      </c>
      <c r="C1102" t="s">
        <v>58</v>
      </c>
      <c r="D1102" t="s">
        <v>17</v>
      </c>
      <c r="E1102" t="s">
        <v>24</v>
      </c>
      <c r="F1102" t="s">
        <v>1621</v>
      </c>
      <c r="G1102" s="2">
        <f t="shared" si="34"/>
        <v>42847</v>
      </c>
      <c r="H1102">
        <f>DAY(Europe_Sales_Records34[[#This Row],[Order Date Fixed]])</f>
        <v>22</v>
      </c>
      <c r="I1102" t="str">
        <f>TEXT(Europe_Sales_Records34[[#This Row],[Order Date Fixed]],"MMM")</f>
        <v>Apr</v>
      </c>
      <c r="J1102">
        <f>YEAR(Europe_Sales_Records34[[#This Row],[Order Date Fixed]])</f>
        <v>2017</v>
      </c>
      <c r="K1102" t="str">
        <f>TEXT(Europe_Sales_Records34[[#This Row],[Order Date Fixed]],"MMM-YYYY")</f>
        <v>Apr-2017</v>
      </c>
      <c r="L1102">
        <v>594991052</v>
      </c>
      <c r="M1102" s="2">
        <f t="shared" si="35"/>
        <v>42892</v>
      </c>
      <c r="N1102">
        <f>DAY(Europe_Sales_Records34[[#This Row],[Ship Date Fixed]])</f>
        <v>6</v>
      </c>
      <c r="O1102" t="str">
        <f>TEXT(Europe_Sales_Records34[[#This Row],[Ship Date Fixed]],"MMM")</f>
        <v>Jun</v>
      </c>
      <c r="P1102">
        <f>YEAR(Europe_Sales_Records34[[#This Row],[Ship Date Fixed]])</f>
        <v>2017</v>
      </c>
      <c r="Q1102" t="str">
        <f>TEXT(Europe_Sales_Records34[[#This Row],[Ship Date Fixed]],"MMM-YYYY")</f>
        <v>Jun-2017</v>
      </c>
      <c r="R1102" t="s">
        <v>895</v>
      </c>
      <c r="S1102" s="3">
        <f>Europe_Sales_Records34[[#This Row],[Ship Date Fixed]]-Europe_Sales_Records34[[#This Row],[Order Date Fixed]]</f>
        <v>45</v>
      </c>
      <c r="T1102">
        <v>9929</v>
      </c>
      <c r="U1102">
        <v>152.58000000000001</v>
      </c>
      <c r="V1102">
        <v>97.44</v>
      </c>
      <c r="W1102">
        <f>Europe_Sales_Records34[[#This Row],[Total Revenue]]/Europe_Sales_Records34[[#This Row],[Units Sold]]</f>
        <v>152.58000000000001</v>
      </c>
      <c r="X1102">
        <v>1514966.82</v>
      </c>
      <c r="Y1102">
        <v>967481.76</v>
      </c>
      <c r="Z1102" s="4">
        <f>Europe_Sales_Records34[[#This Row],[Total Profit]]/Europe_Sales_Records34[[#This Row],[Total Revenue]]</f>
        <v>0.36138419189933152</v>
      </c>
      <c r="AA1102">
        <v>547485.06000000006</v>
      </c>
    </row>
    <row r="1103" spans="1:27" x14ac:dyDescent="0.3">
      <c r="A1103" t="s">
        <v>14</v>
      </c>
      <c r="B1103" t="s">
        <v>141</v>
      </c>
      <c r="C1103" t="s">
        <v>32</v>
      </c>
      <c r="D1103" t="s">
        <v>23</v>
      </c>
      <c r="E1103" t="s">
        <v>54</v>
      </c>
      <c r="F1103" t="s">
        <v>1622</v>
      </c>
      <c r="G1103" s="2">
        <f t="shared" si="34"/>
        <v>42198</v>
      </c>
      <c r="H1103">
        <f>DAY(Europe_Sales_Records34[[#This Row],[Order Date Fixed]])</f>
        <v>13</v>
      </c>
      <c r="I1103" t="str">
        <f>TEXT(Europe_Sales_Records34[[#This Row],[Order Date Fixed]],"MMM")</f>
        <v>Jul</v>
      </c>
      <c r="J1103">
        <f>YEAR(Europe_Sales_Records34[[#This Row],[Order Date Fixed]])</f>
        <v>2015</v>
      </c>
      <c r="K1103" t="str">
        <f>TEXT(Europe_Sales_Records34[[#This Row],[Order Date Fixed]],"MMM-YYYY")</f>
        <v>Jul-2015</v>
      </c>
      <c r="L1103">
        <v>246922719</v>
      </c>
      <c r="M1103" s="2">
        <f t="shared" si="35"/>
        <v>42214</v>
      </c>
      <c r="N1103">
        <f>DAY(Europe_Sales_Records34[[#This Row],[Ship Date Fixed]])</f>
        <v>29</v>
      </c>
      <c r="O1103" t="str">
        <f>TEXT(Europe_Sales_Records34[[#This Row],[Ship Date Fixed]],"MMM")</f>
        <v>Jul</v>
      </c>
      <c r="P1103">
        <f>YEAR(Europe_Sales_Records34[[#This Row],[Ship Date Fixed]])</f>
        <v>2015</v>
      </c>
      <c r="Q1103" t="str">
        <f>TEXT(Europe_Sales_Records34[[#This Row],[Ship Date Fixed]],"MMM-YYYY")</f>
        <v>Jul-2015</v>
      </c>
      <c r="R1103" t="s">
        <v>1623</v>
      </c>
      <c r="S1103" s="3">
        <f>Europe_Sales_Records34[[#This Row],[Ship Date Fixed]]-Europe_Sales_Records34[[#This Row],[Order Date Fixed]]</f>
        <v>16</v>
      </c>
      <c r="T1103">
        <v>8775</v>
      </c>
      <c r="U1103">
        <v>651.21</v>
      </c>
      <c r="V1103">
        <v>524.96</v>
      </c>
      <c r="W1103">
        <f>Europe_Sales_Records34[[#This Row],[Total Revenue]]/Europe_Sales_Records34[[#This Row],[Units Sold]]</f>
        <v>651.21</v>
      </c>
      <c r="X1103">
        <v>5714367.75</v>
      </c>
      <c r="Y1103">
        <v>4606524</v>
      </c>
      <c r="Z1103" s="4">
        <f>Europe_Sales_Records34[[#This Row],[Total Profit]]/Europe_Sales_Records34[[#This Row],[Total Revenue]]</f>
        <v>0.19386987300563566</v>
      </c>
      <c r="AA1103">
        <v>1107843.75</v>
      </c>
    </row>
    <row r="1104" spans="1:27" x14ac:dyDescent="0.3">
      <c r="A1104" t="s">
        <v>14</v>
      </c>
      <c r="B1104" t="s">
        <v>243</v>
      </c>
      <c r="C1104" t="s">
        <v>58</v>
      </c>
      <c r="D1104" t="s">
        <v>17</v>
      </c>
      <c r="E1104" t="s">
        <v>33</v>
      </c>
      <c r="F1104" t="s">
        <v>1167</v>
      </c>
      <c r="G1104" s="2">
        <f t="shared" si="34"/>
        <v>41557</v>
      </c>
      <c r="H1104">
        <f>DAY(Europe_Sales_Records34[[#This Row],[Order Date Fixed]])</f>
        <v>10</v>
      </c>
      <c r="I1104" t="str">
        <f>TEXT(Europe_Sales_Records34[[#This Row],[Order Date Fixed]],"MMM")</f>
        <v>Oct</v>
      </c>
      <c r="J1104">
        <f>YEAR(Europe_Sales_Records34[[#This Row],[Order Date Fixed]])</f>
        <v>2013</v>
      </c>
      <c r="K1104" t="str">
        <f>TEXT(Europe_Sales_Records34[[#This Row],[Order Date Fixed]],"MMM-YYYY")</f>
        <v>Oct-2013</v>
      </c>
      <c r="L1104">
        <v>315066277</v>
      </c>
      <c r="M1104" s="2">
        <f t="shared" si="35"/>
        <v>41606</v>
      </c>
      <c r="N1104">
        <f>DAY(Europe_Sales_Records34[[#This Row],[Ship Date Fixed]])</f>
        <v>28</v>
      </c>
      <c r="O1104" t="str">
        <f>TEXT(Europe_Sales_Records34[[#This Row],[Ship Date Fixed]],"MMM")</f>
        <v>Nov</v>
      </c>
      <c r="P1104">
        <f>YEAR(Europe_Sales_Records34[[#This Row],[Ship Date Fixed]])</f>
        <v>2013</v>
      </c>
      <c r="Q1104" t="str">
        <f>TEXT(Europe_Sales_Records34[[#This Row],[Ship Date Fixed]],"MMM-YYYY")</f>
        <v>Nov-2013</v>
      </c>
      <c r="R1104" t="s">
        <v>1624</v>
      </c>
      <c r="S1104" s="3">
        <f>Europe_Sales_Records34[[#This Row],[Ship Date Fixed]]-Europe_Sales_Records34[[#This Row],[Order Date Fixed]]</f>
        <v>49</v>
      </c>
      <c r="T1104">
        <v>3968</v>
      </c>
      <c r="U1104">
        <v>152.58000000000001</v>
      </c>
      <c r="V1104">
        <v>97.44</v>
      </c>
      <c r="W1104">
        <f>Europe_Sales_Records34[[#This Row],[Total Revenue]]/Europe_Sales_Records34[[#This Row],[Units Sold]]</f>
        <v>152.57999999999998</v>
      </c>
      <c r="X1104">
        <v>605437.43999999994</v>
      </c>
      <c r="Y1104">
        <v>386641.91999999998</v>
      </c>
      <c r="Z1104" s="4">
        <f>Europe_Sales_Records34[[#This Row],[Total Profit]]/Europe_Sales_Records34[[#This Row],[Total Revenue]]</f>
        <v>0.36138419189933152</v>
      </c>
      <c r="AA1104">
        <v>218795.51999999999</v>
      </c>
    </row>
    <row r="1105" spans="1:27" x14ac:dyDescent="0.3">
      <c r="A1105" t="s">
        <v>14</v>
      </c>
      <c r="B1105" t="s">
        <v>169</v>
      </c>
      <c r="C1105" t="s">
        <v>71</v>
      </c>
      <c r="D1105" t="s">
        <v>17</v>
      </c>
      <c r="E1105" t="s">
        <v>18</v>
      </c>
      <c r="F1105" t="s">
        <v>941</v>
      </c>
      <c r="G1105" s="2">
        <f t="shared" si="34"/>
        <v>40460</v>
      </c>
      <c r="H1105">
        <f>DAY(Europe_Sales_Records34[[#This Row],[Order Date Fixed]])</f>
        <v>9</v>
      </c>
      <c r="I1105" t="str">
        <f>TEXT(Europe_Sales_Records34[[#This Row],[Order Date Fixed]],"MMM")</f>
        <v>Oct</v>
      </c>
      <c r="J1105">
        <f>YEAR(Europe_Sales_Records34[[#This Row],[Order Date Fixed]])</f>
        <v>2010</v>
      </c>
      <c r="K1105" t="str">
        <f>TEXT(Europe_Sales_Records34[[#This Row],[Order Date Fixed]],"MMM-YYYY")</f>
        <v>Oct-2010</v>
      </c>
      <c r="L1105">
        <v>766118133</v>
      </c>
      <c r="M1105" s="2">
        <f t="shared" si="35"/>
        <v>40461</v>
      </c>
      <c r="N1105">
        <f>DAY(Europe_Sales_Records34[[#This Row],[Ship Date Fixed]])</f>
        <v>10</v>
      </c>
      <c r="O1105" t="str">
        <f>TEXT(Europe_Sales_Records34[[#This Row],[Ship Date Fixed]],"MMM")</f>
        <v>Oct</v>
      </c>
      <c r="P1105">
        <f>YEAR(Europe_Sales_Records34[[#This Row],[Ship Date Fixed]])</f>
        <v>2010</v>
      </c>
      <c r="Q1105" t="str">
        <f>TEXT(Europe_Sales_Records34[[#This Row],[Ship Date Fixed]],"MMM-YYYY")</f>
        <v>Oct-2010</v>
      </c>
      <c r="R1105" t="s">
        <v>1625</v>
      </c>
      <c r="S1105" s="3">
        <f>Europe_Sales_Records34[[#This Row],[Ship Date Fixed]]-Europe_Sales_Records34[[#This Row],[Order Date Fixed]]</f>
        <v>1</v>
      </c>
      <c r="T1105">
        <v>235</v>
      </c>
      <c r="U1105">
        <v>668.27</v>
      </c>
      <c r="V1105">
        <v>502.54</v>
      </c>
      <c r="W1105">
        <f>Europe_Sales_Records34[[#This Row],[Total Revenue]]/Europe_Sales_Records34[[#This Row],[Units Sold]]</f>
        <v>668.2700000000001</v>
      </c>
      <c r="X1105">
        <v>157043.45000000001</v>
      </c>
      <c r="Y1105">
        <v>118096.9</v>
      </c>
      <c r="Z1105" s="4">
        <f>Europe_Sales_Records34[[#This Row],[Total Profit]]/Europe_Sales_Records34[[#This Row],[Total Revenue]]</f>
        <v>0.24799856345489099</v>
      </c>
      <c r="AA1105">
        <v>38946.550000000003</v>
      </c>
    </row>
    <row r="1106" spans="1:27" x14ac:dyDescent="0.3">
      <c r="A1106" t="s">
        <v>14</v>
      </c>
      <c r="B1106" t="s">
        <v>70</v>
      </c>
      <c r="C1106" t="s">
        <v>22</v>
      </c>
      <c r="D1106" t="s">
        <v>17</v>
      </c>
      <c r="E1106" t="s">
        <v>33</v>
      </c>
      <c r="F1106" t="s">
        <v>1626</v>
      </c>
      <c r="G1106" s="2">
        <f t="shared" si="34"/>
        <v>40368</v>
      </c>
      <c r="H1106">
        <f>DAY(Europe_Sales_Records34[[#This Row],[Order Date Fixed]])</f>
        <v>9</v>
      </c>
      <c r="I1106" t="str">
        <f>TEXT(Europe_Sales_Records34[[#This Row],[Order Date Fixed]],"MMM")</f>
        <v>Jul</v>
      </c>
      <c r="J1106">
        <f>YEAR(Europe_Sales_Records34[[#This Row],[Order Date Fixed]])</f>
        <v>2010</v>
      </c>
      <c r="K1106" t="str">
        <f>TEXT(Europe_Sales_Records34[[#This Row],[Order Date Fixed]],"MMM-YYYY")</f>
        <v>Jul-2010</v>
      </c>
      <c r="L1106">
        <v>138820683</v>
      </c>
      <c r="M1106" s="2">
        <f t="shared" si="35"/>
        <v>40368</v>
      </c>
      <c r="N1106">
        <f>DAY(Europe_Sales_Records34[[#This Row],[Ship Date Fixed]])</f>
        <v>9</v>
      </c>
      <c r="O1106" t="str">
        <f>TEXT(Europe_Sales_Records34[[#This Row],[Ship Date Fixed]],"MMM")</f>
        <v>Jul</v>
      </c>
      <c r="P1106">
        <f>YEAR(Europe_Sales_Records34[[#This Row],[Ship Date Fixed]])</f>
        <v>2010</v>
      </c>
      <c r="Q1106" t="str">
        <f>TEXT(Europe_Sales_Records34[[#This Row],[Ship Date Fixed]],"MMM-YYYY")</f>
        <v>Jul-2010</v>
      </c>
      <c r="R1106" t="s">
        <v>1626</v>
      </c>
      <c r="S1106" s="3">
        <f>Europe_Sales_Records34[[#This Row],[Ship Date Fixed]]-Europe_Sales_Records34[[#This Row],[Order Date Fixed]]</f>
        <v>0</v>
      </c>
      <c r="T1106">
        <v>8980</v>
      </c>
      <c r="U1106">
        <v>109.28</v>
      </c>
      <c r="V1106">
        <v>35.840000000000003</v>
      </c>
      <c r="W1106">
        <f>Europe_Sales_Records34[[#This Row],[Total Revenue]]/Europe_Sales_Records34[[#This Row],[Units Sold]]</f>
        <v>109.28</v>
      </c>
      <c r="X1106">
        <v>981334.4</v>
      </c>
      <c r="Y1106">
        <v>321843.20000000001</v>
      </c>
      <c r="Z1106" s="4">
        <f>Europe_Sales_Records34[[#This Row],[Total Profit]]/Europe_Sales_Records34[[#This Row],[Total Revenue]]</f>
        <v>0.67203513909224011</v>
      </c>
      <c r="AA1106">
        <v>659491.19999999995</v>
      </c>
    </row>
    <row r="1107" spans="1:27" x14ac:dyDescent="0.3">
      <c r="A1107" t="s">
        <v>14</v>
      </c>
      <c r="B1107" t="s">
        <v>45</v>
      </c>
      <c r="C1107" t="s">
        <v>28</v>
      </c>
      <c r="D1107" t="s">
        <v>23</v>
      </c>
      <c r="E1107" t="s">
        <v>24</v>
      </c>
      <c r="F1107" t="s">
        <v>157</v>
      </c>
      <c r="G1107" s="2">
        <f t="shared" si="34"/>
        <v>41261</v>
      </c>
      <c r="H1107">
        <f>DAY(Europe_Sales_Records34[[#This Row],[Order Date Fixed]])</f>
        <v>18</v>
      </c>
      <c r="I1107" t="str">
        <f>TEXT(Europe_Sales_Records34[[#This Row],[Order Date Fixed]],"MMM")</f>
        <v>Dec</v>
      </c>
      <c r="J1107">
        <f>YEAR(Europe_Sales_Records34[[#This Row],[Order Date Fixed]])</f>
        <v>2012</v>
      </c>
      <c r="K1107" t="str">
        <f>TEXT(Europe_Sales_Records34[[#This Row],[Order Date Fixed]],"MMM-YYYY")</f>
        <v>Dec-2012</v>
      </c>
      <c r="L1107">
        <v>733648812</v>
      </c>
      <c r="M1107" s="2">
        <f t="shared" si="35"/>
        <v>41267</v>
      </c>
      <c r="N1107">
        <f>DAY(Europe_Sales_Records34[[#This Row],[Ship Date Fixed]])</f>
        <v>24</v>
      </c>
      <c r="O1107" t="str">
        <f>TEXT(Europe_Sales_Records34[[#This Row],[Ship Date Fixed]],"MMM")</f>
        <v>Dec</v>
      </c>
      <c r="P1107">
        <f>YEAR(Europe_Sales_Records34[[#This Row],[Ship Date Fixed]])</f>
        <v>2012</v>
      </c>
      <c r="Q1107" t="str">
        <f>TEXT(Europe_Sales_Records34[[#This Row],[Ship Date Fixed]],"MMM-YYYY")</f>
        <v>Dec-2012</v>
      </c>
      <c r="R1107" t="s">
        <v>723</v>
      </c>
      <c r="S1107" s="3">
        <f>Europe_Sales_Records34[[#This Row],[Ship Date Fixed]]-Europe_Sales_Records34[[#This Row],[Order Date Fixed]]</f>
        <v>6</v>
      </c>
      <c r="T1107">
        <v>1842</v>
      </c>
      <c r="U1107">
        <v>205.7</v>
      </c>
      <c r="V1107">
        <v>117.11</v>
      </c>
      <c r="W1107">
        <f>Europe_Sales_Records34[[#This Row],[Total Revenue]]/Europe_Sales_Records34[[#This Row],[Units Sold]]</f>
        <v>205.70000000000002</v>
      </c>
      <c r="X1107">
        <v>378899.4</v>
      </c>
      <c r="Y1107">
        <v>215716.62</v>
      </c>
      <c r="Z1107" s="4">
        <f>Europe_Sales_Records34[[#This Row],[Total Profit]]/Europe_Sales_Records34[[#This Row],[Total Revenue]]</f>
        <v>0.43067574137092851</v>
      </c>
      <c r="AA1107">
        <v>163182.78</v>
      </c>
    </row>
    <row r="1108" spans="1:27" x14ac:dyDescent="0.3">
      <c r="A1108" t="s">
        <v>14</v>
      </c>
      <c r="B1108" t="s">
        <v>132</v>
      </c>
      <c r="C1108" t="s">
        <v>32</v>
      </c>
      <c r="D1108" t="s">
        <v>23</v>
      </c>
      <c r="E1108" t="s">
        <v>18</v>
      </c>
      <c r="F1108" t="s">
        <v>684</v>
      </c>
      <c r="G1108" s="2">
        <f t="shared" si="34"/>
        <v>42051</v>
      </c>
      <c r="H1108">
        <f>DAY(Europe_Sales_Records34[[#This Row],[Order Date Fixed]])</f>
        <v>16</v>
      </c>
      <c r="I1108" t="str">
        <f>TEXT(Europe_Sales_Records34[[#This Row],[Order Date Fixed]],"MMM")</f>
        <v>Feb</v>
      </c>
      <c r="J1108">
        <f>YEAR(Europe_Sales_Records34[[#This Row],[Order Date Fixed]])</f>
        <v>2015</v>
      </c>
      <c r="K1108" t="str">
        <f>TEXT(Europe_Sales_Records34[[#This Row],[Order Date Fixed]],"MMM-YYYY")</f>
        <v>Feb-2015</v>
      </c>
      <c r="L1108">
        <v>580782210</v>
      </c>
      <c r="M1108" s="2">
        <f t="shared" si="35"/>
        <v>42055</v>
      </c>
      <c r="N1108">
        <f>DAY(Europe_Sales_Records34[[#This Row],[Ship Date Fixed]])</f>
        <v>20</v>
      </c>
      <c r="O1108" t="str">
        <f>TEXT(Europe_Sales_Records34[[#This Row],[Ship Date Fixed]],"MMM")</f>
        <v>Feb</v>
      </c>
      <c r="P1108">
        <f>YEAR(Europe_Sales_Records34[[#This Row],[Ship Date Fixed]])</f>
        <v>2015</v>
      </c>
      <c r="Q1108" t="str">
        <f>TEXT(Europe_Sales_Records34[[#This Row],[Ship Date Fixed]],"MMM-YYYY")</f>
        <v>Feb-2015</v>
      </c>
      <c r="R1108" t="s">
        <v>1627</v>
      </c>
      <c r="S1108" s="3">
        <f>Europe_Sales_Records34[[#This Row],[Ship Date Fixed]]-Europe_Sales_Records34[[#This Row],[Order Date Fixed]]</f>
        <v>4</v>
      </c>
      <c r="T1108">
        <v>5217</v>
      </c>
      <c r="U1108">
        <v>651.21</v>
      </c>
      <c r="V1108">
        <v>524.96</v>
      </c>
      <c r="W1108">
        <f>Europe_Sales_Records34[[#This Row],[Total Revenue]]/Europe_Sales_Records34[[#This Row],[Units Sold]]</f>
        <v>651.20999999999992</v>
      </c>
      <c r="X1108">
        <v>3397362.57</v>
      </c>
      <c r="Y1108">
        <v>2738716.32</v>
      </c>
      <c r="Z1108" s="4">
        <f>Europe_Sales_Records34[[#This Row],[Total Profit]]/Europe_Sales_Records34[[#This Row],[Total Revenue]]</f>
        <v>0.19386987300563568</v>
      </c>
      <c r="AA1108">
        <v>658646.25</v>
      </c>
    </row>
    <row r="1109" spans="1:27" x14ac:dyDescent="0.3">
      <c r="A1109" t="s">
        <v>14</v>
      </c>
      <c r="B1109" t="s">
        <v>135</v>
      </c>
      <c r="C1109" t="s">
        <v>64</v>
      </c>
      <c r="D1109" t="s">
        <v>17</v>
      </c>
      <c r="E1109" t="s">
        <v>18</v>
      </c>
      <c r="F1109" t="s">
        <v>644</v>
      </c>
      <c r="G1109" s="2">
        <f t="shared" si="34"/>
        <v>40179</v>
      </c>
      <c r="H1109">
        <f>DAY(Europe_Sales_Records34[[#This Row],[Order Date Fixed]])</f>
        <v>1</v>
      </c>
      <c r="I1109" t="str">
        <f>TEXT(Europe_Sales_Records34[[#This Row],[Order Date Fixed]],"MMM")</f>
        <v>Jan</v>
      </c>
      <c r="J1109">
        <f>YEAR(Europe_Sales_Records34[[#This Row],[Order Date Fixed]])</f>
        <v>2010</v>
      </c>
      <c r="K1109" t="str">
        <f>TEXT(Europe_Sales_Records34[[#This Row],[Order Date Fixed]],"MMM-YYYY")</f>
        <v>Jan-2010</v>
      </c>
      <c r="L1109">
        <v>279703605</v>
      </c>
      <c r="M1109" s="2">
        <f t="shared" si="35"/>
        <v>40188</v>
      </c>
      <c r="N1109">
        <f>DAY(Europe_Sales_Records34[[#This Row],[Ship Date Fixed]])</f>
        <v>10</v>
      </c>
      <c r="O1109" t="str">
        <f>TEXT(Europe_Sales_Records34[[#This Row],[Ship Date Fixed]],"MMM")</f>
        <v>Jan</v>
      </c>
      <c r="P1109">
        <f>YEAR(Europe_Sales_Records34[[#This Row],[Ship Date Fixed]])</f>
        <v>2010</v>
      </c>
      <c r="Q1109" t="str">
        <f>TEXT(Europe_Sales_Records34[[#This Row],[Ship Date Fixed]],"MMM-YYYY")</f>
        <v>Jan-2010</v>
      </c>
      <c r="R1109" t="s">
        <v>1101</v>
      </c>
      <c r="S1109" s="3">
        <f>Europe_Sales_Records34[[#This Row],[Ship Date Fixed]]-Europe_Sales_Records34[[#This Row],[Order Date Fixed]]</f>
        <v>9</v>
      </c>
      <c r="T1109">
        <v>9367</v>
      </c>
      <c r="U1109">
        <v>255.28</v>
      </c>
      <c r="V1109">
        <v>159.41999999999999</v>
      </c>
      <c r="W1109">
        <f>Europe_Sales_Records34[[#This Row],[Total Revenue]]/Europe_Sales_Records34[[#This Row],[Units Sold]]</f>
        <v>255.27999999999997</v>
      </c>
      <c r="X1109">
        <v>2391207.7599999998</v>
      </c>
      <c r="Y1109">
        <v>1493287.14</v>
      </c>
      <c r="Z1109" s="4">
        <f>Europe_Sales_Records34[[#This Row],[Total Profit]]/Europe_Sales_Records34[[#This Row],[Total Revenue]]</f>
        <v>0.37550924475086184</v>
      </c>
      <c r="AA1109">
        <v>897920.62</v>
      </c>
    </row>
    <row r="1110" spans="1:27" x14ac:dyDescent="0.3">
      <c r="A1110" t="s">
        <v>14</v>
      </c>
      <c r="B1110" t="s">
        <v>89</v>
      </c>
      <c r="C1110" t="s">
        <v>64</v>
      </c>
      <c r="D1110" t="s">
        <v>17</v>
      </c>
      <c r="E1110" t="s">
        <v>54</v>
      </c>
      <c r="F1110" t="s">
        <v>810</v>
      </c>
      <c r="G1110" s="2">
        <f t="shared" si="34"/>
        <v>42420</v>
      </c>
      <c r="H1110">
        <f>DAY(Europe_Sales_Records34[[#This Row],[Order Date Fixed]])</f>
        <v>20</v>
      </c>
      <c r="I1110" t="str">
        <f>TEXT(Europe_Sales_Records34[[#This Row],[Order Date Fixed]],"MMM")</f>
        <v>Feb</v>
      </c>
      <c r="J1110">
        <f>YEAR(Europe_Sales_Records34[[#This Row],[Order Date Fixed]])</f>
        <v>2016</v>
      </c>
      <c r="K1110" t="str">
        <f>TEXT(Europe_Sales_Records34[[#This Row],[Order Date Fixed]],"MMM-YYYY")</f>
        <v>Feb-2016</v>
      </c>
      <c r="L1110">
        <v>645956456</v>
      </c>
      <c r="M1110" s="2">
        <f t="shared" si="35"/>
        <v>42468</v>
      </c>
      <c r="N1110">
        <f>DAY(Europe_Sales_Records34[[#This Row],[Ship Date Fixed]])</f>
        <v>8</v>
      </c>
      <c r="O1110" t="str">
        <f>TEXT(Europe_Sales_Records34[[#This Row],[Ship Date Fixed]],"MMM")</f>
        <v>Apr</v>
      </c>
      <c r="P1110">
        <f>YEAR(Europe_Sales_Records34[[#This Row],[Ship Date Fixed]])</f>
        <v>2016</v>
      </c>
      <c r="Q1110" t="str">
        <f>TEXT(Europe_Sales_Records34[[#This Row],[Ship Date Fixed]],"MMM-YYYY")</f>
        <v>Apr-2016</v>
      </c>
      <c r="R1110" t="s">
        <v>434</v>
      </c>
      <c r="S1110" s="3">
        <f>Europe_Sales_Records34[[#This Row],[Ship Date Fixed]]-Europe_Sales_Records34[[#This Row],[Order Date Fixed]]</f>
        <v>48</v>
      </c>
      <c r="T1110">
        <v>1725</v>
      </c>
      <c r="U1110">
        <v>255.28</v>
      </c>
      <c r="V1110">
        <v>159.41999999999999</v>
      </c>
      <c r="W1110">
        <f>Europe_Sales_Records34[[#This Row],[Total Revenue]]/Europe_Sales_Records34[[#This Row],[Units Sold]]</f>
        <v>255.28</v>
      </c>
      <c r="X1110">
        <v>440358</v>
      </c>
      <c r="Y1110">
        <v>274999.5</v>
      </c>
      <c r="Z1110" s="4">
        <f>Europe_Sales_Records34[[#This Row],[Total Profit]]/Europe_Sales_Records34[[#This Row],[Total Revenue]]</f>
        <v>0.37550924475086178</v>
      </c>
      <c r="AA1110">
        <v>165358.5</v>
      </c>
    </row>
    <row r="1111" spans="1:27" x14ac:dyDescent="0.3">
      <c r="A1111" t="s">
        <v>14</v>
      </c>
      <c r="B1111" t="s">
        <v>40</v>
      </c>
      <c r="C1111" t="s">
        <v>22</v>
      </c>
      <c r="D1111" t="s">
        <v>17</v>
      </c>
      <c r="E1111" t="s">
        <v>24</v>
      </c>
      <c r="F1111" t="s">
        <v>1628</v>
      </c>
      <c r="G1111" s="2">
        <f t="shared" si="34"/>
        <v>40866</v>
      </c>
      <c r="H1111">
        <f>DAY(Europe_Sales_Records34[[#This Row],[Order Date Fixed]])</f>
        <v>19</v>
      </c>
      <c r="I1111" t="str">
        <f>TEXT(Europe_Sales_Records34[[#This Row],[Order Date Fixed]],"MMM")</f>
        <v>Nov</v>
      </c>
      <c r="J1111">
        <f>YEAR(Europe_Sales_Records34[[#This Row],[Order Date Fixed]])</f>
        <v>2011</v>
      </c>
      <c r="K1111" t="str">
        <f>TEXT(Europe_Sales_Records34[[#This Row],[Order Date Fixed]],"MMM-YYYY")</f>
        <v>Nov-2011</v>
      </c>
      <c r="L1111">
        <v>526350104</v>
      </c>
      <c r="M1111" s="2">
        <f t="shared" si="35"/>
        <v>40881</v>
      </c>
      <c r="N1111">
        <f>DAY(Europe_Sales_Records34[[#This Row],[Ship Date Fixed]])</f>
        <v>4</v>
      </c>
      <c r="O1111" t="str">
        <f>TEXT(Europe_Sales_Records34[[#This Row],[Ship Date Fixed]],"MMM")</f>
        <v>Dec</v>
      </c>
      <c r="P1111">
        <f>YEAR(Europe_Sales_Records34[[#This Row],[Ship Date Fixed]])</f>
        <v>2011</v>
      </c>
      <c r="Q1111" t="str">
        <f>TEXT(Europe_Sales_Records34[[#This Row],[Ship Date Fixed]],"MMM-YYYY")</f>
        <v>Dec-2011</v>
      </c>
      <c r="R1111" t="s">
        <v>1629</v>
      </c>
      <c r="S1111" s="3">
        <f>Europe_Sales_Records34[[#This Row],[Ship Date Fixed]]-Europe_Sales_Records34[[#This Row],[Order Date Fixed]]</f>
        <v>15</v>
      </c>
      <c r="T1111">
        <v>7547</v>
      </c>
      <c r="U1111">
        <v>109.28</v>
      </c>
      <c r="V1111">
        <v>35.840000000000003</v>
      </c>
      <c r="W1111">
        <f>Europe_Sales_Records34[[#This Row],[Total Revenue]]/Europe_Sales_Records34[[#This Row],[Units Sold]]</f>
        <v>109.28</v>
      </c>
      <c r="X1111">
        <v>824736.16</v>
      </c>
      <c r="Y1111">
        <v>270484.47999999998</v>
      </c>
      <c r="Z1111" s="4">
        <f>Europe_Sales_Records34[[#This Row],[Total Profit]]/Europe_Sales_Records34[[#This Row],[Total Revenue]]</f>
        <v>0.67203513909224011</v>
      </c>
      <c r="AA1111">
        <v>554251.68000000005</v>
      </c>
    </row>
    <row r="1112" spans="1:27" x14ac:dyDescent="0.3">
      <c r="A1112" t="s">
        <v>14</v>
      </c>
      <c r="B1112" t="s">
        <v>220</v>
      </c>
      <c r="C1112" t="s">
        <v>50</v>
      </c>
      <c r="D1112" t="s">
        <v>23</v>
      </c>
      <c r="E1112" t="s">
        <v>33</v>
      </c>
      <c r="F1112" t="s">
        <v>1276</v>
      </c>
      <c r="G1112" s="2">
        <f t="shared" si="34"/>
        <v>42061</v>
      </c>
      <c r="H1112">
        <f>DAY(Europe_Sales_Records34[[#This Row],[Order Date Fixed]])</f>
        <v>26</v>
      </c>
      <c r="I1112" t="str">
        <f>TEXT(Europe_Sales_Records34[[#This Row],[Order Date Fixed]],"MMM")</f>
        <v>Feb</v>
      </c>
      <c r="J1112">
        <f>YEAR(Europe_Sales_Records34[[#This Row],[Order Date Fixed]])</f>
        <v>2015</v>
      </c>
      <c r="K1112" t="str">
        <f>TEXT(Europe_Sales_Records34[[#This Row],[Order Date Fixed]],"MMM-YYYY")</f>
        <v>Feb-2015</v>
      </c>
      <c r="L1112">
        <v>212903726</v>
      </c>
      <c r="M1112" s="2">
        <f t="shared" si="35"/>
        <v>42061</v>
      </c>
      <c r="N1112">
        <f>DAY(Europe_Sales_Records34[[#This Row],[Ship Date Fixed]])</f>
        <v>26</v>
      </c>
      <c r="O1112" t="str">
        <f>TEXT(Europe_Sales_Records34[[#This Row],[Ship Date Fixed]],"MMM")</f>
        <v>Feb</v>
      </c>
      <c r="P1112">
        <f>YEAR(Europe_Sales_Records34[[#This Row],[Ship Date Fixed]])</f>
        <v>2015</v>
      </c>
      <c r="Q1112" t="str">
        <f>TEXT(Europe_Sales_Records34[[#This Row],[Ship Date Fixed]],"MMM-YYYY")</f>
        <v>Feb-2015</v>
      </c>
      <c r="R1112" t="s">
        <v>1276</v>
      </c>
      <c r="S1112" s="3">
        <f>Europe_Sales_Records34[[#This Row],[Ship Date Fixed]]-Europe_Sales_Records34[[#This Row],[Order Date Fixed]]</f>
        <v>0</v>
      </c>
      <c r="T1112">
        <v>1798</v>
      </c>
      <c r="U1112">
        <v>421.89</v>
      </c>
      <c r="V1112">
        <v>364.69</v>
      </c>
      <c r="W1112">
        <f>Europe_Sales_Records34[[#This Row],[Total Revenue]]/Europe_Sales_Records34[[#This Row],[Units Sold]]</f>
        <v>421.89</v>
      </c>
      <c r="X1112">
        <v>758558.22</v>
      </c>
      <c r="Y1112">
        <v>655712.62</v>
      </c>
      <c r="Z1112" s="4">
        <f>Europe_Sales_Records34[[#This Row],[Total Profit]]/Europe_Sales_Records34[[#This Row],[Total Revenue]]</f>
        <v>0.13558036455000119</v>
      </c>
      <c r="AA1112">
        <v>102845.6</v>
      </c>
    </row>
    <row r="1113" spans="1:27" x14ac:dyDescent="0.3">
      <c r="A1113" t="s">
        <v>14</v>
      </c>
      <c r="B1113" t="s">
        <v>53</v>
      </c>
      <c r="C1113" t="s">
        <v>46</v>
      </c>
      <c r="D1113" t="s">
        <v>23</v>
      </c>
      <c r="E1113" t="s">
        <v>18</v>
      </c>
      <c r="F1113" t="s">
        <v>1630</v>
      </c>
      <c r="G1113" s="2">
        <f t="shared" si="34"/>
        <v>42907</v>
      </c>
      <c r="H1113">
        <f>DAY(Europe_Sales_Records34[[#This Row],[Order Date Fixed]])</f>
        <v>21</v>
      </c>
      <c r="I1113" t="str">
        <f>TEXT(Europe_Sales_Records34[[#This Row],[Order Date Fixed]],"MMM")</f>
        <v>Jun</v>
      </c>
      <c r="J1113">
        <f>YEAR(Europe_Sales_Records34[[#This Row],[Order Date Fixed]])</f>
        <v>2017</v>
      </c>
      <c r="K1113" t="str">
        <f>TEXT(Europe_Sales_Records34[[#This Row],[Order Date Fixed]],"MMM-YYYY")</f>
        <v>Jun-2017</v>
      </c>
      <c r="L1113">
        <v>680325210</v>
      </c>
      <c r="M1113" s="2">
        <f t="shared" si="35"/>
        <v>42939</v>
      </c>
      <c r="N1113">
        <f>DAY(Europe_Sales_Records34[[#This Row],[Ship Date Fixed]])</f>
        <v>23</v>
      </c>
      <c r="O1113" t="str">
        <f>TEXT(Europe_Sales_Records34[[#This Row],[Ship Date Fixed]],"MMM")</f>
        <v>Jul</v>
      </c>
      <c r="P1113">
        <f>YEAR(Europe_Sales_Records34[[#This Row],[Ship Date Fixed]])</f>
        <v>2017</v>
      </c>
      <c r="Q1113" t="str">
        <f>TEXT(Europe_Sales_Records34[[#This Row],[Ship Date Fixed]],"MMM-YYYY")</f>
        <v>Jul-2017</v>
      </c>
      <c r="R1113" t="s">
        <v>724</v>
      </c>
      <c r="S1113" s="3">
        <f>Europe_Sales_Records34[[#This Row],[Ship Date Fixed]]-Europe_Sales_Records34[[#This Row],[Order Date Fixed]]</f>
        <v>32</v>
      </c>
      <c r="T1113">
        <v>2203</v>
      </c>
      <c r="U1113">
        <v>154.06</v>
      </c>
      <c r="V1113">
        <v>90.93</v>
      </c>
      <c r="W1113">
        <f>Europe_Sales_Records34[[#This Row],[Total Revenue]]/Europe_Sales_Records34[[#This Row],[Units Sold]]</f>
        <v>154.06</v>
      </c>
      <c r="X1113">
        <v>339394.18</v>
      </c>
      <c r="Y1113">
        <v>200318.79</v>
      </c>
      <c r="Z1113" s="4">
        <f>Europe_Sales_Records34[[#This Row],[Total Profit]]/Europe_Sales_Records34[[#This Row],[Total Revenue]]</f>
        <v>0.40977541217707392</v>
      </c>
      <c r="AA1113">
        <v>139075.39000000001</v>
      </c>
    </row>
    <row r="1114" spans="1:27" x14ac:dyDescent="0.3">
      <c r="A1114" t="s">
        <v>14</v>
      </c>
      <c r="B1114" t="s">
        <v>97</v>
      </c>
      <c r="C1114" t="s">
        <v>16</v>
      </c>
      <c r="D1114" t="s">
        <v>23</v>
      </c>
      <c r="E1114" t="s">
        <v>24</v>
      </c>
      <c r="F1114" t="s">
        <v>1631</v>
      </c>
      <c r="G1114" s="2">
        <f t="shared" si="34"/>
        <v>40577</v>
      </c>
      <c r="H1114">
        <f>DAY(Europe_Sales_Records34[[#This Row],[Order Date Fixed]])</f>
        <v>3</v>
      </c>
      <c r="I1114" t="str">
        <f>TEXT(Europe_Sales_Records34[[#This Row],[Order Date Fixed]],"MMM")</f>
        <v>Feb</v>
      </c>
      <c r="J1114">
        <f>YEAR(Europe_Sales_Records34[[#This Row],[Order Date Fixed]])</f>
        <v>2011</v>
      </c>
      <c r="K1114" t="str">
        <f>TEXT(Europe_Sales_Records34[[#This Row],[Order Date Fixed]],"MMM-YYYY")</f>
        <v>Feb-2011</v>
      </c>
      <c r="L1114">
        <v>263882005</v>
      </c>
      <c r="M1114" s="2">
        <f t="shared" si="35"/>
        <v>40601</v>
      </c>
      <c r="N1114">
        <f>DAY(Europe_Sales_Records34[[#This Row],[Ship Date Fixed]])</f>
        <v>27</v>
      </c>
      <c r="O1114" t="str">
        <f>TEXT(Europe_Sales_Records34[[#This Row],[Ship Date Fixed]],"MMM")</f>
        <v>Feb</v>
      </c>
      <c r="P1114">
        <f>YEAR(Europe_Sales_Records34[[#This Row],[Ship Date Fixed]])</f>
        <v>2011</v>
      </c>
      <c r="Q1114" t="str">
        <f>TEXT(Europe_Sales_Records34[[#This Row],[Ship Date Fixed]],"MMM-YYYY")</f>
        <v>Feb-2011</v>
      </c>
      <c r="R1114" t="s">
        <v>1546</v>
      </c>
      <c r="S1114" s="3">
        <f>Europe_Sales_Records34[[#This Row],[Ship Date Fixed]]-Europe_Sales_Records34[[#This Row],[Order Date Fixed]]</f>
        <v>24</v>
      </c>
      <c r="T1114">
        <v>7404</v>
      </c>
      <c r="U1114">
        <v>47.45</v>
      </c>
      <c r="V1114">
        <v>31.79</v>
      </c>
      <c r="W1114">
        <f>Europe_Sales_Records34[[#This Row],[Total Revenue]]/Europe_Sales_Records34[[#This Row],[Units Sold]]</f>
        <v>47.449999999999996</v>
      </c>
      <c r="X1114">
        <v>351319.8</v>
      </c>
      <c r="Y1114">
        <v>235373.16</v>
      </c>
      <c r="Z1114" s="4">
        <f>Europe_Sales_Records34[[#This Row],[Total Profit]]/Europe_Sales_Records34[[#This Row],[Total Revenue]]</f>
        <v>0.33003161222339306</v>
      </c>
      <c r="AA1114">
        <v>115946.64</v>
      </c>
    </row>
    <row r="1115" spans="1:27" x14ac:dyDescent="0.3">
      <c r="A1115" t="s">
        <v>14</v>
      </c>
      <c r="B1115" t="s">
        <v>97</v>
      </c>
      <c r="C1115" t="s">
        <v>37</v>
      </c>
      <c r="D1115" t="s">
        <v>17</v>
      </c>
      <c r="E1115" t="s">
        <v>33</v>
      </c>
      <c r="F1115" t="s">
        <v>1358</v>
      </c>
      <c r="G1115" s="2">
        <f t="shared" si="34"/>
        <v>42518</v>
      </c>
      <c r="H1115">
        <f>DAY(Europe_Sales_Records34[[#This Row],[Order Date Fixed]])</f>
        <v>28</v>
      </c>
      <c r="I1115" t="str">
        <f>TEXT(Europe_Sales_Records34[[#This Row],[Order Date Fixed]],"MMM")</f>
        <v>May</v>
      </c>
      <c r="J1115">
        <f>YEAR(Europe_Sales_Records34[[#This Row],[Order Date Fixed]])</f>
        <v>2016</v>
      </c>
      <c r="K1115" t="str">
        <f>TEXT(Europe_Sales_Records34[[#This Row],[Order Date Fixed]],"MMM-YYYY")</f>
        <v>May-2016</v>
      </c>
      <c r="L1115">
        <v>295168149</v>
      </c>
      <c r="M1115" s="2">
        <f t="shared" si="35"/>
        <v>42567</v>
      </c>
      <c r="N1115">
        <f>DAY(Europe_Sales_Records34[[#This Row],[Ship Date Fixed]])</f>
        <v>16</v>
      </c>
      <c r="O1115" t="str">
        <f>TEXT(Europe_Sales_Records34[[#This Row],[Ship Date Fixed]],"MMM")</f>
        <v>Jul</v>
      </c>
      <c r="P1115">
        <f>YEAR(Europe_Sales_Records34[[#This Row],[Ship Date Fixed]])</f>
        <v>2016</v>
      </c>
      <c r="Q1115" t="str">
        <f>TEXT(Europe_Sales_Records34[[#This Row],[Ship Date Fixed]],"MMM-YYYY")</f>
        <v>Jul-2016</v>
      </c>
      <c r="R1115" t="s">
        <v>1632</v>
      </c>
      <c r="S1115" s="3">
        <f>Europe_Sales_Records34[[#This Row],[Ship Date Fixed]]-Europe_Sales_Records34[[#This Row],[Order Date Fixed]]</f>
        <v>49</v>
      </c>
      <c r="T1115">
        <v>5669</v>
      </c>
      <c r="U1115">
        <v>9.33</v>
      </c>
      <c r="V1115">
        <v>6.92</v>
      </c>
      <c r="W1115">
        <f>Europe_Sales_Records34[[#This Row],[Total Revenue]]/Europe_Sales_Records34[[#This Row],[Units Sold]]</f>
        <v>9.33</v>
      </c>
      <c r="X1115">
        <v>52891.77</v>
      </c>
      <c r="Y1115">
        <v>39229.480000000003</v>
      </c>
      <c r="Z1115" s="4">
        <f>Europe_Sales_Records34[[#This Row],[Total Profit]]/Europe_Sales_Records34[[#This Row],[Total Revenue]]</f>
        <v>0.25830653804930337</v>
      </c>
      <c r="AA1115">
        <v>13662.29</v>
      </c>
    </row>
    <row r="1116" spans="1:27" x14ac:dyDescent="0.3">
      <c r="A1116" t="s">
        <v>14</v>
      </c>
      <c r="B1116" t="s">
        <v>183</v>
      </c>
      <c r="C1116" t="s">
        <v>50</v>
      </c>
      <c r="D1116" t="s">
        <v>17</v>
      </c>
      <c r="E1116" t="s">
        <v>18</v>
      </c>
      <c r="F1116" t="s">
        <v>1633</v>
      </c>
      <c r="G1116" s="2">
        <f t="shared" si="34"/>
        <v>42625</v>
      </c>
      <c r="H1116">
        <f>DAY(Europe_Sales_Records34[[#This Row],[Order Date Fixed]])</f>
        <v>12</v>
      </c>
      <c r="I1116" t="str">
        <f>TEXT(Europe_Sales_Records34[[#This Row],[Order Date Fixed]],"MMM")</f>
        <v>Sep</v>
      </c>
      <c r="J1116">
        <f>YEAR(Europe_Sales_Records34[[#This Row],[Order Date Fixed]])</f>
        <v>2016</v>
      </c>
      <c r="K1116" t="str">
        <f>TEXT(Europe_Sales_Records34[[#This Row],[Order Date Fixed]],"MMM-YYYY")</f>
        <v>Sep-2016</v>
      </c>
      <c r="L1116">
        <v>645111024</v>
      </c>
      <c r="M1116" s="2">
        <f t="shared" si="35"/>
        <v>42639</v>
      </c>
      <c r="N1116">
        <f>DAY(Europe_Sales_Records34[[#This Row],[Ship Date Fixed]])</f>
        <v>26</v>
      </c>
      <c r="O1116" t="str">
        <f>TEXT(Europe_Sales_Records34[[#This Row],[Ship Date Fixed]],"MMM")</f>
        <v>Sep</v>
      </c>
      <c r="P1116">
        <f>YEAR(Europe_Sales_Records34[[#This Row],[Ship Date Fixed]])</f>
        <v>2016</v>
      </c>
      <c r="Q1116" t="str">
        <f>TEXT(Europe_Sales_Records34[[#This Row],[Ship Date Fixed]],"MMM-YYYY")</f>
        <v>Sep-2016</v>
      </c>
      <c r="R1116" t="s">
        <v>1634</v>
      </c>
      <c r="S1116" s="3">
        <f>Europe_Sales_Records34[[#This Row],[Ship Date Fixed]]-Europe_Sales_Records34[[#This Row],[Order Date Fixed]]</f>
        <v>14</v>
      </c>
      <c r="T1116">
        <v>1543</v>
      </c>
      <c r="U1116">
        <v>421.89</v>
      </c>
      <c r="V1116">
        <v>364.69</v>
      </c>
      <c r="W1116">
        <f>Europe_Sales_Records34[[#This Row],[Total Revenue]]/Europe_Sales_Records34[[#This Row],[Units Sold]]</f>
        <v>421.89</v>
      </c>
      <c r="X1116">
        <v>650976.27</v>
      </c>
      <c r="Y1116">
        <v>562716.67000000004</v>
      </c>
      <c r="Z1116" s="4">
        <f>Europe_Sales_Records34[[#This Row],[Total Profit]]/Europe_Sales_Records34[[#This Row],[Total Revenue]]</f>
        <v>0.13558036455000119</v>
      </c>
      <c r="AA1116">
        <v>88259.6</v>
      </c>
    </row>
    <row r="1117" spans="1:27" x14ac:dyDescent="0.3">
      <c r="A1117" t="s">
        <v>14</v>
      </c>
      <c r="B1117" t="s">
        <v>49</v>
      </c>
      <c r="C1117" t="s">
        <v>64</v>
      </c>
      <c r="D1117" t="s">
        <v>17</v>
      </c>
      <c r="E1117" t="s">
        <v>24</v>
      </c>
      <c r="F1117" t="s">
        <v>1096</v>
      </c>
      <c r="G1117" s="2">
        <f t="shared" si="34"/>
        <v>41862</v>
      </c>
      <c r="H1117">
        <f>DAY(Europe_Sales_Records34[[#This Row],[Order Date Fixed]])</f>
        <v>11</v>
      </c>
      <c r="I1117" t="str">
        <f>TEXT(Europe_Sales_Records34[[#This Row],[Order Date Fixed]],"MMM")</f>
        <v>Aug</v>
      </c>
      <c r="J1117">
        <f>YEAR(Europe_Sales_Records34[[#This Row],[Order Date Fixed]])</f>
        <v>2014</v>
      </c>
      <c r="K1117" t="str">
        <f>TEXT(Europe_Sales_Records34[[#This Row],[Order Date Fixed]],"MMM-YYYY")</f>
        <v>Aug-2014</v>
      </c>
      <c r="L1117">
        <v>850562655</v>
      </c>
      <c r="M1117" s="2">
        <f t="shared" si="35"/>
        <v>41907</v>
      </c>
      <c r="N1117">
        <f>DAY(Europe_Sales_Records34[[#This Row],[Ship Date Fixed]])</f>
        <v>25</v>
      </c>
      <c r="O1117" t="str">
        <f>TEXT(Europe_Sales_Records34[[#This Row],[Ship Date Fixed]],"MMM")</f>
        <v>Sep</v>
      </c>
      <c r="P1117">
        <f>YEAR(Europe_Sales_Records34[[#This Row],[Ship Date Fixed]])</f>
        <v>2014</v>
      </c>
      <c r="Q1117" t="str">
        <f>TEXT(Europe_Sales_Records34[[#This Row],[Ship Date Fixed]],"MMM-YYYY")</f>
        <v>Sep-2014</v>
      </c>
      <c r="R1117" t="s">
        <v>1340</v>
      </c>
      <c r="S1117" s="3">
        <f>Europe_Sales_Records34[[#This Row],[Ship Date Fixed]]-Europe_Sales_Records34[[#This Row],[Order Date Fixed]]</f>
        <v>45</v>
      </c>
      <c r="T1117">
        <v>9246</v>
      </c>
      <c r="U1117">
        <v>255.28</v>
      </c>
      <c r="V1117">
        <v>159.41999999999999</v>
      </c>
      <c r="W1117">
        <f>Europe_Sales_Records34[[#This Row],[Total Revenue]]/Europe_Sales_Records34[[#This Row],[Units Sold]]</f>
        <v>255.28</v>
      </c>
      <c r="X1117">
        <v>2360318.88</v>
      </c>
      <c r="Y1117">
        <v>1473997.32</v>
      </c>
      <c r="Z1117" s="4">
        <f>Europe_Sales_Records34[[#This Row],[Total Profit]]/Europe_Sales_Records34[[#This Row],[Total Revenue]]</f>
        <v>0.37550924475086184</v>
      </c>
      <c r="AA1117">
        <v>886321.56</v>
      </c>
    </row>
    <row r="1118" spans="1:27" x14ac:dyDescent="0.3">
      <c r="A1118" t="s">
        <v>14</v>
      </c>
      <c r="B1118" t="s">
        <v>271</v>
      </c>
      <c r="C1118" t="s">
        <v>102</v>
      </c>
      <c r="D1118" t="s">
        <v>17</v>
      </c>
      <c r="E1118" t="s">
        <v>33</v>
      </c>
      <c r="F1118" t="s">
        <v>210</v>
      </c>
      <c r="G1118" s="2">
        <f t="shared" si="34"/>
        <v>41644</v>
      </c>
      <c r="H1118">
        <f>DAY(Europe_Sales_Records34[[#This Row],[Order Date Fixed]])</f>
        <v>5</v>
      </c>
      <c r="I1118" t="str">
        <f>TEXT(Europe_Sales_Records34[[#This Row],[Order Date Fixed]],"MMM")</f>
        <v>Jan</v>
      </c>
      <c r="J1118">
        <f>YEAR(Europe_Sales_Records34[[#This Row],[Order Date Fixed]])</f>
        <v>2014</v>
      </c>
      <c r="K1118" t="str">
        <f>TEXT(Europe_Sales_Records34[[#This Row],[Order Date Fixed]],"MMM-YYYY")</f>
        <v>Jan-2014</v>
      </c>
      <c r="L1118">
        <v>702357947</v>
      </c>
      <c r="M1118" s="2">
        <f t="shared" si="35"/>
        <v>41674</v>
      </c>
      <c r="N1118">
        <f>DAY(Europe_Sales_Records34[[#This Row],[Ship Date Fixed]])</f>
        <v>4</v>
      </c>
      <c r="O1118" t="str">
        <f>TEXT(Europe_Sales_Records34[[#This Row],[Ship Date Fixed]],"MMM")</f>
        <v>Feb</v>
      </c>
      <c r="P1118">
        <f>YEAR(Europe_Sales_Records34[[#This Row],[Ship Date Fixed]])</f>
        <v>2014</v>
      </c>
      <c r="Q1118" t="str">
        <f>TEXT(Europe_Sales_Records34[[#This Row],[Ship Date Fixed]],"MMM-YYYY")</f>
        <v>Feb-2014</v>
      </c>
      <c r="R1118" t="s">
        <v>1635</v>
      </c>
      <c r="S1118" s="3">
        <f>Europe_Sales_Records34[[#This Row],[Ship Date Fixed]]-Europe_Sales_Records34[[#This Row],[Order Date Fixed]]</f>
        <v>30</v>
      </c>
      <c r="T1118">
        <v>2179</v>
      </c>
      <c r="U1118">
        <v>81.73</v>
      </c>
      <c r="V1118">
        <v>56.67</v>
      </c>
      <c r="W1118">
        <f>Europe_Sales_Records34[[#This Row],[Total Revenue]]/Europe_Sales_Records34[[#This Row],[Units Sold]]</f>
        <v>81.73</v>
      </c>
      <c r="X1118">
        <v>178089.67</v>
      </c>
      <c r="Y1118">
        <v>123483.93</v>
      </c>
      <c r="Z1118" s="4">
        <f>Europe_Sales_Records34[[#This Row],[Total Profit]]/Europe_Sales_Records34[[#This Row],[Total Revenue]]</f>
        <v>0.30661935641747212</v>
      </c>
      <c r="AA1118">
        <v>54605.74</v>
      </c>
    </row>
    <row r="1119" spans="1:27" x14ac:dyDescent="0.3">
      <c r="A1119" t="s">
        <v>14</v>
      </c>
      <c r="B1119" t="s">
        <v>40</v>
      </c>
      <c r="C1119" t="s">
        <v>22</v>
      </c>
      <c r="D1119" t="s">
        <v>23</v>
      </c>
      <c r="E1119" t="s">
        <v>33</v>
      </c>
      <c r="F1119" t="s">
        <v>1352</v>
      </c>
      <c r="G1119" s="2">
        <f t="shared" si="34"/>
        <v>42868</v>
      </c>
      <c r="H1119">
        <f>DAY(Europe_Sales_Records34[[#This Row],[Order Date Fixed]])</f>
        <v>13</v>
      </c>
      <c r="I1119" t="str">
        <f>TEXT(Europe_Sales_Records34[[#This Row],[Order Date Fixed]],"MMM")</f>
        <v>May</v>
      </c>
      <c r="J1119">
        <f>YEAR(Europe_Sales_Records34[[#This Row],[Order Date Fixed]])</f>
        <v>2017</v>
      </c>
      <c r="K1119" t="str">
        <f>TEXT(Europe_Sales_Records34[[#This Row],[Order Date Fixed]],"MMM-YYYY")</f>
        <v>May-2017</v>
      </c>
      <c r="L1119">
        <v>102230632</v>
      </c>
      <c r="M1119" s="2">
        <f t="shared" si="35"/>
        <v>42899</v>
      </c>
      <c r="N1119">
        <f>DAY(Europe_Sales_Records34[[#This Row],[Ship Date Fixed]])</f>
        <v>13</v>
      </c>
      <c r="O1119" t="str">
        <f>TEXT(Europe_Sales_Records34[[#This Row],[Ship Date Fixed]],"MMM")</f>
        <v>Jun</v>
      </c>
      <c r="P1119">
        <f>YEAR(Europe_Sales_Records34[[#This Row],[Ship Date Fixed]])</f>
        <v>2017</v>
      </c>
      <c r="Q1119" t="str">
        <f>TEXT(Europe_Sales_Records34[[#This Row],[Ship Date Fixed]],"MMM-YYYY")</f>
        <v>Jun-2017</v>
      </c>
      <c r="R1119" t="s">
        <v>655</v>
      </c>
      <c r="S1119" s="3">
        <f>Europe_Sales_Records34[[#This Row],[Ship Date Fixed]]-Europe_Sales_Records34[[#This Row],[Order Date Fixed]]</f>
        <v>31</v>
      </c>
      <c r="T1119">
        <v>1171</v>
      </c>
      <c r="U1119">
        <v>109.28</v>
      </c>
      <c r="V1119">
        <v>35.840000000000003</v>
      </c>
      <c r="W1119">
        <f>Europe_Sales_Records34[[#This Row],[Total Revenue]]/Europe_Sales_Records34[[#This Row],[Units Sold]]</f>
        <v>109.28</v>
      </c>
      <c r="X1119">
        <v>127966.88</v>
      </c>
      <c r="Y1119">
        <v>41968.639999999999</v>
      </c>
      <c r="Z1119" s="4">
        <f>Europe_Sales_Records34[[#This Row],[Total Profit]]/Europe_Sales_Records34[[#This Row],[Total Revenue]]</f>
        <v>0.67203513909224011</v>
      </c>
      <c r="AA1119">
        <v>85998.24</v>
      </c>
    </row>
    <row r="1120" spans="1:27" x14ac:dyDescent="0.3">
      <c r="A1120" t="s">
        <v>14</v>
      </c>
      <c r="B1120" t="s">
        <v>122</v>
      </c>
      <c r="C1120" t="s">
        <v>22</v>
      </c>
      <c r="D1120" t="s">
        <v>23</v>
      </c>
      <c r="E1120" t="s">
        <v>33</v>
      </c>
      <c r="F1120" t="s">
        <v>1636</v>
      </c>
      <c r="G1120" s="2">
        <f t="shared" si="34"/>
        <v>40181</v>
      </c>
      <c r="H1120">
        <f>DAY(Europe_Sales_Records34[[#This Row],[Order Date Fixed]])</f>
        <v>3</v>
      </c>
      <c r="I1120" t="str">
        <f>TEXT(Europe_Sales_Records34[[#This Row],[Order Date Fixed]],"MMM")</f>
        <v>Jan</v>
      </c>
      <c r="J1120">
        <f>YEAR(Europe_Sales_Records34[[#This Row],[Order Date Fixed]])</f>
        <v>2010</v>
      </c>
      <c r="K1120" t="str">
        <f>TEXT(Europe_Sales_Records34[[#This Row],[Order Date Fixed]],"MMM-YYYY")</f>
        <v>Jan-2010</v>
      </c>
      <c r="L1120">
        <v>231450879</v>
      </c>
      <c r="M1120" s="2">
        <f t="shared" si="35"/>
        <v>40231</v>
      </c>
      <c r="N1120">
        <f>DAY(Europe_Sales_Records34[[#This Row],[Ship Date Fixed]])</f>
        <v>22</v>
      </c>
      <c r="O1120" t="str">
        <f>TEXT(Europe_Sales_Records34[[#This Row],[Ship Date Fixed]],"MMM")</f>
        <v>Feb</v>
      </c>
      <c r="P1120">
        <f>YEAR(Europe_Sales_Records34[[#This Row],[Ship Date Fixed]])</f>
        <v>2010</v>
      </c>
      <c r="Q1120" t="str">
        <f>TEXT(Europe_Sales_Records34[[#This Row],[Ship Date Fixed]],"MMM-YYYY")</f>
        <v>Feb-2010</v>
      </c>
      <c r="R1120" t="s">
        <v>1637</v>
      </c>
      <c r="S1120" s="3">
        <f>Europe_Sales_Records34[[#This Row],[Ship Date Fixed]]-Europe_Sales_Records34[[#This Row],[Order Date Fixed]]</f>
        <v>50</v>
      </c>
      <c r="T1120">
        <v>313</v>
      </c>
      <c r="U1120">
        <v>109.28</v>
      </c>
      <c r="V1120">
        <v>35.840000000000003</v>
      </c>
      <c r="W1120">
        <f>Europe_Sales_Records34[[#This Row],[Total Revenue]]/Europe_Sales_Records34[[#This Row],[Units Sold]]</f>
        <v>109.28</v>
      </c>
      <c r="X1120">
        <v>34204.639999999999</v>
      </c>
      <c r="Y1120">
        <v>11217.92</v>
      </c>
      <c r="Z1120" s="4">
        <f>Europe_Sales_Records34[[#This Row],[Total Profit]]/Europe_Sales_Records34[[#This Row],[Total Revenue]]</f>
        <v>0.67203513909224011</v>
      </c>
      <c r="AA1120">
        <v>22986.720000000001</v>
      </c>
    </row>
    <row r="1121" spans="1:27" x14ac:dyDescent="0.3">
      <c r="A1121" t="s">
        <v>14</v>
      </c>
      <c r="B1121" t="s">
        <v>89</v>
      </c>
      <c r="C1121" t="s">
        <v>22</v>
      </c>
      <c r="D1121" t="s">
        <v>23</v>
      </c>
      <c r="E1121" t="s">
        <v>24</v>
      </c>
      <c r="F1121" t="s">
        <v>813</v>
      </c>
      <c r="G1121" s="2">
        <f t="shared" si="34"/>
        <v>40452</v>
      </c>
      <c r="H1121">
        <f>DAY(Europe_Sales_Records34[[#This Row],[Order Date Fixed]])</f>
        <v>1</v>
      </c>
      <c r="I1121" t="str">
        <f>TEXT(Europe_Sales_Records34[[#This Row],[Order Date Fixed]],"MMM")</f>
        <v>Oct</v>
      </c>
      <c r="J1121">
        <f>YEAR(Europe_Sales_Records34[[#This Row],[Order Date Fixed]])</f>
        <v>2010</v>
      </c>
      <c r="K1121" t="str">
        <f>TEXT(Europe_Sales_Records34[[#This Row],[Order Date Fixed]],"MMM-YYYY")</f>
        <v>Oct-2010</v>
      </c>
      <c r="L1121">
        <v>880176818</v>
      </c>
      <c r="M1121" s="2">
        <f t="shared" si="35"/>
        <v>40466</v>
      </c>
      <c r="N1121">
        <f>DAY(Europe_Sales_Records34[[#This Row],[Ship Date Fixed]])</f>
        <v>15</v>
      </c>
      <c r="O1121" t="str">
        <f>TEXT(Europe_Sales_Records34[[#This Row],[Ship Date Fixed]],"MMM")</f>
        <v>Oct</v>
      </c>
      <c r="P1121">
        <f>YEAR(Europe_Sales_Records34[[#This Row],[Ship Date Fixed]])</f>
        <v>2010</v>
      </c>
      <c r="Q1121" t="str">
        <f>TEXT(Europe_Sales_Records34[[#This Row],[Ship Date Fixed]],"MMM-YYYY")</f>
        <v>Oct-2010</v>
      </c>
      <c r="R1121" t="s">
        <v>1571</v>
      </c>
      <c r="S1121" s="3">
        <f>Europe_Sales_Records34[[#This Row],[Ship Date Fixed]]-Europe_Sales_Records34[[#This Row],[Order Date Fixed]]</f>
        <v>14</v>
      </c>
      <c r="T1121">
        <v>2735</v>
      </c>
      <c r="U1121">
        <v>109.28</v>
      </c>
      <c r="V1121">
        <v>35.840000000000003</v>
      </c>
      <c r="W1121">
        <f>Europe_Sales_Records34[[#This Row],[Total Revenue]]/Europe_Sales_Records34[[#This Row],[Units Sold]]</f>
        <v>109.28</v>
      </c>
      <c r="X1121">
        <v>298880.8</v>
      </c>
      <c r="Y1121">
        <v>98022.399999999994</v>
      </c>
      <c r="Z1121" s="4">
        <f>Europe_Sales_Records34[[#This Row],[Total Profit]]/Europe_Sales_Records34[[#This Row],[Total Revenue]]</f>
        <v>0.67203513909224011</v>
      </c>
      <c r="AA1121">
        <v>200858.4</v>
      </c>
    </row>
    <row r="1122" spans="1:27" x14ac:dyDescent="0.3">
      <c r="A1122" t="s">
        <v>14</v>
      </c>
      <c r="B1122" t="s">
        <v>185</v>
      </c>
      <c r="C1122" t="s">
        <v>22</v>
      </c>
      <c r="D1122" t="s">
        <v>23</v>
      </c>
      <c r="E1122" t="s">
        <v>54</v>
      </c>
      <c r="F1122" t="s">
        <v>594</v>
      </c>
      <c r="G1122" s="2">
        <f t="shared" si="34"/>
        <v>40704</v>
      </c>
      <c r="H1122">
        <f>DAY(Europe_Sales_Records34[[#This Row],[Order Date Fixed]])</f>
        <v>10</v>
      </c>
      <c r="I1122" t="str">
        <f>TEXT(Europe_Sales_Records34[[#This Row],[Order Date Fixed]],"MMM")</f>
        <v>Jun</v>
      </c>
      <c r="J1122">
        <f>YEAR(Europe_Sales_Records34[[#This Row],[Order Date Fixed]])</f>
        <v>2011</v>
      </c>
      <c r="K1122" t="str">
        <f>TEXT(Europe_Sales_Records34[[#This Row],[Order Date Fixed]],"MMM-YYYY")</f>
        <v>Jun-2011</v>
      </c>
      <c r="L1122">
        <v>755318915</v>
      </c>
      <c r="M1122" s="2">
        <f t="shared" si="35"/>
        <v>40719</v>
      </c>
      <c r="N1122">
        <f>DAY(Europe_Sales_Records34[[#This Row],[Ship Date Fixed]])</f>
        <v>25</v>
      </c>
      <c r="O1122" t="str">
        <f>TEXT(Europe_Sales_Records34[[#This Row],[Ship Date Fixed]],"MMM")</f>
        <v>Jun</v>
      </c>
      <c r="P1122">
        <f>YEAR(Europe_Sales_Records34[[#This Row],[Ship Date Fixed]])</f>
        <v>2011</v>
      </c>
      <c r="Q1122" t="str">
        <f>TEXT(Europe_Sales_Records34[[#This Row],[Ship Date Fixed]],"MMM-YYYY")</f>
        <v>Jun-2011</v>
      </c>
      <c r="R1122" t="s">
        <v>401</v>
      </c>
      <c r="S1122" s="3">
        <f>Europe_Sales_Records34[[#This Row],[Ship Date Fixed]]-Europe_Sales_Records34[[#This Row],[Order Date Fixed]]</f>
        <v>15</v>
      </c>
      <c r="T1122">
        <v>4507</v>
      </c>
      <c r="U1122">
        <v>109.28</v>
      </c>
      <c r="V1122">
        <v>35.840000000000003</v>
      </c>
      <c r="W1122">
        <f>Europe_Sales_Records34[[#This Row],[Total Revenue]]/Europe_Sales_Records34[[#This Row],[Units Sold]]</f>
        <v>109.28</v>
      </c>
      <c r="X1122">
        <v>492524.96</v>
      </c>
      <c r="Y1122">
        <v>161530.88</v>
      </c>
      <c r="Z1122" s="4">
        <f>Europe_Sales_Records34[[#This Row],[Total Profit]]/Europe_Sales_Records34[[#This Row],[Total Revenue]]</f>
        <v>0.67203513909224011</v>
      </c>
      <c r="AA1122">
        <v>330994.08</v>
      </c>
    </row>
    <row r="1123" spans="1:27" x14ac:dyDescent="0.3">
      <c r="A1123" t="s">
        <v>14</v>
      </c>
      <c r="B1123" t="s">
        <v>220</v>
      </c>
      <c r="C1123" t="s">
        <v>16</v>
      </c>
      <c r="D1123" t="s">
        <v>23</v>
      </c>
      <c r="E1123" t="s">
        <v>54</v>
      </c>
      <c r="F1123" t="s">
        <v>1638</v>
      </c>
      <c r="G1123" s="2">
        <f t="shared" si="34"/>
        <v>41238</v>
      </c>
      <c r="H1123">
        <f>DAY(Europe_Sales_Records34[[#This Row],[Order Date Fixed]])</f>
        <v>25</v>
      </c>
      <c r="I1123" t="str">
        <f>TEXT(Europe_Sales_Records34[[#This Row],[Order Date Fixed]],"MMM")</f>
        <v>Nov</v>
      </c>
      <c r="J1123">
        <f>YEAR(Europe_Sales_Records34[[#This Row],[Order Date Fixed]])</f>
        <v>2012</v>
      </c>
      <c r="K1123" t="str">
        <f>TEXT(Europe_Sales_Records34[[#This Row],[Order Date Fixed]],"MMM-YYYY")</f>
        <v>Nov-2012</v>
      </c>
      <c r="L1123">
        <v>378873240</v>
      </c>
      <c r="M1123" s="2">
        <f t="shared" si="35"/>
        <v>41241</v>
      </c>
      <c r="N1123">
        <f>DAY(Europe_Sales_Records34[[#This Row],[Ship Date Fixed]])</f>
        <v>28</v>
      </c>
      <c r="O1123" t="str">
        <f>TEXT(Europe_Sales_Records34[[#This Row],[Ship Date Fixed]],"MMM")</f>
        <v>Nov</v>
      </c>
      <c r="P1123">
        <f>YEAR(Europe_Sales_Records34[[#This Row],[Ship Date Fixed]])</f>
        <v>2012</v>
      </c>
      <c r="Q1123" t="str">
        <f>TEXT(Europe_Sales_Records34[[#This Row],[Ship Date Fixed]],"MMM-YYYY")</f>
        <v>Nov-2012</v>
      </c>
      <c r="R1123" t="s">
        <v>725</v>
      </c>
      <c r="S1123" s="3">
        <f>Europe_Sales_Records34[[#This Row],[Ship Date Fixed]]-Europe_Sales_Records34[[#This Row],[Order Date Fixed]]</f>
        <v>3</v>
      </c>
      <c r="T1123">
        <v>5866</v>
      </c>
      <c r="U1123">
        <v>47.45</v>
      </c>
      <c r="V1123">
        <v>31.79</v>
      </c>
      <c r="W1123">
        <f>Europe_Sales_Records34[[#This Row],[Total Revenue]]/Europe_Sales_Records34[[#This Row],[Units Sold]]</f>
        <v>47.45</v>
      </c>
      <c r="X1123">
        <v>278341.7</v>
      </c>
      <c r="Y1123">
        <v>186480.14</v>
      </c>
      <c r="Z1123" s="4">
        <f>Europe_Sales_Records34[[#This Row],[Total Profit]]/Europe_Sales_Records34[[#This Row],[Total Revenue]]</f>
        <v>0.330031612223393</v>
      </c>
      <c r="AA1123">
        <v>91861.56</v>
      </c>
    </row>
    <row r="1124" spans="1:27" x14ac:dyDescent="0.3">
      <c r="A1124" t="s">
        <v>14</v>
      </c>
      <c r="B1124" t="s">
        <v>105</v>
      </c>
      <c r="C1124" t="s">
        <v>37</v>
      </c>
      <c r="D1124" t="s">
        <v>23</v>
      </c>
      <c r="E1124" t="s">
        <v>33</v>
      </c>
      <c r="F1124" t="s">
        <v>1639</v>
      </c>
      <c r="G1124" s="2">
        <f t="shared" si="34"/>
        <v>40874</v>
      </c>
      <c r="H1124">
        <f>DAY(Europe_Sales_Records34[[#This Row],[Order Date Fixed]])</f>
        <v>27</v>
      </c>
      <c r="I1124" t="str">
        <f>TEXT(Europe_Sales_Records34[[#This Row],[Order Date Fixed]],"MMM")</f>
        <v>Nov</v>
      </c>
      <c r="J1124">
        <f>YEAR(Europe_Sales_Records34[[#This Row],[Order Date Fixed]])</f>
        <v>2011</v>
      </c>
      <c r="K1124" t="str">
        <f>TEXT(Europe_Sales_Records34[[#This Row],[Order Date Fixed]],"MMM-YYYY")</f>
        <v>Nov-2011</v>
      </c>
      <c r="L1124">
        <v>264856183</v>
      </c>
      <c r="M1124" s="2">
        <f t="shared" si="35"/>
        <v>40900</v>
      </c>
      <c r="N1124">
        <f>DAY(Europe_Sales_Records34[[#This Row],[Ship Date Fixed]])</f>
        <v>23</v>
      </c>
      <c r="O1124" t="str">
        <f>TEXT(Europe_Sales_Records34[[#This Row],[Ship Date Fixed]],"MMM")</f>
        <v>Dec</v>
      </c>
      <c r="P1124">
        <f>YEAR(Europe_Sales_Records34[[#This Row],[Ship Date Fixed]])</f>
        <v>2011</v>
      </c>
      <c r="Q1124" t="str">
        <f>TEXT(Europe_Sales_Records34[[#This Row],[Ship Date Fixed]],"MMM-YYYY")</f>
        <v>Dec-2011</v>
      </c>
      <c r="R1124" t="s">
        <v>1640</v>
      </c>
      <c r="S1124" s="3">
        <f>Europe_Sales_Records34[[#This Row],[Ship Date Fixed]]-Europe_Sales_Records34[[#This Row],[Order Date Fixed]]</f>
        <v>26</v>
      </c>
      <c r="T1124">
        <v>5685</v>
      </c>
      <c r="U1124">
        <v>9.33</v>
      </c>
      <c r="V1124">
        <v>6.92</v>
      </c>
      <c r="W1124">
        <f>Europe_Sales_Records34[[#This Row],[Total Revenue]]/Europe_Sales_Records34[[#This Row],[Units Sold]]</f>
        <v>9.33</v>
      </c>
      <c r="X1124">
        <v>53041.05</v>
      </c>
      <c r="Y1124">
        <v>39340.199999999997</v>
      </c>
      <c r="Z1124" s="4">
        <f>Europe_Sales_Records34[[#This Row],[Total Profit]]/Europe_Sales_Records34[[#This Row],[Total Revenue]]</f>
        <v>0.25830653804930331</v>
      </c>
      <c r="AA1124">
        <v>13700.85</v>
      </c>
    </row>
    <row r="1125" spans="1:27" x14ac:dyDescent="0.3">
      <c r="A1125" t="s">
        <v>14</v>
      </c>
      <c r="B1125" t="s">
        <v>15</v>
      </c>
      <c r="C1125" t="s">
        <v>28</v>
      </c>
      <c r="D1125" t="s">
        <v>23</v>
      </c>
      <c r="E1125" t="s">
        <v>18</v>
      </c>
      <c r="F1125" t="s">
        <v>1290</v>
      </c>
      <c r="G1125" s="2">
        <f t="shared" si="34"/>
        <v>41853</v>
      </c>
      <c r="H1125">
        <f>DAY(Europe_Sales_Records34[[#This Row],[Order Date Fixed]])</f>
        <v>2</v>
      </c>
      <c r="I1125" t="str">
        <f>TEXT(Europe_Sales_Records34[[#This Row],[Order Date Fixed]],"MMM")</f>
        <v>Aug</v>
      </c>
      <c r="J1125">
        <f>YEAR(Europe_Sales_Records34[[#This Row],[Order Date Fixed]])</f>
        <v>2014</v>
      </c>
      <c r="K1125" t="str">
        <f>TEXT(Europe_Sales_Records34[[#This Row],[Order Date Fixed]],"MMM-YYYY")</f>
        <v>Aug-2014</v>
      </c>
      <c r="L1125">
        <v>118659913</v>
      </c>
      <c r="M1125" s="2">
        <f t="shared" si="35"/>
        <v>41868</v>
      </c>
      <c r="N1125">
        <f>DAY(Europe_Sales_Records34[[#This Row],[Ship Date Fixed]])</f>
        <v>17</v>
      </c>
      <c r="O1125" t="str">
        <f>TEXT(Europe_Sales_Records34[[#This Row],[Ship Date Fixed]],"MMM")</f>
        <v>Aug</v>
      </c>
      <c r="P1125">
        <f>YEAR(Europe_Sales_Records34[[#This Row],[Ship Date Fixed]])</f>
        <v>2014</v>
      </c>
      <c r="Q1125" t="str">
        <f>TEXT(Europe_Sales_Records34[[#This Row],[Ship Date Fixed]],"MMM-YYYY")</f>
        <v>Aug-2014</v>
      </c>
      <c r="R1125" t="s">
        <v>1641</v>
      </c>
      <c r="S1125" s="3">
        <f>Europe_Sales_Records34[[#This Row],[Ship Date Fixed]]-Europe_Sales_Records34[[#This Row],[Order Date Fixed]]</f>
        <v>15</v>
      </c>
      <c r="T1125">
        <v>2960</v>
      </c>
      <c r="U1125">
        <v>205.7</v>
      </c>
      <c r="V1125">
        <v>117.11</v>
      </c>
      <c r="W1125">
        <f>Europe_Sales_Records34[[#This Row],[Total Revenue]]/Europe_Sales_Records34[[#This Row],[Units Sold]]</f>
        <v>205.7</v>
      </c>
      <c r="X1125">
        <v>608872</v>
      </c>
      <c r="Y1125">
        <v>346645.6</v>
      </c>
      <c r="Z1125" s="4">
        <f>Europe_Sales_Records34[[#This Row],[Total Profit]]/Europe_Sales_Records34[[#This Row],[Total Revenue]]</f>
        <v>0.43067574137092857</v>
      </c>
      <c r="AA1125">
        <v>262226.40000000002</v>
      </c>
    </row>
    <row r="1126" spans="1:27" x14ac:dyDescent="0.3">
      <c r="A1126" t="s">
        <v>14</v>
      </c>
      <c r="B1126" t="s">
        <v>61</v>
      </c>
      <c r="C1126" t="s">
        <v>64</v>
      </c>
      <c r="D1126" t="s">
        <v>23</v>
      </c>
      <c r="E1126" t="s">
        <v>33</v>
      </c>
      <c r="F1126" t="s">
        <v>562</v>
      </c>
      <c r="G1126" s="2">
        <f t="shared" si="34"/>
        <v>41200</v>
      </c>
      <c r="H1126">
        <f>DAY(Europe_Sales_Records34[[#This Row],[Order Date Fixed]])</f>
        <v>18</v>
      </c>
      <c r="I1126" t="str">
        <f>TEXT(Europe_Sales_Records34[[#This Row],[Order Date Fixed]],"MMM")</f>
        <v>Oct</v>
      </c>
      <c r="J1126">
        <f>YEAR(Europe_Sales_Records34[[#This Row],[Order Date Fixed]])</f>
        <v>2012</v>
      </c>
      <c r="K1126" t="str">
        <f>TEXT(Europe_Sales_Records34[[#This Row],[Order Date Fixed]],"MMM-YYYY")</f>
        <v>Oct-2012</v>
      </c>
      <c r="L1126">
        <v>667324435</v>
      </c>
      <c r="M1126" s="2">
        <f t="shared" si="35"/>
        <v>41213</v>
      </c>
      <c r="N1126">
        <f>DAY(Europe_Sales_Records34[[#This Row],[Ship Date Fixed]])</f>
        <v>31</v>
      </c>
      <c r="O1126" t="str">
        <f>TEXT(Europe_Sales_Records34[[#This Row],[Ship Date Fixed]],"MMM")</f>
        <v>Oct</v>
      </c>
      <c r="P1126">
        <f>YEAR(Europe_Sales_Records34[[#This Row],[Ship Date Fixed]])</f>
        <v>2012</v>
      </c>
      <c r="Q1126" t="str">
        <f>TEXT(Europe_Sales_Records34[[#This Row],[Ship Date Fixed]],"MMM-YYYY")</f>
        <v>Oct-2012</v>
      </c>
      <c r="R1126" t="s">
        <v>1642</v>
      </c>
      <c r="S1126" s="3">
        <f>Europe_Sales_Records34[[#This Row],[Ship Date Fixed]]-Europe_Sales_Records34[[#This Row],[Order Date Fixed]]</f>
        <v>13</v>
      </c>
      <c r="T1126">
        <v>4985</v>
      </c>
      <c r="U1126">
        <v>255.28</v>
      </c>
      <c r="V1126">
        <v>159.41999999999999</v>
      </c>
      <c r="W1126">
        <f>Europe_Sales_Records34[[#This Row],[Total Revenue]]/Europe_Sales_Records34[[#This Row],[Units Sold]]</f>
        <v>255.28</v>
      </c>
      <c r="X1126">
        <v>1272570.8</v>
      </c>
      <c r="Y1126">
        <v>794708.7</v>
      </c>
      <c r="Z1126" s="4">
        <f>Europe_Sales_Records34[[#This Row],[Total Profit]]/Europe_Sales_Records34[[#This Row],[Total Revenue]]</f>
        <v>0.37550924475086178</v>
      </c>
      <c r="AA1126">
        <v>477862.1</v>
      </c>
    </row>
    <row r="1127" spans="1:27" x14ac:dyDescent="0.3">
      <c r="A1127" t="s">
        <v>14</v>
      </c>
      <c r="B1127" t="s">
        <v>89</v>
      </c>
      <c r="C1127" t="s">
        <v>64</v>
      </c>
      <c r="D1127" t="s">
        <v>23</v>
      </c>
      <c r="E1127" t="s">
        <v>18</v>
      </c>
      <c r="F1127" t="s">
        <v>1477</v>
      </c>
      <c r="G1127" s="2">
        <f t="shared" si="34"/>
        <v>40812</v>
      </c>
      <c r="H1127">
        <f>DAY(Europe_Sales_Records34[[#This Row],[Order Date Fixed]])</f>
        <v>26</v>
      </c>
      <c r="I1127" t="str">
        <f>TEXT(Europe_Sales_Records34[[#This Row],[Order Date Fixed]],"MMM")</f>
        <v>Sep</v>
      </c>
      <c r="J1127">
        <f>YEAR(Europe_Sales_Records34[[#This Row],[Order Date Fixed]])</f>
        <v>2011</v>
      </c>
      <c r="K1127" t="str">
        <f>TEXT(Europe_Sales_Records34[[#This Row],[Order Date Fixed]],"MMM-YYYY")</f>
        <v>Sep-2011</v>
      </c>
      <c r="L1127">
        <v>685233008</v>
      </c>
      <c r="M1127" s="2">
        <f t="shared" si="35"/>
        <v>40833</v>
      </c>
      <c r="N1127">
        <f>DAY(Europe_Sales_Records34[[#This Row],[Ship Date Fixed]])</f>
        <v>17</v>
      </c>
      <c r="O1127" t="str">
        <f>TEXT(Europe_Sales_Records34[[#This Row],[Ship Date Fixed]],"MMM")</f>
        <v>Oct</v>
      </c>
      <c r="P1127">
        <f>YEAR(Europe_Sales_Records34[[#This Row],[Ship Date Fixed]])</f>
        <v>2011</v>
      </c>
      <c r="Q1127" t="str">
        <f>TEXT(Europe_Sales_Records34[[#This Row],[Ship Date Fixed]],"MMM-YYYY")</f>
        <v>Oct-2011</v>
      </c>
      <c r="R1127" t="s">
        <v>1643</v>
      </c>
      <c r="S1127" s="3">
        <f>Europe_Sales_Records34[[#This Row],[Ship Date Fixed]]-Europe_Sales_Records34[[#This Row],[Order Date Fixed]]</f>
        <v>21</v>
      </c>
      <c r="T1127">
        <v>4529</v>
      </c>
      <c r="U1127">
        <v>255.28</v>
      </c>
      <c r="V1127">
        <v>159.41999999999999</v>
      </c>
      <c r="W1127">
        <f>Europe_Sales_Records34[[#This Row],[Total Revenue]]/Europe_Sales_Records34[[#This Row],[Units Sold]]</f>
        <v>255.28000000000003</v>
      </c>
      <c r="X1127">
        <v>1156163.1200000001</v>
      </c>
      <c r="Y1127">
        <v>722013.18</v>
      </c>
      <c r="Z1127" s="4">
        <f>Europe_Sales_Records34[[#This Row],[Total Profit]]/Europe_Sales_Records34[[#This Row],[Total Revenue]]</f>
        <v>0.37550924475086178</v>
      </c>
      <c r="AA1127">
        <v>434149.94</v>
      </c>
    </row>
    <row r="1128" spans="1:27" x14ac:dyDescent="0.3">
      <c r="A1128" t="s">
        <v>14</v>
      </c>
      <c r="B1128" t="s">
        <v>110</v>
      </c>
      <c r="C1128" t="s">
        <v>16</v>
      </c>
      <c r="D1128" t="s">
        <v>23</v>
      </c>
      <c r="E1128" t="s">
        <v>54</v>
      </c>
      <c r="F1128" t="s">
        <v>1612</v>
      </c>
      <c r="G1128" s="2">
        <f t="shared" si="34"/>
        <v>41347</v>
      </c>
      <c r="H1128">
        <f>DAY(Europe_Sales_Records34[[#This Row],[Order Date Fixed]])</f>
        <v>14</v>
      </c>
      <c r="I1128" t="str">
        <f>TEXT(Europe_Sales_Records34[[#This Row],[Order Date Fixed]],"MMM")</f>
        <v>Mar</v>
      </c>
      <c r="J1128">
        <f>YEAR(Europe_Sales_Records34[[#This Row],[Order Date Fixed]])</f>
        <v>2013</v>
      </c>
      <c r="K1128" t="str">
        <f>TEXT(Europe_Sales_Records34[[#This Row],[Order Date Fixed]],"MMM-YYYY")</f>
        <v>Mar-2013</v>
      </c>
      <c r="L1128">
        <v>757468974</v>
      </c>
      <c r="M1128" s="2">
        <f t="shared" si="35"/>
        <v>41356</v>
      </c>
      <c r="N1128">
        <f>DAY(Europe_Sales_Records34[[#This Row],[Ship Date Fixed]])</f>
        <v>23</v>
      </c>
      <c r="O1128" t="str">
        <f>TEXT(Europe_Sales_Records34[[#This Row],[Ship Date Fixed]],"MMM")</f>
        <v>Mar</v>
      </c>
      <c r="P1128">
        <f>YEAR(Europe_Sales_Records34[[#This Row],[Ship Date Fixed]])</f>
        <v>2013</v>
      </c>
      <c r="Q1128" t="str">
        <f>TEXT(Europe_Sales_Records34[[#This Row],[Ship Date Fixed]],"MMM-YYYY")</f>
        <v>Mar-2013</v>
      </c>
      <c r="R1128" t="s">
        <v>1644</v>
      </c>
      <c r="S1128" s="3">
        <f>Europe_Sales_Records34[[#This Row],[Ship Date Fixed]]-Europe_Sales_Records34[[#This Row],[Order Date Fixed]]</f>
        <v>9</v>
      </c>
      <c r="T1128">
        <v>757</v>
      </c>
      <c r="U1128">
        <v>47.45</v>
      </c>
      <c r="V1128">
        <v>31.79</v>
      </c>
      <c r="W1128">
        <f>Europe_Sales_Records34[[#This Row],[Total Revenue]]/Europe_Sales_Records34[[#This Row],[Units Sold]]</f>
        <v>47.45</v>
      </c>
      <c r="X1128">
        <v>35919.65</v>
      </c>
      <c r="Y1128">
        <v>24065.03</v>
      </c>
      <c r="Z1128" s="4">
        <f>Europe_Sales_Records34[[#This Row],[Total Profit]]/Europe_Sales_Records34[[#This Row],[Total Revenue]]</f>
        <v>0.33003161222339306</v>
      </c>
      <c r="AA1128">
        <v>11854.62</v>
      </c>
    </row>
    <row r="1129" spans="1:27" x14ac:dyDescent="0.3">
      <c r="A1129" t="s">
        <v>14</v>
      </c>
      <c r="B1129" t="s">
        <v>57</v>
      </c>
      <c r="C1129" t="s">
        <v>50</v>
      </c>
      <c r="D1129" t="s">
        <v>23</v>
      </c>
      <c r="E1129" t="s">
        <v>54</v>
      </c>
      <c r="F1129" t="s">
        <v>1645</v>
      </c>
      <c r="G1129" s="2">
        <f t="shared" si="34"/>
        <v>42270</v>
      </c>
      <c r="H1129">
        <f>DAY(Europe_Sales_Records34[[#This Row],[Order Date Fixed]])</f>
        <v>23</v>
      </c>
      <c r="I1129" t="str">
        <f>TEXT(Europe_Sales_Records34[[#This Row],[Order Date Fixed]],"MMM")</f>
        <v>Sep</v>
      </c>
      <c r="J1129">
        <f>YEAR(Europe_Sales_Records34[[#This Row],[Order Date Fixed]])</f>
        <v>2015</v>
      </c>
      <c r="K1129" t="str">
        <f>TEXT(Europe_Sales_Records34[[#This Row],[Order Date Fixed]],"MMM-YYYY")</f>
        <v>Sep-2015</v>
      </c>
      <c r="L1129">
        <v>512714612</v>
      </c>
      <c r="M1129" s="2">
        <f t="shared" si="35"/>
        <v>42286</v>
      </c>
      <c r="N1129">
        <f>DAY(Europe_Sales_Records34[[#This Row],[Ship Date Fixed]])</f>
        <v>9</v>
      </c>
      <c r="O1129" t="str">
        <f>TEXT(Europe_Sales_Records34[[#This Row],[Ship Date Fixed]],"MMM")</f>
        <v>Oct</v>
      </c>
      <c r="P1129">
        <f>YEAR(Europe_Sales_Records34[[#This Row],[Ship Date Fixed]])</f>
        <v>2015</v>
      </c>
      <c r="Q1129" t="str">
        <f>TEXT(Europe_Sales_Records34[[#This Row],[Ship Date Fixed]],"MMM-YYYY")</f>
        <v>Oct-2015</v>
      </c>
      <c r="R1129" t="s">
        <v>1646</v>
      </c>
      <c r="S1129" s="3">
        <f>Europe_Sales_Records34[[#This Row],[Ship Date Fixed]]-Europe_Sales_Records34[[#This Row],[Order Date Fixed]]</f>
        <v>16</v>
      </c>
      <c r="T1129">
        <v>2502</v>
      </c>
      <c r="U1129">
        <v>421.89</v>
      </c>
      <c r="V1129">
        <v>364.69</v>
      </c>
      <c r="W1129">
        <f>Europe_Sales_Records34[[#This Row],[Total Revenue]]/Europe_Sales_Records34[[#This Row],[Units Sold]]</f>
        <v>421.89</v>
      </c>
      <c r="X1129">
        <v>1055568.78</v>
      </c>
      <c r="Y1129">
        <v>912454.38</v>
      </c>
      <c r="Z1129" s="4">
        <f>Europe_Sales_Records34[[#This Row],[Total Profit]]/Europe_Sales_Records34[[#This Row],[Total Revenue]]</f>
        <v>0.13558036455000116</v>
      </c>
      <c r="AA1129">
        <v>143114.4</v>
      </c>
    </row>
    <row r="1130" spans="1:27" x14ac:dyDescent="0.3">
      <c r="A1130" t="s">
        <v>14</v>
      </c>
      <c r="B1130" t="s">
        <v>364</v>
      </c>
      <c r="C1130" t="s">
        <v>50</v>
      </c>
      <c r="D1130" t="s">
        <v>17</v>
      </c>
      <c r="E1130" t="s">
        <v>24</v>
      </c>
      <c r="F1130" t="s">
        <v>832</v>
      </c>
      <c r="G1130" s="2">
        <f t="shared" si="34"/>
        <v>40220</v>
      </c>
      <c r="H1130">
        <f>DAY(Europe_Sales_Records34[[#This Row],[Order Date Fixed]])</f>
        <v>11</v>
      </c>
      <c r="I1130" t="str">
        <f>TEXT(Europe_Sales_Records34[[#This Row],[Order Date Fixed]],"MMM")</f>
        <v>Feb</v>
      </c>
      <c r="J1130">
        <f>YEAR(Europe_Sales_Records34[[#This Row],[Order Date Fixed]])</f>
        <v>2010</v>
      </c>
      <c r="K1130" t="str">
        <f>TEXT(Europe_Sales_Records34[[#This Row],[Order Date Fixed]],"MMM-YYYY")</f>
        <v>Feb-2010</v>
      </c>
      <c r="L1130">
        <v>516485583</v>
      </c>
      <c r="M1130" s="2">
        <f t="shared" si="35"/>
        <v>40243</v>
      </c>
      <c r="N1130">
        <f>DAY(Europe_Sales_Records34[[#This Row],[Ship Date Fixed]])</f>
        <v>6</v>
      </c>
      <c r="O1130" t="str">
        <f>TEXT(Europe_Sales_Records34[[#This Row],[Ship Date Fixed]],"MMM")</f>
        <v>Mar</v>
      </c>
      <c r="P1130">
        <f>YEAR(Europe_Sales_Records34[[#This Row],[Ship Date Fixed]])</f>
        <v>2010</v>
      </c>
      <c r="Q1130" t="str">
        <f>TEXT(Europe_Sales_Records34[[#This Row],[Ship Date Fixed]],"MMM-YYYY")</f>
        <v>Mar-2010</v>
      </c>
      <c r="R1130" t="s">
        <v>1647</v>
      </c>
      <c r="S1130" s="3">
        <f>Europe_Sales_Records34[[#This Row],[Ship Date Fixed]]-Europe_Sales_Records34[[#This Row],[Order Date Fixed]]</f>
        <v>23</v>
      </c>
      <c r="T1130">
        <v>8416</v>
      </c>
      <c r="U1130">
        <v>421.89</v>
      </c>
      <c r="V1130">
        <v>364.69</v>
      </c>
      <c r="W1130">
        <f>Europe_Sales_Records34[[#This Row],[Total Revenue]]/Europe_Sales_Records34[[#This Row],[Units Sold]]</f>
        <v>421.89000000000004</v>
      </c>
      <c r="X1130">
        <v>3550626.24</v>
      </c>
      <c r="Y1130">
        <v>3069231.04</v>
      </c>
      <c r="Z1130" s="4">
        <f>Europe_Sales_Records34[[#This Row],[Total Profit]]/Europe_Sales_Records34[[#This Row],[Total Revenue]]</f>
        <v>0.13558036455000119</v>
      </c>
      <c r="AA1130">
        <v>481395.20000000001</v>
      </c>
    </row>
    <row r="1131" spans="1:27" x14ac:dyDescent="0.3">
      <c r="A1131" t="s">
        <v>14</v>
      </c>
      <c r="B1131" t="s">
        <v>132</v>
      </c>
      <c r="C1131" t="s">
        <v>46</v>
      </c>
      <c r="D1131" t="s">
        <v>23</v>
      </c>
      <c r="E1131" t="s">
        <v>54</v>
      </c>
      <c r="F1131" t="s">
        <v>1648</v>
      </c>
      <c r="G1131" s="2">
        <f t="shared" si="34"/>
        <v>41950</v>
      </c>
      <c r="H1131">
        <f>DAY(Europe_Sales_Records34[[#This Row],[Order Date Fixed]])</f>
        <v>7</v>
      </c>
      <c r="I1131" t="str">
        <f>TEXT(Europe_Sales_Records34[[#This Row],[Order Date Fixed]],"MMM")</f>
        <v>Nov</v>
      </c>
      <c r="J1131">
        <f>YEAR(Europe_Sales_Records34[[#This Row],[Order Date Fixed]])</f>
        <v>2014</v>
      </c>
      <c r="K1131" t="str">
        <f>TEXT(Europe_Sales_Records34[[#This Row],[Order Date Fixed]],"MMM-YYYY")</f>
        <v>Nov-2014</v>
      </c>
      <c r="L1131">
        <v>491547477</v>
      </c>
      <c r="M1131" s="2">
        <f t="shared" si="35"/>
        <v>41950</v>
      </c>
      <c r="N1131">
        <f>DAY(Europe_Sales_Records34[[#This Row],[Ship Date Fixed]])</f>
        <v>7</v>
      </c>
      <c r="O1131" t="str">
        <f>TEXT(Europe_Sales_Records34[[#This Row],[Ship Date Fixed]],"MMM")</f>
        <v>Nov</v>
      </c>
      <c r="P1131">
        <f>YEAR(Europe_Sales_Records34[[#This Row],[Ship Date Fixed]])</f>
        <v>2014</v>
      </c>
      <c r="Q1131" t="str">
        <f>TEXT(Europe_Sales_Records34[[#This Row],[Ship Date Fixed]],"MMM-YYYY")</f>
        <v>Nov-2014</v>
      </c>
      <c r="R1131" t="s">
        <v>1648</v>
      </c>
      <c r="S1131" s="3">
        <f>Europe_Sales_Records34[[#This Row],[Ship Date Fixed]]-Europe_Sales_Records34[[#This Row],[Order Date Fixed]]</f>
        <v>0</v>
      </c>
      <c r="T1131">
        <v>8676</v>
      </c>
      <c r="U1131">
        <v>154.06</v>
      </c>
      <c r="V1131">
        <v>90.93</v>
      </c>
      <c r="W1131">
        <f>Europe_Sales_Records34[[#This Row],[Total Revenue]]/Europe_Sales_Records34[[#This Row],[Units Sold]]</f>
        <v>154.06</v>
      </c>
      <c r="X1131">
        <v>1336624.56</v>
      </c>
      <c r="Y1131">
        <v>788908.68</v>
      </c>
      <c r="Z1131" s="4">
        <f>Europe_Sales_Records34[[#This Row],[Total Profit]]/Europe_Sales_Records34[[#This Row],[Total Revenue]]</f>
        <v>0.40977541217707386</v>
      </c>
      <c r="AA1131">
        <v>547715.88</v>
      </c>
    </row>
    <row r="1132" spans="1:27" x14ac:dyDescent="0.3">
      <c r="A1132" t="s">
        <v>14</v>
      </c>
      <c r="B1132" t="s">
        <v>31</v>
      </c>
      <c r="C1132" t="s">
        <v>37</v>
      </c>
      <c r="D1132" t="s">
        <v>17</v>
      </c>
      <c r="E1132" t="s">
        <v>18</v>
      </c>
      <c r="F1132" t="s">
        <v>735</v>
      </c>
      <c r="G1132" s="2">
        <f t="shared" si="34"/>
        <v>41555</v>
      </c>
      <c r="H1132">
        <f>DAY(Europe_Sales_Records34[[#This Row],[Order Date Fixed]])</f>
        <v>8</v>
      </c>
      <c r="I1132" t="str">
        <f>TEXT(Europe_Sales_Records34[[#This Row],[Order Date Fixed]],"MMM")</f>
        <v>Oct</v>
      </c>
      <c r="J1132">
        <f>YEAR(Europe_Sales_Records34[[#This Row],[Order Date Fixed]])</f>
        <v>2013</v>
      </c>
      <c r="K1132" t="str">
        <f>TEXT(Europe_Sales_Records34[[#This Row],[Order Date Fixed]],"MMM-YYYY")</f>
        <v>Oct-2013</v>
      </c>
      <c r="L1132">
        <v>911891257</v>
      </c>
      <c r="M1132" s="2">
        <f t="shared" si="35"/>
        <v>41579</v>
      </c>
      <c r="N1132">
        <f>DAY(Europe_Sales_Records34[[#This Row],[Ship Date Fixed]])</f>
        <v>1</v>
      </c>
      <c r="O1132" t="str">
        <f>TEXT(Europe_Sales_Records34[[#This Row],[Ship Date Fixed]],"MMM")</f>
        <v>Nov</v>
      </c>
      <c r="P1132">
        <f>YEAR(Europe_Sales_Records34[[#This Row],[Ship Date Fixed]])</f>
        <v>2013</v>
      </c>
      <c r="Q1132" t="str">
        <f>TEXT(Europe_Sales_Records34[[#This Row],[Ship Date Fixed]],"MMM-YYYY")</f>
        <v>Nov-2013</v>
      </c>
      <c r="R1132" t="s">
        <v>1079</v>
      </c>
      <c r="S1132" s="3">
        <f>Europe_Sales_Records34[[#This Row],[Ship Date Fixed]]-Europe_Sales_Records34[[#This Row],[Order Date Fixed]]</f>
        <v>24</v>
      </c>
      <c r="T1132">
        <v>7742</v>
      </c>
      <c r="U1132">
        <v>9.33</v>
      </c>
      <c r="V1132">
        <v>6.92</v>
      </c>
      <c r="W1132">
        <f>Europe_Sales_Records34[[#This Row],[Total Revenue]]/Europe_Sales_Records34[[#This Row],[Units Sold]]</f>
        <v>9.33</v>
      </c>
      <c r="X1132">
        <v>72232.86</v>
      </c>
      <c r="Y1132">
        <v>53574.64</v>
      </c>
      <c r="Z1132" s="4">
        <f>Europe_Sales_Records34[[#This Row],[Total Profit]]/Europe_Sales_Records34[[#This Row],[Total Revenue]]</f>
        <v>0.25830653804930331</v>
      </c>
      <c r="AA1132">
        <v>18658.22</v>
      </c>
    </row>
    <row r="1133" spans="1:27" x14ac:dyDescent="0.3">
      <c r="A1133" t="s">
        <v>14</v>
      </c>
      <c r="B1133" t="s">
        <v>70</v>
      </c>
      <c r="C1133" t="s">
        <v>58</v>
      </c>
      <c r="D1133" t="s">
        <v>17</v>
      </c>
      <c r="E1133" t="s">
        <v>33</v>
      </c>
      <c r="F1133" t="s">
        <v>897</v>
      </c>
      <c r="G1133" s="2">
        <f t="shared" si="34"/>
        <v>42337</v>
      </c>
      <c r="H1133">
        <f>DAY(Europe_Sales_Records34[[#This Row],[Order Date Fixed]])</f>
        <v>29</v>
      </c>
      <c r="I1133" t="str">
        <f>TEXT(Europe_Sales_Records34[[#This Row],[Order Date Fixed]],"MMM")</f>
        <v>Nov</v>
      </c>
      <c r="J1133">
        <f>YEAR(Europe_Sales_Records34[[#This Row],[Order Date Fixed]])</f>
        <v>2015</v>
      </c>
      <c r="K1133" t="str">
        <f>TEXT(Europe_Sales_Records34[[#This Row],[Order Date Fixed]],"MMM-YYYY")</f>
        <v>Nov-2015</v>
      </c>
      <c r="L1133">
        <v>214033257</v>
      </c>
      <c r="M1133" s="2">
        <f t="shared" si="35"/>
        <v>42341</v>
      </c>
      <c r="N1133">
        <f>DAY(Europe_Sales_Records34[[#This Row],[Ship Date Fixed]])</f>
        <v>3</v>
      </c>
      <c r="O1133" t="str">
        <f>TEXT(Europe_Sales_Records34[[#This Row],[Ship Date Fixed]],"MMM")</f>
        <v>Dec</v>
      </c>
      <c r="P1133">
        <f>YEAR(Europe_Sales_Records34[[#This Row],[Ship Date Fixed]])</f>
        <v>2015</v>
      </c>
      <c r="Q1133" t="str">
        <f>TEXT(Europe_Sales_Records34[[#This Row],[Ship Date Fixed]],"MMM-YYYY")</f>
        <v>Dec-2015</v>
      </c>
      <c r="R1133" t="s">
        <v>1214</v>
      </c>
      <c r="S1133" s="3">
        <f>Europe_Sales_Records34[[#This Row],[Ship Date Fixed]]-Europe_Sales_Records34[[#This Row],[Order Date Fixed]]</f>
        <v>4</v>
      </c>
      <c r="T1133">
        <v>6052</v>
      </c>
      <c r="U1133">
        <v>152.58000000000001</v>
      </c>
      <c r="V1133">
        <v>97.44</v>
      </c>
      <c r="W1133">
        <f>Europe_Sales_Records34[[#This Row],[Total Revenue]]/Europe_Sales_Records34[[#This Row],[Units Sold]]</f>
        <v>152.58000000000001</v>
      </c>
      <c r="X1133">
        <v>923414.16</v>
      </c>
      <c r="Y1133">
        <v>589706.88</v>
      </c>
      <c r="Z1133" s="4">
        <f>Europe_Sales_Records34[[#This Row],[Total Profit]]/Europe_Sales_Records34[[#This Row],[Total Revenue]]</f>
        <v>0.36138419189933152</v>
      </c>
      <c r="AA1133">
        <v>333707.28000000003</v>
      </c>
    </row>
    <row r="1134" spans="1:27" x14ac:dyDescent="0.3">
      <c r="A1134" t="s">
        <v>14</v>
      </c>
      <c r="B1134" t="s">
        <v>74</v>
      </c>
      <c r="C1134" t="s">
        <v>28</v>
      </c>
      <c r="D1134" t="s">
        <v>23</v>
      </c>
      <c r="E1134" t="s">
        <v>54</v>
      </c>
      <c r="F1134" t="s">
        <v>1238</v>
      </c>
      <c r="G1134" s="2">
        <f t="shared" si="34"/>
        <v>42352</v>
      </c>
      <c r="H1134">
        <f>DAY(Europe_Sales_Records34[[#This Row],[Order Date Fixed]])</f>
        <v>14</v>
      </c>
      <c r="I1134" t="str">
        <f>TEXT(Europe_Sales_Records34[[#This Row],[Order Date Fixed]],"MMM")</f>
        <v>Dec</v>
      </c>
      <c r="J1134">
        <f>YEAR(Europe_Sales_Records34[[#This Row],[Order Date Fixed]])</f>
        <v>2015</v>
      </c>
      <c r="K1134" t="str">
        <f>TEXT(Europe_Sales_Records34[[#This Row],[Order Date Fixed]],"MMM-YYYY")</f>
        <v>Dec-2015</v>
      </c>
      <c r="L1134">
        <v>504024684</v>
      </c>
      <c r="M1134" s="2">
        <f t="shared" si="35"/>
        <v>42383</v>
      </c>
      <c r="N1134">
        <f>DAY(Europe_Sales_Records34[[#This Row],[Ship Date Fixed]])</f>
        <v>14</v>
      </c>
      <c r="O1134" t="str">
        <f>TEXT(Europe_Sales_Records34[[#This Row],[Ship Date Fixed]],"MMM")</f>
        <v>Jan</v>
      </c>
      <c r="P1134">
        <f>YEAR(Europe_Sales_Records34[[#This Row],[Ship Date Fixed]])</f>
        <v>2016</v>
      </c>
      <c r="Q1134" t="str">
        <f>TEXT(Europe_Sales_Records34[[#This Row],[Ship Date Fixed]],"MMM-YYYY")</f>
        <v>Jan-2016</v>
      </c>
      <c r="R1134" t="s">
        <v>1649</v>
      </c>
      <c r="S1134" s="3">
        <f>Europe_Sales_Records34[[#This Row],[Ship Date Fixed]]-Europe_Sales_Records34[[#This Row],[Order Date Fixed]]</f>
        <v>31</v>
      </c>
      <c r="T1134">
        <v>959</v>
      </c>
      <c r="U1134">
        <v>205.7</v>
      </c>
      <c r="V1134">
        <v>117.11</v>
      </c>
      <c r="W1134">
        <f>Europe_Sales_Records34[[#This Row],[Total Revenue]]/Europe_Sales_Records34[[#This Row],[Units Sold]]</f>
        <v>205.7</v>
      </c>
      <c r="X1134">
        <v>197266.3</v>
      </c>
      <c r="Y1134">
        <v>112308.49</v>
      </c>
      <c r="Z1134" s="4">
        <f>Europe_Sales_Records34[[#This Row],[Total Profit]]/Europe_Sales_Records34[[#This Row],[Total Revenue]]</f>
        <v>0.43067574137092857</v>
      </c>
      <c r="AA1134">
        <v>84957.81</v>
      </c>
    </row>
    <row r="1135" spans="1:27" x14ac:dyDescent="0.3">
      <c r="A1135" t="s">
        <v>14</v>
      </c>
      <c r="B1135" t="s">
        <v>138</v>
      </c>
      <c r="C1135" t="s">
        <v>46</v>
      </c>
      <c r="D1135" t="s">
        <v>23</v>
      </c>
      <c r="E1135" t="s">
        <v>33</v>
      </c>
      <c r="F1135" t="s">
        <v>1414</v>
      </c>
      <c r="G1135" s="2">
        <f t="shared" si="34"/>
        <v>42568</v>
      </c>
      <c r="H1135">
        <f>DAY(Europe_Sales_Records34[[#This Row],[Order Date Fixed]])</f>
        <v>17</v>
      </c>
      <c r="I1135" t="str">
        <f>TEXT(Europe_Sales_Records34[[#This Row],[Order Date Fixed]],"MMM")</f>
        <v>Jul</v>
      </c>
      <c r="J1135">
        <f>YEAR(Europe_Sales_Records34[[#This Row],[Order Date Fixed]])</f>
        <v>2016</v>
      </c>
      <c r="K1135" t="str">
        <f>TEXT(Europe_Sales_Records34[[#This Row],[Order Date Fixed]],"MMM-YYYY")</f>
        <v>Jul-2016</v>
      </c>
      <c r="L1135">
        <v>386601865</v>
      </c>
      <c r="M1135" s="2">
        <f t="shared" si="35"/>
        <v>42577</v>
      </c>
      <c r="N1135">
        <f>DAY(Europe_Sales_Records34[[#This Row],[Ship Date Fixed]])</f>
        <v>26</v>
      </c>
      <c r="O1135" t="str">
        <f>TEXT(Europe_Sales_Records34[[#This Row],[Ship Date Fixed]],"MMM")</f>
        <v>Jul</v>
      </c>
      <c r="P1135">
        <f>YEAR(Europe_Sales_Records34[[#This Row],[Ship Date Fixed]])</f>
        <v>2016</v>
      </c>
      <c r="Q1135" t="str">
        <f>TEXT(Europe_Sales_Records34[[#This Row],[Ship Date Fixed]],"MMM-YYYY")</f>
        <v>Jul-2016</v>
      </c>
      <c r="R1135" t="s">
        <v>1223</v>
      </c>
      <c r="S1135" s="3">
        <f>Europe_Sales_Records34[[#This Row],[Ship Date Fixed]]-Europe_Sales_Records34[[#This Row],[Order Date Fixed]]</f>
        <v>9</v>
      </c>
      <c r="T1135">
        <v>2938</v>
      </c>
      <c r="U1135">
        <v>154.06</v>
      </c>
      <c r="V1135">
        <v>90.93</v>
      </c>
      <c r="W1135">
        <f>Europe_Sales_Records34[[#This Row],[Total Revenue]]/Europe_Sales_Records34[[#This Row],[Units Sold]]</f>
        <v>154.06</v>
      </c>
      <c r="X1135">
        <v>452628.28</v>
      </c>
      <c r="Y1135">
        <v>267152.34000000003</v>
      </c>
      <c r="Z1135" s="4">
        <f>Europe_Sales_Records34[[#This Row],[Total Profit]]/Europe_Sales_Records34[[#This Row],[Total Revenue]]</f>
        <v>0.40977541217707386</v>
      </c>
      <c r="AA1135">
        <v>185475.94</v>
      </c>
    </row>
    <row r="1136" spans="1:27" x14ac:dyDescent="0.3">
      <c r="A1136" t="s">
        <v>14</v>
      </c>
      <c r="B1136" t="s">
        <v>169</v>
      </c>
      <c r="C1136" t="s">
        <v>75</v>
      </c>
      <c r="D1136" t="s">
        <v>17</v>
      </c>
      <c r="E1136" t="s">
        <v>18</v>
      </c>
      <c r="F1136" t="s">
        <v>518</v>
      </c>
      <c r="G1136" s="2">
        <f t="shared" si="34"/>
        <v>40194</v>
      </c>
      <c r="H1136">
        <f>DAY(Europe_Sales_Records34[[#This Row],[Order Date Fixed]])</f>
        <v>16</v>
      </c>
      <c r="I1136" t="str">
        <f>TEXT(Europe_Sales_Records34[[#This Row],[Order Date Fixed]],"MMM")</f>
        <v>Jan</v>
      </c>
      <c r="J1136">
        <f>YEAR(Europe_Sales_Records34[[#This Row],[Order Date Fixed]])</f>
        <v>2010</v>
      </c>
      <c r="K1136" t="str">
        <f>TEXT(Europe_Sales_Records34[[#This Row],[Order Date Fixed]],"MMM-YYYY")</f>
        <v>Jan-2010</v>
      </c>
      <c r="L1136">
        <v>336813628</v>
      </c>
      <c r="M1136" s="2">
        <f t="shared" si="35"/>
        <v>40232</v>
      </c>
      <c r="N1136">
        <f>DAY(Europe_Sales_Records34[[#This Row],[Ship Date Fixed]])</f>
        <v>23</v>
      </c>
      <c r="O1136" t="str">
        <f>TEXT(Europe_Sales_Records34[[#This Row],[Ship Date Fixed]],"MMM")</f>
        <v>Feb</v>
      </c>
      <c r="P1136">
        <f>YEAR(Europe_Sales_Records34[[#This Row],[Ship Date Fixed]])</f>
        <v>2010</v>
      </c>
      <c r="Q1136" t="str">
        <f>TEXT(Europe_Sales_Records34[[#This Row],[Ship Date Fixed]],"MMM-YYYY")</f>
        <v>Feb-2010</v>
      </c>
      <c r="R1136" t="s">
        <v>1650</v>
      </c>
      <c r="S1136" s="3">
        <f>Europe_Sales_Records34[[#This Row],[Ship Date Fixed]]-Europe_Sales_Records34[[#This Row],[Order Date Fixed]]</f>
        <v>38</v>
      </c>
      <c r="T1136">
        <v>9492</v>
      </c>
      <c r="U1136">
        <v>437.2</v>
      </c>
      <c r="V1136">
        <v>263.33</v>
      </c>
      <c r="W1136">
        <f>Europe_Sales_Records34[[#This Row],[Total Revenue]]/Europe_Sales_Records34[[#This Row],[Units Sold]]</f>
        <v>437.2</v>
      </c>
      <c r="X1136">
        <v>4149902.4</v>
      </c>
      <c r="Y1136">
        <v>2499528.36</v>
      </c>
      <c r="Z1136" s="4">
        <f>Europe_Sales_Records34[[#This Row],[Total Profit]]/Europe_Sales_Records34[[#This Row],[Total Revenue]]</f>
        <v>0.39768984446477584</v>
      </c>
      <c r="AA1136">
        <v>1650374.04</v>
      </c>
    </row>
    <row r="1137" spans="1:27" x14ac:dyDescent="0.3">
      <c r="A1137" t="s">
        <v>14</v>
      </c>
      <c r="B1137" t="s">
        <v>57</v>
      </c>
      <c r="C1137" t="s">
        <v>37</v>
      </c>
      <c r="D1137" t="s">
        <v>23</v>
      </c>
      <c r="E1137" t="s">
        <v>18</v>
      </c>
      <c r="F1137" t="s">
        <v>1051</v>
      </c>
      <c r="G1137" s="2">
        <f t="shared" si="34"/>
        <v>42209</v>
      </c>
      <c r="H1137">
        <f>DAY(Europe_Sales_Records34[[#This Row],[Order Date Fixed]])</f>
        <v>24</v>
      </c>
      <c r="I1137" t="str">
        <f>TEXT(Europe_Sales_Records34[[#This Row],[Order Date Fixed]],"MMM")</f>
        <v>Jul</v>
      </c>
      <c r="J1137">
        <f>YEAR(Europe_Sales_Records34[[#This Row],[Order Date Fixed]])</f>
        <v>2015</v>
      </c>
      <c r="K1137" t="str">
        <f>TEXT(Europe_Sales_Records34[[#This Row],[Order Date Fixed]],"MMM-YYYY")</f>
        <v>Jul-2015</v>
      </c>
      <c r="L1137">
        <v>309188163</v>
      </c>
      <c r="M1137" s="2">
        <f t="shared" si="35"/>
        <v>42228</v>
      </c>
      <c r="N1137">
        <f>DAY(Europe_Sales_Records34[[#This Row],[Ship Date Fixed]])</f>
        <v>12</v>
      </c>
      <c r="O1137" t="str">
        <f>TEXT(Europe_Sales_Records34[[#This Row],[Ship Date Fixed]],"MMM")</f>
        <v>Aug</v>
      </c>
      <c r="P1137">
        <f>YEAR(Europe_Sales_Records34[[#This Row],[Ship Date Fixed]])</f>
        <v>2015</v>
      </c>
      <c r="Q1137" t="str">
        <f>TEXT(Europe_Sales_Records34[[#This Row],[Ship Date Fixed]],"MMM-YYYY")</f>
        <v>Aug-2015</v>
      </c>
      <c r="R1137" t="s">
        <v>1651</v>
      </c>
      <c r="S1137" s="3">
        <f>Europe_Sales_Records34[[#This Row],[Ship Date Fixed]]-Europe_Sales_Records34[[#This Row],[Order Date Fixed]]</f>
        <v>19</v>
      </c>
      <c r="T1137">
        <v>4503</v>
      </c>
      <c r="U1137">
        <v>9.33</v>
      </c>
      <c r="V1137">
        <v>6.92</v>
      </c>
      <c r="W1137">
        <f>Europe_Sales_Records34[[#This Row],[Total Revenue]]/Europe_Sales_Records34[[#This Row],[Units Sold]]</f>
        <v>9.33</v>
      </c>
      <c r="X1137">
        <v>42012.99</v>
      </c>
      <c r="Y1137">
        <v>31160.76</v>
      </c>
      <c r="Z1137" s="4">
        <f>Europe_Sales_Records34[[#This Row],[Total Profit]]/Europe_Sales_Records34[[#This Row],[Total Revenue]]</f>
        <v>0.25830653804930331</v>
      </c>
      <c r="AA1137">
        <v>10852.23</v>
      </c>
    </row>
    <row r="1138" spans="1:27" x14ac:dyDescent="0.3">
      <c r="A1138" t="s">
        <v>14</v>
      </c>
      <c r="B1138" t="s">
        <v>132</v>
      </c>
      <c r="C1138" t="s">
        <v>32</v>
      </c>
      <c r="D1138" t="s">
        <v>17</v>
      </c>
      <c r="E1138" t="s">
        <v>24</v>
      </c>
      <c r="F1138" t="s">
        <v>284</v>
      </c>
      <c r="G1138" s="2">
        <f t="shared" si="34"/>
        <v>41122</v>
      </c>
      <c r="H1138">
        <f>DAY(Europe_Sales_Records34[[#This Row],[Order Date Fixed]])</f>
        <v>1</v>
      </c>
      <c r="I1138" t="str">
        <f>TEXT(Europe_Sales_Records34[[#This Row],[Order Date Fixed]],"MMM")</f>
        <v>Aug</v>
      </c>
      <c r="J1138">
        <f>YEAR(Europe_Sales_Records34[[#This Row],[Order Date Fixed]])</f>
        <v>2012</v>
      </c>
      <c r="K1138" t="str">
        <f>TEXT(Europe_Sales_Records34[[#This Row],[Order Date Fixed]],"MMM-YYYY")</f>
        <v>Aug-2012</v>
      </c>
      <c r="L1138">
        <v>760280358</v>
      </c>
      <c r="M1138" s="2">
        <f t="shared" si="35"/>
        <v>41142</v>
      </c>
      <c r="N1138">
        <f>DAY(Europe_Sales_Records34[[#This Row],[Ship Date Fixed]])</f>
        <v>21</v>
      </c>
      <c r="O1138" t="str">
        <f>TEXT(Europe_Sales_Records34[[#This Row],[Ship Date Fixed]],"MMM")</f>
        <v>Aug</v>
      </c>
      <c r="P1138">
        <f>YEAR(Europe_Sales_Records34[[#This Row],[Ship Date Fixed]])</f>
        <v>2012</v>
      </c>
      <c r="Q1138" t="str">
        <f>TEXT(Europe_Sales_Records34[[#This Row],[Ship Date Fixed]],"MMM-YYYY")</f>
        <v>Aug-2012</v>
      </c>
      <c r="R1138" t="s">
        <v>1304</v>
      </c>
      <c r="S1138" s="3">
        <f>Europe_Sales_Records34[[#This Row],[Ship Date Fixed]]-Europe_Sales_Records34[[#This Row],[Order Date Fixed]]</f>
        <v>20</v>
      </c>
      <c r="T1138">
        <v>2708</v>
      </c>
      <c r="U1138">
        <v>651.21</v>
      </c>
      <c r="V1138">
        <v>524.96</v>
      </c>
      <c r="W1138">
        <f>Europe_Sales_Records34[[#This Row],[Total Revenue]]/Europe_Sales_Records34[[#This Row],[Units Sold]]</f>
        <v>651.20999999999992</v>
      </c>
      <c r="X1138">
        <v>1763476.68</v>
      </c>
      <c r="Y1138">
        <v>1421591.68</v>
      </c>
      <c r="Z1138" s="4">
        <f>Europe_Sales_Records34[[#This Row],[Total Profit]]/Europe_Sales_Records34[[#This Row],[Total Revenue]]</f>
        <v>0.19386987300563566</v>
      </c>
      <c r="AA1138">
        <v>341885</v>
      </c>
    </row>
    <row r="1139" spans="1:27" x14ac:dyDescent="0.3">
      <c r="A1139" t="s">
        <v>14</v>
      </c>
      <c r="B1139" t="s">
        <v>243</v>
      </c>
      <c r="C1139" t="s">
        <v>16</v>
      </c>
      <c r="D1139" t="s">
        <v>17</v>
      </c>
      <c r="E1139" t="s">
        <v>24</v>
      </c>
      <c r="F1139" t="s">
        <v>1652</v>
      </c>
      <c r="G1139" s="2">
        <f t="shared" si="34"/>
        <v>42262</v>
      </c>
      <c r="H1139">
        <f>DAY(Europe_Sales_Records34[[#This Row],[Order Date Fixed]])</f>
        <v>15</v>
      </c>
      <c r="I1139" t="str">
        <f>TEXT(Europe_Sales_Records34[[#This Row],[Order Date Fixed]],"MMM")</f>
        <v>Sep</v>
      </c>
      <c r="J1139">
        <f>YEAR(Europe_Sales_Records34[[#This Row],[Order Date Fixed]])</f>
        <v>2015</v>
      </c>
      <c r="K1139" t="str">
        <f>TEXT(Europe_Sales_Records34[[#This Row],[Order Date Fixed]],"MMM-YYYY")</f>
        <v>Sep-2015</v>
      </c>
      <c r="L1139">
        <v>495593106</v>
      </c>
      <c r="M1139" s="2">
        <f t="shared" si="35"/>
        <v>42285</v>
      </c>
      <c r="N1139">
        <f>DAY(Europe_Sales_Records34[[#This Row],[Ship Date Fixed]])</f>
        <v>8</v>
      </c>
      <c r="O1139" t="str">
        <f>TEXT(Europe_Sales_Records34[[#This Row],[Ship Date Fixed]],"MMM")</f>
        <v>Oct</v>
      </c>
      <c r="P1139">
        <f>YEAR(Europe_Sales_Records34[[#This Row],[Ship Date Fixed]])</f>
        <v>2015</v>
      </c>
      <c r="Q1139" t="str">
        <f>TEXT(Europe_Sales_Records34[[#This Row],[Ship Date Fixed]],"MMM-YYYY")</f>
        <v>Oct-2015</v>
      </c>
      <c r="R1139" t="s">
        <v>1653</v>
      </c>
      <c r="S1139" s="3">
        <f>Europe_Sales_Records34[[#This Row],[Ship Date Fixed]]-Europe_Sales_Records34[[#This Row],[Order Date Fixed]]</f>
        <v>23</v>
      </c>
      <c r="T1139">
        <v>5868</v>
      </c>
      <c r="U1139">
        <v>47.45</v>
      </c>
      <c r="V1139">
        <v>31.79</v>
      </c>
      <c r="W1139">
        <f>Europe_Sales_Records34[[#This Row],[Total Revenue]]/Europe_Sales_Records34[[#This Row],[Units Sold]]</f>
        <v>47.449999999999996</v>
      </c>
      <c r="X1139">
        <v>278436.59999999998</v>
      </c>
      <c r="Y1139">
        <v>186543.72</v>
      </c>
      <c r="Z1139" s="4">
        <f>Europe_Sales_Records34[[#This Row],[Total Profit]]/Europe_Sales_Records34[[#This Row],[Total Revenue]]</f>
        <v>0.33003161222339311</v>
      </c>
      <c r="AA1139">
        <v>91892.88</v>
      </c>
    </row>
    <row r="1140" spans="1:27" x14ac:dyDescent="0.3">
      <c r="A1140" t="s">
        <v>14</v>
      </c>
      <c r="B1140" t="s">
        <v>105</v>
      </c>
      <c r="C1140" t="s">
        <v>22</v>
      </c>
      <c r="D1140" t="s">
        <v>17</v>
      </c>
      <c r="E1140" t="s">
        <v>33</v>
      </c>
      <c r="F1140" t="s">
        <v>407</v>
      </c>
      <c r="G1140" s="2">
        <f t="shared" si="34"/>
        <v>41283</v>
      </c>
      <c r="H1140">
        <f>DAY(Europe_Sales_Records34[[#This Row],[Order Date Fixed]])</f>
        <v>9</v>
      </c>
      <c r="I1140" t="str">
        <f>TEXT(Europe_Sales_Records34[[#This Row],[Order Date Fixed]],"MMM")</f>
        <v>Jan</v>
      </c>
      <c r="J1140">
        <f>YEAR(Europe_Sales_Records34[[#This Row],[Order Date Fixed]])</f>
        <v>2013</v>
      </c>
      <c r="K1140" t="str">
        <f>TEXT(Europe_Sales_Records34[[#This Row],[Order Date Fixed]],"MMM-YYYY")</f>
        <v>Jan-2013</v>
      </c>
      <c r="L1140">
        <v>209598815</v>
      </c>
      <c r="M1140" s="2">
        <f t="shared" si="35"/>
        <v>41285</v>
      </c>
      <c r="N1140">
        <f>DAY(Europe_Sales_Records34[[#This Row],[Ship Date Fixed]])</f>
        <v>11</v>
      </c>
      <c r="O1140" t="str">
        <f>TEXT(Europe_Sales_Records34[[#This Row],[Ship Date Fixed]],"MMM")</f>
        <v>Jan</v>
      </c>
      <c r="P1140">
        <f>YEAR(Europe_Sales_Records34[[#This Row],[Ship Date Fixed]])</f>
        <v>2013</v>
      </c>
      <c r="Q1140" t="str">
        <f>TEXT(Europe_Sales_Records34[[#This Row],[Ship Date Fixed]],"MMM-YYYY")</f>
        <v>Jan-2013</v>
      </c>
      <c r="R1140" t="s">
        <v>266</v>
      </c>
      <c r="S1140" s="3">
        <f>Europe_Sales_Records34[[#This Row],[Ship Date Fixed]]-Europe_Sales_Records34[[#This Row],[Order Date Fixed]]</f>
        <v>2</v>
      </c>
      <c r="T1140">
        <v>3802</v>
      </c>
      <c r="U1140">
        <v>109.28</v>
      </c>
      <c r="V1140">
        <v>35.840000000000003</v>
      </c>
      <c r="W1140">
        <f>Europe_Sales_Records34[[#This Row],[Total Revenue]]/Europe_Sales_Records34[[#This Row],[Units Sold]]</f>
        <v>109.28</v>
      </c>
      <c r="X1140">
        <v>415482.56</v>
      </c>
      <c r="Y1140">
        <v>136263.67999999999</v>
      </c>
      <c r="Z1140" s="4">
        <f>Europe_Sales_Records34[[#This Row],[Total Profit]]/Europe_Sales_Records34[[#This Row],[Total Revenue]]</f>
        <v>0.67203513909224011</v>
      </c>
      <c r="AA1140">
        <v>279218.88</v>
      </c>
    </row>
    <row r="1141" spans="1:27" x14ac:dyDescent="0.3">
      <c r="A1141" t="s">
        <v>14</v>
      </c>
      <c r="B1141" t="s">
        <v>364</v>
      </c>
      <c r="C1141" t="s">
        <v>50</v>
      </c>
      <c r="D1141" t="s">
        <v>23</v>
      </c>
      <c r="E1141" t="s">
        <v>54</v>
      </c>
      <c r="F1141" t="s">
        <v>1654</v>
      </c>
      <c r="G1141" s="2">
        <f t="shared" si="34"/>
        <v>41144</v>
      </c>
      <c r="H1141">
        <f>DAY(Europe_Sales_Records34[[#This Row],[Order Date Fixed]])</f>
        <v>23</v>
      </c>
      <c r="I1141" t="str">
        <f>TEXT(Europe_Sales_Records34[[#This Row],[Order Date Fixed]],"MMM")</f>
        <v>Aug</v>
      </c>
      <c r="J1141">
        <f>YEAR(Europe_Sales_Records34[[#This Row],[Order Date Fixed]])</f>
        <v>2012</v>
      </c>
      <c r="K1141" t="str">
        <f>TEXT(Europe_Sales_Records34[[#This Row],[Order Date Fixed]],"MMM-YYYY")</f>
        <v>Aug-2012</v>
      </c>
      <c r="L1141">
        <v>483438193</v>
      </c>
      <c r="M1141" s="2">
        <f t="shared" si="35"/>
        <v>41178</v>
      </c>
      <c r="N1141">
        <f>DAY(Europe_Sales_Records34[[#This Row],[Ship Date Fixed]])</f>
        <v>26</v>
      </c>
      <c r="O1141" t="str">
        <f>TEXT(Europe_Sales_Records34[[#This Row],[Ship Date Fixed]],"MMM")</f>
        <v>Sep</v>
      </c>
      <c r="P1141">
        <f>YEAR(Europe_Sales_Records34[[#This Row],[Ship Date Fixed]])</f>
        <v>2012</v>
      </c>
      <c r="Q1141" t="str">
        <f>TEXT(Europe_Sales_Records34[[#This Row],[Ship Date Fixed]],"MMM-YYYY")</f>
        <v>Sep-2012</v>
      </c>
      <c r="R1141" t="s">
        <v>1655</v>
      </c>
      <c r="S1141" s="3">
        <f>Europe_Sales_Records34[[#This Row],[Ship Date Fixed]]-Europe_Sales_Records34[[#This Row],[Order Date Fixed]]</f>
        <v>34</v>
      </c>
      <c r="T1141">
        <v>8959</v>
      </c>
      <c r="U1141">
        <v>421.89</v>
      </c>
      <c r="V1141">
        <v>364.69</v>
      </c>
      <c r="W1141">
        <f>Europe_Sales_Records34[[#This Row],[Total Revenue]]/Europe_Sales_Records34[[#This Row],[Units Sold]]</f>
        <v>421.89</v>
      </c>
      <c r="X1141">
        <v>3779712.51</v>
      </c>
      <c r="Y1141">
        <v>3267257.71</v>
      </c>
      <c r="Z1141" s="4">
        <f>Europe_Sales_Records34[[#This Row],[Total Profit]]/Europe_Sales_Records34[[#This Row],[Total Revenue]]</f>
        <v>0.13558036455000119</v>
      </c>
      <c r="AA1141">
        <v>512454.8</v>
      </c>
    </row>
    <row r="1142" spans="1:27" x14ac:dyDescent="0.3">
      <c r="A1142" t="s">
        <v>14</v>
      </c>
      <c r="B1142" t="s">
        <v>49</v>
      </c>
      <c r="C1142" t="s">
        <v>46</v>
      </c>
      <c r="D1142" t="s">
        <v>23</v>
      </c>
      <c r="E1142" t="s">
        <v>33</v>
      </c>
      <c r="F1142" t="s">
        <v>1383</v>
      </c>
      <c r="G1142" s="2">
        <f t="shared" si="34"/>
        <v>42658</v>
      </c>
      <c r="H1142">
        <f>DAY(Europe_Sales_Records34[[#This Row],[Order Date Fixed]])</f>
        <v>15</v>
      </c>
      <c r="I1142" t="str">
        <f>TEXT(Europe_Sales_Records34[[#This Row],[Order Date Fixed]],"MMM")</f>
        <v>Oct</v>
      </c>
      <c r="J1142">
        <f>YEAR(Europe_Sales_Records34[[#This Row],[Order Date Fixed]])</f>
        <v>2016</v>
      </c>
      <c r="K1142" t="str">
        <f>TEXT(Europe_Sales_Records34[[#This Row],[Order Date Fixed]],"MMM-YYYY")</f>
        <v>Oct-2016</v>
      </c>
      <c r="L1142">
        <v>819037473</v>
      </c>
      <c r="M1142" s="2">
        <f t="shared" si="35"/>
        <v>42658</v>
      </c>
      <c r="N1142">
        <f>DAY(Europe_Sales_Records34[[#This Row],[Ship Date Fixed]])</f>
        <v>15</v>
      </c>
      <c r="O1142" t="str">
        <f>TEXT(Europe_Sales_Records34[[#This Row],[Ship Date Fixed]],"MMM")</f>
        <v>Oct</v>
      </c>
      <c r="P1142">
        <f>YEAR(Europe_Sales_Records34[[#This Row],[Ship Date Fixed]])</f>
        <v>2016</v>
      </c>
      <c r="Q1142" t="str">
        <f>TEXT(Europe_Sales_Records34[[#This Row],[Ship Date Fixed]],"MMM-YYYY")</f>
        <v>Oct-2016</v>
      </c>
      <c r="R1142" t="s">
        <v>1383</v>
      </c>
      <c r="S1142" s="3">
        <f>Europe_Sales_Records34[[#This Row],[Ship Date Fixed]]-Europe_Sales_Records34[[#This Row],[Order Date Fixed]]</f>
        <v>0</v>
      </c>
      <c r="T1142">
        <v>244</v>
      </c>
      <c r="U1142">
        <v>154.06</v>
      </c>
      <c r="V1142">
        <v>90.93</v>
      </c>
      <c r="W1142">
        <f>Europe_Sales_Records34[[#This Row],[Total Revenue]]/Europe_Sales_Records34[[#This Row],[Units Sold]]</f>
        <v>154.06</v>
      </c>
      <c r="X1142">
        <v>37590.639999999999</v>
      </c>
      <c r="Y1142">
        <v>22186.92</v>
      </c>
      <c r="Z1142" s="4">
        <f>Europe_Sales_Records34[[#This Row],[Total Profit]]/Europe_Sales_Records34[[#This Row],[Total Revenue]]</f>
        <v>0.40977541217707386</v>
      </c>
      <c r="AA1142">
        <v>15403.72</v>
      </c>
    </row>
    <row r="1143" spans="1:27" x14ac:dyDescent="0.3">
      <c r="A1143" t="s">
        <v>14</v>
      </c>
      <c r="B1143" t="s">
        <v>92</v>
      </c>
      <c r="C1143" t="s">
        <v>37</v>
      </c>
      <c r="D1143" t="s">
        <v>17</v>
      </c>
      <c r="E1143" t="s">
        <v>54</v>
      </c>
      <c r="F1143" t="s">
        <v>530</v>
      </c>
      <c r="G1143" s="2">
        <f t="shared" si="34"/>
        <v>40659</v>
      </c>
      <c r="H1143">
        <f>DAY(Europe_Sales_Records34[[#This Row],[Order Date Fixed]])</f>
        <v>26</v>
      </c>
      <c r="I1143" t="str">
        <f>TEXT(Europe_Sales_Records34[[#This Row],[Order Date Fixed]],"MMM")</f>
        <v>Apr</v>
      </c>
      <c r="J1143">
        <f>YEAR(Europe_Sales_Records34[[#This Row],[Order Date Fixed]])</f>
        <v>2011</v>
      </c>
      <c r="K1143" t="str">
        <f>TEXT(Europe_Sales_Records34[[#This Row],[Order Date Fixed]],"MMM-YYYY")</f>
        <v>Apr-2011</v>
      </c>
      <c r="L1143">
        <v>974420630</v>
      </c>
      <c r="M1143" s="2">
        <f t="shared" si="35"/>
        <v>40709</v>
      </c>
      <c r="N1143">
        <f>DAY(Europe_Sales_Records34[[#This Row],[Ship Date Fixed]])</f>
        <v>15</v>
      </c>
      <c r="O1143" t="str">
        <f>TEXT(Europe_Sales_Records34[[#This Row],[Ship Date Fixed]],"MMM")</f>
        <v>Jun</v>
      </c>
      <c r="P1143">
        <f>YEAR(Europe_Sales_Records34[[#This Row],[Ship Date Fixed]])</f>
        <v>2011</v>
      </c>
      <c r="Q1143" t="str">
        <f>TEXT(Europe_Sales_Records34[[#This Row],[Ship Date Fixed]],"MMM-YYYY")</f>
        <v>Jun-2011</v>
      </c>
      <c r="R1143" t="s">
        <v>1656</v>
      </c>
      <c r="S1143" s="3">
        <f>Europe_Sales_Records34[[#This Row],[Ship Date Fixed]]-Europe_Sales_Records34[[#This Row],[Order Date Fixed]]</f>
        <v>50</v>
      </c>
      <c r="T1143">
        <v>1573</v>
      </c>
      <c r="U1143">
        <v>9.33</v>
      </c>
      <c r="V1143">
        <v>6.92</v>
      </c>
      <c r="W1143">
        <f>Europe_Sales_Records34[[#This Row],[Total Revenue]]/Europe_Sales_Records34[[#This Row],[Units Sold]]</f>
        <v>9.33</v>
      </c>
      <c r="X1143">
        <v>14676.09</v>
      </c>
      <c r="Y1143">
        <v>10885.16</v>
      </c>
      <c r="Z1143" s="4">
        <f>Europe_Sales_Records34[[#This Row],[Total Profit]]/Europe_Sales_Records34[[#This Row],[Total Revenue]]</f>
        <v>0.25830653804930331</v>
      </c>
      <c r="AA1143">
        <v>3790.93</v>
      </c>
    </row>
    <row r="1144" spans="1:27" x14ac:dyDescent="0.3">
      <c r="A1144" t="s">
        <v>14</v>
      </c>
      <c r="B1144" t="s">
        <v>70</v>
      </c>
      <c r="C1144" t="s">
        <v>16</v>
      </c>
      <c r="D1144" t="s">
        <v>17</v>
      </c>
      <c r="E1144" t="s">
        <v>33</v>
      </c>
      <c r="F1144" t="s">
        <v>1567</v>
      </c>
      <c r="G1144" s="2">
        <f t="shared" si="34"/>
        <v>41128</v>
      </c>
      <c r="H1144">
        <f>DAY(Europe_Sales_Records34[[#This Row],[Order Date Fixed]])</f>
        <v>7</v>
      </c>
      <c r="I1144" t="str">
        <f>TEXT(Europe_Sales_Records34[[#This Row],[Order Date Fixed]],"MMM")</f>
        <v>Aug</v>
      </c>
      <c r="J1144">
        <f>YEAR(Europe_Sales_Records34[[#This Row],[Order Date Fixed]])</f>
        <v>2012</v>
      </c>
      <c r="K1144" t="str">
        <f>TEXT(Europe_Sales_Records34[[#This Row],[Order Date Fixed]],"MMM-YYYY")</f>
        <v>Aug-2012</v>
      </c>
      <c r="L1144">
        <v>534641349</v>
      </c>
      <c r="M1144" s="2">
        <f t="shared" si="35"/>
        <v>41148</v>
      </c>
      <c r="N1144">
        <f>DAY(Europe_Sales_Records34[[#This Row],[Ship Date Fixed]])</f>
        <v>27</v>
      </c>
      <c r="O1144" t="str">
        <f>TEXT(Europe_Sales_Records34[[#This Row],[Ship Date Fixed]],"MMM")</f>
        <v>Aug</v>
      </c>
      <c r="P1144">
        <f>YEAR(Europe_Sales_Records34[[#This Row],[Ship Date Fixed]])</f>
        <v>2012</v>
      </c>
      <c r="Q1144" t="str">
        <f>TEXT(Europe_Sales_Records34[[#This Row],[Ship Date Fixed]],"MMM-YYYY")</f>
        <v>Aug-2012</v>
      </c>
      <c r="R1144" t="s">
        <v>1657</v>
      </c>
      <c r="S1144" s="3">
        <f>Europe_Sales_Records34[[#This Row],[Ship Date Fixed]]-Europe_Sales_Records34[[#This Row],[Order Date Fixed]]</f>
        <v>20</v>
      </c>
      <c r="T1144">
        <v>1111</v>
      </c>
      <c r="U1144">
        <v>47.45</v>
      </c>
      <c r="V1144">
        <v>31.79</v>
      </c>
      <c r="W1144">
        <f>Europe_Sales_Records34[[#This Row],[Total Revenue]]/Europe_Sales_Records34[[#This Row],[Units Sold]]</f>
        <v>47.449999999999996</v>
      </c>
      <c r="X1144">
        <v>52716.95</v>
      </c>
      <c r="Y1144">
        <v>35318.69</v>
      </c>
      <c r="Z1144" s="4">
        <f>Europe_Sales_Records34[[#This Row],[Total Profit]]/Europe_Sales_Records34[[#This Row],[Total Revenue]]</f>
        <v>0.33003161222339306</v>
      </c>
      <c r="AA1144">
        <v>17398.259999999998</v>
      </c>
    </row>
    <row r="1145" spans="1:27" x14ac:dyDescent="0.3">
      <c r="A1145" t="s">
        <v>14</v>
      </c>
      <c r="B1145" t="s">
        <v>57</v>
      </c>
      <c r="C1145" t="s">
        <v>58</v>
      </c>
      <c r="D1145" t="s">
        <v>23</v>
      </c>
      <c r="E1145" t="s">
        <v>33</v>
      </c>
      <c r="F1145" t="s">
        <v>1658</v>
      </c>
      <c r="G1145" s="2">
        <f t="shared" si="34"/>
        <v>41491</v>
      </c>
      <c r="H1145">
        <f>DAY(Europe_Sales_Records34[[#This Row],[Order Date Fixed]])</f>
        <v>5</v>
      </c>
      <c r="I1145" t="str">
        <f>TEXT(Europe_Sales_Records34[[#This Row],[Order Date Fixed]],"MMM")</f>
        <v>Aug</v>
      </c>
      <c r="J1145">
        <f>YEAR(Europe_Sales_Records34[[#This Row],[Order Date Fixed]])</f>
        <v>2013</v>
      </c>
      <c r="K1145" t="str">
        <f>TEXT(Europe_Sales_Records34[[#This Row],[Order Date Fixed]],"MMM-YYYY")</f>
        <v>Aug-2013</v>
      </c>
      <c r="L1145">
        <v>921133935</v>
      </c>
      <c r="M1145" s="2">
        <f t="shared" si="35"/>
        <v>41497</v>
      </c>
      <c r="N1145">
        <f>DAY(Europe_Sales_Records34[[#This Row],[Ship Date Fixed]])</f>
        <v>11</v>
      </c>
      <c r="O1145" t="str">
        <f>TEXT(Europe_Sales_Records34[[#This Row],[Ship Date Fixed]],"MMM")</f>
        <v>Aug</v>
      </c>
      <c r="P1145">
        <f>YEAR(Europe_Sales_Records34[[#This Row],[Ship Date Fixed]])</f>
        <v>2013</v>
      </c>
      <c r="Q1145" t="str">
        <f>TEXT(Europe_Sales_Records34[[#This Row],[Ship Date Fixed]],"MMM-YYYY")</f>
        <v>Aug-2013</v>
      </c>
      <c r="R1145" t="s">
        <v>1659</v>
      </c>
      <c r="S1145" s="3">
        <f>Europe_Sales_Records34[[#This Row],[Ship Date Fixed]]-Europe_Sales_Records34[[#This Row],[Order Date Fixed]]</f>
        <v>6</v>
      </c>
      <c r="T1145">
        <v>2856</v>
      </c>
      <c r="U1145">
        <v>152.58000000000001</v>
      </c>
      <c r="V1145">
        <v>97.44</v>
      </c>
      <c r="W1145">
        <f>Europe_Sales_Records34[[#This Row],[Total Revenue]]/Europe_Sales_Records34[[#This Row],[Units Sold]]</f>
        <v>152.57999999999998</v>
      </c>
      <c r="X1145">
        <v>435768.48</v>
      </c>
      <c r="Y1145">
        <v>278288.64000000001</v>
      </c>
      <c r="Z1145" s="4">
        <f>Europe_Sales_Records34[[#This Row],[Total Profit]]/Europe_Sales_Records34[[#This Row],[Total Revenue]]</f>
        <v>0.36138419189933152</v>
      </c>
      <c r="AA1145">
        <v>157479.84</v>
      </c>
    </row>
    <row r="1146" spans="1:27" x14ac:dyDescent="0.3">
      <c r="A1146" t="s">
        <v>14</v>
      </c>
      <c r="B1146" t="s">
        <v>61</v>
      </c>
      <c r="C1146" t="s">
        <v>50</v>
      </c>
      <c r="D1146" t="s">
        <v>17</v>
      </c>
      <c r="E1146" t="s">
        <v>33</v>
      </c>
      <c r="F1146" t="s">
        <v>56</v>
      </c>
      <c r="G1146" s="2">
        <f t="shared" si="34"/>
        <v>40991</v>
      </c>
      <c r="H1146">
        <f>DAY(Europe_Sales_Records34[[#This Row],[Order Date Fixed]])</f>
        <v>23</v>
      </c>
      <c r="I1146" t="str">
        <f>TEXT(Europe_Sales_Records34[[#This Row],[Order Date Fixed]],"MMM")</f>
        <v>Mar</v>
      </c>
      <c r="J1146">
        <f>YEAR(Europe_Sales_Records34[[#This Row],[Order Date Fixed]])</f>
        <v>2012</v>
      </c>
      <c r="K1146" t="str">
        <f>TEXT(Europe_Sales_Records34[[#This Row],[Order Date Fixed]],"MMM-YYYY")</f>
        <v>Mar-2012</v>
      </c>
      <c r="L1146">
        <v>456934964</v>
      </c>
      <c r="M1146" s="2">
        <f t="shared" si="35"/>
        <v>41034</v>
      </c>
      <c r="N1146">
        <f>DAY(Europe_Sales_Records34[[#This Row],[Ship Date Fixed]])</f>
        <v>5</v>
      </c>
      <c r="O1146" t="str">
        <f>TEXT(Europe_Sales_Records34[[#This Row],[Ship Date Fixed]],"MMM")</f>
        <v>May</v>
      </c>
      <c r="P1146">
        <f>YEAR(Europe_Sales_Records34[[#This Row],[Ship Date Fixed]])</f>
        <v>2012</v>
      </c>
      <c r="Q1146" t="str">
        <f>TEXT(Europe_Sales_Records34[[#This Row],[Ship Date Fixed]],"MMM-YYYY")</f>
        <v>May-2012</v>
      </c>
      <c r="R1146" t="s">
        <v>201</v>
      </c>
      <c r="S1146" s="3">
        <f>Europe_Sales_Records34[[#This Row],[Ship Date Fixed]]-Europe_Sales_Records34[[#This Row],[Order Date Fixed]]</f>
        <v>43</v>
      </c>
      <c r="T1146">
        <v>6065</v>
      </c>
      <c r="U1146">
        <v>421.89</v>
      </c>
      <c r="V1146">
        <v>364.69</v>
      </c>
      <c r="W1146">
        <f>Europe_Sales_Records34[[#This Row],[Total Revenue]]/Europe_Sales_Records34[[#This Row],[Units Sold]]</f>
        <v>421.89000000000004</v>
      </c>
      <c r="X1146">
        <v>2558762.85</v>
      </c>
      <c r="Y1146">
        <v>2211844.85</v>
      </c>
      <c r="Z1146" s="4">
        <f>Europe_Sales_Records34[[#This Row],[Total Profit]]/Europe_Sales_Records34[[#This Row],[Total Revenue]]</f>
        <v>0.13558036455000119</v>
      </c>
      <c r="AA1146">
        <v>346918</v>
      </c>
    </row>
    <row r="1147" spans="1:27" x14ac:dyDescent="0.3">
      <c r="A1147" t="s">
        <v>14</v>
      </c>
      <c r="B1147" t="s">
        <v>31</v>
      </c>
      <c r="C1147" t="s">
        <v>37</v>
      </c>
      <c r="D1147" t="s">
        <v>23</v>
      </c>
      <c r="E1147" t="s">
        <v>33</v>
      </c>
      <c r="F1147" t="s">
        <v>1508</v>
      </c>
      <c r="G1147" s="2">
        <f t="shared" si="34"/>
        <v>40421</v>
      </c>
      <c r="H1147">
        <f>DAY(Europe_Sales_Records34[[#This Row],[Order Date Fixed]])</f>
        <v>31</v>
      </c>
      <c r="I1147" t="str">
        <f>TEXT(Europe_Sales_Records34[[#This Row],[Order Date Fixed]],"MMM")</f>
        <v>Aug</v>
      </c>
      <c r="J1147">
        <f>YEAR(Europe_Sales_Records34[[#This Row],[Order Date Fixed]])</f>
        <v>2010</v>
      </c>
      <c r="K1147" t="str">
        <f>TEXT(Europe_Sales_Records34[[#This Row],[Order Date Fixed]],"MMM-YYYY")</f>
        <v>Aug-2010</v>
      </c>
      <c r="L1147">
        <v>468803632</v>
      </c>
      <c r="M1147" s="2">
        <f t="shared" si="35"/>
        <v>40453</v>
      </c>
      <c r="N1147">
        <f>DAY(Europe_Sales_Records34[[#This Row],[Ship Date Fixed]])</f>
        <v>2</v>
      </c>
      <c r="O1147" t="str">
        <f>TEXT(Europe_Sales_Records34[[#This Row],[Ship Date Fixed]],"MMM")</f>
        <v>Oct</v>
      </c>
      <c r="P1147">
        <f>YEAR(Europe_Sales_Records34[[#This Row],[Ship Date Fixed]])</f>
        <v>2010</v>
      </c>
      <c r="Q1147" t="str">
        <f>TEXT(Europe_Sales_Records34[[#This Row],[Ship Date Fixed]],"MMM-YYYY")</f>
        <v>Oct-2010</v>
      </c>
      <c r="R1147" t="s">
        <v>1330</v>
      </c>
      <c r="S1147" s="3">
        <f>Europe_Sales_Records34[[#This Row],[Ship Date Fixed]]-Europe_Sales_Records34[[#This Row],[Order Date Fixed]]</f>
        <v>32</v>
      </c>
      <c r="T1147">
        <v>8267</v>
      </c>
      <c r="U1147">
        <v>9.33</v>
      </c>
      <c r="V1147">
        <v>6.92</v>
      </c>
      <c r="W1147">
        <f>Europe_Sales_Records34[[#This Row],[Total Revenue]]/Europe_Sales_Records34[[#This Row],[Units Sold]]</f>
        <v>9.33</v>
      </c>
      <c r="X1147">
        <v>77131.11</v>
      </c>
      <c r="Y1147">
        <v>57207.64</v>
      </c>
      <c r="Z1147" s="4">
        <f>Europe_Sales_Records34[[#This Row],[Total Profit]]/Europe_Sales_Records34[[#This Row],[Total Revenue]]</f>
        <v>0.25830653804930331</v>
      </c>
      <c r="AA1147">
        <v>19923.47</v>
      </c>
    </row>
    <row r="1148" spans="1:27" x14ac:dyDescent="0.3">
      <c r="A1148" t="s">
        <v>14</v>
      </c>
      <c r="B1148" t="s">
        <v>53</v>
      </c>
      <c r="C1148" t="s">
        <v>64</v>
      </c>
      <c r="D1148" t="s">
        <v>23</v>
      </c>
      <c r="E1148" t="s">
        <v>24</v>
      </c>
      <c r="F1148" t="s">
        <v>1660</v>
      </c>
      <c r="G1148" s="2">
        <f t="shared" si="34"/>
        <v>40464</v>
      </c>
      <c r="H1148">
        <f>DAY(Europe_Sales_Records34[[#This Row],[Order Date Fixed]])</f>
        <v>13</v>
      </c>
      <c r="I1148" t="str">
        <f>TEXT(Europe_Sales_Records34[[#This Row],[Order Date Fixed]],"MMM")</f>
        <v>Oct</v>
      </c>
      <c r="J1148">
        <f>YEAR(Europe_Sales_Records34[[#This Row],[Order Date Fixed]])</f>
        <v>2010</v>
      </c>
      <c r="K1148" t="str">
        <f>TEXT(Europe_Sales_Records34[[#This Row],[Order Date Fixed]],"MMM-YYYY")</f>
        <v>Oct-2010</v>
      </c>
      <c r="L1148">
        <v>646981704</v>
      </c>
      <c r="M1148" s="2">
        <f t="shared" si="35"/>
        <v>40505</v>
      </c>
      <c r="N1148">
        <f>DAY(Europe_Sales_Records34[[#This Row],[Ship Date Fixed]])</f>
        <v>23</v>
      </c>
      <c r="O1148" t="str">
        <f>TEXT(Europe_Sales_Records34[[#This Row],[Ship Date Fixed]],"MMM")</f>
        <v>Nov</v>
      </c>
      <c r="P1148">
        <f>YEAR(Europe_Sales_Records34[[#This Row],[Ship Date Fixed]])</f>
        <v>2010</v>
      </c>
      <c r="Q1148" t="str">
        <f>TEXT(Europe_Sales_Records34[[#This Row],[Ship Date Fixed]],"MMM-YYYY")</f>
        <v>Nov-2010</v>
      </c>
      <c r="R1148" t="s">
        <v>1661</v>
      </c>
      <c r="S1148" s="3">
        <f>Europe_Sales_Records34[[#This Row],[Ship Date Fixed]]-Europe_Sales_Records34[[#This Row],[Order Date Fixed]]</f>
        <v>41</v>
      </c>
      <c r="T1148">
        <v>5118</v>
      </c>
      <c r="U1148">
        <v>255.28</v>
      </c>
      <c r="V1148">
        <v>159.41999999999999</v>
      </c>
      <c r="W1148">
        <f>Europe_Sales_Records34[[#This Row],[Total Revenue]]/Europe_Sales_Records34[[#This Row],[Units Sold]]</f>
        <v>255.28</v>
      </c>
      <c r="X1148">
        <v>1306523.04</v>
      </c>
      <c r="Y1148">
        <v>815911.56</v>
      </c>
      <c r="Z1148" s="4">
        <f>Europe_Sales_Records34[[#This Row],[Total Profit]]/Europe_Sales_Records34[[#This Row],[Total Revenue]]</f>
        <v>0.37550924475086178</v>
      </c>
      <c r="AA1148">
        <v>490611.48</v>
      </c>
    </row>
    <row r="1149" spans="1:27" x14ac:dyDescent="0.3">
      <c r="A1149" t="s">
        <v>14</v>
      </c>
      <c r="B1149" t="s">
        <v>53</v>
      </c>
      <c r="C1149" t="s">
        <v>46</v>
      </c>
      <c r="D1149" t="s">
        <v>23</v>
      </c>
      <c r="E1149" t="s">
        <v>33</v>
      </c>
      <c r="F1149" t="s">
        <v>1662</v>
      </c>
      <c r="G1149" s="2">
        <f t="shared" si="34"/>
        <v>42238</v>
      </c>
      <c r="H1149">
        <f>DAY(Europe_Sales_Records34[[#This Row],[Order Date Fixed]])</f>
        <v>22</v>
      </c>
      <c r="I1149" t="str">
        <f>TEXT(Europe_Sales_Records34[[#This Row],[Order Date Fixed]],"MMM")</f>
        <v>Aug</v>
      </c>
      <c r="J1149">
        <f>YEAR(Europe_Sales_Records34[[#This Row],[Order Date Fixed]])</f>
        <v>2015</v>
      </c>
      <c r="K1149" t="str">
        <f>TEXT(Europe_Sales_Records34[[#This Row],[Order Date Fixed]],"MMM-YYYY")</f>
        <v>Aug-2015</v>
      </c>
      <c r="L1149">
        <v>972452533</v>
      </c>
      <c r="M1149" s="2">
        <f t="shared" si="35"/>
        <v>42281</v>
      </c>
      <c r="N1149">
        <f>DAY(Europe_Sales_Records34[[#This Row],[Ship Date Fixed]])</f>
        <v>4</v>
      </c>
      <c r="O1149" t="str">
        <f>TEXT(Europe_Sales_Records34[[#This Row],[Ship Date Fixed]],"MMM")</f>
        <v>Oct</v>
      </c>
      <c r="P1149">
        <f>YEAR(Europe_Sales_Records34[[#This Row],[Ship Date Fixed]])</f>
        <v>2015</v>
      </c>
      <c r="Q1149" t="str">
        <f>TEXT(Europe_Sales_Records34[[#This Row],[Ship Date Fixed]],"MMM-YYYY")</f>
        <v>Oct-2015</v>
      </c>
      <c r="R1149" t="s">
        <v>1663</v>
      </c>
      <c r="S1149" s="3">
        <f>Europe_Sales_Records34[[#This Row],[Ship Date Fixed]]-Europe_Sales_Records34[[#This Row],[Order Date Fixed]]</f>
        <v>43</v>
      </c>
      <c r="T1149">
        <v>9169</v>
      </c>
      <c r="U1149">
        <v>154.06</v>
      </c>
      <c r="V1149">
        <v>90.93</v>
      </c>
      <c r="W1149">
        <f>Europe_Sales_Records34[[#This Row],[Total Revenue]]/Europe_Sales_Records34[[#This Row],[Units Sold]]</f>
        <v>154.06</v>
      </c>
      <c r="X1149">
        <v>1412576.14</v>
      </c>
      <c r="Y1149">
        <v>833737.17</v>
      </c>
      <c r="Z1149" s="4">
        <f>Europe_Sales_Records34[[#This Row],[Total Profit]]/Europe_Sales_Records34[[#This Row],[Total Revenue]]</f>
        <v>0.40977541217707386</v>
      </c>
      <c r="AA1149">
        <v>578838.97</v>
      </c>
    </row>
    <row r="1150" spans="1:27" x14ac:dyDescent="0.3">
      <c r="A1150" t="s">
        <v>14</v>
      </c>
      <c r="B1150" t="s">
        <v>27</v>
      </c>
      <c r="C1150" t="s">
        <v>102</v>
      </c>
      <c r="D1150" t="s">
        <v>17</v>
      </c>
      <c r="E1150" t="s">
        <v>24</v>
      </c>
      <c r="F1150" t="s">
        <v>1664</v>
      </c>
      <c r="G1150" s="2">
        <f t="shared" si="34"/>
        <v>40308</v>
      </c>
      <c r="H1150">
        <f>DAY(Europe_Sales_Records34[[#This Row],[Order Date Fixed]])</f>
        <v>10</v>
      </c>
      <c r="I1150" t="str">
        <f>TEXT(Europe_Sales_Records34[[#This Row],[Order Date Fixed]],"MMM")</f>
        <v>May</v>
      </c>
      <c r="J1150">
        <f>YEAR(Europe_Sales_Records34[[#This Row],[Order Date Fixed]])</f>
        <v>2010</v>
      </c>
      <c r="K1150" t="str">
        <f>TEXT(Europe_Sales_Records34[[#This Row],[Order Date Fixed]],"MMM-YYYY")</f>
        <v>May-2010</v>
      </c>
      <c r="L1150">
        <v>535740411</v>
      </c>
      <c r="M1150" s="2">
        <f t="shared" si="35"/>
        <v>40336</v>
      </c>
      <c r="N1150">
        <f>DAY(Europe_Sales_Records34[[#This Row],[Ship Date Fixed]])</f>
        <v>7</v>
      </c>
      <c r="O1150" t="str">
        <f>TEXT(Europe_Sales_Records34[[#This Row],[Ship Date Fixed]],"MMM")</f>
        <v>Jun</v>
      </c>
      <c r="P1150">
        <f>YEAR(Europe_Sales_Records34[[#This Row],[Ship Date Fixed]])</f>
        <v>2010</v>
      </c>
      <c r="Q1150" t="str">
        <f>TEXT(Europe_Sales_Records34[[#This Row],[Ship Date Fixed]],"MMM-YYYY")</f>
        <v>Jun-2010</v>
      </c>
      <c r="R1150" t="s">
        <v>1665</v>
      </c>
      <c r="S1150" s="3">
        <f>Europe_Sales_Records34[[#This Row],[Ship Date Fixed]]-Europe_Sales_Records34[[#This Row],[Order Date Fixed]]</f>
        <v>28</v>
      </c>
      <c r="T1150">
        <v>6348</v>
      </c>
      <c r="U1150">
        <v>81.73</v>
      </c>
      <c r="V1150">
        <v>56.67</v>
      </c>
      <c r="W1150">
        <f>Europe_Sales_Records34[[#This Row],[Total Revenue]]/Europe_Sales_Records34[[#This Row],[Units Sold]]</f>
        <v>81.72999999999999</v>
      </c>
      <c r="X1150">
        <v>518822.04</v>
      </c>
      <c r="Y1150">
        <v>359741.16</v>
      </c>
      <c r="Z1150" s="4">
        <f>Europe_Sales_Records34[[#This Row],[Total Profit]]/Europe_Sales_Records34[[#This Row],[Total Revenue]]</f>
        <v>0.30661935641747218</v>
      </c>
      <c r="AA1150">
        <v>159080.88</v>
      </c>
    </row>
    <row r="1151" spans="1:27" x14ac:dyDescent="0.3">
      <c r="A1151" t="s">
        <v>14</v>
      </c>
      <c r="B1151" t="s">
        <v>271</v>
      </c>
      <c r="C1151" t="s">
        <v>102</v>
      </c>
      <c r="D1151" t="s">
        <v>17</v>
      </c>
      <c r="E1151" t="s">
        <v>54</v>
      </c>
      <c r="F1151" t="s">
        <v>1118</v>
      </c>
      <c r="G1151" s="2">
        <f t="shared" si="34"/>
        <v>42792</v>
      </c>
      <c r="H1151">
        <f>DAY(Europe_Sales_Records34[[#This Row],[Order Date Fixed]])</f>
        <v>26</v>
      </c>
      <c r="I1151" t="str">
        <f>TEXT(Europe_Sales_Records34[[#This Row],[Order Date Fixed]],"MMM")</f>
        <v>Feb</v>
      </c>
      <c r="J1151">
        <f>YEAR(Europe_Sales_Records34[[#This Row],[Order Date Fixed]])</f>
        <v>2017</v>
      </c>
      <c r="K1151" t="str">
        <f>TEXT(Europe_Sales_Records34[[#This Row],[Order Date Fixed]],"MMM-YYYY")</f>
        <v>Feb-2017</v>
      </c>
      <c r="L1151">
        <v>309285581</v>
      </c>
      <c r="M1151" s="2">
        <f t="shared" si="35"/>
        <v>42842</v>
      </c>
      <c r="N1151">
        <f>DAY(Europe_Sales_Records34[[#This Row],[Ship Date Fixed]])</f>
        <v>17</v>
      </c>
      <c r="O1151" t="str">
        <f>TEXT(Europe_Sales_Records34[[#This Row],[Ship Date Fixed]],"MMM")</f>
        <v>Apr</v>
      </c>
      <c r="P1151">
        <f>YEAR(Europe_Sales_Records34[[#This Row],[Ship Date Fixed]])</f>
        <v>2017</v>
      </c>
      <c r="Q1151" t="str">
        <f>TEXT(Europe_Sales_Records34[[#This Row],[Ship Date Fixed]],"MMM-YYYY")</f>
        <v>Apr-2017</v>
      </c>
      <c r="R1151" t="s">
        <v>1284</v>
      </c>
      <c r="S1151" s="3">
        <f>Europe_Sales_Records34[[#This Row],[Ship Date Fixed]]-Europe_Sales_Records34[[#This Row],[Order Date Fixed]]</f>
        <v>50</v>
      </c>
      <c r="T1151">
        <v>3331</v>
      </c>
      <c r="U1151">
        <v>81.73</v>
      </c>
      <c r="V1151">
        <v>56.67</v>
      </c>
      <c r="W1151">
        <f>Europe_Sales_Records34[[#This Row],[Total Revenue]]/Europe_Sales_Records34[[#This Row],[Units Sold]]</f>
        <v>81.73</v>
      </c>
      <c r="X1151">
        <v>272242.63</v>
      </c>
      <c r="Y1151">
        <v>188767.77</v>
      </c>
      <c r="Z1151" s="4">
        <f>Europe_Sales_Records34[[#This Row],[Total Profit]]/Europe_Sales_Records34[[#This Row],[Total Revenue]]</f>
        <v>0.30661935641747218</v>
      </c>
      <c r="AA1151">
        <v>83474.86</v>
      </c>
    </row>
    <row r="1152" spans="1:27" x14ac:dyDescent="0.3">
      <c r="A1152" t="s">
        <v>14</v>
      </c>
      <c r="B1152" t="s">
        <v>220</v>
      </c>
      <c r="C1152" t="s">
        <v>64</v>
      </c>
      <c r="D1152" t="s">
        <v>17</v>
      </c>
      <c r="E1152" t="s">
        <v>18</v>
      </c>
      <c r="F1152" t="s">
        <v>1221</v>
      </c>
      <c r="G1152" s="2">
        <f t="shared" si="34"/>
        <v>41340</v>
      </c>
      <c r="H1152">
        <f>DAY(Europe_Sales_Records34[[#This Row],[Order Date Fixed]])</f>
        <v>7</v>
      </c>
      <c r="I1152" t="str">
        <f>TEXT(Europe_Sales_Records34[[#This Row],[Order Date Fixed]],"MMM")</f>
        <v>Mar</v>
      </c>
      <c r="J1152">
        <f>YEAR(Europe_Sales_Records34[[#This Row],[Order Date Fixed]])</f>
        <v>2013</v>
      </c>
      <c r="K1152" t="str">
        <f>TEXT(Europe_Sales_Records34[[#This Row],[Order Date Fixed]],"MMM-YYYY")</f>
        <v>Mar-2013</v>
      </c>
      <c r="L1152">
        <v>380733191</v>
      </c>
      <c r="M1152" s="2">
        <f t="shared" si="35"/>
        <v>41377</v>
      </c>
      <c r="N1152">
        <f>DAY(Europe_Sales_Records34[[#This Row],[Ship Date Fixed]])</f>
        <v>13</v>
      </c>
      <c r="O1152" t="str">
        <f>TEXT(Europe_Sales_Records34[[#This Row],[Ship Date Fixed]],"MMM")</f>
        <v>Apr</v>
      </c>
      <c r="P1152">
        <f>YEAR(Europe_Sales_Records34[[#This Row],[Ship Date Fixed]])</f>
        <v>2013</v>
      </c>
      <c r="Q1152" t="str">
        <f>TEXT(Europe_Sales_Records34[[#This Row],[Ship Date Fixed]],"MMM-YYYY")</f>
        <v>Apr-2013</v>
      </c>
      <c r="R1152" t="s">
        <v>1666</v>
      </c>
      <c r="S1152" s="3">
        <f>Europe_Sales_Records34[[#This Row],[Ship Date Fixed]]-Europe_Sales_Records34[[#This Row],[Order Date Fixed]]</f>
        <v>37</v>
      </c>
      <c r="T1152">
        <v>6267</v>
      </c>
      <c r="U1152">
        <v>255.28</v>
      </c>
      <c r="V1152">
        <v>159.41999999999999</v>
      </c>
      <c r="W1152">
        <f>Europe_Sales_Records34[[#This Row],[Total Revenue]]/Europe_Sales_Records34[[#This Row],[Units Sold]]</f>
        <v>255.28</v>
      </c>
      <c r="X1152">
        <v>1599839.76</v>
      </c>
      <c r="Y1152">
        <v>999085.14</v>
      </c>
      <c r="Z1152" s="4">
        <f>Europe_Sales_Records34[[#This Row],[Total Profit]]/Europe_Sales_Records34[[#This Row],[Total Revenue]]</f>
        <v>0.37550924475086178</v>
      </c>
      <c r="AA1152">
        <v>600754.62</v>
      </c>
    </row>
    <row r="1153" spans="1:27" x14ac:dyDescent="0.3">
      <c r="A1153" t="s">
        <v>14</v>
      </c>
      <c r="B1153" t="s">
        <v>132</v>
      </c>
      <c r="C1153" t="s">
        <v>37</v>
      </c>
      <c r="D1153" t="s">
        <v>23</v>
      </c>
      <c r="E1153" t="s">
        <v>33</v>
      </c>
      <c r="F1153" t="s">
        <v>1495</v>
      </c>
      <c r="G1153" s="2">
        <f t="shared" si="34"/>
        <v>41071</v>
      </c>
      <c r="H1153">
        <f>DAY(Europe_Sales_Records34[[#This Row],[Order Date Fixed]])</f>
        <v>11</v>
      </c>
      <c r="I1153" t="str">
        <f>TEXT(Europe_Sales_Records34[[#This Row],[Order Date Fixed]],"MMM")</f>
        <v>Jun</v>
      </c>
      <c r="J1153">
        <f>YEAR(Europe_Sales_Records34[[#This Row],[Order Date Fixed]])</f>
        <v>2012</v>
      </c>
      <c r="K1153" t="str">
        <f>TEXT(Europe_Sales_Records34[[#This Row],[Order Date Fixed]],"MMM-YYYY")</f>
        <v>Jun-2012</v>
      </c>
      <c r="L1153">
        <v>989102828</v>
      </c>
      <c r="M1153" s="2">
        <f t="shared" si="35"/>
        <v>41098</v>
      </c>
      <c r="N1153">
        <f>DAY(Europe_Sales_Records34[[#This Row],[Ship Date Fixed]])</f>
        <v>8</v>
      </c>
      <c r="O1153" t="str">
        <f>TEXT(Europe_Sales_Records34[[#This Row],[Ship Date Fixed]],"MMM")</f>
        <v>Jul</v>
      </c>
      <c r="P1153">
        <f>YEAR(Europe_Sales_Records34[[#This Row],[Ship Date Fixed]])</f>
        <v>2012</v>
      </c>
      <c r="Q1153" t="str">
        <f>TEXT(Europe_Sales_Records34[[#This Row],[Ship Date Fixed]],"MMM-YYYY")</f>
        <v>Jul-2012</v>
      </c>
      <c r="R1153" t="s">
        <v>283</v>
      </c>
      <c r="S1153" s="3">
        <f>Europe_Sales_Records34[[#This Row],[Ship Date Fixed]]-Europe_Sales_Records34[[#This Row],[Order Date Fixed]]</f>
        <v>27</v>
      </c>
      <c r="T1153">
        <v>6362</v>
      </c>
      <c r="U1153">
        <v>9.33</v>
      </c>
      <c r="V1153">
        <v>6.92</v>
      </c>
      <c r="W1153">
        <f>Europe_Sales_Records34[[#This Row],[Total Revenue]]/Europe_Sales_Records34[[#This Row],[Units Sold]]</f>
        <v>9.33</v>
      </c>
      <c r="X1153">
        <v>59357.46</v>
      </c>
      <c r="Y1153">
        <v>44025.04</v>
      </c>
      <c r="Z1153" s="4">
        <f>Europe_Sales_Records34[[#This Row],[Total Profit]]/Europe_Sales_Records34[[#This Row],[Total Revenue]]</f>
        <v>0.25830653804930331</v>
      </c>
      <c r="AA1153">
        <v>15332.42</v>
      </c>
    </row>
    <row r="1154" spans="1:27" x14ac:dyDescent="0.3">
      <c r="A1154" t="s">
        <v>14</v>
      </c>
      <c r="B1154" t="s">
        <v>80</v>
      </c>
      <c r="C1154" t="s">
        <v>16</v>
      </c>
      <c r="D1154" t="s">
        <v>23</v>
      </c>
      <c r="E1154" t="s">
        <v>24</v>
      </c>
      <c r="F1154" t="s">
        <v>1217</v>
      </c>
      <c r="G1154" s="2">
        <f t="shared" ref="G1154:G1217" si="36">DATE(
  RIGHT(F1154,4),
  LEFT(F1154,FIND("/",F1154)-1),
  MID(F1154,FIND("/",F1154)+1, FIND("/",F1154,FIND("/",F1154)+1)-FIND("/",F1154)-1)
)</f>
        <v>41031</v>
      </c>
      <c r="H1154">
        <f>DAY(Europe_Sales_Records34[[#This Row],[Order Date Fixed]])</f>
        <v>2</v>
      </c>
      <c r="I1154" t="str">
        <f>TEXT(Europe_Sales_Records34[[#This Row],[Order Date Fixed]],"MMM")</f>
        <v>May</v>
      </c>
      <c r="J1154">
        <f>YEAR(Europe_Sales_Records34[[#This Row],[Order Date Fixed]])</f>
        <v>2012</v>
      </c>
      <c r="K1154" t="str">
        <f>TEXT(Europe_Sales_Records34[[#This Row],[Order Date Fixed]],"MMM-YYYY")</f>
        <v>May-2012</v>
      </c>
      <c r="L1154">
        <v>862326610</v>
      </c>
      <c r="M1154" s="2">
        <f t="shared" ref="M1154:M1217" si="37">DATE(
  RIGHT(R1154,4),
  LEFT(R1154,FIND("/",R1154)-1),
  MID(
      R1154,
      FIND("/",R1154)+1,
      FIND("/",R1154,FIND("/",R1154)+1)-FIND("/",R1154)-1
     )
)</f>
        <v>41057</v>
      </c>
      <c r="N1154">
        <f>DAY(Europe_Sales_Records34[[#This Row],[Ship Date Fixed]])</f>
        <v>28</v>
      </c>
      <c r="O1154" t="str">
        <f>TEXT(Europe_Sales_Records34[[#This Row],[Ship Date Fixed]],"MMM")</f>
        <v>May</v>
      </c>
      <c r="P1154">
        <f>YEAR(Europe_Sales_Records34[[#This Row],[Ship Date Fixed]])</f>
        <v>2012</v>
      </c>
      <c r="Q1154" t="str">
        <f>TEXT(Europe_Sales_Records34[[#This Row],[Ship Date Fixed]],"MMM-YYYY")</f>
        <v>May-2012</v>
      </c>
      <c r="R1154" t="s">
        <v>436</v>
      </c>
      <c r="S1154" s="3">
        <f>Europe_Sales_Records34[[#This Row],[Ship Date Fixed]]-Europe_Sales_Records34[[#This Row],[Order Date Fixed]]</f>
        <v>26</v>
      </c>
      <c r="T1154">
        <v>461</v>
      </c>
      <c r="U1154">
        <v>47.45</v>
      </c>
      <c r="V1154">
        <v>31.79</v>
      </c>
      <c r="W1154">
        <f>Europe_Sales_Records34[[#This Row],[Total Revenue]]/Europe_Sales_Records34[[#This Row],[Units Sold]]</f>
        <v>47.45</v>
      </c>
      <c r="X1154">
        <v>21874.45</v>
      </c>
      <c r="Y1154">
        <v>14655.19</v>
      </c>
      <c r="Z1154" s="4">
        <f>Europe_Sales_Records34[[#This Row],[Total Profit]]/Europe_Sales_Records34[[#This Row],[Total Revenue]]</f>
        <v>0.33003161222339306</v>
      </c>
      <c r="AA1154">
        <v>7219.26</v>
      </c>
    </row>
    <row r="1155" spans="1:27" x14ac:dyDescent="0.3">
      <c r="A1155" t="s">
        <v>14</v>
      </c>
      <c r="B1155" t="s">
        <v>169</v>
      </c>
      <c r="C1155" t="s">
        <v>50</v>
      </c>
      <c r="D1155" t="s">
        <v>23</v>
      </c>
      <c r="E1155" t="s">
        <v>54</v>
      </c>
      <c r="F1155" t="s">
        <v>1083</v>
      </c>
      <c r="G1155" s="2">
        <f t="shared" si="36"/>
        <v>41278</v>
      </c>
      <c r="H1155">
        <f>DAY(Europe_Sales_Records34[[#This Row],[Order Date Fixed]])</f>
        <v>4</v>
      </c>
      <c r="I1155" t="str">
        <f>TEXT(Europe_Sales_Records34[[#This Row],[Order Date Fixed]],"MMM")</f>
        <v>Jan</v>
      </c>
      <c r="J1155">
        <f>YEAR(Europe_Sales_Records34[[#This Row],[Order Date Fixed]])</f>
        <v>2013</v>
      </c>
      <c r="K1155" t="str">
        <f>TEXT(Europe_Sales_Records34[[#This Row],[Order Date Fixed]],"MMM-YYYY")</f>
        <v>Jan-2013</v>
      </c>
      <c r="L1155">
        <v>152411115</v>
      </c>
      <c r="M1155" s="2">
        <f t="shared" si="37"/>
        <v>41326</v>
      </c>
      <c r="N1155">
        <f>DAY(Europe_Sales_Records34[[#This Row],[Ship Date Fixed]])</f>
        <v>21</v>
      </c>
      <c r="O1155" t="str">
        <f>TEXT(Europe_Sales_Records34[[#This Row],[Ship Date Fixed]],"MMM")</f>
        <v>Feb</v>
      </c>
      <c r="P1155">
        <f>YEAR(Europe_Sales_Records34[[#This Row],[Ship Date Fixed]])</f>
        <v>2013</v>
      </c>
      <c r="Q1155" t="str">
        <f>TEXT(Europe_Sales_Records34[[#This Row],[Ship Date Fixed]],"MMM-YYYY")</f>
        <v>Feb-2013</v>
      </c>
      <c r="R1155" t="s">
        <v>974</v>
      </c>
      <c r="S1155" s="3">
        <f>Europe_Sales_Records34[[#This Row],[Ship Date Fixed]]-Europe_Sales_Records34[[#This Row],[Order Date Fixed]]</f>
        <v>48</v>
      </c>
      <c r="T1155">
        <v>691</v>
      </c>
      <c r="U1155">
        <v>421.89</v>
      </c>
      <c r="V1155">
        <v>364.69</v>
      </c>
      <c r="W1155">
        <f>Europe_Sales_Records34[[#This Row],[Total Revenue]]/Europe_Sales_Records34[[#This Row],[Units Sold]]</f>
        <v>421.89</v>
      </c>
      <c r="X1155">
        <v>291525.99</v>
      </c>
      <c r="Y1155">
        <v>252000.79</v>
      </c>
      <c r="Z1155" s="4">
        <f>Europe_Sales_Records34[[#This Row],[Total Profit]]/Europe_Sales_Records34[[#This Row],[Total Revenue]]</f>
        <v>0.13558036455000119</v>
      </c>
      <c r="AA1155">
        <v>39525.199999999997</v>
      </c>
    </row>
    <row r="1156" spans="1:27" x14ac:dyDescent="0.3">
      <c r="A1156" t="s">
        <v>14</v>
      </c>
      <c r="B1156" t="s">
        <v>74</v>
      </c>
      <c r="C1156" t="s">
        <v>32</v>
      </c>
      <c r="D1156" t="s">
        <v>17</v>
      </c>
      <c r="E1156" t="s">
        <v>18</v>
      </c>
      <c r="F1156" t="s">
        <v>515</v>
      </c>
      <c r="G1156" s="2">
        <f t="shared" si="36"/>
        <v>42629</v>
      </c>
      <c r="H1156">
        <f>DAY(Europe_Sales_Records34[[#This Row],[Order Date Fixed]])</f>
        <v>16</v>
      </c>
      <c r="I1156" t="str">
        <f>TEXT(Europe_Sales_Records34[[#This Row],[Order Date Fixed]],"MMM")</f>
        <v>Sep</v>
      </c>
      <c r="J1156">
        <f>YEAR(Europe_Sales_Records34[[#This Row],[Order Date Fixed]])</f>
        <v>2016</v>
      </c>
      <c r="K1156" t="str">
        <f>TEXT(Europe_Sales_Records34[[#This Row],[Order Date Fixed]],"MMM-YYYY")</f>
        <v>Sep-2016</v>
      </c>
      <c r="L1156">
        <v>862485826</v>
      </c>
      <c r="M1156" s="2">
        <f t="shared" si="37"/>
        <v>42670</v>
      </c>
      <c r="N1156">
        <f>DAY(Europe_Sales_Records34[[#This Row],[Ship Date Fixed]])</f>
        <v>27</v>
      </c>
      <c r="O1156" t="str">
        <f>TEXT(Europe_Sales_Records34[[#This Row],[Ship Date Fixed]],"MMM")</f>
        <v>Oct</v>
      </c>
      <c r="P1156">
        <f>YEAR(Europe_Sales_Records34[[#This Row],[Ship Date Fixed]])</f>
        <v>2016</v>
      </c>
      <c r="Q1156" t="str">
        <f>TEXT(Europe_Sales_Records34[[#This Row],[Ship Date Fixed]],"MMM-YYYY")</f>
        <v>Oct-2016</v>
      </c>
      <c r="R1156" t="s">
        <v>971</v>
      </c>
      <c r="S1156" s="3">
        <f>Europe_Sales_Records34[[#This Row],[Ship Date Fixed]]-Europe_Sales_Records34[[#This Row],[Order Date Fixed]]</f>
        <v>41</v>
      </c>
      <c r="T1156">
        <v>7577</v>
      </c>
      <c r="U1156">
        <v>651.21</v>
      </c>
      <c r="V1156">
        <v>524.96</v>
      </c>
      <c r="W1156">
        <f>Europe_Sales_Records34[[#This Row],[Total Revenue]]/Europe_Sales_Records34[[#This Row],[Units Sold]]</f>
        <v>651.21</v>
      </c>
      <c r="X1156">
        <v>4934218.17</v>
      </c>
      <c r="Y1156">
        <v>3977621.92</v>
      </c>
      <c r="Z1156" s="4">
        <f>Europe_Sales_Records34[[#This Row],[Total Profit]]/Europe_Sales_Records34[[#This Row],[Total Revenue]]</f>
        <v>0.19386987300563566</v>
      </c>
      <c r="AA1156">
        <v>956596.25</v>
      </c>
    </row>
    <row r="1157" spans="1:27" x14ac:dyDescent="0.3">
      <c r="A1157" t="s">
        <v>14</v>
      </c>
      <c r="B1157" t="s">
        <v>257</v>
      </c>
      <c r="C1157" t="s">
        <v>37</v>
      </c>
      <c r="D1157" t="s">
        <v>17</v>
      </c>
      <c r="E1157" t="s">
        <v>24</v>
      </c>
      <c r="F1157" t="s">
        <v>1667</v>
      </c>
      <c r="G1157" s="2">
        <f t="shared" si="36"/>
        <v>42576</v>
      </c>
      <c r="H1157">
        <f>DAY(Europe_Sales_Records34[[#This Row],[Order Date Fixed]])</f>
        <v>25</v>
      </c>
      <c r="I1157" t="str">
        <f>TEXT(Europe_Sales_Records34[[#This Row],[Order Date Fixed]],"MMM")</f>
        <v>Jul</v>
      </c>
      <c r="J1157">
        <f>YEAR(Europe_Sales_Records34[[#This Row],[Order Date Fixed]])</f>
        <v>2016</v>
      </c>
      <c r="K1157" t="str">
        <f>TEXT(Europe_Sales_Records34[[#This Row],[Order Date Fixed]],"MMM-YYYY")</f>
        <v>Jul-2016</v>
      </c>
      <c r="L1157">
        <v>299739491</v>
      </c>
      <c r="M1157" s="2">
        <f t="shared" si="37"/>
        <v>42614</v>
      </c>
      <c r="N1157">
        <f>DAY(Europe_Sales_Records34[[#This Row],[Ship Date Fixed]])</f>
        <v>1</v>
      </c>
      <c r="O1157" t="str">
        <f>TEXT(Europe_Sales_Records34[[#This Row],[Ship Date Fixed]],"MMM")</f>
        <v>Sep</v>
      </c>
      <c r="P1157">
        <f>YEAR(Europe_Sales_Records34[[#This Row],[Ship Date Fixed]])</f>
        <v>2016</v>
      </c>
      <c r="Q1157" t="str">
        <f>TEXT(Europe_Sales_Records34[[#This Row],[Ship Date Fixed]],"MMM-YYYY")</f>
        <v>Sep-2016</v>
      </c>
      <c r="R1157" t="s">
        <v>1313</v>
      </c>
      <c r="S1157" s="3">
        <f>Europe_Sales_Records34[[#This Row],[Ship Date Fixed]]-Europe_Sales_Records34[[#This Row],[Order Date Fixed]]</f>
        <v>38</v>
      </c>
      <c r="T1157">
        <v>8431</v>
      </c>
      <c r="U1157">
        <v>9.33</v>
      </c>
      <c r="V1157">
        <v>6.92</v>
      </c>
      <c r="W1157">
        <f>Europe_Sales_Records34[[#This Row],[Total Revenue]]/Europe_Sales_Records34[[#This Row],[Units Sold]]</f>
        <v>9.33</v>
      </c>
      <c r="X1157">
        <v>78661.23</v>
      </c>
      <c r="Y1157">
        <v>58342.52</v>
      </c>
      <c r="Z1157" s="4">
        <f>Europe_Sales_Records34[[#This Row],[Total Profit]]/Europe_Sales_Records34[[#This Row],[Total Revenue]]</f>
        <v>0.25830653804930331</v>
      </c>
      <c r="AA1157">
        <v>20318.71</v>
      </c>
    </row>
    <row r="1158" spans="1:27" x14ac:dyDescent="0.3">
      <c r="A1158" t="s">
        <v>14</v>
      </c>
      <c r="B1158" t="s">
        <v>163</v>
      </c>
      <c r="C1158" t="s">
        <v>50</v>
      </c>
      <c r="D1158" t="s">
        <v>17</v>
      </c>
      <c r="E1158" t="s">
        <v>33</v>
      </c>
      <c r="F1158" t="s">
        <v>1037</v>
      </c>
      <c r="G1158" s="2">
        <f t="shared" si="36"/>
        <v>40741</v>
      </c>
      <c r="H1158">
        <f>DAY(Europe_Sales_Records34[[#This Row],[Order Date Fixed]])</f>
        <v>17</v>
      </c>
      <c r="I1158" t="str">
        <f>TEXT(Europe_Sales_Records34[[#This Row],[Order Date Fixed]],"MMM")</f>
        <v>Jul</v>
      </c>
      <c r="J1158">
        <f>YEAR(Europe_Sales_Records34[[#This Row],[Order Date Fixed]])</f>
        <v>2011</v>
      </c>
      <c r="K1158" t="str">
        <f>TEXT(Europe_Sales_Records34[[#This Row],[Order Date Fixed]],"MMM-YYYY")</f>
        <v>Jul-2011</v>
      </c>
      <c r="L1158">
        <v>633312737</v>
      </c>
      <c r="M1158" s="2">
        <f t="shared" si="37"/>
        <v>40766</v>
      </c>
      <c r="N1158">
        <f>DAY(Europe_Sales_Records34[[#This Row],[Ship Date Fixed]])</f>
        <v>11</v>
      </c>
      <c r="O1158" t="str">
        <f>TEXT(Europe_Sales_Records34[[#This Row],[Ship Date Fixed]],"MMM")</f>
        <v>Aug</v>
      </c>
      <c r="P1158">
        <f>YEAR(Europe_Sales_Records34[[#This Row],[Ship Date Fixed]])</f>
        <v>2011</v>
      </c>
      <c r="Q1158" t="str">
        <f>TEXT(Europe_Sales_Records34[[#This Row],[Ship Date Fixed]],"MMM-YYYY")</f>
        <v>Aug-2011</v>
      </c>
      <c r="R1158" t="s">
        <v>1668</v>
      </c>
      <c r="S1158" s="3">
        <f>Europe_Sales_Records34[[#This Row],[Ship Date Fixed]]-Europe_Sales_Records34[[#This Row],[Order Date Fixed]]</f>
        <v>25</v>
      </c>
      <c r="T1158">
        <v>167</v>
      </c>
      <c r="U1158">
        <v>421.89</v>
      </c>
      <c r="V1158">
        <v>364.69</v>
      </c>
      <c r="W1158">
        <f>Europe_Sales_Records34[[#This Row],[Total Revenue]]/Europe_Sales_Records34[[#This Row],[Units Sold]]</f>
        <v>421.89000000000004</v>
      </c>
      <c r="X1158">
        <v>70455.63</v>
      </c>
      <c r="Y1158">
        <v>60903.23</v>
      </c>
      <c r="Z1158" s="4">
        <f>Europe_Sales_Records34[[#This Row],[Total Profit]]/Europe_Sales_Records34[[#This Row],[Total Revenue]]</f>
        <v>0.13558036455000116</v>
      </c>
      <c r="AA1158">
        <v>9552.4</v>
      </c>
    </row>
    <row r="1159" spans="1:27" x14ac:dyDescent="0.3">
      <c r="A1159" t="s">
        <v>14</v>
      </c>
      <c r="B1159" t="s">
        <v>115</v>
      </c>
      <c r="C1159" t="s">
        <v>32</v>
      </c>
      <c r="D1159" t="s">
        <v>17</v>
      </c>
      <c r="E1159" t="s">
        <v>18</v>
      </c>
      <c r="F1159" t="s">
        <v>740</v>
      </c>
      <c r="G1159" s="2">
        <f t="shared" si="36"/>
        <v>41257</v>
      </c>
      <c r="H1159">
        <f>DAY(Europe_Sales_Records34[[#This Row],[Order Date Fixed]])</f>
        <v>14</v>
      </c>
      <c r="I1159" t="str">
        <f>TEXT(Europe_Sales_Records34[[#This Row],[Order Date Fixed]],"MMM")</f>
        <v>Dec</v>
      </c>
      <c r="J1159">
        <f>YEAR(Europe_Sales_Records34[[#This Row],[Order Date Fixed]])</f>
        <v>2012</v>
      </c>
      <c r="K1159" t="str">
        <f>TEXT(Europe_Sales_Records34[[#This Row],[Order Date Fixed]],"MMM-YYYY")</f>
        <v>Dec-2012</v>
      </c>
      <c r="L1159">
        <v>884192836</v>
      </c>
      <c r="M1159" s="2">
        <f t="shared" si="37"/>
        <v>41289</v>
      </c>
      <c r="N1159">
        <f>DAY(Europe_Sales_Records34[[#This Row],[Ship Date Fixed]])</f>
        <v>15</v>
      </c>
      <c r="O1159" t="str">
        <f>TEXT(Europe_Sales_Records34[[#This Row],[Ship Date Fixed]],"MMM")</f>
        <v>Jan</v>
      </c>
      <c r="P1159">
        <f>YEAR(Europe_Sales_Records34[[#This Row],[Ship Date Fixed]])</f>
        <v>2013</v>
      </c>
      <c r="Q1159" t="str">
        <f>TEXT(Europe_Sales_Records34[[#This Row],[Ship Date Fixed]],"MMM-YYYY")</f>
        <v>Jan-2013</v>
      </c>
      <c r="R1159" t="s">
        <v>1669</v>
      </c>
      <c r="S1159" s="3">
        <f>Europe_Sales_Records34[[#This Row],[Ship Date Fixed]]-Europe_Sales_Records34[[#This Row],[Order Date Fixed]]</f>
        <v>32</v>
      </c>
      <c r="T1159">
        <v>1164</v>
      </c>
      <c r="U1159">
        <v>651.21</v>
      </c>
      <c r="V1159">
        <v>524.96</v>
      </c>
      <c r="W1159">
        <f>Europe_Sales_Records34[[#This Row],[Total Revenue]]/Europe_Sales_Records34[[#This Row],[Units Sold]]</f>
        <v>651.20999999999992</v>
      </c>
      <c r="X1159">
        <v>758008.44</v>
      </c>
      <c r="Y1159">
        <v>611053.43999999994</v>
      </c>
      <c r="Z1159" s="4">
        <f>Europe_Sales_Records34[[#This Row],[Total Profit]]/Europe_Sales_Records34[[#This Row],[Total Revenue]]</f>
        <v>0.19386987300563568</v>
      </c>
      <c r="AA1159">
        <v>146955</v>
      </c>
    </row>
    <row r="1160" spans="1:27" x14ac:dyDescent="0.3">
      <c r="A1160" t="s">
        <v>14</v>
      </c>
      <c r="B1160" t="s">
        <v>223</v>
      </c>
      <c r="C1160" t="s">
        <v>50</v>
      </c>
      <c r="D1160" t="s">
        <v>23</v>
      </c>
      <c r="E1160" t="s">
        <v>24</v>
      </c>
      <c r="F1160" t="s">
        <v>1670</v>
      </c>
      <c r="G1160" s="2">
        <f t="shared" si="36"/>
        <v>42194</v>
      </c>
      <c r="H1160">
        <f>DAY(Europe_Sales_Records34[[#This Row],[Order Date Fixed]])</f>
        <v>9</v>
      </c>
      <c r="I1160" t="str">
        <f>TEXT(Europe_Sales_Records34[[#This Row],[Order Date Fixed]],"MMM")</f>
        <v>Jul</v>
      </c>
      <c r="J1160">
        <f>YEAR(Europe_Sales_Records34[[#This Row],[Order Date Fixed]])</f>
        <v>2015</v>
      </c>
      <c r="K1160" t="str">
        <f>TEXT(Europe_Sales_Records34[[#This Row],[Order Date Fixed]],"MMM-YYYY")</f>
        <v>Jul-2015</v>
      </c>
      <c r="L1160">
        <v>578356206</v>
      </c>
      <c r="M1160" s="2">
        <f t="shared" si="37"/>
        <v>42200</v>
      </c>
      <c r="N1160">
        <f>DAY(Europe_Sales_Records34[[#This Row],[Ship Date Fixed]])</f>
        <v>15</v>
      </c>
      <c r="O1160" t="str">
        <f>TEXT(Europe_Sales_Records34[[#This Row],[Ship Date Fixed]],"MMM")</f>
        <v>Jul</v>
      </c>
      <c r="P1160">
        <f>YEAR(Europe_Sales_Records34[[#This Row],[Ship Date Fixed]])</f>
        <v>2015</v>
      </c>
      <c r="Q1160" t="str">
        <f>TEXT(Europe_Sales_Records34[[#This Row],[Ship Date Fixed]],"MMM-YYYY")</f>
        <v>Jul-2015</v>
      </c>
      <c r="R1160" t="s">
        <v>1671</v>
      </c>
      <c r="S1160" s="3">
        <f>Europe_Sales_Records34[[#This Row],[Ship Date Fixed]]-Europe_Sales_Records34[[#This Row],[Order Date Fixed]]</f>
        <v>6</v>
      </c>
      <c r="T1160">
        <v>7309</v>
      </c>
      <c r="U1160">
        <v>421.89</v>
      </c>
      <c r="V1160">
        <v>364.69</v>
      </c>
      <c r="W1160">
        <f>Europe_Sales_Records34[[#This Row],[Total Revenue]]/Europe_Sales_Records34[[#This Row],[Units Sold]]</f>
        <v>421.89</v>
      </c>
      <c r="X1160">
        <v>3083594.01</v>
      </c>
      <c r="Y1160">
        <v>2665519.21</v>
      </c>
      <c r="Z1160" s="4">
        <f>Europe_Sales_Records34[[#This Row],[Total Profit]]/Europe_Sales_Records34[[#This Row],[Total Revenue]]</f>
        <v>0.13558036455000119</v>
      </c>
      <c r="AA1160">
        <v>418074.8</v>
      </c>
    </row>
    <row r="1161" spans="1:27" x14ac:dyDescent="0.3">
      <c r="A1161" t="s">
        <v>14</v>
      </c>
      <c r="B1161" t="s">
        <v>45</v>
      </c>
      <c r="C1161" t="s">
        <v>102</v>
      </c>
      <c r="D1161" t="s">
        <v>23</v>
      </c>
      <c r="E1161" t="s">
        <v>33</v>
      </c>
      <c r="F1161" t="s">
        <v>1302</v>
      </c>
      <c r="G1161" s="2">
        <f t="shared" si="36"/>
        <v>40680</v>
      </c>
      <c r="H1161">
        <f>DAY(Europe_Sales_Records34[[#This Row],[Order Date Fixed]])</f>
        <v>17</v>
      </c>
      <c r="I1161" t="str">
        <f>TEXT(Europe_Sales_Records34[[#This Row],[Order Date Fixed]],"MMM")</f>
        <v>May</v>
      </c>
      <c r="J1161">
        <f>YEAR(Europe_Sales_Records34[[#This Row],[Order Date Fixed]])</f>
        <v>2011</v>
      </c>
      <c r="K1161" t="str">
        <f>TEXT(Europe_Sales_Records34[[#This Row],[Order Date Fixed]],"MMM-YYYY")</f>
        <v>May-2011</v>
      </c>
      <c r="L1161">
        <v>194858253</v>
      </c>
      <c r="M1161" s="2">
        <f t="shared" si="37"/>
        <v>40685</v>
      </c>
      <c r="N1161">
        <f>DAY(Europe_Sales_Records34[[#This Row],[Ship Date Fixed]])</f>
        <v>22</v>
      </c>
      <c r="O1161" t="str">
        <f>TEXT(Europe_Sales_Records34[[#This Row],[Ship Date Fixed]],"MMM")</f>
        <v>May</v>
      </c>
      <c r="P1161">
        <f>YEAR(Europe_Sales_Records34[[#This Row],[Ship Date Fixed]])</f>
        <v>2011</v>
      </c>
      <c r="Q1161" t="str">
        <f>TEXT(Europe_Sales_Records34[[#This Row],[Ship Date Fixed]],"MMM-YYYY")</f>
        <v>May-2011</v>
      </c>
      <c r="R1161" t="s">
        <v>712</v>
      </c>
      <c r="S1161" s="3">
        <f>Europe_Sales_Records34[[#This Row],[Ship Date Fixed]]-Europe_Sales_Records34[[#This Row],[Order Date Fixed]]</f>
        <v>5</v>
      </c>
      <c r="T1161">
        <v>1742</v>
      </c>
      <c r="U1161">
        <v>81.73</v>
      </c>
      <c r="V1161">
        <v>56.67</v>
      </c>
      <c r="W1161">
        <f>Europe_Sales_Records34[[#This Row],[Total Revenue]]/Europe_Sales_Records34[[#This Row],[Units Sold]]</f>
        <v>81.73</v>
      </c>
      <c r="X1161">
        <v>142373.66</v>
      </c>
      <c r="Y1161">
        <v>98719.14</v>
      </c>
      <c r="Z1161" s="4">
        <f>Europe_Sales_Records34[[#This Row],[Total Profit]]/Europe_Sales_Records34[[#This Row],[Total Revenue]]</f>
        <v>0.30661935641747212</v>
      </c>
      <c r="AA1161">
        <v>43654.52</v>
      </c>
    </row>
    <row r="1162" spans="1:27" x14ac:dyDescent="0.3">
      <c r="A1162" t="s">
        <v>14</v>
      </c>
      <c r="B1162" t="s">
        <v>181</v>
      </c>
      <c r="C1162" t="s">
        <v>28</v>
      </c>
      <c r="D1162" t="s">
        <v>17</v>
      </c>
      <c r="E1162" t="s">
        <v>33</v>
      </c>
      <c r="F1162" t="s">
        <v>1672</v>
      </c>
      <c r="G1162" s="2">
        <f t="shared" si="36"/>
        <v>40510</v>
      </c>
      <c r="H1162">
        <f>DAY(Europe_Sales_Records34[[#This Row],[Order Date Fixed]])</f>
        <v>28</v>
      </c>
      <c r="I1162" t="str">
        <f>TEXT(Europe_Sales_Records34[[#This Row],[Order Date Fixed]],"MMM")</f>
        <v>Nov</v>
      </c>
      <c r="J1162">
        <f>YEAR(Europe_Sales_Records34[[#This Row],[Order Date Fixed]])</f>
        <v>2010</v>
      </c>
      <c r="K1162" t="str">
        <f>TEXT(Europe_Sales_Records34[[#This Row],[Order Date Fixed]],"MMM-YYYY")</f>
        <v>Nov-2010</v>
      </c>
      <c r="L1162">
        <v>988614022</v>
      </c>
      <c r="M1162" s="2">
        <f t="shared" si="37"/>
        <v>40554</v>
      </c>
      <c r="N1162">
        <f>DAY(Europe_Sales_Records34[[#This Row],[Ship Date Fixed]])</f>
        <v>11</v>
      </c>
      <c r="O1162" t="str">
        <f>TEXT(Europe_Sales_Records34[[#This Row],[Ship Date Fixed]],"MMM")</f>
        <v>Jan</v>
      </c>
      <c r="P1162">
        <f>YEAR(Europe_Sales_Records34[[#This Row],[Ship Date Fixed]])</f>
        <v>2011</v>
      </c>
      <c r="Q1162" t="str">
        <f>TEXT(Europe_Sales_Records34[[#This Row],[Ship Date Fixed]],"MMM-YYYY")</f>
        <v>Jan-2011</v>
      </c>
      <c r="R1162" t="s">
        <v>626</v>
      </c>
      <c r="S1162" s="3">
        <f>Europe_Sales_Records34[[#This Row],[Ship Date Fixed]]-Europe_Sales_Records34[[#This Row],[Order Date Fixed]]</f>
        <v>44</v>
      </c>
      <c r="T1162">
        <v>1713</v>
      </c>
      <c r="U1162">
        <v>205.7</v>
      </c>
      <c r="V1162">
        <v>117.11</v>
      </c>
      <c r="W1162">
        <f>Europe_Sales_Records34[[#This Row],[Total Revenue]]/Europe_Sales_Records34[[#This Row],[Units Sold]]</f>
        <v>205.7</v>
      </c>
      <c r="X1162">
        <v>352364.1</v>
      </c>
      <c r="Y1162">
        <v>200609.43</v>
      </c>
      <c r="Z1162" s="4">
        <f>Europe_Sales_Records34[[#This Row],[Total Profit]]/Europe_Sales_Records34[[#This Row],[Total Revenue]]</f>
        <v>0.43067574137092862</v>
      </c>
      <c r="AA1162">
        <v>151754.67000000001</v>
      </c>
    </row>
    <row r="1163" spans="1:27" x14ac:dyDescent="0.3">
      <c r="A1163" t="s">
        <v>14</v>
      </c>
      <c r="B1163" t="s">
        <v>70</v>
      </c>
      <c r="C1163" t="s">
        <v>28</v>
      </c>
      <c r="D1163" t="s">
        <v>23</v>
      </c>
      <c r="E1163" t="s">
        <v>33</v>
      </c>
      <c r="F1163" t="s">
        <v>1673</v>
      </c>
      <c r="G1163" s="2">
        <f t="shared" si="36"/>
        <v>41649</v>
      </c>
      <c r="H1163">
        <f>DAY(Europe_Sales_Records34[[#This Row],[Order Date Fixed]])</f>
        <v>10</v>
      </c>
      <c r="I1163" t="str">
        <f>TEXT(Europe_Sales_Records34[[#This Row],[Order Date Fixed]],"MMM")</f>
        <v>Jan</v>
      </c>
      <c r="J1163">
        <f>YEAR(Europe_Sales_Records34[[#This Row],[Order Date Fixed]])</f>
        <v>2014</v>
      </c>
      <c r="K1163" t="str">
        <f>TEXT(Europe_Sales_Records34[[#This Row],[Order Date Fixed]],"MMM-YYYY")</f>
        <v>Jan-2014</v>
      </c>
      <c r="L1163">
        <v>279338395</v>
      </c>
      <c r="M1163" s="2">
        <f t="shared" si="37"/>
        <v>41694</v>
      </c>
      <c r="N1163">
        <f>DAY(Europe_Sales_Records34[[#This Row],[Ship Date Fixed]])</f>
        <v>24</v>
      </c>
      <c r="O1163" t="str">
        <f>TEXT(Europe_Sales_Records34[[#This Row],[Ship Date Fixed]],"MMM")</f>
        <v>Feb</v>
      </c>
      <c r="P1163">
        <f>YEAR(Europe_Sales_Records34[[#This Row],[Ship Date Fixed]])</f>
        <v>2014</v>
      </c>
      <c r="Q1163" t="str">
        <f>TEXT(Europe_Sales_Records34[[#This Row],[Ship Date Fixed]],"MMM-YYYY")</f>
        <v>Feb-2014</v>
      </c>
      <c r="R1163" t="s">
        <v>1674</v>
      </c>
      <c r="S1163" s="3">
        <f>Europe_Sales_Records34[[#This Row],[Ship Date Fixed]]-Europe_Sales_Records34[[#This Row],[Order Date Fixed]]</f>
        <v>45</v>
      </c>
      <c r="T1163">
        <v>1293</v>
      </c>
      <c r="U1163">
        <v>205.7</v>
      </c>
      <c r="V1163">
        <v>117.11</v>
      </c>
      <c r="W1163">
        <f>Europe_Sales_Records34[[#This Row],[Total Revenue]]/Europe_Sales_Records34[[#This Row],[Units Sold]]</f>
        <v>205.7</v>
      </c>
      <c r="X1163">
        <v>265970.09999999998</v>
      </c>
      <c r="Y1163">
        <v>151423.23000000001</v>
      </c>
      <c r="Z1163" s="4">
        <f>Europe_Sales_Records34[[#This Row],[Total Profit]]/Europe_Sales_Records34[[#This Row],[Total Revenue]]</f>
        <v>0.43067574137092857</v>
      </c>
      <c r="AA1163">
        <v>114546.87</v>
      </c>
    </row>
    <row r="1164" spans="1:27" x14ac:dyDescent="0.3">
      <c r="A1164" t="s">
        <v>14</v>
      </c>
      <c r="B1164" t="s">
        <v>36</v>
      </c>
      <c r="C1164" t="s">
        <v>64</v>
      </c>
      <c r="D1164" t="s">
        <v>17</v>
      </c>
      <c r="E1164" t="s">
        <v>24</v>
      </c>
      <c r="F1164" t="s">
        <v>1231</v>
      </c>
      <c r="G1164" s="2">
        <f t="shared" si="36"/>
        <v>41641</v>
      </c>
      <c r="H1164">
        <f>DAY(Europe_Sales_Records34[[#This Row],[Order Date Fixed]])</f>
        <v>2</v>
      </c>
      <c r="I1164" t="str">
        <f>TEXT(Europe_Sales_Records34[[#This Row],[Order Date Fixed]],"MMM")</f>
        <v>Jan</v>
      </c>
      <c r="J1164">
        <f>YEAR(Europe_Sales_Records34[[#This Row],[Order Date Fixed]])</f>
        <v>2014</v>
      </c>
      <c r="K1164" t="str">
        <f>TEXT(Europe_Sales_Records34[[#This Row],[Order Date Fixed]],"MMM-YYYY")</f>
        <v>Jan-2014</v>
      </c>
      <c r="L1164">
        <v>123086202</v>
      </c>
      <c r="M1164" s="2">
        <f t="shared" si="37"/>
        <v>41690</v>
      </c>
      <c r="N1164">
        <f>DAY(Europe_Sales_Records34[[#This Row],[Ship Date Fixed]])</f>
        <v>20</v>
      </c>
      <c r="O1164" t="str">
        <f>TEXT(Europe_Sales_Records34[[#This Row],[Ship Date Fixed]],"MMM")</f>
        <v>Feb</v>
      </c>
      <c r="P1164">
        <f>YEAR(Europe_Sales_Records34[[#This Row],[Ship Date Fixed]])</f>
        <v>2014</v>
      </c>
      <c r="Q1164" t="str">
        <f>TEXT(Europe_Sales_Records34[[#This Row],[Ship Date Fixed]],"MMM-YYYY")</f>
        <v>Feb-2014</v>
      </c>
      <c r="R1164" t="s">
        <v>1675</v>
      </c>
      <c r="S1164" s="3">
        <f>Europe_Sales_Records34[[#This Row],[Ship Date Fixed]]-Europe_Sales_Records34[[#This Row],[Order Date Fixed]]</f>
        <v>49</v>
      </c>
      <c r="T1164">
        <v>2797</v>
      </c>
      <c r="U1164">
        <v>255.28</v>
      </c>
      <c r="V1164">
        <v>159.41999999999999</v>
      </c>
      <c r="W1164">
        <f>Europe_Sales_Records34[[#This Row],[Total Revenue]]/Europe_Sales_Records34[[#This Row],[Units Sold]]</f>
        <v>255.28</v>
      </c>
      <c r="X1164">
        <v>714018.16</v>
      </c>
      <c r="Y1164">
        <v>445897.74</v>
      </c>
      <c r="Z1164" s="4">
        <f>Europe_Sales_Records34[[#This Row],[Total Profit]]/Europe_Sales_Records34[[#This Row],[Total Revenue]]</f>
        <v>0.37550924475086178</v>
      </c>
      <c r="AA1164">
        <v>268120.42</v>
      </c>
    </row>
    <row r="1165" spans="1:27" x14ac:dyDescent="0.3">
      <c r="A1165" t="s">
        <v>14</v>
      </c>
      <c r="B1165" t="s">
        <v>45</v>
      </c>
      <c r="C1165" t="s">
        <v>50</v>
      </c>
      <c r="D1165" t="s">
        <v>23</v>
      </c>
      <c r="E1165" t="s">
        <v>24</v>
      </c>
      <c r="F1165" t="s">
        <v>1392</v>
      </c>
      <c r="G1165" s="2">
        <f t="shared" si="36"/>
        <v>42357</v>
      </c>
      <c r="H1165">
        <f>DAY(Europe_Sales_Records34[[#This Row],[Order Date Fixed]])</f>
        <v>19</v>
      </c>
      <c r="I1165" t="str">
        <f>TEXT(Europe_Sales_Records34[[#This Row],[Order Date Fixed]],"MMM")</f>
        <v>Dec</v>
      </c>
      <c r="J1165">
        <f>YEAR(Europe_Sales_Records34[[#This Row],[Order Date Fixed]])</f>
        <v>2015</v>
      </c>
      <c r="K1165" t="str">
        <f>TEXT(Europe_Sales_Records34[[#This Row],[Order Date Fixed]],"MMM-YYYY")</f>
        <v>Dec-2015</v>
      </c>
      <c r="L1165">
        <v>216278588</v>
      </c>
      <c r="M1165" s="2">
        <f t="shared" si="37"/>
        <v>42357</v>
      </c>
      <c r="N1165">
        <f>DAY(Europe_Sales_Records34[[#This Row],[Ship Date Fixed]])</f>
        <v>19</v>
      </c>
      <c r="O1165" t="str">
        <f>TEXT(Europe_Sales_Records34[[#This Row],[Ship Date Fixed]],"MMM")</f>
        <v>Dec</v>
      </c>
      <c r="P1165">
        <f>YEAR(Europe_Sales_Records34[[#This Row],[Ship Date Fixed]])</f>
        <v>2015</v>
      </c>
      <c r="Q1165" t="str">
        <f>TEXT(Europe_Sales_Records34[[#This Row],[Ship Date Fixed]],"MMM-YYYY")</f>
        <v>Dec-2015</v>
      </c>
      <c r="R1165" t="s">
        <v>1392</v>
      </c>
      <c r="S1165" s="3">
        <f>Europe_Sales_Records34[[#This Row],[Ship Date Fixed]]-Europe_Sales_Records34[[#This Row],[Order Date Fixed]]</f>
        <v>0</v>
      </c>
      <c r="T1165">
        <v>495</v>
      </c>
      <c r="U1165">
        <v>421.89</v>
      </c>
      <c r="V1165">
        <v>364.69</v>
      </c>
      <c r="W1165">
        <f>Europe_Sales_Records34[[#This Row],[Total Revenue]]/Europe_Sales_Records34[[#This Row],[Units Sold]]</f>
        <v>421.89</v>
      </c>
      <c r="X1165">
        <v>208835.55</v>
      </c>
      <c r="Y1165">
        <v>180521.55</v>
      </c>
      <c r="Z1165" s="4">
        <f>Europe_Sales_Records34[[#This Row],[Total Profit]]/Europe_Sales_Records34[[#This Row],[Total Revenue]]</f>
        <v>0.13558036455000119</v>
      </c>
      <c r="AA1165">
        <v>28314</v>
      </c>
    </row>
    <row r="1166" spans="1:27" x14ac:dyDescent="0.3">
      <c r="A1166" t="s">
        <v>14</v>
      </c>
      <c r="B1166" t="s">
        <v>342</v>
      </c>
      <c r="C1166" t="s">
        <v>64</v>
      </c>
      <c r="D1166" t="s">
        <v>17</v>
      </c>
      <c r="E1166" t="s">
        <v>54</v>
      </c>
      <c r="F1166" t="s">
        <v>1406</v>
      </c>
      <c r="G1166" s="2">
        <f t="shared" si="36"/>
        <v>42178</v>
      </c>
      <c r="H1166">
        <f>DAY(Europe_Sales_Records34[[#This Row],[Order Date Fixed]])</f>
        <v>23</v>
      </c>
      <c r="I1166" t="str">
        <f>TEXT(Europe_Sales_Records34[[#This Row],[Order Date Fixed]],"MMM")</f>
        <v>Jun</v>
      </c>
      <c r="J1166">
        <f>YEAR(Europe_Sales_Records34[[#This Row],[Order Date Fixed]])</f>
        <v>2015</v>
      </c>
      <c r="K1166" t="str">
        <f>TEXT(Europe_Sales_Records34[[#This Row],[Order Date Fixed]],"MMM-YYYY")</f>
        <v>Jun-2015</v>
      </c>
      <c r="L1166">
        <v>693831098</v>
      </c>
      <c r="M1166" s="2">
        <f t="shared" si="37"/>
        <v>42199</v>
      </c>
      <c r="N1166">
        <f>DAY(Europe_Sales_Records34[[#This Row],[Ship Date Fixed]])</f>
        <v>14</v>
      </c>
      <c r="O1166" t="str">
        <f>TEXT(Europe_Sales_Records34[[#This Row],[Ship Date Fixed]],"MMM")</f>
        <v>Jul</v>
      </c>
      <c r="P1166">
        <f>YEAR(Europe_Sales_Records34[[#This Row],[Ship Date Fixed]])</f>
        <v>2015</v>
      </c>
      <c r="Q1166" t="str">
        <f>TEXT(Europe_Sales_Records34[[#This Row],[Ship Date Fixed]],"MMM-YYYY")</f>
        <v>Jul-2015</v>
      </c>
      <c r="R1166" t="s">
        <v>1676</v>
      </c>
      <c r="S1166" s="3">
        <f>Europe_Sales_Records34[[#This Row],[Ship Date Fixed]]-Europe_Sales_Records34[[#This Row],[Order Date Fixed]]</f>
        <v>21</v>
      </c>
      <c r="T1166">
        <v>8895</v>
      </c>
      <c r="U1166">
        <v>255.28</v>
      </c>
      <c r="V1166">
        <v>159.41999999999999</v>
      </c>
      <c r="W1166">
        <f>Europe_Sales_Records34[[#This Row],[Total Revenue]]/Europe_Sales_Records34[[#This Row],[Units Sold]]</f>
        <v>255.28</v>
      </c>
      <c r="X1166">
        <v>2270715.6</v>
      </c>
      <c r="Y1166">
        <v>1418040.9</v>
      </c>
      <c r="Z1166" s="4">
        <f>Europe_Sales_Records34[[#This Row],[Total Profit]]/Europe_Sales_Records34[[#This Row],[Total Revenue]]</f>
        <v>0.37550924475086178</v>
      </c>
      <c r="AA1166">
        <v>852674.7</v>
      </c>
    </row>
    <row r="1167" spans="1:27" x14ac:dyDescent="0.3">
      <c r="A1167" t="s">
        <v>14</v>
      </c>
      <c r="B1167" t="s">
        <v>181</v>
      </c>
      <c r="C1167" t="s">
        <v>28</v>
      </c>
      <c r="D1167" t="s">
        <v>23</v>
      </c>
      <c r="E1167" t="s">
        <v>18</v>
      </c>
      <c r="F1167" t="s">
        <v>664</v>
      </c>
      <c r="G1167" s="2">
        <f t="shared" si="36"/>
        <v>40422</v>
      </c>
      <c r="H1167">
        <f>DAY(Europe_Sales_Records34[[#This Row],[Order Date Fixed]])</f>
        <v>1</v>
      </c>
      <c r="I1167" t="str">
        <f>TEXT(Europe_Sales_Records34[[#This Row],[Order Date Fixed]],"MMM")</f>
        <v>Sep</v>
      </c>
      <c r="J1167">
        <f>YEAR(Europe_Sales_Records34[[#This Row],[Order Date Fixed]])</f>
        <v>2010</v>
      </c>
      <c r="K1167" t="str">
        <f>TEXT(Europe_Sales_Records34[[#This Row],[Order Date Fixed]],"MMM-YYYY")</f>
        <v>Sep-2010</v>
      </c>
      <c r="L1167">
        <v>963219296</v>
      </c>
      <c r="M1167" s="2">
        <f t="shared" si="37"/>
        <v>40439</v>
      </c>
      <c r="N1167">
        <f>DAY(Europe_Sales_Records34[[#This Row],[Ship Date Fixed]])</f>
        <v>18</v>
      </c>
      <c r="O1167" t="str">
        <f>TEXT(Europe_Sales_Records34[[#This Row],[Ship Date Fixed]],"MMM")</f>
        <v>Sep</v>
      </c>
      <c r="P1167">
        <f>YEAR(Europe_Sales_Records34[[#This Row],[Ship Date Fixed]])</f>
        <v>2010</v>
      </c>
      <c r="Q1167" t="str">
        <f>TEXT(Europe_Sales_Records34[[#This Row],[Ship Date Fixed]],"MMM-YYYY")</f>
        <v>Sep-2010</v>
      </c>
      <c r="R1167" t="s">
        <v>1179</v>
      </c>
      <c r="S1167" s="3">
        <f>Europe_Sales_Records34[[#This Row],[Ship Date Fixed]]-Europe_Sales_Records34[[#This Row],[Order Date Fixed]]</f>
        <v>17</v>
      </c>
      <c r="T1167">
        <v>6850</v>
      </c>
      <c r="U1167">
        <v>205.7</v>
      </c>
      <c r="V1167">
        <v>117.11</v>
      </c>
      <c r="W1167">
        <f>Europe_Sales_Records34[[#This Row],[Total Revenue]]/Europe_Sales_Records34[[#This Row],[Units Sold]]</f>
        <v>205.7</v>
      </c>
      <c r="X1167">
        <v>1409045</v>
      </c>
      <c r="Y1167">
        <v>802203.5</v>
      </c>
      <c r="Z1167" s="4">
        <f>Europe_Sales_Records34[[#This Row],[Total Profit]]/Europe_Sales_Records34[[#This Row],[Total Revenue]]</f>
        <v>0.43067574137092851</v>
      </c>
      <c r="AA1167">
        <v>606841.5</v>
      </c>
    </row>
    <row r="1168" spans="1:27" x14ac:dyDescent="0.3">
      <c r="A1168" t="s">
        <v>14</v>
      </c>
      <c r="B1168" t="s">
        <v>27</v>
      </c>
      <c r="C1168" t="s">
        <v>46</v>
      </c>
      <c r="D1168" t="s">
        <v>17</v>
      </c>
      <c r="E1168" t="s">
        <v>24</v>
      </c>
      <c r="F1168" t="s">
        <v>1677</v>
      </c>
      <c r="G1168" s="2">
        <f t="shared" si="36"/>
        <v>42686</v>
      </c>
      <c r="H1168">
        <f>DAY(Europe_Sales_Records34[[#This Row],[Order Date Fixed]])</f>
        <v>12</v>
      </c>
      <c r="I1168" t="str">
        <f>TEXT(Europe_Sales_Records34[[#This Row],[Order Date Fixed]],"MMM")</f>
        <v>Nov</v>
      </c>
      <c r="J1168">
        <f>YEAR(Europe_Sales_Records34[[#This Row],[Order Date Fixed]])</f>
        <v>2016</v>
      </c>
      <c r="K1168" t="str">
        <f>TEXT(Europe_Sales_Records34[[#This Row],[Order Date Fixed]],"MMM-YYYY")</f>
        <v>Nov-2016</v>
      </c>
      <c r="L1168">
        <v>468320834</v>
      </c>
      <c r="M1168" s="2">
        <f t="shared" si="37"/>
        <v>42725</v>
      </c>
      <c r="N1168">
        <f>DAY(Europe_Sales_Records34[[#This Row],[Ship Date Fixed]])</f>
        <v>21</v>
      </c>
      <c r="O1168" t="str">
        <f>TEXT(Europe_Sales_Records34[[#This Row],[Ship Date Fixed]],"MMM")</f>
        <v>Dec</v>
      </c>
      <c r="P1168">
        <f>YEAR(Europe_Sales_Records34[[#This Row],[Ship Date Fixed]])</f>
        <v>2016</v>
      </c>
      <c r="Q1168" t="str">
        <f>TEXT(Europe_Sales_Records34[[#This Row],[Ship Date Fixed]],"MMM-YYYY")</f>
        <v>Dec-2016</v>
      </c>
      <c r="R1168" t="s">
        <v>1678</v>
      </c>
      <c r="S1168" s="3">
        <f>Europe_Sales_Records34[[#This Row],[Ship Date Fixed]]-Europe_Sales_Records34[[#This Row],[Order Date Fixed]]</f>
        <v>39</v>
      </c>
      <c r="T1168">
        <v>5397</v>
      </c>
      <c r="U1168">
        <v>154.06</v>
      </c>
      <c r="V1168">
        <v>90.93</v>
      </c>
      <c r="W1168">
        <f>Europe_Sales_Records34[[#This Row],[Total Revenue]]/Europe_Sales_Records34[[#This Row],[Units Sold]]</f>
        <v>154.06</v>
      </c>
      <c r="X1168">
        <v>831461.82</v>
      </c>
      <c r="Y1168">
        <v>490749.21</v>
      </c>
      <c r="Z1168" s="4">
        <f>Europe_Sales_Records34[[#This Row],[Total Profit]]/Europe_Sales_Records34[[#This Row],[Total Revenue]]</f>
        <v>0.40977541217707386</v>
      </c>
      <c r="AA1168">
        <v>340712.61</v>
      </c>
    </row>
    <row r="1169" spans="1:27" x14ac:dyDescent="0.3">
      <c r="A1169" t="s">
        <v>14</v>
      </c>
      <c r="B1169" t="s">
        <v>223</v>
      </c>
      <c r="C1169" t="s">
        <v>28</v>
      </c>
      <c r="D1169" t="s">
        <v>23</v>
      </c>
      <c r="E1169" t="s">
        <v>24</v>
      </c>
      <c r="F1169" t="s">
        <v>1243</v>
      </c>
      <c r="G1169" s="2">
        <f t="shared" si="36"/>
        <v>40344</v>
      </c>
      <c r="H1169">
        <f>DAY(Europe_Sales_Records34[[#This Row],[Order Date Fixed]])</f>
        <v>15</v>
      </c>
      <c r="I1169" t="str">
        <f>TEXT(Europe_Sales_Records34[[#This Row],[Order Date Fixed]],"MMM")</f>
        <v>Jun</v>
      </c>
      <c r="J1169">
        <f>YEAR(Europe_Sales_Records34[[#This Row],[Order Date Fixed]])</f>
        <v>2010</v>
      </c>
      <c r="K1169" t="str">
        <f>TEXT(Europe_Sales_Records34[[#This Row],[Order Date Fixed]],"MMM-YYYY")</f>
        <v>Jun-2010</v>
      </c>
      <c r="L1169">
        <v>203955876</v>
      </c>
      <c r="M1169" s="2">
        <f t="shared" si="37"/>
        <v>40377</v>
      </c>
      <c r="N1169">
        <f>DAY(Europe_Sales_Records34[[#This Row],[Ship Date Fixed]])</f>
        <v>18</v>
      </c>
      <c r="O1169" t="str">
        <f>TEXT(Europe_Sales_Records34[[#This Row],[Ship Date Fixed]],"MMM")</f>
        <v>Jul</v>
      </c>
      <c r="P1169">
        <f>YEAR(Europe_Sales_Records34[[#This Row],[Ship Date Fixed]])</f>
        <v>2010</v>
      </c>
      <c r="Q1169" t="str">
        <f>TEXT(Europe_Sales_Records34[[#This Row],[Ship Date Fixed]],"MMM-YYYY")</f>
        <v>Jul-2010</v>
      </c>
      <c r="R1169" t="s">
        <v>237</v>
      </c>
      <c r="S1169" s="3">
        <f>Europe_Sales_Records34[[#This Row],[Ship Date Fixed]]-Europe_Sales_Records34[[#This Row],[Order Date Fixed]]</f>
        <v>33</v>
      </c>
      <c r="T1169">
        <v>3931</v>
      </c>
      <c r="U1169">
        <v>205.7</v>
      </c>
      <c r="V1169">
        <v>117.11</v>
      </c>
      <c r="W1169">
        <f>Europe_Sales_Records34[[#This Row],[Total Revenue]]/Europe_Sales_Records34[[#This Row],[Units Sold]]</f>
        <v>205.7</v>
      </c>
      <c r="X1169">
        <v>808606.7</v>
      </c>
      <c r="Y1169">
        <v>460359.41</v>
      </c>
      <c r="Z1169" s="4">
        <f>Europe_Sales_Records34[[#This Row],[Total Profit]]/Europe_Sales_Records34[[#This Row],[Total Revenue]]</f>
        <v>0.43067574137092851</v>
      </c>
      <c r="AA1169">
        <v>348247.29</v>
      </c>
    </row>
    <row r="1170" spans="1:27" x14ac:dyDescent="0.3">
      <c r="A1170" t="s">
        <v>14</v>
      </c>
      <c r="B1170" t="s">
        <v>146</v>
      </c>
      <c r="C1170" t="s">
        <v>58</v>
      </c>
      <c r="D1170" t="s">
        <v>17</v>
      </c>
      <c r="E1170" t="s">
        <v>54</v>
      </c>
      <c r="F1170" t="s">
        <v>1289</v>
      </c>
      <c r="G1170" s="2">
        <f t="shared" si="36"/>
        <v>42380</v>
      </c>
      <c r="H1170">
        <f>DAY(Europe_Sales_Records34[[#This Row],[Order Date Fixed]])</f>
        <v>11</v>
      </c>
      <c r="I1170" t="str">
        <f>TEXT(Europe_Sales_Records34[[#This Row],[Order Date Fixed]],"MMM")</f>
        <v>Jan</v>
      </c>
      <c r="J1170">
        <f>YEAR(Europe_Sales_Records34[[#This Row],[Order Date Fixed]])</f>
        <v>2016</v>
      </c>
      <c r="K1170" t="str">
        <f>TEXT(Europe_Sales_Records34[[#This Row],[Order Date Fixed]],"MMM-YYYY")</f>
        <v>Jan-2016</v>
      </c>
      <c r="L1170">
        <v>583451974</v>
      </c>
      <c r="M1170" s="2">
        <f t="shared" si="37"/>
        <v>42405</v>
      </c>
      <c r="N1170">
        <f>DAY(Europe_Sales_Records34[[#This Row],[Ship Date Fixed]])</f>
        <v>5</v>
      </c>
      <c r="O1170" t="str">
        <f>TEXT(Europe_Sales_Records34[[#This Row],[Ship Date Fixed]],"MMM")</f>
        <v>Feb</v>
      </c>
      <c r="P1170">
        <f>YEAR(Europe_Sales_Records34[[#This Row],[Ship Date Fixed]])</f>
        <v>2016</v>
      </c>
      <c r="Q1170" t="str">
        <f>TEXT(Europe_Sales_Records34[[#This Row],[Ship Date Fixed]],"MMM-YYYY")</f>
        <v>Feb-2016</v>
      </c>
      <c r="R1170" t="s">
        <v>1679</v>
      </c>
      <c r="S1170" s="3">
        <f>Europe_Sales_Records34[[#This Row],[Ship Date Fixed]]-Europe_Sales_Records34[[#This Row],[Order Date Fixed]]</f>
        <v>25</v>
      </c>
      <c r="T1170">
        <v>5260</v>
      </c>
      <c r="U1170">
        <v>152.58000000000001</v>
      </c>
      <c r="V1170">
        <v>97.44</v>
      </c>
      <c r="W1170">
        <f>Europe_Sales_Records34[[#This Row],[Total Revenue]]/Europe_Sales_Records34[[#This Row],[Units Sold]]</f>
        <v>152.58000000000001</v>
      </c>
      <c r="X1170">
        <v>802570.8</v>
      </c>
      <c r="Y1170">
        <v>512534.4</v>
      </c>
      <c r="Z1170" s="4">
        <f>Europe_Sales_Records34[[#This Row],[Total Profit]]/Europe_Sales_Records34[[#This Row],[Total Revenue]]</f>
        <v>0.36138419189933152</v>
      </c>
      <c r="AA1170">
        <v>290036.40000000002</v>
      </c>
    </row>
    <row r="1171" spans="1:27" x14ac:dyDescent="0.3">
      <c r="A1171" t="s">
        <v>14</v>
      </c>
      <c r="B1171" t="s">
        <v>45</v>
      </c>
      <c r="C1171" t="s">
        <v>22</v>
      </c>
      <c r="D1171" t="s">
        <v>23</v>
      </c>
      <c r="E1171" t="s">
        <v>24</v>
      </c>
      <c r="F1171" t="s">
        <v>1680</v>
      </c>
      <c r="G1171" s="2">
        <f t="shared" si="36"/>
        <v>41304</v>
      </c>
      <c r="H1171">
        <f>DAY(Europe_Sales_Records34[[#This Row],[Order Date Fixed]])</f>
        <v>30</v>
      </c>
      <c r="I1171" t="str">
        <f>TEXT(Europe_Sales_Records34[[#This Row],[Order Date Fixed]],"MMM")</f>
        <v>Jan</v>
      </c>
      <c r="J1171">
        <f>YEAR(Europe_Sales_Records34[[#This Row],[Order Date Fixed]])</f>
        <v>2013</v>
      </c>
      <c r="K1171" t="str">
        <f>TEXT(Europe_Sales_Records34[[#This Row],[Order Date Fixed]],"MMM-YYYY")</f>
        <v>Jan-2013</v>
      </c>
      <c r="L1171">
        <v>250848186</v>
      </c>
      <c r="M1171" s="2">
        <f t="shared" si="37"/>
        <v>41340</v>
      </c>
      <c r="N1171">
        <f>DAY(Europe_Sales_Records34[[#This Row],[Ship Date Fixed]])</f>
        <v>7</v>
      </c>
      <c r="O1171" t="str">
        <f>TEXT(Europe_Sales_Records34[[#This Row],[Ship Date Fixed]],"MMM")</f>
        <v>Mar</v>
      </c>
      <c r="P1171">
        <f>YEAR(Europe_Sales_Records34[[#This Row],[Ship Date Fixed]])</f>
        <v>2013</v>
      </c>
      <c r="Q1171" t="str">
        <f>TEXT(Europe_Sales_Records34[[#This Row],[Ship Date Fixed]],"MMM-YYYY")</f>
        <v>Mar-2013</v>
      </c>
      <c r="R1171" t="s">
        <v>1221</v>
      </c>
      <c r="S1171" s="3">
        <f>Europe_Sales_Records34[[#This Row],[Ship Date Fixed]]-Europe_Sales_Records34[[#This Row],[Order Date Fixed]]</f>
        <v>36</v>
      </c>
      <c r="T1171">
        <v>407</v>
      </c>
      <c r="U1171">
        <v>109.28</v>
      </c>
      <c r="V1171">
        <v>35.840000000000003</v>
      </c>
      <c r="W1171">
        <f>Europe_Sales_Records34[[#This Row],[Total Revenue]]/Europe_Sales_Records34[[#This Row],[Units Sold]]</f>
        <v>109.28</v>
      </c>
      <c r="X1171">
        <v>44476.959999999999</v>
      </c>
      <c r="Y1171">
        <v>14586.88</v>
      </c>
      <c r="Z1171" s="4">
        <f>Europe_Sales_Records34[[#This Row],[Total Profit]]/Europe_Sales_Records34[[#This Row],[Total Revenue]]</f>
        <v>0.67203513909224022</v>
      </c>
      <c r="AA1171">
        <v>29890.080000000002</v>
      </c>
    </row>
    <row r="1172" spans="1:27" x14ac:dyDescent="0.3">
      <c r="A1172" t="s">
        <v>14</v>
      </c>
      <c r="B1172" t="s">
        <v>141</v>
      </c>
      <c r="C1172" t="s">
        <v>50</v>
      </c>
      <c r="D1172" t="s">
        <v>23</v>
      </c>
      <c r="E1172" t="s">
        <v>18</v>
      </c>
      <c r="F1172" t="s">
        <v>1681</v>
      </c>
      <c r="G1172" s="2">
        <f t="shared" si="36"/>
        <v>40494</v>
      </c>
      <c r="H1172">
        <f>DAY(Europe_Sales_Records34[[#This Row],[Order Date Fixed]])</f>
        <v>12</v>
      </c>
      <c r="I1172" t="str">
        <f>TEXT(Europe_Sales_Records34[[#This Row],[Order Date Fixed]],"MMM")</f>
        <v>Nov</v>
      </c>
      <c r="J1172">
        <f>YEAR(Europe_Sales_Records34[[#This Row],[Order Date Fixed]])</f>
        <v>2010</v>
      </c>
      <c r="K1172" t="str">
        <f>TEXT(Europe_Sales_Records34[[#This Row],[Order Date Fixed]],"MMM-YYYY")</f>
        <v>Nov-2010</v>
      </c>
      <c r="L1172">
        <v>863138997</v>
      </c>
      <c r="M1172" s="2">
        <f t="shared" si="37"/>
        <v>40533</v>
      </c>
      <c r="N1172">
        <f>DAY(Europe_Sales_Records34[[#This Row],[Ship Date Fixed]])</f>
        <v>21</v>
      </c>
      <c r="O1172" t="str">
        <f>TEXT(Europe_Sales_Records34[[#This Row],[Ship Date Fixed]],"MMM")</f>
        <v>Dec</v>
      </c>
      <c r="P1172">
        <f>YEAR(Europe_Sales_Records34[[#This Row],[Ship Date Fixed]])</f>
        <v>2010</v>
      </c>
      <c r="Q1172" t="str">
        <f>TEXT(Europe_Sales_Records34[[#This Row],[Ship Date Fixed]],"MMM-YYYY")</f>
        <v>Dec-2010</v>
      </c>
      <c r="R1172" t="s">
        <v>1682</v>
      </c>
      <c r="S1172" s="3">
        <f>Europe_Sales_Records34[[#This Row],[Ship Date Fixed]]-Europe_Sales_Records34[[#This Row],[Order Date Fixed]]</f>
        <v>39</v>
      </c>
      <c r="T1172">
        <v>865</v>
      </c>
      <c r="U1172">
        <v>421.89</v>
      </c>
      <c r="V1172">
        <v>364.69</v>
      </c>
      <c r="W1172">
        <f>Europe_Sales_Records34[[#This Row],[Total Revenue]]/Europe_Sales_Records34[[#This Row],[Units Sold]]</f>
        <v>421.89</v>
      </c>
      <c r="X1172">
        <v>364934.85</v>
      </c>
      <c r="Y1172">
        <v>315456.84999999998</v>
      </c>
      <c r="Z1172" s="4">
        <f>Europe_Sales_Records34[[#This Row],[Total Profit]]/Europe_Sales_Records34[[#This Row],[Total Revenue]]</f>
        <v>0.13558036455000119</v>
      </c>
      <c r="AA1172">
        <v>49478</v>
      </c>
    </row>
    <row r="1173" spans="1:27" x14ac:dyDescent="0.3">
      <c r="A1173" t="s">
        <v>14</v>
      </c>
      <c r="B1173" t="s">
        <v>83</v>
      </c>
      <c r="C1173" t="s">
        <v>71</v>
      </c>
      <c r="D1173" t="s">
        <v>23</v>
      </c>
      <c r="E1173" t="s">
        <v>24</v>
      </c>
      <c r="F1173" t="s">
        <v>1683</v>
      </c>
      <c r="G1173" s="2">
        <f t="shared" si="36"/>
        <v>41540</v>
      </c>
      <c r="H1173">
        <f>DAY(Europe_Sales_Records34[[#This Row],[Order Date Fixed]])</f>
        <v>23</v>
      </c>
      <c r="I1173" t="str">
        <f>TEXT(Europe_Sales_Records34[[#This Row],[Order Date Fixed]],"MMM")</f>
        <v>Sep</v>
      </c>
      <c r="J1173">
        <f>YEAR(Europe_Sales_Records34[[#This Row],[Order Date Fixed]])</f>
        <v>2013</v>
      </c>
      <c r="K1173" t="str">
        <f>TEXT(Europe_Sales_Records34[[#This Row],[Order Date Fixed]],"MMM-YYYY")</f>
        <v>Sep-2013</v>
      </c>
      <c r="L1173">
        <v>266614854</v>
      </c>
      <c r="M1173" s="2">
        <f t="shared" si="37"/>
        <v>41557</v>
      </c>
      <c r="N1173">
        <f>DAY(Europe_Sales_Records34[[#This Row],[Ship Date Fixed]])</f>
        <v>10</v>
      </c>
      <c r="O1173" t="str">
        <f>TEXT(Europe_Sales_Records34[[#This Row],[Ship Date Fixed]],"MMM")</f>
        <v>Oct</v>
      </c>
      <c r="P1173">
        <f>YEAR(Europe_Sales_Records34[[#This Row],[Ship Date Fixed]])</f>
        <v>2013</v>
      </c>
      <c r="Q1173" t="str">
        <f>TEXT(Europe_Sales_Records34[[#This Row],[Ship Date Fixed]],"MMM-YYYY")</f>
        <v>Oct-2013</v>
      </c>
      <c r="R1173" t="s">
        <v>1167</v>
      </c>
      <c r="S1173" s="3">
        <f>Europe_Sales_Records34[[#This Row],[Ship Date Fixed]]-Europe_Sales_Records34[[#This Row],[Order Date Fixed]]</f>
        <v>17</v>
      </c>
      <c r="T1173">
        <v>6115</v>
      </c>
      <c r="U1173">
        <v>668.27</v>
      </c>
      <c r="V1173">
        <v>502.54</v>
      </c>
      <c r="W1173">
        <f>Europe_Sales_Records34[[#This Row],[Total Revenue]]/Europe_Sales_Records34[[#This Row],[Units Sold]]</f>
        <v>668.27</v>
      </c>
      <c r="X1173">
        <v>4086471.05</v>
      </c>
      <c r="Y1173">
        <v>3073032.1</v>
      </c>
      <c r="Z1173" s="4">
        <f>Europe_Sales_Records34[[#This Row],[Total Profit]]/Europe_Sales_Records34[[#This Row],[Total Revenue]]</f>
        <v>0.24799856345489099</v>
      </c>
      <c r="AA1173">
        <v>1013438.95</v>
      </c>
    </row>
    <row r="1174" spans="1:27" x14ac:dyDescent="0.3">
      <c r="A1174" t="s">
        <v>14</v>
      </c>
      <c r="B1174" t="s">
        <v>220</v>
      </c>
      <c r="C1174" t="s">
        <v>71</v>
      </c>
      <c r="D1174" t="s">
        <v>17</v>
      </c>
      <c r="E1174" t="s">
        <v>33</v>
      </c>
      <c r="F1174" t="s">
        <v>507</v>
      </c>
      <c r="G1174" s="2">
        <f t="shared" si="36"/>
        <v>42596</v>
      </c>
      <c r="H1174">
        <f>DAY(Europe_Sales_Records34[[#This Row],[Order Date Fixed]])</f>
        <v>14</v>
      </c>
      <c r="I1174" t="str">
        <f>TEXT(Europe_Sales_Records34[[#This Row],[Order Date Fixed]],"MMM")</f>
        <v>Aug</v>
      </c>
      <c r="J1174">
        <f>YEAR(Europe_Sales_Records34[[#This Row],[Order Date Fixed]])</f>
        <v>2016</v>
      </c>
      <c r="K1174" t="str">
        <f>TEXT(Europe_Sales_Records34[[#This Row],[Order Date Fixed]],"MMM-YYYY")</f>
        <v>Aug-2016</v>
      </c>
      <c r="L1174">
        <v>834065997</v>
      </c>
      <c r="M1174" s="2">
        <f t="shared" si="37"/>
        <v>42627</v>
      </c>
      <c r="N1174">
        <f>DAY(Europe_Sales_Records34[[#This Row],[Ship Date Fixed]])</f>
        <v>14</v>
      </c>
      <c r="O1174" t="str">
        <f>TEXT(Europe_Sales_Records34[[#This Row],[Ship Date Fixed]],"MMM")</f>
        <v>Sep</v>
      </c>
      <c r="P1174">
        <f>YEAR(Europe_Sales_Records34[[#This Row],[Ship Date Fixed]])</f>
        <v>2016</v>
      </c>
      <c r="Q1174" t="str">
        <f>TEXT(Europe_Sales_Records34[[#This Row],[Ship Date Fixed]],"MMM-YYYY")</f>
        <v>Sep-2016</v>
      </c>
      <c r="R1174" t="s">
        <v>1684</v>
      </c>
      <c r="S1174" s="3">
        <f>Europe_Sales_Records34[[#This Row],[Ship Date Fixed]]-Europe_Sales_Records34[[#This Row],[Order Date Fixed]]</f>
        <v>31</v>
      </c>
      <c r="T1174">
        <v>7518</v>
      </c>
      <c r="U1174">
        <v>668.27</v>
      </c>
      <c r="V1174">
        <v>502.54</v>
      </c>
      <c r="W1174">
        <f>Europe_Sales_Records34[[#This Row],[Total Revenue]]/Europe_Sales_Records34[[#This Row],[Units Sold]]</f>
        <v>668.2700000000001</v>
      </c>
      <c r="X1174">
        <v>5024053.8600000003</v>
      </c>
      <c r="Y1174">
        <v>3778095.72</v>
      </c>
      <c r="Z1174" s="4">
        <f>Europe_Sales_Records34[[#This Row],[Total Profit]]/Europe_Sales_Records34[[#This Row],[Total Revenue]]</f>
        <v>0.24799856345489096</v>
      </c>
      <c r="AA1174">
        <v>1245958.1399999999</v>
      </c>
    </row>
    <row r="1175" spans="1:27" x14ac:dyDescent="0.3">
      <c r="A1175" t="s">
        <v>14</v>
      </c>
      <c r="B1175" t="s">
        <v>138</v>
      </c>
      <c r="C1175" t="s">
        <v>37</v>
      </c>
      <c r="D1175" t="s">
        <v>17</v>
      </c>
      <c r="E1175" t="s">
        <v>24</v>
      </c>
      <c r="F1175" t="s">
        <v>1193</v>
      </c>
      <c r="G1175" s="2">
        <f t="shared" si="36"/>
        <v>40282</v>
      </c>
      <c r="H1175">
        <f>DAY(Europe_Sales_Records34[[#This Row],[Order Date Fixed]])</f>
        <v>14</v>
      </c>
      <c r="I1175" t="str">
        <f>TEXT(Europe_Sales_Records34[[#This Row],[Order Date Fixed]],"MMM")</f>
        <v>Apr</v>
      </c>
      <c r="J1175">
        <f>YEAR(Europe_Sales_Records34[[#This Row],[Order Date Fixed]])</f>
        <v>2010</v>
      </c>
      <c r="K1175" t="str">
        <f>TEXT(Europe_Sales_Records34[[#This Row],[Order Date Fixed]],"MMM-YYYY")</f>
        <v>Apr-2010</v>
      </c>
      <c r="L1175">
        <v>879845082</v>
      </c>
      <c r="M1175" s="2">
        <f t="shared" si="37"/>
        <v>40299</v>
      </c>
      <c r="N1175">
        <f>DAY(Europe_Sales_Records34[[#This Row],[Ship Date Fixed]])</f>
        <v>1</v>
      </c>
      <c r="O1175" t="str">
        <f>TEXT(Europe_Sales_Records34[[#This Row],[Ship Date Fixed]],"MMM")</f>
        <v>May</v>
      </c>
      <c r="P1175">
        <f>YEAR(Europe_Sales_Records34[[#This Row],[Ship Date Fixed]])</f>
        <v>2010</v>
      </c>
      <c r="Q1175" t="str">
        <f>TEXT(Europe_Sales_Records34[[#This Row],[Ship Date Fixed]],"MMM-YYYY")</f>
        <v>May-2010</v>
      </c>
      <c r="R1175" t="s">
        <v>1342</v>
      </c>
      <c r="S1175" s="3">
        <f>Europe_Sales_Records34[[#This Row],[Ship Date Fixed]]-Europe_Sales_Records34[[#This Row],[Order Date Fixed]]</f>
        <v>17</v>
      </c>
      <c r="T1175">
        <v>4567</v>
      </c>
      <c r="U1175">
        <v>9.33</v>
      </c>
      <c r="V1175">
        <v>6.92</v>
      </c>
      <c r="W1175">
        <f>Europe_Sales_Records34[[#This Row],[Total Revenue]]/Europe_Sales_Records34[[#This Row],[Units Sold]]</f>
        <v>9.33</v>
      </c>
      <c r="X1175">
        <v>42610.11</v>
      </c>
      <c r="Y1175">
        <v>31603.64</v>
      </c>
      <c r="Z1175" s="4">
        <f>Europe_Sales_Records34[[#This Row],[Total Profit]]/Europe_Sales_Records34[[#This Row],[Total Revenue]]</f>
        <v>0.25830653804930331</v>
      </c>
      <c r="AA1175">
        <v>11006.47</v>
      </c>
    </row>
    <row r="1176" spans="1:27" x14ac:dyDescent="0.3">
      <c r="A1176" t="s">
        <v>14</v>
      </c>
      <c r="B1176" t="s">
        <v>243</v>
      </c>
      <c r="C1176" t="s">
        <v>75</v>
      </c>
      <c r="D1176" t="s">
        <v>17</v>
      </c>
      <c r="E1176" t="s">
        <v>24</v>
      </c>
      <c r="F1176" t="s">
        <v>1639</v>
      </c>
      <c r="G1176" s="2">
        <f t="shared" si="36"/>
        <v>40874</v>
      </c>
      <c r="H1176">
        <f>DAY(Europe_Sales_Records34[[#This Row],[Order Date Fixed]])</f>
        <v>27</v>
      </c>
      <c r="I1176" t="str">
        <f>TEXT(Europe_Sales_Records34[[#This Row],[Order Date Fixed]],"MMM")</f>
        <v>Nov</v>
      </c>
      <c r="J1176">
        <f>YEAR(Europe_Sales_Records34[[#This Row],[Order Date Fixed]])</f>
        <v>2011</v>
      </c>
      <c r="K1176" t="str">
        <f>TEXT(Europe_Sales_Records34[[#This Row],[Order Date Fixed]],"MMM-YYYY")</f>
        <v>Nov-2011</v>
      </c>
      <c r="L1176">
        <v>146545875</v>
      </c>
      <c r="M1176" s="2">
        <f t="shared" si="37"/>
        <v>40915</v>
      </c>
      <c r="N1176">
        <f>DAY(Europe_Sales_Records34[[#This Row],[Ship Date Fixed]])</f>
        <v>7</v>
      </c>
      <c r="O1176" t="str">
        <f>TEXT(Europe_Sales_Records34[[#This Row],[Ship Date Fixed]],"MMM")</f>
        <v>Jan</v>
      </c>
      <c r="P1176">
        <f>YEAR(Europe_Sales_Records34[[#This Row],[Ship Date Fixed]])</f>
        <v>2012</v>
      </c>
      <c r="Q1176" t="str">
        <f>TEXT(Europe_Sales_Records34[[#This Row],[Ship Date Fixed]],"MMM-YYYY")</f>
        <v>Jan-2012</v>
      </c>
      <c r="R1176" t="s">
        <v>425</v>
      </c>
      <c r="S1176" s="3">
        <f>Europe_Sales_Records34[[#This Row],[Ship Date Fixed]]-Europe_Sales_Records34[[#This Row],[Order Date Fixed]]</f>
        <v>41</v>
      </c>
      <c r="T1176">
        <v>5036</v>
      </c>
      <c r="U1176">
        <v>437.2</v>
      </c>
      <c r="V1176">
        <v>263.33</v>
      </c>
      <c r="W1176">
        <f>Europe_Sales_Records34[[#This Row],[Total Revenue]]/Europe_Sales_Records34[[#This Row],[Units Sold]]</f>
        <v>437.20000000000005</v>
      </c>
      <c r="X1176">
        <v>2201739.2000000002</v>
      </c>
      <c r="Y1176">
        <v>1326129.8799999999</v>
      </c>
      <c r="Z1176" s="4">
        <f>Europe_Sales_Records34[[#This Row],[Total Profit]]/Europe_Sales_Records34[[#This Row],[Total Revenue]]</f>
        <v>0.39768984446477579</v>
      </c>
      <c r="AA1176">
        <v>875609.32</v>
      </c>
    </row>
    <row r="1177" spans="1:27" x14ac:dyDescent="0.3">
      <c r="A1177" t="s">
        <v>14</v>
      </c>
      <c r="B1177" t="s">
        <v>342</v>
      </c>
      <c r="C1177" t="s">
        <v>64</v>
      </c>
      <c r="D1177" t="s">
        <v>17</v>
      </c>
      <c r="E1177" t="s">
        <v>18</v>
      </c>
      <c r="F1177" t="s">
        <v>1685</v>
      </c>
      <c r="G1177" s="2">
        <f t="shared" si="36"/>
        <v>41881</v>
      </c>
      <c r="H1177">
        <f>DAY(Europe_Sales_Records34[[#This Row],[Order Date Fixed]])</f>
        <v>30</v>
      </c>
      <c r="I1177" t="str">
        <f>TEXT(Europe_Sales_Records34[[#This Row],[Order Date Fixed]],"MMM")</f>
        <v>Aug</v>
      </c>
      <c r="J1177">
        <f>YEAR(Europe_Sales_Records34[[#This Row],[Order Date Fixed]])</f>
        <v>2014</v>
      </c>
      <c r="K1177" t="str">
        <f>TEXT(Europe_Sales_Records34[[#This Row],[Order Date Fixed]],"MMM-YYYY")</f>
        <v>Aug-2014</v>
      </c>
      <c r="L1177">
        <v>414359509</v>
      </c>
      <c r="M1177" s="2">
        <f t="shared" si="37"/>
        <v>41893</v>
      </c>
      <c r="N1177">
        <f>DAY(Europe_Sales_Records34[[#This Row],[Ship Date Fixed]])</f>
        <v>11</v>
      </c>
      <c r="O1177" t="str">
        <f>TEXT(Europe_Sales_Records34[[#This Row],[Ship Date Fixed]],"MMM")</f>
        <v>Sep</v>
      </c>
      <c r="P1177">
        <f>YEAR(Europe_Sales_Records34[[#This Row],[Ship Date Fixed]])</f>
        <v>2014</v>
      </c>
      <c r="Q1177" t="str">
        <f>TEXT(Europe_Sales_Records34[[#This Row],[Ship Date Fixed]],"MMM-YYYY")</f>
        <v>Sep-2014</v>
      </c>
      <c r="R1177" t="s">
        <v>1686</v>
      </c>
      <c r="S1177" s="3">
        <f>Europe_Sales_Records34[[#This Row],[Ship Date Fixed]]-Europe_Sales_Records34[[#This Row],[Order Date Fixed]]</f>
        <v>12</v>
      </c>
      <c r="T1177">
        <v>7042</v>
      </c>
      <c r="U1177">
        <v>255.28</v>
      </c>
      <c r="V1177">
        <v>159.41999999999999</v>
      </c>
      <c r="W1177">
        <f>Europe_Sales_Records34[[#This Row],[Total Revenue]]/Europe_Sales_Records34[[#This Row],[Units Sold]]</f>
        <v>255.28</v>
      </c>
      <c r="X1177">
        <v>1797681.76</v>
      </c>
      <c r="Y1177">
        <v>1122635.6399999999</v>
      </c>
      <c r="Z1177" s="4">
        <f>Europe_Sales_Records34[[#This Row],[Total Profit]]/Europe_Sales_Records34[[#This Row],[Total Revenue]]</f>
        <v>0.37550924475086178</v>
      </c>
      <c r="AA1177">
        <v>675046.12</v>
      </c>
    </row>
    <row r="1178" spans="1:27" x14ac:dyDescent="0.3">
      <c r="A1178" t="s">
        <v>14</v>
      </c>
      <c r="B1178" t="s">
        <v>100</v>
      </c>
      <c r="C1178" t="s">
        <v>64</v>
      </c>
      <c r="D1178" t="s">
        <v>17</v>
      </c>
      <c r="E1178" t="s">
        <v>33</v>
      </c>
      <c r="F1178" t="s">
        <v>1687</v>
      </c>
      <c r="G1178" s="2">
        <f t="shared" si="36"/>
        <v>40776</v>
      </c>
      <c r="H1178">
        <f>DAY(Europe_Sales_Records34[[#This Row],[Order Date Fixed]])</f>
        <v>21</v>
      </c>
      <c r="I1178" t="str">
        <f>TEXT(Europe_Sales_Records34[[#This Row],[Order Date Fixed]],"MMM")</f>
        <v>Aug</v>
      </c>
      <c r="J1178">
        <f>YEAR(Europe_Sales_Records34[[#This Row],[Order Date Fixed]])</f>
        <v>2011</v>
      </c>
      <c r="K1178" t="str">
        <f>TEXT(Europe_Sales_Records34[[#This Row],[Order Date Fixed]],"MMM-YYYY")</f>
        <v>Aug-2011</v>
      </c>
      <c r="L1178">
        <v>276850593</v>
      </c>
      <c r="M1178" s="2">
        <f t="shared" si="37"/>
        <v>40789</v>
      </c>
      <c r="N1178">
        <f>DAY(Europe_Sales_Records34[[#This Row],[Ship Date Fixed]])</f>
        <v>3</v>
      </c>
      <c r="O1178" t="str">
        <f>TEXT(Europe_Sales_Records34[[#This Row],[Ship Date Fixed]],"MMM")</f>
        <v>Sep</v>
      </c>
      <c r="P1178">
        <f>YEAR(Europe_Sales_Records34[[#This Row],[Ship Date Fixed]])</f>
        <v>2011</v>
      </c>
      <c r="Q1178" t="str">
        <f>TEXT(Europe_Sales_Records34[[#This Row],[Ship Date Fixed]],"MMM-YYYY")</f>
        <v>Sep-2011</v>
      </c>
      <c r="R1178" t="s">
        <v>1688</v>
      </c>
      <c r="S1178" s="3">
        <f>Europe_Sales_Records34[[#This Row],[Ship Date Fixed]]-Europe_Sales_Records34[[#This Row],[Order Date Fixed]]</f>
        <v>13</v>
      </c>
      <c r="T1178">
        <v>5097</v>
      </c>
      <c r="U1178">
        <v>255.28</v>
      </c>
      <c r="V1178">
        <v>159.41999999999999</v>
      </c>
      <c r="W1178">
        <f>Europe_Sales_Records34[[#This Row],[Total Revenue]]/Europe_Sales_Records34[[#This Row],[Units Sold]]</f>
        <v>255.27999999999997</v>
      </c>
      <c r="X1178">
        <v>1301162.1599999999</v>
      </c>
      <c r="Y1178">
        <v>812563.74</v>
      </c>
      <c r="Z1178" s="4">
        <f>Europe_Sales_Records34[[#This Row],[Total Profit]]/Europe_Sales_Records34[[#This Row],[Total Revenue]]</f>
        <v>0.37550924475086184</v>
      </c>
      <c r="AA1178">
        <v>488598.42</v>
      </c>
    </row>
    <row r="1179" spans="1:27" x14ac:dyDescent="0.3">
      <c r="A1179" t="s">
        <v>14</v>
      </c>
      <c r="B1179" t="s">
        <v>220</v>
      </c>
      <c r="C1179" t="s">
        <v>28</v>
      </c>
      <c r="D1179" t="s">
        <v>23</v>
      </c>
      <c r="E1179" t="s">
        <v>33</v>
      </c>
      <c r="F1179" t="s">
        <v>1689</v>
      </c>
      <c r="G1179" s="2">
        <f t="shared" si="36"/>
        <v>40638</v>
      </c>
      <c r="H1179">
        <f>DAY(Europe_Sales_Records34[[#This Row],[Order Date Fixed]])</f>
        <v>5</v>
      </c>
      <c r="I1179" t="str">
        <f>TEXT(Europe_Sales_Records34[[#This Row],[Order Date Fixed]],"MMM")</f>
        <v>Apr</v>
      </c>
      <c r="J1179">
        <f>YEAR(Europe_Sales_Records34[[#This Row],[Order Date Fixed]])</f>
        <v>2011</v>
      </c>
      <c r="K1179" t="str">
        <f>TEXT(Europe_Sales_Records34[[#This Row],[Order Date Fixed]],"MMM-YYYY")</f>
        <v>Apr-2011</v>
      </c>
      <c r="L1179">
        <v>556947886</v>
      </c>
      <c r="M1179" s="2">
        <f t="shared" si="37"/>
        <v>40680</v>
      </c>
      <c r="N1179">
        <f>DAY(Europe_Sales_Records34[[#This Row],[Ship Date Fixed]])</f>
        <v>17</v>
      </c>
      <c r="O1179" t="str">
        <f>TEXT(Europe_Sales_Records34[[#This Row],[Ship Date Fixed]],"MMM")</f>
        <v>May</v>
      </c>
      <c r="P1179">
        <f>YEAR(Europe_Sales_Records34[[#This Row],[Ship Date Fixed]])</f>
        <v>2011</v>
      </c>
      <c r="Q1179" t="str">
        <f>TEXT(Europe_Sales_Records34[[#This Row],[Ship Date Fixed]],"MMM-YYYY")</f>
        <v>May-2011</v>
      </c>
      <c r="R1179" t="s">
        <v>1302</v>
      </c>
      <c r="S1179" s="3">
        <f>Europe_Sales_Records34[[#This Row],[Ship Date Fixed]]-Europe_Sales_Records34[[#This Row],[Order Date Fixed]]</f>
        <v>42</v>
      </c>
      <c r="T1179">
        <v>2111</v>
      </c>
      <c r="U1179">
        <v>205.7</v>
      </c>
      <c r="V1179">
        <v>117.11</v>
      </c>
      <c r="W1179">
        <f>Europe_Sales_Records34[[#This Row],[Total Revenue]]/Europe_Sales_Records34[[#This Row],[Units Sold]]</f>
        <v>205.70000000000002</v>
      </c>
      <c r="X1179">
        <v>434232.7</v>
      </c>
      <c r="Y1179">
        <v>247219.21</v>
      </c>
      <c r="Z1179" s="4">
        <f>Europe_Sales_Records34[[#This Row],[Total Profit]]/Europe_Sales_Records34[[#This Row],[Total Revenue]]</f>
        <v>0.43067574137092851</v>
      </c>
      <c r="AA1179">
        <v>187013.49</v>
      </c>
    </row>
    <row r="1180" spans="1:27" x14ac:dyDescent="0.3">
      <c r="A1180" t="s">
        <v>14</v>
      </c>
      <c r="B1180" t="s">
        <v>94</v>
      </c>
      <c r="C1180" t="s">
        <v>71</v>
      </c>
      <c r="D1180" t="s">
        <v>23</v>
      </c>
      <c r="E1180" t="s">
        <v>18</v>
      </c>
      <c r="F1180" t="s">
        <v>56</v>
      </c>
      <c r="G1180" s="2">
        <f t="shared" si="36"/>
        <v>40991</v>
      </c>
      <c r="H1180">
        <f>DAY(Europe_Sales_Records34[[#This Row],[Order Date Fixed]])</f>
        <v>23</v>
      </c>
      <c r="I1180" t="str">
        <f>TEXT(Europe_Sales_Records34[[#This Row],[Order Date Fixed]],"MMM")</f>
        <v>Mar</v>
      </c>
      <c r="J1180">
        <f>YEAR(Europe_Sales_Records34[[#This Row],[Order Date Fixed]])</f>
        <v>2012</v>
      </c>
      <c r="K1180" t="str">
        <f>TEXT(Europe_Sales_Records34[[#This Row],[Order Date Fixed]],"MMM-YYYY")</f>
        <v>Mar-2012</v>
      </c>
      <c r="L1180">
        <v>548403012</v>
      </c>
      <c r="M1180" s="2">
        <f t="shared" si="37"/>
        <v>41003</v>
      </c>
      <c r="N1180">
        <f>DAY(Europe_Sales_Records34[[#This Row],[Ship Date Fixed]])</f>
        <v>4</v>
      </c>
      <c r="O1180" t="str">
        <f>TEXT(Europe_Sales_Records34[[#This Row],[Ship Date Fixed]],"MMM")</f>
        <v>Apr</v>
      </c>
      <c r="P1180">
        <f>YEAR(Europe_Sales_Records34[[#This Row],[Ship Date Fixed]])</f>
        <v>2012</v>
      </c>
      <c r="Q1180" t="str">
        <f>TEXT(Europe_Sales_Records34[[#This Row],[Ship Date Fixed]],"MMM-YYYY")</f>
        <v>Apr-2012</v>
      </c>
      <c r="R1180" t="s">
        <v>1690</v>
      </c>
      <c r="S1180" s="3">
        <f>Europe_Sales_Records34[[#This Row],[Ship Date Fixed]]-Europe_Sales_Records34[[#This Row],[Order Date Fixed]]</f>
        <v>12</v>
      </c>
      <c r="T1180">
        <v>3493</v>
      </c>
      <c r="U1180">
        <v>668.27</v>
      </c>
      <c r="V1180">
        <v>502.54</v>
      </c>
      <c r="W1180">
        <f>Europe_Sales_Records34[[#This Row],[Total Revenue]]/Europe_Sales_Records34[[#This Row],[Units Sold]]</f>
        <v>668.27</v>
      </c>
      <c r="X1180">
        <v>2334267.11</v>
      </c>
      <c r="Y1180">
        <v>1755372.22</v>
      </c>
      <c r="Z1180" s="4">
        <f>Europe_Sales_Records34[[#This Row],[Total Profit]]/Europe_Sales_Records34[[#This Row],[Total Revenue]]</f>
        <v>0.24799856345489102</v>
      </c>
      <c r="AA1180">
        <v>578894.89</v>
      </c>
    </row>
    <row r="1181" spans="1:27" x14ac:dyDescent="0.3">
      <c r="A1181" t="s">
        <v>14</v>
      </c>
      <c r="B1181" t="s">
        <v>94</v>
      </c>
      <c r="C1181" t="s">
        <v>46</v>
      </c>
      <c r="D1181" t="s">
        <v>23</v>
      </c>
      <c r="E1181" t="s">
        <v>33</v>
      </c>
      <c r="F1181" t="s">
        <v>120</v>
      </c>
      <c r="G1181" s="2">
        <f t="shared" si="36"/>
        <v>40428</v>
      </c>
      <c r="H1181">
        <f>DAY(Europe_Sales_Records34[[#This Row],[Order Date Fixed]])</f>
        <v>7</v>
      </c>
      <c r="I1181" t="str">
        <f>TEXT(Europe_Sales_Records34[[#This Row],[Order Date Fixed]],"MMM")</f>
        <v>Sep</v>
      </c>
      <c r="J1181">
        <f>YEAR(Europe_Sales_Records34[[#This Row],[Order Date Fixed]])</f>
        <v>2010</v>
      </c>
      <c r="K1181" t="str">
        <f>TEXT(Europe_Sales_Records34[[#This Row],[Order Date Fixed]],"MMM-YYYY")</f>
        <v>Sep-2010</v>
      </c>
      <c r="L1181">
        <v>652252137</v>
      </c>
      <c r="M1181" s="2">
        <f t="shared" si="37"/>
        <v>40447</v>
      </c>
      <c r="N1181">
        <f>DAY(Europe_Sales_Records34[[#This Row],[Ship Date Fixed]])</f>
        <v>26</v>
      </c>
      <c r="O1181" t="str">
        <f>TEXT(Europe_Sales_Records34[[#This Row],[Ship Date Fixed]],"MMM")</f>
        <v>Sep</v>
      </c>
      <c r="P1181">
        <f>YEAR(Europe_Sales_Records34[[#This Row],[Ship Date Fixed]])</f>
        <v>2010</v>
      </c>
      <c r="Q1181" t="str">
        <f>TEXT(Europe_Sales_Records34[[#This Row],[Ship Date Fixed]],"MMM-YYYY")</f>
        <v>Sep-2010</v>
      </c>
      <c r="R1181" t="s">
        <v>1147</v>
      </c>
      <c r="S1181" s="3">
        <f>Europe_Sales_Records34[[#This Row],[Ship Date Fixed]]-Europe_Sales_Records34[[#This Row],[Order Date Fixed]]</f>
        <v>19</v>
      </c>
      <c r="T1181">
        <v>4757</v>
      </c>
      <c r="U1181">
        <v>154.06</v>
      </c>
      <c r="V1181">
        <v>90.93</v>
      </c>
      <c r="W1181">
        <f>Europe_Sales_Records34[[#This Row],[Total Revenue]]/Europe_Sales_Records34[[#This Row],[Units Sold]]</f>
        <v>154.06</v>
      </c>
      <c r="X1181">
        <v>732863.42</v>
      </c>
      <c r="Y1181">
        <v>432554.01</v>
      </c>
      <c r="Z1181" s="4">
        <f>Europe_Sales_Records34[[#This Row],[Total Profit]]/Europe_Sales_Records34[[#This Row],[Total Revenue]]</f>
        <v>0.40977541217707381</v>
      </c>
      <c r="AA1181">
        <v>300309.40999999997</v>
      </c>
    </row>
    <row r="1182" spans="1:27" x14ac:dyDescent="0.3">
      <c r="A1182" t="s">
        <v>14</v>
      </c>
      <c r="B1182" t="s">
        <v>100</v>
      </c>
      <c r="C1182" t="s">
        <v>75</v>
      </c>
      <c r="D1182" t="s">
        <v>23</v>
      </c>
      <c r="E1182" t="s">
        <v>24</v>
      </c>
      <c r="F1182" t="s">
        <v>1301</v>
      </c>
      <c r="G1182" s="2">
        <f t="shared" si="36"/>
        <v>41727</v>
      </c>
      <c r="H1182">
        <f>DAY(Europe_Sales_Records34[[#This Row],[Order Date Fixed]])</f>
        <v>29</v>
      </c>
      <c r="I1182" t="str">
        <f>TEXT(Europe_Sales_Records34[[#This Row],[Order Date Fixed]],"MMM")</f>
        <v>Mar</v>
      </c>
      <c r="J1182">
        <f>YEAR(Europe_Sales_Records34[[#This Row],[Order Date Fixed]])</f>
        <v>2014</v>
      </c>
      <c r="K1182" t="str">
        <f>TEXT(Europe_Sales_Records34[[#This Row],[Order Date Fixed]],"MMM-YYYY")</f>
        <v>Mar-2014</v>
      </c>
      <c r="L1182">
        <v>284108436</v>
      </c>
      <c r="M1182" s="2">
        <f t="shared" si="37"/>
        <v>41732</v>
      </c>
      <c r="N1182">
        <f>DAY(Europe_Sales_Records34[[#This Row],[Ship Date Fixed]])</f>
        <v>3</v>
      </c>
      <c r="O1182" t="str">
        <f>TEXT(Europe_Sales_Records34[[#This Row],[Ship Date Fixed]],"MMM")</f>
        <v>Apr</v>
      </c>
      <c r="P1182">
        <f>YEAR(Europe_Sales_Records34[[#This Row],[Ship Date Fixed]])</f>
        <v>2014</v>
      </c>
      <c r="Q1182" t="str">
        <f>TEXT(Europe_Sales_Records34[[#This Row],[Ship Date Fixed]],"MMM-YYYY")</f>
        <v>Apr-2014</v>
      </c>
      <c r="R1182" t="s">
        <v>1058</v>
      </c>
      <c r="S1182" s="3">
        <f>Europe_Sales_Records34[[#This Row],[Ship Date Fixed]]-Europe_Sales_Records34[[#This Row],[Order Date Fixed]]</f>
        <v>5</v>
      </c>
      <c r="T1182">
        <v>2854</v>
      </c>
      <c r="U1182">
        <v>437.2</v>
      </c>
      <c r="V1182">
        <v>263.33</v>
      </c>
      <c r="W1182">
        <f>Europe_Sales_Records34[[#This Row],[Total Revenue]]/Europe_Sales_Records34[[#This Row],[Units Sold]]</f>
        <v>437.2</v>
      </c>
      <c r="X1182">
        <v>1247768.8</v>
      </c>
      <c r="Y1182">
        <v>751543.82</v>
      </c>
      <c r="Z1182" s="4">
        <f>Europe_Sales_Records34[[#This Row],[Total Profit]]/Europe_Sales_Records34[[#This Row],[Total Revenue]]</f>
        <v>0.39768984446477584</v>
      </c>
      <c r="AA1182">
        <v>496224.98</v>
      </c>
    </row>
    <row r="1183" spans="1:27" x14ac:dyDescent="0.3">
      <c r="A1183" t="s">
        <v>14</v>
      </c>
      <c r="B1183" t="s">
        <v>115</v>
      </c>
      <c r="C1183" t="s">
        <v>46</v>
      </c>
      <c r="D1183" t="s">
        <v>17</v>
      </c>
      <c r="E1183" t="s">
        <v>54</v>
      </c>
      <c r="F1183" t="s">
        <v>567</v>
      </c>
      <c r="G1183" s="2">
        <f t="shared" si="36"/>
        <v>41095</v>
      </c>
      <c r="H1183">
        <f>DAY(Europe_Sales_Records34[[#This Row],[Order Date Fixed]])</f>
        <v>5</v>
      </c>
      <c r="I1183" t="str">
        <f>TEXT(Europe_Sales_Records34[[#This Row],[Order Date Fixed]],"MMM")</f>
        <v>Jul</v>
      </c>
      <c r="J1183">
        <f>YEAR(Europe_Sales_Records34[[#This Row],[Order Date Fixed]])</f>
        <v>2012</v>
      </c>
      <c r="K1183" t="str">
        <f>TEXT(Europe_Sales_Records34[[#This Row],[Order Date Fixed]],"MMM-YYYY")</f>
        <v>Jul-2012</v>
      </c>
      <c r="L1183">
        <v>416682088</v>
      </c>
      <c r="M1183" s="2">
        <f t="shared" si="37"/>
        <v>41135</v>
      </c>
      <c r="N1183">
        <f>DAY(Europe_Sales_Records34[[#This Row],[Ship Date Fixed]])</f>
        <v>14</v>
      </c>
      <c r="O1183" t="str">
        <f>TEXT(Europe_Sales_Records34[[#This Row],[Ship Date Fixed]],"MMM")</f>
        <v>Aug</v>
      </c>
      <c r="P1183">
        <f>YEAR(Europe_Sales_Records34[[#This Row],[Ship Date Fixed]])</f>
        <v>2012</v>
      </c>
      <c r="Q1183" t="str">
        <f>TEXT(Europe_Sales_Records34[[#This Row],[Ship Date Fixed]],"MMM-YYYY")</f>
        <v>Aug-2012</v>
      </c>
      <c r="R1183" t="s">
        <v>1208</v>
      </c>
      <c r="S1183" s="3">
        <f>Europe_Sales_Records34[[#This Row],[Ship Date Fixed]]-Europe_Sales_Records34[[#This Row],[Order Date Fixed]]</f>
        <v>40</v>
      </c>
      <c r="T1183">
        <v>4344</v>
      </c>
      <c r="U1183">
        <v>154.06</v>
      </c>
      <c r="V1183">
        <v>90.93</v>
      </c>
      <c r="W1183">
        <f>Europe_Sales_Records34[[#This Row],[Total Revenue]]/Europe_Sales_Records34[[#This Row],[Units Sold]]</f>
        <v>154.06</v>
      </c>
      <c r="X1183">
        <v>669236.64</v>
      </c>
      <c r="Y1183">
        <v>394999.92</v>
      </c>
      <c r="Z1183" s="4">
        <f>Europe_Sales_Records34[[#This Row],[Total Profit]]/Europe_Sales_Records34[[#This Row],[Total Revenue]]</f>
        <v>0.40977541217707381</v>
      </c>
      <c r="AA1183">
        <v>274236.71999999997</v>
      </c>
    </row>
    <row r="1184" spans="1:27" x14ac:dyDescent="0.3">
      <c r="A1184" t="s">
        <v>14</v>
      </c>
      <c r="B1184" t="s">
        <v>105</v>
      </c>
      <c r="C1184" t="s">
        <v>46</v>
      </c>
      <c r="D1184" t="s">
        <v>17</v>
      </c>
      <c r="E1184" t="s">
        <v>24</v>
      </c>
      <c r="F1184" t="s">
        <v>219</v>
      </c>
      <c r="G1184" s="2">
        <f t="shared" si="36"/>
        <v>40520</v>
      </c>
      <c r="H1184">
        <f>DAY(Europe_Sales_Records34[[#This Row],[Order Date Fixed]])</f>
        <v>8</v>
      </c>
      <c r="I1184" t="str">
        <f>TEXT(Europe_Sales_Records34[[#This Row],[Order Date Fixed]],"MMM")</f>
        <v>Dec</v>
      </c>
      <c r="J1184">
        <f>YEAR(Europe_Sales_Records34[[#This Row],[Order Date Fixed]])</f>
        <v>2010</v>
      </c>
      <c r="K1184" t="str">
        <f>TEXT(Europe_Sales_Records34[[#This Row],[Order Date Fixed]],"MMM-YYYY")</f>
        <v>Dec-2010</v>
      </c>
      <c r="L1184">
        <v>579094779</v>
      </c>
      <c r="M1184" s="2">
        <f t="shared" si="37"/>
        <v>40523</v>
      </c>
      <c r="N1184">
        <f>DAY(Europe_Sales_Records34[[#This Row],[Ship Date Fixed]])</f>
        <v>11</v>
      </c>
      <c r="O1184" t="str">
        <f>TEXT(Europe_Sales_Records34[[#This Row],[Ship Date Fixed]],"MMM")</f>
        <v>Dec</v>
      </c>
      <c r="P1184">
        <f>YEAR(Europe_Sales_Records34[[#This Row],[Ship Date Fixed]])</f>
        <v>2010</v>
      </c>
      <c r="Q1184" t="str">
        <f>TEXT(Europe_Sales_Records34[[#This Row],[Ship Date Fixed]],"MMM-YYYY")</f>
        <v>Dec-2010</v>
      </c>
      <c r="R1184" t="s">
        <v>273</v>
      </c>
      <c r="S1184" s="3">
        <f>Europe_Sales_Records34[[#This Row],[Ship Date Fixed]]-Europe_Sales_Records34[[#This Row],[Order Date Fixed]]</f>
        <v>3</v>
      </c>
      <c r="T1184">
        <v>5869</v>
      </c>
      <c r="U1184">
        <v>154.06</v>
      </c>
      <c r="V1184">
        <v>90.93</v>
      </c>
      <c r="W1184">
        <f>Europe_Sales_Records34[[#This Row],[Total Revenue]]/Europe_Sales_Records34[[#This Row],[Units Sold]]</f>
        <v>154.06</v>
      </c>
      <c r="X1184">
        <v>904178.14</v>
      </c>
      <c r="Y1184">
        <v>533668.17000000004</v>
      </c>
      <c r="Z1184" s="4">
        <f>Europe_Sales_Records34[[#This Row],[Total Profit]]/Europe_Sales_Records34[[#This Row],[Total Revenue]]</f>
        <v>0.40977541217707381</v>
      </c>
      <c r="AA1184">
        <v>370509.97</v>
      </c>
    </row>
    <row r="1185" spans="1:27" x14ac:dyDescent="0.3">
      <c r="A1185" t="s">
        <v>14</v>
      </c>
      <c r="B1185" t="s">
        <v>15</v>
      </c>
      <c r="C1185" t="s">
        <v>37</v>
      </c>
      <c r="D1185" t="s">
        <v>23</v>
      </c>
      <c r="E1185" t="s">
        <v>24</v>
      </c>
      <c r="F1185" t="s">
        <v>149</v>
      </c>
      <c r="G1185" s="2">
        <f t="shared" si="36"/>
        <v>41214</v>
      </c>
      <c r="H1185">
        <f>DAY(Europe_Sales_Records34[[#This Row],[Order Date Fixed]])</f>
        <v>1</v>
      </c>
      <c r="I1185" t="str">
        <f>TEXT(Europe_Sales_Records34[[#This Row],[Order Date Fixed]],"MMM")</f>
        <v>Nov</v>
      </c>
      <c r="J1185">
        <f>YEAR(Europe_Sales_Records34[[#This Row],[Order Date Fixed]])</f>
        <v>2012</v>
      </c>
      <c r="K1185" t="str">
        <f>TEXT(Europe_Sales_Records34[[#This Row],[Order Date Fixed]],"MMM-YYYY")</f>
        <v>Nov-2012</v>
      </c>
      <c r="L1185">
        <v>192589318</v>
      </c>
      <c r="M1185" s="2">
        <f t="shared" si="37"/>
        <v>41259</v>
      </c>
      <c r="N1185">
        <f>DAY(Europe_Sales_Records34[[#This Row],[Ship Date Fixed]])</f>
        <v>16</v>
      </c>
      <c r="O1185" t="str">
        <f>TEXT(Europe_Sales_Records34[[#This Row],[Ship Date Fixed]],"MMM")</f>
        <v>Dec</v>
      </c>
      <c r="P1185">
        <f>YEAR(Europe_Sales_Records34[[#This Row],[Ship Date Fixed]])</f>
        <v>2012</v>
      </c>
      <c r="Q1185" t="str">
        <f>TEXT(Europe_Sales_Records34[[#This Row],[Ship Date Fixed]],"MMM-YYYY")</f>
        <v>Dec-2012</v>
      </c>
      <c r="R1185" t="s">
        <v>758</v>
      </c>
      <c r="S1185" s="3">
        <f>Europe_Sales_Records34[[#This Row],[Ship Date Fixed]]-Europe_Sales_Records34[[#This Row],[Order Date Fixed]]</f>
        <v>45</v>
      </c>
      <c r="T1185">
        <v>314</v>
      </c>
      <c r="U1185">
        <v>9.33</v>
      </c>
      <c r="V1185">
        <v>6.92</v>
      </c>
      <c r="W1185">
        <f>Europe_Sales_Records34[[#This Row],[Total Revenue]]/Europe_Sales_Records34[[#This Row],[Units Sold]]</f>
        <v>9.33</v>
      </c>
      <c r="X1185">
        <v>2929.62</v>
      </c>
      <c r="Y1185">
        <v>2172.88</v>
      </c>
      <c r="Z1185" s="4">
        <f>Europe_Sales_Records34[[#This Row],[Total Profit]]/Europe_Sales_Records34[[#This Row],[Total Revenue]]</f>
        <v>0.25830653804930331</v>
      </c>
      <c r="AA1185">
        <v>756.74</v>
      </c>
    </row>
    <row r="1186" spans="1:27" x14ac:dyDescent="0.3">
      <c r="A1186" t="s">
        <v>14</v>
      </c>
      <c r="B1186" t="s">
        <v>264</v>
      </c>
      <c r="C1186" t="s">
        <v>71</v>
      </c>
      <c r="D1186" t="s">
        <v>17</v>
      </c>
      <c r="E1186" t="s">
        <v>24</v>
      </c>
      <c r="F1186" t="s">
        <v>1346</v>
      </c>
      <c r="G1186" s="2">
        <f t="shared" si="36"/>
        <v>42047</v>
      </c>
      <c r="H1186">
        <f>DAY(Europe_Sales_Records34[[#This Row],[Order Date Fixed]])</f>
        <v>12</v>
      </c>
      <c r="I1186" t="str">
        <f>TEXT(Europe_Sales_Records34[[#This Row],[Order Date Fixed]],"MMM")</f>
        <v>Feb</v>
      </c>
      <c r="J1186">
        <f>YEAR(Europe_Sales_Records34[[#This Row],[Order Date Fixed]])</f>
        <v>2015</v>
      </c>
      <c r="K1186" t="str">
        <f>TEXT(Europe_Sales_Records34[[#This Row],[Order Date Fixed]],"MMM-YYYY")</f>
        <v>Feb-2015</v>
      </c>
      <c r="L1186">
        <v>785364806</v>
      </c>
      <c r="M1186" s="2">
        <f t="shared" si="37"/>
        <v>42084</v>
      </c>
      <c r="N1186">
        <f>DAY(Europe_Sales_Records34[[#This Row],[Ship Date Fixed]])</f>
        <v>21</v>
      </c>
      <c r="O1186" t="str">
        <f>TEXT(Europe_Sales_Records34[[#This Row],[Ship Date Fixed]],"MMM")</f>
        <v>Mar</v>
      </c>
      <c r="P1186">
        <f>YEAR(Europe_Sales_Records34[[#This Row],[Ship Date Fixed]])</f>
        <v>2015</v>
      </c>
      <c r="Q1186" t="str">
        <f>TEXT(Europe_Sales_Records34[[#This Row],[Ship Date Fixed]],"MMM-YYYY")</f>
        <v>Mar-2015</v>
      </c>
      <c r="R1186" t="s">
        <v>932</v>
      </c>
      <c r="S1186" s="3">
        <f>Europe_Sales_Records34[[#This Row],[Ship Date Fixed]]-Europe_Sales_Records34[[#This Row],[Order Date Fixed]]</f>
        <v>37</v>
      </c>
      <c r="T1186">
        <v>5754</v>
      </c>
      <c r="U1186">
        <v>668.27</v>
      </c>
      <c r="V1186">
        <v>502.54</v>
      </c>
      <c r="W1186">
        <f>Europe_Sales_Records34[[#This Row],[Total Revenue]]/Europe_Sales_Records34[[#This Row],[Units Sold]]</f>
        <v>668.27</v>
      </c>
      <c r="X1186">
        <v>3845225.58</v>
      </c>
      <c r="Y1186">
        <v>2891615.16</v>
      </c>
      <c r="Z1186" s="4">
        <f>Europe_Sales_Records34[[#This Row],[Total Profit]]/Europe_Sales_Records34[[#This Row],[Total Revenue]]</f>
        <v>0.24799856345489099</v>
      </c>
      <c r="AA1186">
        <v>953610.42</v>
      </c>
    </row>
    <row r="1187" spans="1:27" x14ac:dyDescent="0.3">
      <c r="A1187" t="s">
        <v>14</v>
      </c>
      <c r="B1187" t="s">
        <v>70</v>
      </c>
      <c r="C1187" t="s">
        <v>64</v>
      </c>
      <c r="D1187" t="s">
        <v>17</v>
      </c>
      <c r="E1187" t="s">
        <v>24</v>
      </c>
      <c r="F1187" t="s">
        <v>692</v>
      </c>
      <c r="G1187" s="2">
        <f t="shared" si="36"/>
        <v>40901</v>
      </c>
      <c r="H1187">
        <f>DAY(Europe_Sales_Records34[[#This Row],[Order Date Fixed]])</f>
        <v>24</v>
      </c>
      <c r="I1187" t="str">
        <f>TEXT(Europe_Sales_Records34[[#This Row],[Order Date Fixed]],"MMM")</f>
        <v>Dec</v>
      </c>
      <c r="J1187">
        <f>YEAR(Europe_Sales_Records34[[#This Row],[Order Date Fixed]])</f>
        <v>2011</v>
      </c>
      <c r="K1187" t="str">
        <f>TEXT(Europe_Sales_Records34[[#This Row],[Order Date Fixed]],"MMM-YYYY")</f>
        <v>Dec-2011</v>
      </c>
      <c r="L1187">
        <v>450550019</v>
      </c>
      <c r="M1187" s="2">
        <f t="shared" si="37"/>
        <v>40910</v>
      </c>
      <c r="N1187">
        <f>DAY(Europe_Sales_Records34[[#This Row],[Ship Date Fixed]])</f>
        <v>2</v>
      </c>
      <c r="O1187" t="str">
        <f>TEXT(Europe_Sales_Records34[[#This Row],[Ship Date Fixed]],"MMM")</f>
        <v>Jan</v>
      </c>
      <c r="P1187">
        <f>YEAR(Europe_Sales_Records34[[#This Row],[Ship Date Fixed]])</f>
        <v>2012</v>
      </c>
      <c r="Q1187" t="str">
        <f>TEXT(Europe_Sales_Records34[[#This Row],[Ship Date Fixed]],"MMM-YYYY")</f>
        <v>Jan-2012</v>
      </c>
      <c r="R1187" t="s">
        <v>522</v>
      </c>
      <c r="S1187" s="3">
        <f>Europe_Sales_Records34[[#This Row],[Ship Date Fixed]]-Europe_Sales_Records34[[#This Row],[Order Date Fixed]]</f>
        <v>9</v>
      </c>
      <c r="T1187">
        <v>6618</v>
      </c>
      <c r="U1187">
        <v>255.28</v>
      </c>
      <c r="V1187">
        <v>159.41999999999999</v>
      </c>
      <c r="W1187">
        <f>Europe_Sales_Records34[[#This Row],[Total Revenue]]/Europe_Sales_Records34[[#This Row],[Units Sold]]</f>
        <v>255.28</v>
      </c>
      <c r="X1187">
        <v>1689443.04</v>
      </c>
      <c r="Y1187">
        <v>1055041.56</v>
      </c>
      <c r="Z1187" s="4">
        <f>Europe_Sales_Records34[[#This Row],[Total Profit]]/Europe_Sales_Records34[[#This Row],[Total Revenue]]</f>
        <v>0.37550924475086178</v>
      </c>
      <c r="AA1187">
        <v>634401.48</v>
      </c>
    </row>
    <row r="1188" spans="1:27" x14ac:dyDescent="0.3">
      <c r="A1188" t="s">
        <v>14</v>
      </c>
      <c r="B1188" t="s">
        <v>31</v>
      </c>
      <c r="C1188" t="s">
        <v>46</v>
      </c>
      <c r="D1188" t="s">
        <v>17</v>
      </c>
      <c r="E1188" t="s">
        <v>18</v>
      </c>
      <c r="F1188" t="s">
        <v>1691</v>
      </c>
      <c r="G1188" s="2">
        <f t="shared" si="36"/>
        <v>40204</v>
      </c>
      <c r="H1188">
        <f>DAY(Europe_Sales_Records34[[#This Row],[Order Date Fixed]])</f>
        <v>26</v>
      </c>
      <c r="I1188" t="str">
        <f>TEXT(Europe_Sales_Records34[[#This Row],[Order Date Fixed]],"MMM")</f>
        <v>Jan</v>
      </c>
      <c r="J1188">
        <f>YEAR(Europe_Sales_Records34[[#This Row],[Order Date Fixed]])</f>
        <v>2010</v>
      </c>
      <c r="K1188" t="str">
        <f>TEXT(Europe_Sales_Records34[[#This Row],[Order Date Fixed]],"MMM-YYYY")</f>
        <v>Jan-2010</v>
      </c>
      <c r="L1188">
        <v>817061221</v>
      </c>
      <c r="M1188" s="2">
        <f t="shared" si="37"/>
        <v>40230</v>
      </c>
      <c r="N1188">
        <f>DAY(Europe_Sales_Records34[[#This Row],[Ship Date Fixed]])</f>
        <v>21</v>
      </c>
      <c r="O1188" t="str">
        <f>TEXT(Europe_Sales_Records34[[#This Row],[Ship Date Fixed]],"MMM")</f>
        <v>Feb</v>
      </c>
      <c r="P1188">
        <f>YEAR(Europe_Sales_Records34[[#This Row],[Ship Date Fixed]])</f>
        <v>2010</v>
      </c>
      <c r="Q1188" t="str">
        <f>TEXT(Europe_Sales_Records34[[#This Row],[Ship Date Fixed]],"MMM-YYYY")</f>
        <v>Feb-2010</v>
      </c>
      <c r="R1188" t="s">
        <v>1692</v>
      </c>
      <c r="S1188" s="3">
        <f>Europe_Sales_Records34[[#This Row],[Ship Date Fixed]]-Europe_Sales_Records34[[#This Row],[Order Date Fixed]]</f>
        <v>26</v>
      </c>
      <c r="T1188">
        <v>5427</v>
      </c>
      <c r="U1188">
        <v>154.06</v>
      </c>
      <c r="V1188">
        <v>90.93</v>
      </c>
      <c r="W1188">
        <f>Europe_Sales_Records34[[#This Row],[Total Revenue]]/Europe_Sales_Records34[[#This Row],[Units Sold]]</f>
        <v>154.06</v>
      </c>
      <c r="X1188">
        <v>836083.62</v>
      </c>
      <c r="Y1188">
        <v>493477.11</v>
      </c>
      <c r="Z1188" s="4">
        <f>Europe_Sales_Records34[[#This Row],[Total Profit]]/Europe_Sales_Records34[[#This Row],[Total Revenue]]</f>
        <v>0.40977541217707386</v>
      </c>
      <c r="AA1188">
        <v>342606.51</v>
      </c>
    </row>
    <row r="1189" spans="1:27" x14ac:dyDescent="0.3">
      <c r="A1189" t="s">
        <v>14</v>
      </c>
      <c r="B1189" t="s">
        <v>243</v>
      </c>
      <c r="C1189" t="s">
        <v>32</v>
      </c>
      <c r="D1189" t="s">
        <v>23</v>
      </c>
      <c r="E1189" t="s">
        <v>54</v>
      </c>
      <c r="F1189" t="s">
        <v>998</v>
      </c>
      <c r="G1189" s="2">
        <f t="shared" si="36"/>
        <v>40959</v>
      </c>
      <c r="H1189">
        <f>DAY(Europe_Sales_Records34[[#This Row],[Order Date Fixed]])</f>
        <v>20</v>
      </c>
      <c r="I1189" t="str">
        <f>TEXT(Europe_Sales_Records34[[#This Row],[Order Date Fixed]],"MMM")</f>
        <v>Feb</v>
      </c>
      <c r="J1189">
        <f>YEAR(Europe_Sales_Records34[[#This Row],[Order Date Fixed]])</f>
        <v>2012</v>
      </c>
      <c r="K1189" t="str">
        <f>TEXT(Europe_Sales_Records34[[#This Row],[Order Date Fixed]],"MMM-YYYY")</f>
        <v>Feb-2012</v>
      </c>
      <c r="L1189">
        <v>168319404</v>
      </c>
      <c r="M1189" s="2">
        <f t="shared" si="37"/>
        <v>40978</v>
      </c>
      <c r="N1189">
        <f>DAY(Europe_Sales_Records34[[#This Row],[Ship Date Fixed]])</f>
        <v>10</v>
      </c>
      <c r="O1189" t="str">
        <f>TEXT(Europe_Sales_Records34[[#This Row],[Ship Date Fixed]],"MMM")</f>
        <v>Mar</v>
      </c>
      <c r="P1189">
        <f>YEAR(Europe_Sales_Records34[[#This Row],[Ship Date Fixed]])</f>
        <v>2012</v>
      </c>
      <c r="Q1189" t="str">
        <f>TEXT(Europe_Sales_Records34[[#This Row],[Ship Date Fixed]],"MMM-YYYY")</f>
        <v>Mar-2012</v>
      </c>
      <c r="R1189" t="s">
        <v>1542</v>
      </c>
      <c r="S1189" s="3">
        <f>Europe_Sales_Records34[[#This Row],[Ship Date Fixed]]-Europe_Sales_Records34[[#This Row],[Order Date Fixed]]</f>
        <v>19</v>
      </c>
      <c r="T1189">
        <v>8307</v>
      </c>
      <c r="U1189">
        <v>651.21</v>
      </c>
      <c r="V1189">
        <v>524.96</v>
      </c>
      <c r="W1189">
        <f>Europe_Sales_Records34[[#This Row],[Total Revenue]]/Europe_Sales_Records34[[#This Row],[Units Sold]]</f>
        <v>651.20999999999992</v>
      </c>
      <c r="X1189">
        <v>5409601.4699999997</v>
      </c>
      <c r="Y1189">
        <v>4360842.72</v>
      </c>
      <c r="Z1189" s="4">
        <f>Europe_Sales_Records34[[#This Row],[Total Profit]]/Europe_Sales_Records34[[#This Row],[Total Revenue]]</f>
        <v>0.19386987300563568</v>
      </c>
      <c r="AA1189">
        <v>1048758.75</v>
      </c>
    </row>
    <row r="1190" spans="1:27" x14ac:dyDescent="0.3">
      <c r="A1190" t="s">
        <v>14</v>
      </c>
      <c r="B1190" t="s">
        <v>232</v>
      </c>
      <c r="C1190" t="s">
        <v>22</v>
      </c>
      <c r="D1190" t="s">
        <v>23</v>
      </c>
      <c r="E1190" t="s">
        <v>18</v>
      </c>
      <c r="F1190" t="s">
        <v>980</v>
      </c>
      <c r="G1190" s="2">
        <f t="shared" si="36"/>
        <v>42530</v>
      </c>
      <c r="H1190">
        <f>DAY(Europe_Sales_Records34[[#This Row],[Order Date Fixed]])</f>
        <v>9</v>
      </c>
      <c r="I1190" t="str">
        <f>TEXT(Europe_Sales_Records34[[#This Row],[Order Date Fixed]],"MMM")</f>
        <v>Jun</v>
      </c>
      <c r="J1190">
        <f>YEAR(Europe_Sales_Records34[[#This Row],[Order Date Fixed]])</f>
        <v>2016</v>
      </c>
      <c r="K1190" t="str">
        <f>TEXT(Europe_Sales_Records34[[#This Row],[Order Date Fixed]],"MMM-YYYY")</f>
        <v>Jun-2016</v>
      </c>
      <c r="L1190">
        <v>781083571</v>
      </c>
      <c r="M1190" s="2">
        <f t="shared" si="37"/>
        <v>42539</v>
      </c>
      <c r="N1190">
        <f>DAY(Europe_Sales_Records34[[#This Row],[Ship Date Fixed]])</f>
        <v>18</v>
      </c>
      <c r="O1190" t="str">
        <f>TEXT(Europe_Sales_Records34[[#This Row],[Ship Date Fixed]],"MMM")</f>
        <v>Jun</v>
      </c>
      <c r="P1190">
        <f>YEAR(Europe_Sales_Records34[[#This Row],[Ship Date Fixed]])</f>
        <v>2016</v>
      </c>
      <c r="Q1190" t="str">
        <f>TEXT(Europe_Sales_Records34[[#This Row],[Ship Date Fixed]],"MMM-YYYY")</f>
        <v>Jun-2016</v>
      </c>
      <c r="R1190" t="s">
        <v>1123</v>
      </c>
      <c r="S1190" s="3">
        <f>Europe_Sales_Records34[[#This Row],[Ship Date Fixed]]-Europe_Sales_Records34[[#This Row],[Order Date Fixed]]</f>
        <v>9</v>
      </c>
      <c r="T1190">
        <v>8841</v>
      </c>
      <c r="U1190">
        <v>109.28</v>
      </c>
      <c r="V1190">
        <v>35.840000000000003</v>
      </c>
      <c r="W1190">
        <f>Europe_Sales_Records34[[#This Row],[Total Revenue]]/Europe_Sales_Records34[[#This Row],[Units Sold]]</f>
        <v>109.28</v>
      </c>
      <c r="X1190">
        <v>966144.48</v>
      </c>
      <c r="Y1190">
        <v>316861.44</v>
      </c>
      <c r="Z1190" s="4">
        <f>Europe_Sales_Records34[[#This Row],[Total Profit]]/Europe_Sales_Records34[[#This Row],[Total Revenue]]</f>
        <v>0.67203513909224022</v>
      </c>
      <c r="AA1190">
        <v>649283.04</v>
      </c>
    </row>
    <row r="1191" spans="1:27" x14ac:dyDescent="0.3">
      <c r="A1191" t="s">
        <v>14</v>
      </c>
      <c r="B1191" t="s">
        <v>74</v>
      </c>
      <c r="C1191" t="s">
        <v>28</v>
      </c>
      <c r="D1191" t="s">
        <v>17</v>
      </c>
      <c r="E1191" t="s">
        <v>24</v>
      </c>
      <c r="F1191" t="s">
        <v>560</v>
      </c>
      <c r="G1191" s="2">
        <f t="shared" si="36"/>
        <v>40623</v>
      </c>
      <c r="H1191">
        <f>DAY(Europe_Sales_Records34[[#This Row],[Order Date Fixed]])</f>
        <v>21</v>
      </c>
      <c r="I1191" t="str">
        <f>TEXT(Europe_Sales_Records34[[#This Row],[Order Date Fixed]],"MMM")</f>
        <v>Mar</v>
      </c>
      <c r="J1191">
        <f>YEAR(Europe_Sales_Records34[[#This Row],[Order Date Fixed]])</f>
        <v>2011</v>
      </c>
      <c r="K1191" t="str">
        <f>TEXT(Europe_Sales_Records34[[#This Row],[Order Date Fixed]],"MMM-YYYY")</f>
        <v>Mar-2011</v>
      </c>
      <c r="L1191">
        <v>401993882</v>
      </c>
      <c r="M1191" s="2">
        <f t="shared" si="37"/>
        <v>40644</v>
      </c>
      <c r="N1191">
        <f>DAY(Europe_Sales_Records34[[#This Row],[Ship Date Fixed]])</f>
        <v>11</v>
      </c>
      <c r="O1191" t="str">
        <f>TEXT(Europe_Sales_Records34[[#This Row],[Ship Date Fixed]],"MMM")</f>
        <v>Apr</v>
      </c>
      <c r="P1191">
        <f>YEAR(Europe_Sales_Records34[[#This Row],[Ship Date Fixed]])</f>
        <v>2011</v>
      </c>
      <c r="Q1191" t="str">
        <f>TEXT(Europe_Sales_Records34[[#This Row],[Ship Date Fixed]],"MMM-YYYY")</f>
        <v>Apr-2011</v>
      </c>
      <c r="R1191" t="s">
        <v>1693</v>
      </c>
      <c r="S1191" s="3">
        <f>Europe_Sales_Records34[[#This Row],[Ship Date Fixed]]-Europe_Sales_Records34[[#This Row],[Order Date Fixed]]</f>
        <v>21</v>
      </c>
      <c r="T1191">
        <v>7778</v>
      </c>
      <c r="U1191">
        <v>205.7</v>
      </c>
      <c r="V1191">
        <v>117.11</v>
      </c>
      <c r="W1191">
        <f>Europe_Sales_Records34[[#This Row],[Total Revenue]]/Europe_Sales_Records34[[#This Row],[Units Sold]]</f>
        <v>205.70000000000002</v>
      </c>
      <c r="X1191">
        <v>1599934.6</v>
      </c>
      <c r="Y1191">
        <v>910881.58</v>
      </c>
      <c r="Z1191" s="4">
        <f>Europe_Sales_Records34[[#This Row],[Total Profit]]/Europe_Sales_Records34[[#This Row],[Total Revenue]]</f>
        <v>0.43067574137092851</v>
      </c>
      <c r="AA1191">
        <v>689053.02</v>
      </c>
    </row>
    <row r="1192" spans="1:27" x14ac:dyDescent="0.3">
      <c r="A1192" t="s">
        <v>14</v>
      </c>
      <c r="B1192" t="s">
        <v>163</v>
      </c>
      <c r="C1192" t="s">
        <v>32</v>
      </c>
      <c r="D1192" t="s">
        <v>23</v>
      </c>
      <c r="E1192" t="s">
        <v>33</v>
      </c>
      <c r="F1192" t="s">
        <v>1694</v>
      </c>
      <c r="G1192" s="2">
        <f t="shared" si="36"/>
        <v>40927</v>
      </c>
      <c r="H1192">
        <f>DAY(Europe_Sales_Records34[[#This Row],[Order Date Fixed]])</f>
        <v>19</v>
      </c>
      <c r="I1192" t="str">
        <f>TEXT(Europe_Sales_Records34[[#This Row],[Order Date Fixed]],"MMM")</f>
        <v>Jan</v>
      </c>
      <c r="J1192">
        <f>YEAR(Europe_Sales_Records34[[#This Row],[Order Date Fixed]])</f>
        <v>2012</v>
      </c>
      <c r="K1192" t="str">
        <f>TEXT(Europe_Sales_Records34[[#This Row],[Order Date Fixed]],"MMM-YYYY")</f>
        <v>Jan-2012</v>
      </c>
      <c r="L1192">
        <v>391200673</v>
      </c>
      <c r="M1192" s="2">
        <f t="shared" si="37"/>
        <v>40952</v>
      </c>
      <c r="N1192">
        <f>DAY(Europe_Sales_Records34[[#This Row],[Ship Date Fixed]])</f>
        <v>13</v>
      </c>
      <c r="O1192" t="str">
        <f>TEXT(Europe_Sales_Records34[[#This Row],[Ship Date Fixed]],"MMM")</f>
        <v>Feb</v>
      </c>
      <c r="P1192">
        <f>YEAR(Europe_Sales_Records34[[#This Row],[Ship Date Fixed]])</f>
        <v>2012</v>
      </c>
      <c r="Q1192" t="str">
        <f>TEXT(Europe_Sales_Records34[[#This Row],[Ship Date Fixed]],"MMM-YYYY")</f>
        <v>Feb-2012</v>
      </c>
      <c r="R1192" t="s">
        <v>898</v>
      </c>
      <c r="S1192" s="3">
        <f>Europe_Sales_Records34[[#This Row],[Ship Date Fixed]]-Europe_Sales_Records34[[#This Row],[Order Date Fixed]]</f>
        <v>25</v>
      </c>
      <c r="T1192">
        <v>3827</v>
      </c>
      <c r="U1192">
        <v>651.21</v>
      </c>
      <c r="V1192">
        <v>524.96</v>
      </c>
      <c r="W1192">
        <f>Europe_Sales_Records34[[#This Row],[Total Revenue]]/Europe_Sales_Records34[[#This Row],[Units Sold]]</f>
        <v>651.21</v>
      </c>
      <c r="X1192">
        <v>2492180.67</v>
      </c>
      <c r="Y1192">
        <v>2009021.92</v>
      </c>
      <c r="Z1192" s="4">
        <f>Europe_Sales_Records34[[#This Row],[Total Profit]]/Europe_Sales_Records34[[#This Row],[Total Revenue]]</f>
        <v>0.19386987300563566</v>
      </c>
      <c r="AA1192">
        <v>483158.75</v>
      </c>
    </row>
    <row r="1193" spans="1:27" x14ac:dyDescent="0.3">
      <c r="A1193" t="s">
        <v>14</v>
      </c>
      <c r="B1193" t="s">
        <v>61</v>
      </c>
      <c r="C1193" t="s">
        <v>46</v>
      </c>
      <c r="D1193" t="s">
        <v>17</v>
      </c>
      <c r="E1193" t="s">
        <v>24</v>
      </c>
      <c r="F1193" t="s">
        <v>1695</v>
      </c>
      <c r="G1193" s="2">
        <f t="shared" si="36"/>
        <v>41547</v>
      </c>
      <c r="H1193">
        <f>DAY(Europe_Sales_Records34[[#This Row],[Order Date Fixed]])</f>
        <v>30</v>
      </c>
      <c r="I1193" t="str">
        <f>TEXT(Europe_Sales_Records34[[#This Row],[Order Date Fixed]],"MMM")</f>
        <v>Sep</v>
      </c>
      <c r="J1193">
        <f>YEAR(Europe_Sales_Records34[[#This Row],[Order Date Fixed]])</f>
        <v>2013</v>
      </c>
      <c r="K1193" t="str">
        <f>TEXT(Europe_Sales_Records34[[#This Row],[Order Date Fixed]],"MMM-YYYY")</f>
        <v>Sep-2013</v>
      </c>
      <c r="L1193">
        <v>408540618</v>
      </c>
      <c r="M1193" s="2">
        <f t="shared" si="37"/>
        <v>41591</v>
      </c>
      <c r="N1193">
        <f>DAY(Europe_Sales_Records34[[#This Row],[Ship Date Fixed]])</f>
        <v>13</v>
      </c>
      <c r="O1193" t="str">
        <f>TEXT(Europe_Sales_Records34[[#This Row],[Ship Date Fixed]],"MMM")</f>
        <v>Nov</v>
      </c>
      <c r="P1193">
        <f>YEAR(Europe_Sales_Records34[[#This Row],[Ship Date Fixed]])</f>
        <v>2013</v>
      </c>
      <c r="Q1193" t="str">
        <f>TEXT(Europe_Sales_Records34[[#This Row],[Ship Date Fixed]],"MMM-YYYY")</f>
        <v>Nov-2013</v>
      </c>
      <c r="R1193" t="s">
        <v>905</v>
      </c>
      <c r="S1193" s="3">
        <f>Europe_Sales_Records34[[#This Row],[Ship Date Fixed]]-Europe_Sales_Records34[[#This Row],[Order Date Fixed]]</f>
        <v>44</v>
      </c>
      <c r="T1193">
        <v>5102</v>
      </c>
      <c r="U1193">
        <v>154.06</v>
      </c>
      <c r="V1193">
        <v>90.93</v>
      </c>
      <c r="W1193">
        <f>Europe_Sales_Records34[[#This Row],[Total Revenue]]/Europe_Sales_Records34[[#This Row],[Units Sold]]</f>
        <v>154.06</v>
      </c>
      <c r="X1193">
        <v>786014.12</v>
      </c>
      <c r="Y1193">
        <v>463924.86</v>
      </c>
      <c r="Z1193" s="4">
        <f>Europe_Sales_Records34[[#This Row],[Total Profit]]/Europe_Sales_Records34[[#This Row],[Total Revenue]]</f>
        <v>0.40977541217707386</v>
      </c>
      <c r="AA1193">
        <v>322089.26</v>
      </c>
    </row>
    <row r="1194" spans="1:27" x14ac:dyDescent="0.3">
      <c r="A1194" t="s">
        <v>14</v>
      </c>
      <c r="B1194" t="s">
        <v>61</v>
      </c>
      <c r="C1194" t="s">
        <v>102</v>
      </c>
      <c r="D1194" t="s">
        <v>23</v>
      </c>
      <c r="E1194" t="s">
        <v>33</v>
      </c>
      <c r="F1194" t="s">
        <v>1414</v>
      </c>
      <c r="G1194" s="2">
        <f t="shared" si="36"/>
        <v>42568</v>
      </c>
      <c r="H1194">
        <f>DAY(Europe_Sales_Records34[[#This Row],[Order Date Fixed]])</f>
        <v>17</v>
      </c>
      <c r="I1194" t="str">
        <f>TEXT(Europe_Sales_Records34[[#This Row],[Order Date Fixed]],"MMM")</f>
        <v>Jul</v>
      </c>
      <c r="J1194">
        <f>YEAR(Europe_Sales_Records34[[#This Row],[Order Date Fixed]])</f>
        <v>2016</v>
      </c>
      <c r="K1194" t="str">
        <f>TEXT(Europe_Sales_Records34[[#This Row],[Order Date Fixed]],"MMM-YYYY")</f>
        <v>Jul-2016</v>
      </c>
      <c r="L1194">
        <v>239048612</v>
      </c>
      <c r="M1194" s="2">
        <f t="shared" si="37"/>
        <v>42577</v>
      </c>
      <c r="N1194">
        <f>DAY(Europe_Sales_Records34[[#This Row],[Ship Date Fixed]])</f>
        <v>26</v>
      </c>
      <c r="O1194" t="str">
        <f>TEXT(Europe_Sales_Records34[[#This Row],[Ship Date Fixed]],"MMM")</f>
        <v>Jul</v>
      </c>
      <c r="P1194">
        <f>YEAR(Europe_Sales_Records34[[#This Row],[Ship Date Fixed]])</f>
        <v>2016</v>
      </c>
      <c r="Q1194" t="str">
        <f>TEXT(Europe_Sales_Records34[[#This Row],[Ship Date Fixed]],"MMM-YYYY")</f>
        <v>Jul-2016</v>
      </c>
      <c r="R1194" t="s">
        <v>1223</v>
      </c>
      <c r="S1194" s="3">
        <f>Europe_Sales_Records34[[#This Row],[Ship Date Fixed]]-Europe_Sales_Records34[[#This Row],[Order Date Fixed]]</f>
        <v>9</v>
      </c>
      <c r="T1194">
        <v>8651</v>
      </c>
      <c r="U1194">
        <v>81.73</v>
      </c>
      <c r="V1194">
        <v>56.67</v>
      </c>
      <c r="W1194">
        <f>Europe_Sales_Records34[[#This Row],[Total Revenue]]/Europe_Sales_Records34[[#This Row],[Units Sold]]</f>
        <v>81.73</v>
      </c>
      <c r="X1194">
        <v>707046.23</v>
      </c>
      <c r="Y1194">
        <v>490252.17</v>
      </c>
      <c r="Z1194" s="4">
        <f>Europe_Sales_Records34[[#This Row],[Total Profit]]/Europe_Sales_Records34[[#This Row],[Total Revenue]]</f>
        <v>0.30661935641747218</v>
      </c>
      <c r="AA1194">
        <v>216794.06</v>
      </c>
    </row>
    <row r="1195" spans="1:27" x14ac:dyDescent="0.3">
      <c r="A1195" t="s">
        <v>14</v>
      </c>
      <c r="B1195" t="s">
        <v>257</v>
      </c>
      <c r="C1195" t="s">
        <v>75</v>
      </c>
      <c r="D1195" t="s">
        <v>17</v>
      </c>
      <c r="E1195" t="s">
        <v>18</v>
      </c>
      <c r="F1195" t="s">
        <v>525</v>
      </c>
      <c r="G1195" s="2">
        <f t="shared" si="36"/>
        <v>41053</v>
      </c>
      <c r="H1195">
        <f>DAY(Europe_Sales_Records34[[#This Row],[Order Date Fixed]])</f>
        <v>24</v>
      </c>
      <c r="I1195" t="str">
        <f>TEXT(Europe_Sales_Records34[[#This Row],[Order Date Fixed]],"MMM")</f>
        <v>May</v>
      </c>
      <c r="J1195">
        <f>YEAR(Europe_Sales_Records34[[#This Row],[Order Date Fixed]])</f>
        <v>2012</v>
      </c>
      <c r="K1195" t="str">
        <f>TEXT(Europe_Sales_Records34[[#This Row],[Order Date Fixed]],"MMM-YYYY")</f>
        <v>May-2012</v>
      </c>
      <c r="L1195">
        <v>292424571</v>
      </c>
      <c r="M1195" s="2">
        <f t="shared" si="37"/>
        <v>41065</v>
      </c>
      <c r="N1195">
        <f>DAY(Europe_Sales_Records34[[#This Row],[Ship Date Fixed]])</f>
        <v>5</v>
      </c>
      <c r="O1195" t="str">
        <f>TEXT(Europe_Sales_Records34[[#This Row],[Ship Date Fixed]],"MMM")</f>
        <v>Jun</v>
      </c>
      <c r="P1195">
        <f>YEAR(Europe_Sales_Records34[[#This Row],[Ship Date Fixed]])</f>
        <v>2012</v>
      </c>
      <c r="Q1195" t="str">
        <f>TEXT(Europe_Sales_Records34[[#This Row],[Ship Date Fixed]],"MMM-YYYY")</f>
        <v>Jun-2012</v>
      </c>
      <c r="R1195" t="s">
        <v>1696</v>
      </c>
      <c r="S1195" s="3">
        <f>Europe_Sales_Records34[[#This Row],[Ship Date Fixed]]-Europe_Sales_Records34[[#This Row],[Order Date Fixed]]</f>
        <v>12</v>
      </c>
      <c r="T1195">
        <v>3784</v>
      </c>
      <c r="U1195">
        <v>437.2</v>
      </c>
      <c r="V1195">
        <v>263.33</v>
      </c>
      <c r="W1195">
        <f>Europe_Sales_Records34[[#This Row],[Total Revenue]]/Europe_Sales_Records34[[#This Row],[Units Sold]]</f>
        <v>437.2</v>
      </c>
      <c r="X1195">
        <v>1654364.8</v>
      </c>
      <c r="Y1195">
        <v>996440.72</v>
      </c>
      <c r="Z1195" s="4">
        <f>Europe_Sales_Records34[[#This Row],[Total Profit]]/Europe_Sales_Records34[[#This Row],[Total Revenue]]</f>
        <v>0.39768984446477579</v>
      </c>
      <c r="AA1195">
        <v>657924.07999999996</v>
      </c>
    </row>
    <row r="1196" spans="1:27" x14ac:dyDescent="0.3">
      <c r="A1196" t="s">
        <v>14</v>
      </c>
      <c r="B1196" t="s">
        <v>21</v>
      </c>
      <c r="C1196" t="s">
        <v>16</v>
      </c>
      <c r="D1196" t="s">
        <v>23</v>
      </c>
      <c r="E1196" t="s">
        <v>24</v>
      </c>
      <c r="F1196" t="s">
        <v>1697</v>
      </c>
      <c r="G1196" s="2">
        <f t="shared" si="36"/>
        <v>42244</v>
      </c>
      <c r="H1196">
        <f>DAY(Europe_Sales_Records34[[#This Row],[Order Date Fixed]])</f>
        <v>28</v>
      </c>
      <c r="I1196" t="str">
        <f>TEXT(Europe_Sales_Records34[[#This Row],[Order Date Fixed]],"MMM")</f>
        <v>Aug</v>
      </c>
      <c r="J1196">
        <f>YEAR(Europe_Sales_Records34[[#This Row],[Order Date Fixed]])</f>
        <v>2015</v>
      </c>
      <c r="K1196" t="str">
        <f>TEXT(Europe_Sales_Records34[[#This Row],[Order Date Fixed]],"MMM-YYYY")</f>
        <v>Aug-2015</v>
      </c>
      <c r="L1196">
        <v>231341445</v>
      </c>
      <c r="M1196" s="2">
        <f t="shared" si="37"/>
        <v>42284</v>
      </c>
      <c r="N1196">
        <f>DAY(Europe_Sales_Records34[[#This Row],[Ship Date Fixed]])</f>
        <v>7</v>
      </c>
      <c r="O1196" t="str">
        <f>TEXT(Europe_Sales_Records34[[#This Row],[Ship Date Fixed]],"MMM")</f>
        <v>Oct</v>
      </c>
      <c r="P1196">
        <f>YEAR(Europe_Sales_Records34[[#This Row],[Ship Date Fixed]])</f>
        <v>2015</v>
      </c>
      <c r="Q1196" t="str">
        <f>TEXT(Europe_Sales_Records34[[#This Row],[Ship Date Fixed]],"MMM-YYYY")</f>
        <v>Oct-2015</v>
      </c>
      <c r="R1196" t="s">
        <v>1137</v>
      </c>
      <c r="S1196" s="3">
        <f>Europe_Sales_Records34[[#This Row],[Ship Date Fixed]]-Europe_Sales_Records34[[#This Row],[Order Date Fixed]]</f>
        <v>40</v>
      </c>
      <c r="T1196">
        <v>7929</v>
      </c>
      <c r="U1196">
        <v>47.45</v>
      </c>
      <c r="V1196">
        <v>31.79</v>
      </c>
      <c r="W1196">
        <f>Europe_Sales_Records34[[#This Row],[Total Revenue]]/Europe_Sales_Records34[[#This Row],[Units Sold]]</f>
        <v>47.449999999999996</v>
      </c>
      <c r="X1196">
        <v>376231.05</v>
      </c>
      <c r="Y1196">
        <v>252062.91</v>
      </c>
      <c r="Z1196" s="4">
        <f>Europe_Sales_Records34[[#This Row],[Total Profit]]/Europe_Sales_Records34[[#This Row],[Total Revenue]]</f>
        <v>0.33003161222339306</v>
      </c>
      <c r="AA1196">
        <v>124168.14</v>
      </c>
    </row>
    <row r="1197" spans="1:27" x14ac:dyDescent="0.3">
      <c r="A1197" t="s">
        <v>14</v>
      </c>
      <c r="B1197" t="s">
        <v>86</v>
      </c>
      <c r="C1197" t="s">
        <v>32</v>
      </c>
      <c r="D1197" t="s">
        <v>23</v>
      </c>
      <c r="E1197" t="s">
        <v>24</v>
      </c>
      <c r="F1197" t="s">
        <v>408</v>
      </c>
      <c r="G1197" s="2">
        <f t="shared" si="36"/>
        <v>41314</v>
      </c>
      <c r="H1197">
        <f>DAY(Europe_Sales_Records34[[#This Row],[Order Date Fixed]])</f>
        <v>9</v>
      </c>
      <c r="I1197" t="str">
        <f>TEXT(Europe_Sales_Records34[[#This Row],[Order Date Fixed]],"MMM")</f>
        <v>Feb</v>
      </c>
      <c r="J1197">
        <f>YEAR(Europe_Sales_Records34[[#This Row],[Order Date Fixed]])</f>
        <v>2013</v>
      </c>
      <c r="K1197" t="str">
        <f>TEXT(Europe_Sales_Records34[[#This Row],[Order Date Fixed]],"MMM-YYYY")</f>
        <v>Feb-2013</v>
      </c>
      <c r="L1197">
        <v>533597218</v>
      </c>
      <c r="M1197" s="2">
        <f t="shared" si="37"/>
        <v>41329</v>
      </c>
      <c r="N1197">
        <f>DAY(Europe_Sales_Records34[[#This Row],[Ship Date Fixed]])</f>
        <v>24</v>
      </c>
      <c r="O1197" t="str">
        <f>TEXT(Europe_Sales_Records34[[#This Row],[Ship Date Fixed]],"MMM")</f>
        <v>Feb</v>
      </c>
      <c r="P1197">
        <f>YEAR(Europe_Sales_Records34[[#This Row],[Ship Date Fixed]])</f>
        <v>2013</v>
      </c>
      <c r="Q1197" t="str">
        <f>TEXT(Europe_Sales_Records34[[#This Row],[Ship Date Fixed]],"MMM-YYYY")</f>
        <v>Feb-2013</v>
      </c>
      <c r="R1197" t="s">
        <v>622</v>
      </c>
      <c r="S1197" s="3">
        <f>Europe_Sales_Records34[[#This Row],[Ship Date Fixed]]-Europe_Sales_Records34[[#This Row],[Order Date Fixed]]</f>
        <v>15</v>
      </c>
      <c r="T1197">
        <v>2130</v>
      </c>
      <c r="U1197">
        <v>651.21</v>
      </c>
      <c r="V1197">
        <v>524.96</v>
      </c>
      <c r="W1197">
        <f>Europe_Sales_Records34[[#This Row],[Total Revenue]]/Europe_Sales_Records34[[#This Row],[Units Sold]]</f>
        <v>651.21</v>
      </c>
      <c r="X1197">
        <v>1387077.3</v>
      </c>
      <c r="Y1197">
        <v>1118164.8</v>
      </c>
      <c r="Z1197" s="4">
        <f>Europe_Sales_Records34[[#This Row],[Total Profit]]/Europe_Sales_Records34[[#This Row],[Total Revenue]]</f>
        <v>0.19386987300563566</v>
      </c>
      <c r="AA1197">
        <v>268912.5</v>
      </c>
    </row>
    <row r="1198" spans="1:27" x14ac:dyDescent="0.3">
      <c r="A1198" t="s">
        <v>14</v>
      </c>
      <c r="B1198" t="s">
        <v>342</v>
      </c>
      <c r="C1198" t="s">
        <v>50</v>
      </c>
      <c r="D1198" t="s">
        <v>17</v>
      </c>
      <c r="E1198" t="s">
        <v>18</v>
      </c>
      <c r="F1198" t="s">
        <v>413</v>
      </c>
      <c r="G1198" s="2">
        <f t="shared" si="36"/>
        <v>42385</v>
      </c>
      <c r="H1198">
        <f>DAY(Europe_Sales_Records34[[#This Row],[Order Date Fixed]])</f>
        <v>16</v>
      </c>
      <c r="I1198" t="str">
        <f>TEXT(Europe_Sales_Records34[[#This Row],[Order Date Fixed]],"MMM")</f>
        <v>Jan</v>
      </c>
      <c r="J1198">
        <f>YEAR(Europe_Sales_Records34[[#This Row],[Order Date Fixed]])</f>
        <v>2016</v>
      </c>
      <c r="K1198" t="str">
        <f>TEXT(Europe_Sales_Records34[[#This Row],[Order Date Fixed]],"MMM-YYYY")</f>
        <v>Jan-2016</v>
      </c>
      <c r="L1198">
        <v>682162415</v>
      </c>
      <c r="M1198" s="2">
        <f t="shared" si="37"/>
        <v>42426</v>
      </c>
      <c r="N1198">
        <f>DAY(Europe_Sales_Records34[[#This Row],[Ship Date Fixed]])</f>
        <v>26</v>
      </c>
      <c r="O1198" t="str">
        <f>TEXT(Europe_Sales_Records34[[#This Row],[Ship Date Fixed]],"MMM")</f>
        <v>Feb</v>
      </c>
      <c r="P1198">
        <f>YEAR(Europe_Sales_Records34[[#This Row],[Ship Date Fixed]])</f>
        <v>2016</v>
      </c>
      <c r="Q1198" t="str">
        <f>TEXT(Europe_Sales_Records34[[#This Row],[Ship Date Fixed]],"MMM-YYYY")</f>
        <v>Feb-2016</v>
      </c>
      <c r="R1198" t="s">
        <v>1085</v>
      </c>
      <c r="S1198" s="3">
        <f>Europe_Sales_Records34[[#This Row],[Ship Date Fixed]]-Europe_Sales_Records34[[#This Row],[Order Date Fixed]]</f>
        <v>41</v>
      </c>
      <c r="T1198">
        <v>5873</v>
      </c>
      <c r="U1198">
        <v>421.89</v>
      </c>
      <c r="V1198">
        <v>364.69</v>
      </c>
      <c r="W1198">
        <f>Europe_Sales_Records34[[#This Row],[Total Revenue]]/Europe_Sales_Records34[[#This Row],[Units Sold]]</f>
        <v>421.89000000000004</v>
      </c>
      <c r="X1198">
        <v>2477759.9700000002</v>
      </c>
      <c r="Y1198">
        <v>2141824.37</v>
      </c>
      <c r="Z1198" s="4">
        <f>Europe_Sales_Records34[[#This Row],[Total Profit]]/Europe_Sales_Records34[[#This Row],[Total Revenue]]</f>
        <v>0.13558036455000116</v>
      </c>
      <c r="AA1198">
        <v>335935.6</v>
      </c>
    </row>
    <row r="1199" spans="1:27" x14ac:dyDescent="0.3">
      <c r="A1199" t="s">
        <v>14</v>
      </c>
      <c r="B1199" t="s">
        <v>223</v>
      </c>
      <c r="C1199" t="s">
        <v>46</v>
      </c>
      <c r="D1199" t="s">
        <v>17</v>
      </c>
      <c r="E1199" t="s">
        <v>18</v>
      </c>
      <c r="F1199" t="s">
        <v>1698</v>
      </c>
      <c r="G1199" s="2">
        <f t="shared" si="36"/>
        <v>42048</v>
      </c>
      <c r="H1199">
        <f>DAY(Europe_Sales_Records34[[#This Row],[Order Date Fixed]])</f>
        <v>13</v>
      </c>
      <c r="I1199" t="str">
        <f>TEXT(Europe_Sales_Records34[[#This Row],[Order Date Fixed]],"MMM")</f>
        <v>Feb</v>
      </c>
      <c r="J1199">
        <f>YEAR(Europe_Sales_Records34[[#This Row],[Order Date Fixed]])</f>
        <v>2015</v>
      </c>
      <c r="K1199" t="str">
        <f>TEXT(Europe_Sales_Records34[[#This Row],[Order Date Fixed]],"MMM-YYYY")</f>
        <v>Feb-2015</v>
      </c>
      <c r="L1199">
        <v>706176555</v>
      </c>
      <c r="M1199" s="2">
        <f t="shared" si="37"/>
        <v>42061</v>
      </c>
      <c r="N1199">
        <f>DAY(Europe_Sales_Records34[[#This Row],[Ship Date Fixed]])</f>
        <v>26</v>
      </c>
      <c r="O1199" t="str">
        <f>TEXT(Europe_Sales_Records34[[#This Row],[Ship Date Fixed]],"MMM")</f>
        <v>Feb</v>
      </c>
      <c r="P1199">
        <f>YEAR(Europe_Sales_Records34[[#This Row],[Ship Date Fixed]])</f>
        <v>2015</v>
      </c>
      <c r="Q1199" t="str">
        <f>TEXT(Europe_Sales_Records34[[#This Row],[Ship Date Fixed]],"MMM-YYYY")</f>
        <v>Feb-2015</v>
      </c>
      <c r="R1199" t="s">
        <v>1276</v>
      </c>
      <c r="S1199" s="3">
        <f>Europe_Sales_Records34[[#This Row],[Ship Date Fixed]]-Europe_Sales_Records34[[#This Row],[Order Date Fixed]]</f>
        <v>13</v>
      </c>
      <c r="T1199">
        <v>2190</v>
      </c>
      <c r="U1199">
        <v>154.06</v>
      </c>
      <c r="V1199">
        <v>90.93</v>
      </c>
      <c r="W1199">
        <f>Europe_Sales_Records34[[#This Row],[Total Revenue]]/Europe_Sales_Records34[[#This Row],[Units Sold]]</f>
        <v>154.06</v>
      </c>
      <c r="X1199">
        <v>337391.4</v>
      </c>
      <c r="Y1199">
        <v>199136.7</v>
      </c>
      <c r="Z1199" s="4">
        <f>Europe_Sales_Records34[[#This Row],[Total Profit]]/Europe_Sales_Records34[[#This Row],[Total Revenue]]</f>
        <v>0.40977541217707386</v>
      </c>
      <c r="AA1199">
        <v>138254.70000000001</v>
      </c>
    </row>
    <row r="1200" spans="1:27" x14ac:dyDescent="0.3">
      <c r="A1200" t="s">
        <v>14</v>
      </c>
      <c r="B1200" t="s">
        <v>45</v>
      </c>
      <c r="C1200" t="s">
        <v>32</v>
      </c>
      <c r="D1200" t="s">
        <v>17</v>
      </c>
      <c r="E1200" t="s">
        <v>54</v>
      </c>
      <c r="F1200" t="s">
        <v>1699</v>
      </c>
      <c r="G1200" s="2">
        <f t="shared" si="36"/>
        <v>40803</v>
      </c>
      <c r="H1200">
        <f>DAY(Europe_Sales_Records34[[#This Row],[Order Date Fixed]])</f>
        <v>17</v>
      </c>
      <c r="I1200" t="str">
        <f>TEXT(Europe_Sales_Records34[[#This Row],[Order Date Fixed]],"MMM")</f>
        <v>Sep</v>
      </c>
      <c r="J1200">
        <f>YEAR(Europe_Sales_Records34[[#This Row],[Order Date Fixed]])</f>
        <v>2011</v>
      </c>
      <c r="K1200" t="str">
        <f>TEXT(Europe_Sales_Records34[[#This Row],[Order Date Fixed]],"MMM-YYYY")</f>
        <v>Sep-2011</v>
      </c>
      <c r="L1200">
        <v>339786803</v>
      </c>
      <c r="M1200" s="2">
        <f t="shared" si="37"/>
        <v>40841</v>
      </c>
      <c r="N1200">
        <f>DAY(Europe_Sales_Records34[[#This Row],[Ship Date Fixed]])</f>
        <v>25</v>
      </c>
      <c r="O1200" t="str">
        <f>TEXT(Europe_Sales_Records34[[#This Row],[Ship Date Fixed]],"MMM")</f>
        <v>Oct</v>
      </c>
      <c r="P1200">
        <f>YEAR(Europe_Sales_Records34[[#This Row],[Ship Date Fixed]])</f>
        <v>2011</v>
      </c>
      <c r="Q1200" t="str">
        <f>TEXT(Europe_Sales_Records34[[#This Row],[Ship Date Fixed]],"MMM-YYYY")</f>
        <v>Oct-2011</v>
      </c>
      <c r="R1200" t="s">
        <v>1700</v>
      </c>
      <c r="S1200" s="3">
        <f>Europe_Sales_Records34[[#This Row],[Ship Date Fixed]]-Europe_Sales_Records34[[#This Row],[Order Date Fixed]]</f>
        <v>38</v>
      </c>
      <c r="T1200">
        <v>9321</v>
      </c>
      <c r="U1200">
        <v>651.21</v>
      </c>
      <c r="V1200">
        <v>524.96</v>
      </c>
      <c r="W1200">
        <f>Europe_Sales_Records34[[#This Row],[Total Revenue]]/Europe_Sales_Records34[[#This Row],[Units Sold]]</f>
        <v>651.21</v>
      </c>
      <c r="X1200">
        <v>6069928.4100000001</v>
      </c>
      <c r="Y1200">
        <v>4893152.16</v>
      </c>
      <c r="Z1200" s="4">
        <f>Europe_Sales_Records34[[#This Row],[Total Profit]]/Europe_Sales_Records34[[#This Row],[Total Revenue]]</f>
        <v>0.19386987300563566</v>
      </c>
      <c r="AA1200">
        <v>1176776.25</v>
      </c>
    </row>
    <row r="1201" spans="1:27" x14ac:dyDescent="0.3">
      <c r="A1201" t="s">
        <v>14</v>
      </c>
      <c r="B1201" t="s">
        <v>100</v>
      </c>
      <c r="C1201" t="s">
        <v>102</v>
      </c>
      <c r="D1201" t="s">
        <v>17</v>
      </c>
      <c r="E1201" t="s">
        <v>18</v>
      </c>
      <c r="F1201" t="s">
        <v>760</v>
      </c>
      <c r="G1201" s="2">
        <f t="shared" si="36"/>
        <v>42838</v>
      </c>
      <c r="H1201">
        <f>DAY(Europe_Sales_Records34[[#This Row],[Order Date Fixed]])</f>
        <v>13</v>
      </c>
      <c r="I1201" t="str">
        <f>TEXT(Europe_Sales_Records34[[#This Row],[Order Date Fixed]],"MMM")</f>
        <v>Apr</v>
      </c>
      <c r="J1201">
        <f>YEAR(Europe_Sales_Records34[[#This Row],[Order Date Fixed]])</f>
        <v>2017</v>
      </c>
      <c r="K1201" t="str">
        <f>TEXT(Europe_Sales_Records34[[#This Row],[Order Date Fixed]],"MMM-YYYY")</f>
        <v>Apr-2017</v>
      </c>
      <c r="L1201">
        <v>274694526</v>
      </c>
      <c r="M1201" s="2">
        <f t="shared" si="37"/>
        <v>42866</v>
      </c>
      <c r="N1201">
        <f>DAY(Europe_Sales_Records34[[#This Row],[Ship Date Fixed]])</f>
        <v>11</v>
      </c>
      <c r="O1201" t="str">
        <f>TEXT(Europe_Sales_Records34[[#This Row],[Ship Date Fixed]],"MMM")</f>
        <v>May</v>
      </c>
      <c r="P1201">
        <f>YEAR(Europe_Sales_Records34[[#This Row],[Ship Date Fixed]])</f>
        <v>2017</v>
      </c>
      <c r="Q1201" t="str">
        <f>TEXT(Europe_Sales_Records34[[#This Row],[Ship Date Fixed]],"MMM-YYYY")</f>
        <v>May-2017</v>
      </c>
      <c r="R1201" t="s">
        <v>943</v>
      </c>
      <c r="S1201" s="3">
        <f>Europe_Sales_Records34[[#This Row],[Ship Date Fixed]]-Europe_Sales_Records34[[#This Row],[Order Date Fixed]]</f>
        <v>28</v>
      </c>
      <c r="T1201">
        <v>7069</v>
      </c>
      <c r="U1201">
        <v>81.73</v>
      </c>
      <c r="V1201">
        <v>56.67</v>
      </c>
      <c r="W1201">
        <f>Europe_Sales_Records34[[#This Row],[Total Revenue]]/Europe_Sales_Records34[[#This Row],[Units Sold]]</f>
        <v>81.73</v>
      </c>
      <c r="X1201">
        <v>577749.37</v>
      </c>
      <c r="Y1201">
        <v>400600.23</v>
      </c>
      <c r="Z1201" s="4">
        <f>Europe_Sales_Records34[[#This Row],[Total Profit]]/Europe_Sales_Records34[[#This Row],[Total Revenue]]</f>
        <v>0.30661935641747218</v>
      </c>
      <c r="AA1201">
        <v>177149.14</v>
      </c>
    </row>
    <row r="1202" spans="1:27" x14ac:dyDescent="0.3">
      <c r="A1202" t="s">
        <v>14</v>
      </c>
      <c r="B1202" t="s">
        <v>163</v>
      </c>
      <c r="C1202" t="s">
        <v>22</v>
      </c>
      <c r="D1202" t="s">
        <v>23</v>
      </c>
      <c r="E1202" t="s">
        <v>24</v>
      </c>
      <c r="F1202" t="s">
        <v>1701</v>
      </c>
      <c r="G1202" s="2">
        <f t="shared" si="36"/>
        <v>41744</v>
      </c>
      <c r="H1202">
        <f>DAY(Europe_Sales_Records34[[#This Row],[Order Date Fixed]])</f>
        <v>15</v>
      </c>
      <c r="I1202" t="str">
        <f>TEXT(Europe_Sales_Records34[[#This Row],[Order Date Fixed]],"MMM")</f>
        <v>Apr</v>
      </c>
      <c r="J1202">
        <f>YEAR(Europe_Sales_Records34[[#This Row],[Order Date Fixed]])</f>
        <v>2014</v>
      </c>
      <c r="K1202" t="str">
        <f>TEXT(Europe_Sales_Records34[[#This Row],[Order Date Fixed]],"MMM-YYYY")</f>
        <v>Apr-2014</v>
      </c>
      <c r="L1202">
        <v>633806264</v>
      </c>
      <c r="M1202" s="2">
        <f t="shared" si="37"/>
        <v>41755</v>
      </c>
      <c r="N1202">
        <f>DAY(Europe_Sales_Records34[[#This Row],[Ship Date Fixed]])</f>
        <v>26</v>
      </c>
      <c r="O1202" t="str">
        <f>TEXT(Europe_Sales_Records34[[#This Row],[Ship Date Fixed]],"MMM")</f>
        <v>Apr</v>
      </c>
      <c r="P1202">
        <f>YEAR(Europe_Sales_Records34[[#This Row],[Ship Date Fixed]])</f>
        <v>2014</v>
      </c>
      <c r="Q1202" t="str">
        <f>TEXT(Europe_Sales_Records34[[#This Row],[Ship Date Fixed]],"MMM-YYYY")</f>
        <v>Apr-2014</v>
      </c>
      <c r="R1202" t="s">
        <v>1702</v>
      </c>
      <c r="S1202" s="3">
        <f>Europe_Sales_Records34[[#This Row],[Ship Date Fixed]]-Europe_Sales_Records34[[#This Row],[Order Date Fixed]]</f>
        <v>11</v>
      </c>
      <c r="T1202">
        <v>6213</v>
      </c>
      <c r="U1202">
        <v>109.28</v>
      </c>
      <c r="V1202">
        <v>35.840000000000003</v>
      </c>
      <c r="W1202">
        <f>Europe_Sales_Records34[[#This Row],[Total Revenue]]/Europe_Sales_Records34[[#This Row],[Units Sold]]</f>
        <v>109.28</v>
      </c>
      <c r="X1202">
        <v>678956.64</v>
      </c>
      <c r="Y1202">
        <v>222673.92000000001</v>
      </c>
      <c r="Z1202" s="4">
        <f>Europe_Sales_Records34[[#This Row],[Total Profit]]/Europe_Sales_Records34[[#This Row],[Total Revenue]]</f>
        <v>0.67203513909224011</v>
      </c>
      <c r="AA1202">
        <v>456282.72</v>
      </c>
    </row>
    <row r="1203" spans="1:27" x14ac:dyDescent="0.3">
      <c r="A1203" t="s">
        <v>14</v>
      </c>
      <c r="B1203" t="s">
        <v>166</v>
      </c>
      <c r="C1203" t="s">
        <v>102</v>
      </c>
      <c r="D1203" t="s">
        <v>23</v>
      </c>
      <c r="E1203" t="s">
        <v>18</v>
      </c>
      <c r="F1203" t="s">
        <v>600</v>
      </c>
      <c r="G1203" s="2">
        <f t="shared" si="36"/>
        <v>41616</v>
      </c>
      <c r="H1203">
        <f>DAY(Europe_Sales_Records34[[#This Row],[Order Date Fixed]])</f>
        <v>8</v>
      </c>
      <c r="I1203" t="str">
        <f>TEXT(Europe_Sales_Records34[[#This Row],[Order Date Fixed]],"MMM")</f>
        <v>Dec</v>
      </c>
      <c r="J1203">
        <f>YEAR(Europe_Sales_Records34[[#This Row],[Order Date Fixed]])</f>
        <v>2013</v>
      </c>
      <c r="K1203" t="str">
        <f>TEXT(Europe_Sales_Records34[[#This Row],[Order Date Fixed]],"MMM-YYYY")</f>
        <v>Dec-2013</v>
      </c>
      <c r="L1203">
        <v>955466639</v>
      </c>
      <c r="M1203" s="2">
        <f t="shared" si="37"/>
        <v>41666</v>
      </c>
      <c r="N1203">
        <f>DAY(Europe_Sales_Records34[[#This Row],[Ship Date Fixed]])</f>
        <v>27</v>
      </c>
      <c r="O1203" t="str">
        <f>TEXT(Europe_Sales_Records34[[#This Row],[Ship Date Fixed]],"MMM")</f>
        <v>Jan</v>
      </c>
      <c r="P1203">
        <f>YEAR(Europe_Sales_Records34[[#This Row],[Ship Date Fixed]])</f>
        <v>2014</v>
      </c>
      <c r="Q1203" t="str">
        <f>TEXT(Europe_Sales_Records34[[#This Row],[Ship Date Fixed]],"MMM-YYYY")</f>
        <v>Jan-2014</v>
      </c>
      <c r="R1203" t="s">
        <v>1251</v>
      </c>
      <c r="S1203" s="3">
        <f>Europe_Sales_Records34[[#This Row],[Ship Date Fixed]]-Europe_Sales_Records34[[#This Row],[Order Date Fixed]]</f>
        <v>50</v>
      </c>
      <c r="T1203">
        <v>2666</v>
      </c>
      <c r="U1203">
        <v>81.73</v>
      </c>
      <c r="V1203">
        <v>56.67</v>
      </c>
      <c r="W1203">
        <f>Europe_Sales_Records34[[#This Row],[Total Revenue]]/Europe_Sales_Records34[[#This Row],[Units Sold]]</f>
        <v>81.73</v>
      </c>
      <c r="X1203">
        <v>217892.18</v>
      </c>
      <c r="Y1203">
        <v>151082.22</v>
      </c>
      <c r="Z1203" s="4">
        <f>Europe_Sales_Records34[[#This Row],[Total Profit]]/Europe_Sales_Records34[[#This Row],[Total Revenue]]</f>
        <v>0.30661935641747218</v>
      </c>
      <c r="AA1203">
        <v>66809.960000000006</v>
      </c>
    </row>
    <row r="1204" spans="1:27" x14ac:dyDescent="0.3">
      <c r="A1204" t="s">
        <v>14</v>
      </c>
      <c r="B1204" t="s">
        <v>115</v>
      </c>
      <c r="C1204" t="s">
        <v>32</v>
      </c>
      <c r="D1204" t="s">
        <v>23</v>
      </c>
      <c r="E1204" t="s">
        <v>33</v>
      </c>
      <c r="F1204" t="s">
        <v>845</v>
      </c>
      <c r="G1204" s="2">
        <f t="shared" si="36"/>
        <v>40938</v>
      </c>
      <c r="H1204">
        <f>DAY(Europe_Sales_Records34[[#This Row],[Order Date Fixed]])</f>
        <v>30</v>
      </c>
      <c r="I1204" t="str">
        <f>TEXT(Europe_Sales_Records34[[#This Row],[Order Date Fixed]],"MMM")</f>
        <v>Jan</v>
      </c>
      <c r="J1204">
        <f>YEAR(Europe_Sales_Records34[[#This Row],[Order Date Fixed]])</f>
        <v>2012</v>
      </c>
      <c r="K1204" t="str">
        <f>TEXT(Europe_Sales_Records34[[#This Row],[Order Date Fixed]],"MMM-YYYY")</f>
        <v>Jan-2012</v>
      </c>
      <c r="L1204">
        <v>330590474</v>
      </c>
      <c r="M1204" s="2">
        <f t="shared" si="37"/>
        <v>40982</v>
      </c>
      <c r="N1204">
        <f>DAY(Europe_Sales_Records34[[#This Row],[Ship Date Fixed]])</f>
        <v>14</v>
      </c>
      <c r="O1204" t="str">
        <f>TEXT(Europe_Sales_Records34[[#This Row],[Ship Date Fixed]],"MMM")</f>
        <v>Mar</v>
      </c>
      <c r="P1204">
        <f>YEAR(Europe_Sales_Records34[[#This Row],[Ship Date Fixed]])</f>
        <v>2012</v>
      </c>
      <c r="Q1204" t="str">
        <f>TEXT(Europe_Sales_Records34[[#This Row],[Ship Date Fixed]],"MMM-YYYY")</f>
        <v>Mar-2012</v>
      </c>
      <c r="R1204" t="s">
        <v>1703</v>
      </c>
      <c r="S1204" s="3">
        <f>Europe_Sales_Records34[[#This Row],[Ship Date Fixed]]-Europe_Sales_Records34[[#This Row],[Order Date Fixed]]</f>
        <v>44</v>
      </c>
      <c r="T1204">
        <v>7923</v>
      </c>
      <c r="U1204">
        <v>651.21</v>
      </c>
      <c r="V1204">
        <v>524.96</v>
      </c>
      <c r="W1204">
        <f>Europe_Sales_Records34[[#This Row],[Total Revenue]]/Europe_Sales_Records34[[#This Row],[Units Sold]]</f>
        <v>651.21</v>
      </c>
      <c r="X1204">
        <v>5159536.83</v>
      </c>
      <c r="Y1204">
        <v>4159258.08</v>
      </c>
      <c r="Z1204" s="4">
        <f>Europe_Sales_Records34[[#This Row],[Total Profit]]/Europe_Sales_Records34[[#This Row],[Total Revenue]]</f>
        <v>0.19386987300563566</v>
      </c>
      <c r="AA1204">
        <v>1000278.75</v>
      </c>
    </row>
    <row r="1205" spans="1:27" x14ac:dyDescent="0.3">
      <c r="A1205" t="s">
        <v>14</v>
      </c>
      <c r="B1205" t="s">
        <v>100</v>
      </c>
      <c r="C1205" t="s">
        <v>75</v>
      </c>
      <c r="D1205" t="s">
        <v>17</v>
      </c>
      <c r="E1205" t="s">
        <v>18</v>
      </c>
      <c r="F1205" t="s">
        <v>984</v>
      </c>
      <c r="G1205" s="2">
        <f t="shared" si="36"/>
        <v>42334</v>
      </c>
      <c r="H1205">
        <f>DAY(Europe_Sales_Records34[[#This Row],[Order Date Fixed]])</f>
        <v>26</v>
      </c>
      <c r="I1205" t="str">
        <f>TEXT(Europe_Sales_Records34[[#This Row],[Order Date Fixed]],"MMM")</f>
        <v>Nov</v>
      </c>
      <c r="J1205">
        <f>YEAR(Europe_Sales_Records34[[#This Row],[Order Date Fixed]])</f>
        <v>2015</v>
      </c>
      <c r="K1205" t="str">
        <f>TEXT(Europe_Sales_Records34[[#This Row],[Order Date Fixed]],"MMM-YYYY")</f>
        <v>Nov-2015</v>
      </c>
      <c r="L1205">
        <v>819516837</v>
      </c>
      <c r="M1205" s="2">
        <f t="shared" si="37"/>
        <v>42363</v>
      </c>
      <c r="N1205">
        <f>DAY(Europe_Sales_Records34[[#This Row],[Ship Date Fixed]])</f>
        <v>25</v>
      </c>
      <c r="O1205" t="str">
        <f>TEXT(Europe_Sales_Records34[[#This Row],[Ship Date Fixed]],"MMM")</f>
        <v>Dec</v>
      </c>
      <c r="P1205">
        <f>YEAR(Europe_Sales_Records34[[#This Row],[Ship Date Fixed]])</f>
        <v>2015</v>
      </c>
      <c r="Q1205" t="str">
        <f>TEXT(Europe_Sales_Records34[[#This Row],[Ship Date Fixed]],"MMM-YYYY")</f>
        <v>Dec-2015</v>
      </c>
      <c r="R1205" t="s">
        <v>916</v>
      </c>
      <c r="S1205" s="3">
        <f>Europe_Sales_Records34[[#This Row],[Ship Date Fixed]]-Europe_Sales_Records34[[#This Row],[Order Date Fixed]]</f>
        <v>29</v>
      </c>
      <c r="T1205">
        <v>2098</v>
      </c>
      <c r="U1205">
        <v>437.2</v>
      </c>
      <c r="V1205">
        <v>263.33</v>
      </c>
      <c r="W1205">
        <f>Europe_Sales_Records34[[#This Row],[Total Revenue]]/Europe_Sales_Records34[[#This Row],[Units Sold]]</f>
        <v>437.2</v>
      </c>
      <c r="X1205">
        <v>917245.6</v>
      </c>
      <c r="Y1205">
        <v>552466.34</v>
      </c>
      <c r="Z1205" s="4">
        <f>Europe_Sales_Records34[[#This Row],[Total Profit]]/Europe_Sales_Records34[[#This Row],[Total Revenue]]</f>
        <v>0.39768984446477584</v>
      </c>
      <c r="AA1205">
        <v>364779.26</v>
      </c>
    </row>
    <row r="1206" spans="1:27" x14ac:dyDescent="0.3">
      <c r="A1206" t="s">
        <v>14</v>
      </c>
      <c r="B1206" t="s">
        <v>132</v>
      </c>
      <c r="C1206" t="s">
        <v>58</v>
      </c>
      <c r="D1206" t="s">
        <v>17</v>
      </c>
      <c r="E1206" t="s">
        <v>18</v>
      </c>
      <c r="F1206" t="s">
        <v>1704</v>
      </c>
      <c r="G1206" s="2">
        <f t="shared" si="36"/>
        <v>40737</v>
      </c>
      <c r="H1206">
        <f>DAY(Europe_Sales_Records34[[#This Row],[Order Date Fixed]])</f>
        <v>13</v>
      </c>
      <c r="I1206" t="str">
        <f>TEXT(Europe_Sales_Records34[[#This Row],[Order Date Fixed]],"MMM")</f>
        <v>Jul</v>
      </c>
      <c r="J1206">
        <f>YEAR(Europe_Sales_Records34[[#This Row],[Order Date Fixed]])</f>
        <v>2011</v>
      </c>
      <c r="K1206" t="str">
        <f>TEXT(Europe_Sales_Records34[[#This Row],[Order Date Fixed]],"MMM-YYYY")</f>
        <v>Jul-2011</v>
      </c>
      <c r="L1206">
        <v>499101436</v>
      </c>
      <c r="M1206" s="2">
        <f t="shared" si="37"/>
        <v>40783</v>
      </c>
      <c r="N1206">
        <f>DAY(Europe_Sales_Records34[[#This Row],[Ship Date Fixed]])</f>
        <v>28</v>
      </c>
      <c r="O1206" t="str">
        <f>TEXT(Europe_Sales_Records34[[#This Row],[Ship Date Fixed]],"MMM")</f>
        <v>Aug</v>
      </c>
      <c r="P1206">
        <f>YEAR(Europe_Sales_Records34[[#This Row],[Ship Date Fixed]])</f>
        <v>2011</v>
      </c>
      <c r="Q1206" t="str">
        <f>TEXT(Europe_Sales_Records34[[#This Row],[Ship Date Fixed]],"MMM-YYYY")</f>
        <v>Aug-2011</v>
      </c>
      <c r="R1206" t="s">
        <v>1000</v>
      </c>
      <c r="S1206" s="3">
        <f>Europe_Sales_Records34[[#This Row],[Ship Date Fixed]]-Europe_Sales_Records34[[#This Row],[Order Date Fixed]]</f>
        <v>46</v>
      </c>
      <c r="T1206">
        <v>4061</v>
      </c>
      <c r="U1206">
        <v>152.58000000000001</v>
      </c>
      <c r="V1206">
        <v>97.44</v>
      </c>
      <c r="W1206">
        <f>Europe_Sales_Records34[[#This Row],[Total Revenue]]/Europe_Sales_Records34[[#This Row],[Units Sold]]</f>
        <v>152.58000000000001</v>
      </c>
      <c r="X1206">
        <v>619627.38</v>
      </c>
      <c r="Y1206">
        <v>395703.84</v>
      </c>
      <c r="Z1206" s="4">
        <f>Europe_Sales_Records34[[#This Row],[Total Profit]]/Europe_Sales_Records34[[#This Row],[Total Revenue]]</f>
        <v>0.36138419189933152</v>
      </c>
      <c r="AA1206">
        <v>223923.54</v>
      </c>
    </row>
    <row r="1207" spans="1:27" x14ac:dyDescent="0.3">
      <c r="A1207" t="s">
        <v>14</v>
      </c>
      <c r="B1207" t="s">
        <v>220</v>
      </c>
      <c r="C1207" t="s">
        <v>22</v>
      </c>
      <c r="D1207" t="s">
        <v>23</v>
      </c>
      <c r="E1207" t="s">
        <v>18</v>
      </c>
      <c r="F1207" t="s">
        <v>963</v>
      </c>
      <c r="G1207" s="2">
        <f t="shared" si="36"/>
        <v>42906</v>
      </c>
      <c r="H1207">
        <f>DAY(Europe_Sales_Records34[[#This Row],[Order Date Fixed]])</f>
        <v>20</v>
      </c>
      <c r="I1207" t="str">
        <f>TEXT(Europe_Sales_Records34[[#This Row],[Order Date Fixed]],"MMM")</f>
        <v>Jun</v>
      </c>
      <c r="J1207">
        <f>YEAR(Europe_Sales_Records34[[#This Row],[Order Date Fixed]])</f>
        <v>2017</v>
      </c>
      <c r="K1207" t="str">
        <f>TEXT(Europe_Sales_Records34[[#This Row],[Order Date Fixed]],"MMM-YYYY")</f>
        <v>Jun-2017</v>
      </c>
      <c r="L1207">
        <v>190002810</v>
      </c>
      <c r="M1207" s="2">
        <f t="shared" si="37"/>
        <v>42952</v>
      </c>
      <c r="N1207">
        <f>DAY(Europe_Sales_Records34[[#This Row],[Ship Date Fixed]])</f>
        <v>5</v>
      </c>
      <c r="O1207" t="str">
        <f>TEXT(Europe_Sales_Records34[[#This Row],[Ship Date Fixed]],"MMM")</f>
        <v>Aug</v>
      </c>
      <c r="P1207">
        <f>YEAR(Europe_Sales_Records34[[#This Row],[Ship Date Fixed]])</f>
        <v>2017</v>
      </c>
      <c r="Q1207" t="str">
        <f>TEXT(Europe_Sales_Records34[[#This Row],[Ship Date Fixed]],"MMM-YYYY")</f>
        <v>Aug-2017</v>
      </c>
      <c r="R1207" t="s">
        <v>995</v>
      </c>
      <c r="S1207" s="3">
        <f>Europe_Sales_Records34[[#This Row],[Ship Date Fixed]]-Europe_Sales_Records34[[#This Row],[Order Date Fixed]]</f>
        <v>46</v>
      </c>
      <c r="T1207">
        <v>4909</v>
      </c>
      <c r="U1207">
        <v>109.28</v>
      </c>
      <c r="V1207">
        <v>35.840000000000003</v>
      </c>
      <c r="W1207">
        <f>Europe_Sales_Records34[[#This Row],[Total Revenue]]/Europe_Sales_Records34[[#This Row],[Units Sold]]</f>
        <v>109.28</v>
      </c>
      <c r="X1207">
        <v>536455.52</v>
      </c>
      <c r="Y1207">
        <v>175938.56</v>
      </c>
      <c r="Z1207" s="4">
        <f>Europe_Sales_Records34[[#This Row],[Total Profit]]/Europe_Sales_Records34[[#This Row],[Total Revenue]]</f>
        <v>0.67203513909224011</v>
      </c>
      <c r="AA1207">
        <v>360516.96</v>
      </c>
    </row>
    <row r="1208" spans="1:27" x14ac:dyDescent="0.3">
      <c r="A1208" t="s">
        <v>14</v>
      </c>
      <c r="B1208" t="s">
        <v>181</v>
      </c>
      <c r="C1208" t="s">
        <v>16</v>
      </c>
      <c r="D1208" t="s">
        <v>17</v>
      </c>
      <c r="E1208" t="s">
        <v>24</v>
      </c>
      <c r="F1208" t="s">
        <v>165</v>
      </c>
      <c r="G1208" s="2">
        <f t="shared" si="36"/>
        <v>42355</v>
      </c>
      <c r="H1208">
        <f>DAY(Europe_Sales_Records34[[#This Row],[Order Date Fixed]])</f>
        <v>17</v>
      </c>
      <c r="I1208" t="str">
        <f>TEXT(Europe_Sales_Records34[[#This Row],[Order Date Fixed]],"MMM")</f>
        <v>Dec</v>
      </c>
      <c r="J1208">
        <f>YEAR(Europe_Sales_Records34[[#This Row],[Order Date Fixed]])</f>
        <v>2015</v>
      </c>
      <c r="K1208" t="str">
        <f>TEXT(Europe_Sales_Records34[[#This Row],[Order Date Fixed]],"MMM-YYYY")</f>
        <v>Dec-2015</v>
      </c>
      <c r="L1208">
        <v>653152501</v>
      </c>
      <c r="M1208" s="2">
        <f t="shared" si="37"/>
        <v>42360</v>
      </c>
      <c r="N1208">
        <f>DAY(Europe_Sales_Records34[[#This Row],[Ship Date Fixed]])</f>
        <v>22</v>
      </c>
      <c r="O1208" t="str">
        <f>TEXT(Europe_Sales_Records34[[#This Row],[Ship Date Fixed]],"MMM")</f>
        <v>Dec</v>
      </c>
      <c r="P1208">
        <f>YEAR(Europe_Sales_Records34[[#This Row],[Ship Date Fixed]])</f>
        <v>2015</v>
      </c>
      <c r="Q1208" t="str">
        <f>TEXT(Europe_Sales_Records34[[#This Row],[Ship Date Fixed]],"MMM-YYYY")</f>
        <v>Dec-2015</v>
      </c>
      <c r="R1208" t="s">
        <v>1705</v>
      </c>
      <c r="S1208" s="3">
        <f>Europe_Sales_Records34[[#This Row],[Ship Date Fixed]]-Europe_Sales_Records34[[#This Row],[Order Date Fixed]]</f>
        <v>5</v>
      </c>
      <c r="T1208">
        <v>1194</v>
      </c>
      <c r="U1208">
        <v>47.45</v>
      </c>
      <c r="V1208">
        <v>31.79</v>
      </c>
      <c r="W1208">
        <f>Europe_Sales_Records34[[#This Row],[Total Revenue]]/Europe_Sales_Records34[[#This Row],[Units Sold]]</f>
        <v>47.45</v>
      </c>
      <c r="X1208">
        <v>56655.3</v>
      </c>
      <c r="Y1208">
        <v>37957.26</v>
      </c>
      <c r="Z1208" s="4">
        <f>Europe_Sales_Records34[[#This Row],[Total Profit]]/Europe_Sales_Records34[[#This Row],[Total Revenue]]</f>
        <v>0.33003161222339306</v>
      </c>
      <c r="AA1208">
        <v>18698.04</v>
      </c>
    </row>
    <row r="1209" spans="1:27" x14ac:dyDescent="0.3">
      <c r="A1209" t="s">
        <v>14</v>
      </c>
      <c r="B1209" t="s">
        <v>27</v>
      </c>
      <c r="C1209" t="s">
        <v>46</v>
      </c>
      <c r="D1209" t="s">
        <v>17</v>
      </c>
      <c r="E1209" t="s">
        <v>18</v>
      </c>
      <c r="F1209" t="s">
        <v>920</v>
      </c>
      <c r="G1209" s="2">
        <f t="shared" si="36"/>
        <v>41768</v>
      </c>
      <c r="H1209">
        <f>DAY(Europe_Sales_Records34[[#This Row],[Order Date Fixed]])</f>
        <v>9</v>
      </c>
      <c r="I1209" t="str">
        <f>TEXT(Europe_Sales_Records34[[#This Row],[Order Date Fixed]],"MMM")</f>
        <v>May</v>
      </c>
      <c r="J1209">
        <f>YEAR(Europe_Sales_Records34[[#This Row],[Order Date Fixed]])</f>
        <v>2014</v>
      </c>
      <c r="K1209" t="str">
        <f>TEXT(Europe_Sales_Records34[[#This Row],[Order Date Fixed]],"MMM-YYYY")</f>
        <v>May-2014</v>
      </c>
      <c r="L1209">
        <v>489600837</v>
      </c>
      <c r="M1209" s="2">
        <f t="shared" si="37"/>
        <v>41799</v>
      </c>
      <c r="N1209">
        <f>DAY(Europe_Sales_Records34[[#This Row],[Ship Date Fixed]])</f>
        <v>9</v>
      </c>
      <c r="O1209" t="str">
        <f>TEXT(Europe_Sales_Records34[[#This Row],[Ship Date Fixed]],"MMM")</f>
        <v>Jun</v>
      </c>
      <c r="P1209">
        <f>YEAR(Europe_Sales_Records34[[#This Row],[Ship Date Fixed]])</f>
        <v>2014</v>
      </c>
      <c r="Q1209" t="str">
        <f>TEXT(Europe_Sales_Records34[[#This Row],[Ship Date Fixed]],"MMM-YYYY")</f>
        <v>Jun-2014</v>
      </c>
      <c r="R1209" t="s">
        <v>372</v>
      </c>
      <c r="S1209" s="3">
        <f>Europe_Sales_Records34[[#This Row],[Ship Date Fixed]]-Europe_Sales_Records34[[#This Row],[Order Date Fixed]]</f>
        <v>31</v>
      </c>
      <c r="T1209">
        <v>2622</v>
      </c>
      <c r="U1209">
        <v>154.06</v>
      </c>
      <c r="V1209">
        <v>90.93</v>
      </c>
      <c r="W1209">
        <f>Europe_Sales_Records34[[#This Row],[Total Revenue]]/Europe_Sales_Records34[[#This Row],[Units Sold]]</f>
        <v>154.06</v>
      </c>
      <c r="X1209">
        <v>403945.32</v>
      </c>
      <c r="Y1209">
        <v>238418.46</v>
      </c>
      <c r="Z1209" s="4">
        <f>Europe_Sales_Records34[[#This Row],[Total Profit]]/Europe_Sales_Records34[[#This Row],[Total Revenue]]</f>
        <v>0.40977541217707381</v>
      </c>
      <c r="AA1209">
        <v>165526.85999999999</v>
      </c>
    </row>
    <row r="1210" spans="1:27" x14ac:dyDescent="0.3">
      <c r="A1210" t="s">
        <v>14</v>
      </c>
      <c r="B1210" t="s">
        <v>40</v>
      </c>
      <c r="C1210" t="s">
        <v>64</v>
      </c>
      <c r="D1210" t="s">
        <v>23</v>
      </c>
      <c r="E1210" t="s">
        <v>24</v>
      </c>
      <c r="F1210" t="s">
        <v>1441</v>
      </c>
      <c r="G1210" s="2">
        <f t="shared" si="36"/>
        <v>42374</v>
      </c>
      <c r="H1210">
        <f>DAY(Europe_Sales_Records34[[#This Row],[Order Date Fixed]])</f>
        <v>5</v>
      </c>
      <c r="I1210" t="str">
        <f>TEXT(Europe_Sales_Records34[[#This Row],[Order Date Fixed]],"MMM")</f>
        <v>Jan</v>
      </c>
      <c r="J1210">
        <f>YEAR(Europe_Sales_Records34[[#This Row],[Order Date Fixed]])</f>
        <v>2016</v>
      </c>
      <c r="K1210" t="str">
        <f>TEXT(Europe_Sales_Records34[[#This Row],[Order Date Fixed]],"MMM-YYYY")</f>
        <v>Jan-2016</v>
      </c>
      <c r="L1210">
        <v>750959146</v>
      </c>
      <c r="M1210" s="2">
        <f t="shared" si="37"/>
        <v>42394</v>
      </c>
      <c r="N1210">
        <f>DAY(Europe_Sales_Records34[[#This Row],[Ship Date Fixed]])</f>
        <v>25</v>
      </c>
      <c r="O1210" t="str">
        <f>TEXT(Europe_Sales_Records34[[#This Row],[Ship Date Fixed]],"MMM")</f>
        <v>Jan</v>
      </c>
      <c r="P1210">
        <f>YEAR(Europe_Sales_Records34[[#This Row],[Ship Date Fixed]])</f>
        <v>2016</v>
      </c>
      <c r="Q1210" t="str">
        <f>TEXT(Europe_Sales_Records34[[#This Row],[Ship Date Fixed]],"MMM-YYYY")</f>
        <v>Jan-2016</v>
      </c>
      <c r="R1210" t="s">
        <v>388</v>
      </c>
      <c r="S1210" s="3">
        <f>Europe_Sales_Records34[[#This Row],[Ship Date Fixed]]-Europe_Sales_Records34[[#This Row],[Order Date Fixed]]</f>
        <v>20</v>
      </c>
      <c r="T1210">
        <v>4354</v>
      </c>
      <c r="U1210">
        <v>255.28</v>
      </c>
      <c r="V1210">
        <v>159.41999999999999</v>
      </c>
      <c r="W1210">
        <f>Europe_Sales_Records34[[#This Row],[Total Revenue]]/Europe_Sales_Records34[[#This Row],[Units Sold]]</f>
        <v>255.28000000000003</v>
      </c>
      <c r="X1210">
        <v>1111489.1200000001</v>
      </c>
      <c r="Y1210">
        <v>694114.68</v>
      </c>
      <c r="Z1210" s="4">
        <f>Europe_Sales_Records34[[#This Row],[Total Profit]]/Europe_Sales_Records34[[#This Row],[Total Revenue]]</f>
        <v>0.37550924475086178</v>
      </c>
      <c r="AA1210">
        <v>417374.44</v>
      </c>
    </row>
    <row r="1211" spans="1:27" x14ac:dyDescent="0.3">
      <c r="A1211" t="s">
        <v>14</v>
      </c>
      <c r="B1211" t="s">
        <v>21</v>
      </c>
      <c r="C1211" t="s">
        <v>102</v>
      </c>
      <c r="D1211" t="s">
        <v>17</v>
      </c>
      <c r="E1211" t="s">
        <v>33</v>
      </c>
      <c r="F1211" t="s">
        <v>650</v>
      </c>
      <c r="G1211" s="2">
        <f t="shared" si="36"/>
        <v>40190</v>
      </c>
      <c r="H1211">
        <f>DAY(Europe_Sales_Records34[[#This Row],[Order Date Fixed]])</f>
        <v>12</v>
      </c>
      <c r="I1211" t="str">
        <f>TEXT(Europe_Sales_Records34[[#This Row],[Order Date Fixed]],"MMM")</f>
        <v>Jan</v>
      </c>
      <c r="J1211">
        <f>YEAR(Europe_Sales_Records34[[#This Row],[Order Date Fixed]])</f>
        <v>2010</v>
      </c>
      <c r="K1211" t="str">
        <f>TEXT(Europe_Sales_Records34[[#This Row],[Order Date Fixed]],"MMM-YYYY")</f>
        <v>Jan-2010</v>
      </c>
      <c r="L1211">
        <v>356413495</v>
      </c>
      <c r="M1211" s="2">
        <f t="shared" si="37"/>
        <v>40196</v>
      </c>
      <c r="N1211">
        <f>DAY(Europe_Sales_Records34[[#This Row],[Ship Date Fixed]])</f>
        <v>18</v>
      </c>
      <c r="O1211" t="str">
        <f>TEXT(Europe_Sales_Records34[[#This Row],[Ship Date Fixed]],"MMM")</f>
        <v>Jan</v>
      </c>
      <c r="P1211">
        <f>YEAR(Europe_Sales_Records34[[#This Row],[Ship Date Fixed]])</f>
        <v>2010</v>
      </c>
      <c r="Q1211" t="str">
        <f>TEXT(Europe_Sales_Records34[[#This Row],[Ship Date Fixed]],"MMM-YYYY")</f>
        <v>Jan-2010</v>
      </c>
      <c r="R1211" t="s">
        <v>519</v>
      </c>
      <c r="S1211" s="3">
        <f>Europe_Sales_Records34[[#This Row],[Ship Date Fixed]]-Europe_Sales_Records34[[#This Row],[Order Date Fixed]]</f>
        <v>6</v>
      </c>
      <c r="T1211">
        <v>9528</v>
      </c>
      <c r="U1211">
        <v>81.73</v>
      </c>
      <c r="V1211">
        <v>56.67</v>
      </c>
      <c r="W1211">
        <f>Europe_Sales_Records34[[#This Row],[Total Revenue]]/Europe_Sales_Records34[[#This Row],[Units Sold]]</f>
        <v>81.72999999999999</v>
      </c>
      <c r="X1211">
        <v>778723.44</v>
      </c>
      <c r="Y1211">
        <v>539951.76</v>
      </c>
      <c r="Z1211" s="4">
        <f>Europe_Sales_Records34[[#This Row],[Total Profit]]/Europe_Sales_Records34[[#This Row],[Total Revenue]]</f>
        <v>0.30661935641747218</v>
      </c>
      <c r="AA1211">
        <v>238771.68</v>
      </c>
    </row>
    <row r="1212" spans="1:27" x14ac:dyDescent="0.3">
      <c r="A1212" t="s">
        <v>14</v>
      </c>
      <c r="B1212" t="s">
        <v>21</v>
      </c>
      <c r="C1212" t="s">
        <v>32</v>
      </c>
      <c r="D1212" t="s">
        <v>17</v>
      </c>
      <c r="E1212" t="s">
        <v>33</v>
      </c>
      <c r="F1212" t="s">
        <v>1117</v>
      </c>
      <c r="G1212" s="2">
        <f t="shared" si="36"/>
        <v>42338</v>
      </c>
      <c r="H1212">
        <f>DAY(Europe_Sales_Records34[[#This Row],[Order Date Fixed]])</f>
        <v>30</v>
      </c>
      <c r="I1212" t="str">
        <f>TEXT(Europe_Sales_Records34[[#This Row],[Order Date Fixed]],"MMM")</f>
        <v>Nov</v>
      </c>
      <c r="J1212">
        <f>YEAR(Europe_Sales_Records34[[#This Row],[Order Date Fixed]])</f>
        <v>2015</v>
      </c>
      <c r="K1212" t="str">
        <f>TEXT(Europe_Sales_Records34[[#This Row],[Order Date Fixed]],"MMM-YYYY")</f>
        <v>Nov-2015</v>
      </c>
      <c r="L1212">
        <v>288656175</v>
      </c>
      <c r="M1212" s="2">
        <f t="shared" si="37"/>
        <v>42368</v>
      </c>
      <c r="N1212">
        <f>DAY(Europe_Sales_Records34[[#This Row],[Ship Date Fixed]])</f>
        <v>30</v>
      </c>
      <c r="O1212" t="str">
        <f>TEXT(Europe_Sales_Records34[[#This Row],[Ship Date Fixed]],"MMM")</f>
        <v>Dec</v>
      </c>
      <c r="P1212">
        <f>YEAR(Europe_Sales_Records34[[#This Row],[Ship Date Fixed]])</f>
        <v>2015</v>
      </c>
      <c r="Q1212" t="str">
        <f>TEXT(Europe_Sales_Records34[[#This Row],[Ship Date Fixed]],"MMM-YYYY")</f>
        <v>Dec-2015</v>
      </c>
      <c r="R1212" t="s">
        <v>1706</v>
      </c>
      <c r="S1212" s="3">
        <f>Europe_Sales_Records34[[#This Row],[Ship Date Fixed]]-Europe_Sales_Records34[[#This Row],[Order Date Fixed]]</f>
        <v>30</v>
      </c>
      <c r="T1212">
        <v>8632</v>
      </c>
      <c r="U1212">
        <v>651.21</v>
      </c>
      <c r="V1212">
        <v>524.96</v>
      </c>
      <c r="W1212">
        <f>Europe_Sales_Records34[[#This Row],[Total Revenue]]/Europe_Sales_Records34[[#This Row],[Units Sold]]</f>
        <v>651.20999999999992</v>
      </c>
      <c r="X1212">
        <v>5621244.7199999997</v>
      </c>
      <c r="Y1212">
        <v>4531454.72</v>
      </c>
      <c r="Z1212" s="4">
        <f>Europe_Sales_Records34[[#This Row],[Total Profit]]/Europe_Sales_Records34[[#This Row],[Total Revenue]]</f>
        <v>0.19386987300563568</v>
      </c>
      <c r="AA1212">
        <v>1089790</v>
      </c>
    </row>
    <row r="1213" spans="1:27" x14ac:dyDescent="0.3">
      <c r="A1213" t="s">
        <v>14</v>
      </c>
      <c r="B1213" t="s">
        <v>70</v>
      </c>
      <c r="C1213" t="s">
        <v>75</v>
      </c>
      <c r="D1213" t="s">
        <v>17</v>
      </c>
      <c r="E1213" t="s">
        <v>18</v>
      </c>
      <c r="F1213" t="s">
        <v>387</v>
      </c>
      <c r="G1213" s="2">
        <f t="shared" si="36"/>
        <v>42213</v>
      </c>
      <c r="H1213">
        <f>DAY(Europe_Sales_Records34[[#This Row],[Order Date Fixed]])</f>
        <v>28</v>
      </c>
      <c r="I1213" t="str">
        <f>TEXT(Europe_Sales_Records34[[#This Row],[Order Date Fixed]],"MMM")</f>
        <v>Jul</v>
      </c>
      <c r="J1213">
        <f>YEAR(Europe_Sales_Records34[[#This Row],[Order Date Fixed]])</f>
        <v>2015</v>
      </c>
      <c r="K1213" t="str">
        <f>TEXT(Europe_Sales_Records34[[#This Row],[Order Date Fixed]],"MMM-YYYY")</f>
        <v>Jul-2015</v>
      </c>
      <c r="L1213">
        <v>659671771</v>
      </c>
      <c r="M1213" s="2">
        <f t="shared" si="37"/>
        <v>42214</v>
      </c>
      <c r="N1213">
        <f>DAY(Europe_Sales_Records34[[#This Row],[Ship Date Fixed]])</f>
        <v>29</v>
      </c>
      <c r="O1213" t="str">
        <f>TEXT(Europe_Sales_Records34[[#This Row],[Ship Date Fixed]],"MMM")</f>
        <v>Jul</v>
      </c>
      <c r="P1213">
        <f>YEAR(Europe_Sales_Records34[[#This Row],[Ship Date Fixed]])</f>
        <v>2015</v>
      </c>
      <c r="Q1213" t="str">
        <f>TEXT(Europe_Sales_Records34[[#This Row],[Ship Date Fixed]],"MMM-YYYY")</f>
        <v>Jul-2015</v>
      </c>
      <c r="R1213" t="s">
        <v>1623</v>
      </c>
      <c r="S1213" s="3">
        <f>Europe_Sales_Records34[[#This Row],[Ship Date Fixed]]-Europe_Sales_Records34[[#This Row],[Order Date Fixed]]</f>
        <v>1</v>
      </c>
      <c r="T1213">
        <v>391</v>
      </c>
      <c r="U1213">
        <v>437.2</v>
      </c>
      <c r="V1213">
        <v>263.33</v>
      </c>
      <c r="W1213">
        <f>Europe_Sales_Records34[[#This Row],[Total Revenue]]/Europe_Sales_Records34[[#This Row],[Units Sold]]</f>
        <v>437.20000000000005</v>
      </c>
      <c r="X1213">
        <v>170945.2</v>
      </c>
      <c r="Y1213">
        <v>102962.03</v>
      </c>
      <c r="Z1213" s="4">
        <f>Europe_Sales_Records34[[#This Row],[Total Profit]]/Europe_Sales_Records34[[#This Row],[Total Revenue]]</f>
        <v>0.39768984446477579</v>
      </c>
      <c r="AA1213">
        <v>67983.17</v>
      </c>
    </row>
    <row r="1214" spans="1:27" x14ac:dyDescent="0.3">
      <c r="A1214" t="s">
        <v>14</v>
      </c>
      <c r="B1214" t="s">
        <v>67</v>
      </c>
      <c r="C1214" t="s">
        <v>22</v>
      </c>
      <c r="D1214" t="s">
        <v>17</v>
      </c>
      <c r="E1214" t="s">
        <v>54</v>
      </c>
      <c r="F1214" t="s">
        <v>1223</v>
      </c>
      <c r="G1214" s="2">
        <f t="shared" si="36"/>
        <v>42577</v>
      </c>
      <c r="H1214">
        <f>DAY(Europe_Sales_Records34[[#This Row],[Order Date Fixed]])</f>
        <v>26</v>
      </c>
      <c r="I1214" t="str">
        <f>TEXT(Europe_Sales_Records34[[#This Row],[Order Date Fixed]],"MMM")</f>
        <v>Jul</v>
      </c>
      <c r="J1214">
        <f>YEAR(Europe_Sales_Records34[[#This Row],[Order Date Fixed]])</f>
        <v>2016</v>
      </c>
      <c r="K1214" t="str">
        <f>TEXT(Europe_Sales_Records34[[#This Row],[Order Date Fixed]],"MMM-YYYY")</f>
        <v>Jul-2016</v>
      </c>
      <c r="L1214">
        <v>513611114</v>
      </c>
      <c r="M1214" s="2">
        <f t="shared" si="37"/>
        <v>42618</v>
      </c>
      <c r="N1214">
        <f>DAY(Europe_Sales_Records34[[#This Row],[Ship Date Fixed]])</f>
        <v>5</v>
      </c>
      <c r="O1214" t="str">
        <f>TEXT(Europe_Sales_Records34[[#This Row],[Ship Date Fixed]],"MMM")</f>
        <v>Sep</v>
      </c>
      <c r="P1214">
        <f>YEAR(Europe_Sales_Records34[[#This Row],[Ship Date Fixed]])</f>
        <v>2016</v>
      </c>
      <c r="Q1214" t="str">
        <f>TEXT(Europe_Sales_Records34[[#This Row],[Ship Date Fixed]],"MMM-YYYY")</f>
        <v>Sep-2016</v>
      </c>
      <c r="R1214" t="s">
        <v>292</v>
      </c>
      <c r="S1214" s="3">
        <f>Europe_Sales_Records34[[#This Row],[Ship Date Fixed]]-Europe_Sales_Records34[[#This Row],[Order Date Fixed]]</f>
        <v>41</v>
      </c>
      <c r="T1214">
        <v>7797</v>
      </c>
      <c r="U1214">
        <v>109.28</v>
      </c>
      <c r="V1214">
        <v>35.840000000000003</v>
      </c>
      <c r="W1214">
        <f>Europe_Sales_Records34[[#This Row],[Total Revenue]]/Europe_Sales_Records34[[#This Row],[Units Sold]]</f>
        <v>109.28</v>
      </c>
      <c r="X1214">
        <v>852056.16</v>
      </c>
      <c r="Y1214">
        <v>279444.47999999998</v>
      </c>
      <c r="Z1214" s="4">
        <f>Europe_Sales_Records34[[#This Row],[Total Profit]]/Europe_Sales_Records34[[#This Row],[Total Revenue]]</f>
        <v>0.67203513909224011</v>
      </c>
      <c r="AA1214">
        <v>572611.68000000005</v>
      </c>
    </row>
    <row r="1215" spans="1:27" x14ac:dyDescent="0.3">
      <c r="A1215" t="s">
        <v>14</v>
      </c>
      <c r="B1215" t="s">
        <v>70</v>
      </c>
      <c r="C1215" t="s">
        <v>16</v>
      </c>
      <c r="D1215" t="s">
        <v>17</v>
      </c>
      <c r="E1215" t="s">
        <v>24</v>
      </c>
      <c r="F1215" t="s">
        <v>1707</v>
      </c>
      <c r="G1215" s="2">
        <f t="shared" si="36"/>
        <v>41750</v>
      </c>
      <c r="H1215">
        <f>DAY(Europe_Sales_Records34[[#This Row],[Order Date Fixed]])</f>
        <v>21</v>
      </c>
      <c r="I1215" t="str">
        <f>TEXT(Europe_Sales_Records34[[#This Row],[Order Date Fixed]],"MMM")</f>
        <v>Apr</v>
      </c>
      <c r="J1215">
        <f>YEAR(Europe_Sales_Records34[[#This Row],[Order Date Fixed]])</f>
        <v>2014</v>
      </c>
      <c r="K1215" t="str">
        <f>TEXT(Europe_Sales_Records34[[#This Row],[Order Date Fixed]],"MMM-YYYY")</f>
        <v>Apr-2014</v>
      </c>
      <c r="L1215">
        <v>543322694</v>
      </c>
      <c r="M1215" s="2">
        <f t="shared" si="37"/>
        <v>41791</v>
      </c>
      <c r="N1215">
        <f>DAY(Europe_Sales_Records34[[#This Row],[Ship Date Fixed]])</f>
        <v>1</v>
      </c>
      <c r="O1215" t="str">
        <f>TEXT(Europe_Sales_Records34[[#This Row],[Ship Date Fixed]],"MMM")</f>
        <v>Jun</v>
      </c>
      <c r="P1215">
        <f>YEAR(Europe_Sales_Records34[[#This Row],[Ship Date Fixed]])</f>
        <v>2014</v>
      </c>
      <c r="Q1215" t="str">
        <f>TEXT(Europe_Sales_Records34[[#This Row],[Ship Date Fixed]],"MMM-YYYY")</f>
        <v>Jun-2014</v>
      </c>
      <c r="R1215" t="s">
        <v>1708</v>
      </c>
      <c r="S1215" s="3">
        <f>Europe_Sales_Records34[[#This Row],[Ship Date Fixed]]-Europe_Sales_Records34[[#This Row],[Order Date Fixed]]</f>
        <v>41</v>
      </c>
      <c r="T1215">
        <v>114</v>
      </c>
      <c r="U1215">
        <v>47.45</v>
      </c>
      <c r="V1215">
        <v>31.79</v>
      </c>
      <c r="W1215">
        <f>Europe_Sales_Records34[[#This Row],[Total Revenue]]/Europe_Sales_Records34[[#This Row],[Units Sold]]</f>
        <v>47.45</v>
      </c>
      <c r="X1215">
        <v>5409.3</v>
      </c>
      <c r="Y1215">
        <v>3624.06</v>
      </c>
      <c r="Z1215" s="4">
        <f>Europe_Sales_Records34[[#This Row],[Total Profit]]/Europe_Sales_Records34[[#This Row],[Total Revenue]]</f>
        <v>0.33003161222339306</v>
      </c>
      <c r="AA1215">
        <v>1785.24</v>
      </c>
    </row>
    <row r="1216" spans="1:27" x14ac:dyDescent="0.3">
      <c r="A1216" t="s">
        <v>14</v>
      </c>
      <c r="B1216" t="s">
        <v>110</v>
      </c>
      <c r="C1216" t="s">
        <v>46</v>
      </c>
      <c r="D1216" t="s">
        <v>17</v>
      </c>
      <c r="E1216" t="s">
        <v>18</v>
      </c>
      <c r="F1216" t="s">
        <v>482</v>
      </c>
      <c r="G1216" s="2">
        <f t="shared" si="36"/>
        <v>41219</v>
      </c>
      <c r="H1216">
        <f>DAY(Europe_Sales_Records34[[#This Row],[Order Date Fixed]])</f>
        <v>6</v>
      </c>
      <c r="I1216" t="str">
        <f>TEXT(Europe_Sales_Records34[[#This Row],[Order Date Fixed]],"MMM")</f>
        <v>Nov</v>
      </c>
      <c r="J1216">
        <f>YEAR(Europe_Sales_Records34[[#This Row],[Order Date Fixed]])</f>
        <v>2012</v>
      </c>
      <c r="K1216" t="str">
        <f>TEXT(Europe_Sales_Records34[[#This Row],[Order Date Fixed]],"MMM-YYYY")</f>
        <v>Nov-2012</v>
      </c>
      <c r="L1216">
        <v>671616399</v>
      </c>
      <c r="M1216" s="2">
        <f t="shared" si="37"/>
        <v>41253</v>
      </c>
      <c r="N1216">
        <f>DAY(Europe_Sales_Records34[[#This Row],[Ship Date Fixed]])</f>
        <v>10</v>
      </c>
      <c r="O1216" t="str">
        <f>TEXT(Europe_Sales_Records34[[#This Row],[Ship Date Fixed]],"MMM")</f>
        <v>Dec</v>
      </c>
      <c r="P1216">
        <f>YEAR(Europe_Sales_Records34[[#This Row],[Ship Date Fixed]])</f>
        <v>2012</v>
      </c>
      <c r="Q1216" t="str">
        <f>TEXT(Europe_Sales_Records34[[#This Row],[Ship Date Fixed]],"MMM-YYYY")</f>
        <v>Dec-2012</v>
      </c>
      <c r="R1216" t="s">
        <v>1709</v>
      </c>
      <c r="S1216" s="3">
        <f>Europe_Sales_Records34[[#This Row],[Ship Date Fixed]]-Europe_Sales_Records34[[#This Row],[Order Date Fixed]]</f>
        <v>34</v>
      </c>
      <c r="T1216">
        <v>5072</v>
      </c>
      <c r="U1216">
        <v>154.06</v>
      </c>
      <c r="V1216">
        <v>90.93</v>
      </c>
      <c r="W1216">
        <f>Europe_Sales_Records34[[#This Row],[Total Revenue]]/Europe_Sales_Records34[[#This Row],[Units Sold]]</f>
        <v>154.06</v>
      </c>
      <c r="X1216">
        <v>781392.32</v>
      </c>
      <c r="Y1216">
        <v>461196.96</v>
      </c>
      <c r="Z1216" s="4">
        <f>Europe_Sales_Records34[[#This Row],[Total Profit]]/Europe_Sales_Records34[[#This Row],[Total Revenue]]</f>
        <v>0.40977541217707386</v>
      </c>
      <c r="AA1216">
        <v>320195.36</v>
      </c>
    </row>
    <row r="1217" spans="1:27" x14ac:dyDescent="0.3">
      <c r="A1217" t="s">
        <v>14</v>
      </c>
      <c r="B1217" t="s">
        <v>181</v>
      </c>
      <c r="C1217" t="s">
        <v>16</v>
      </c>
      <c r="D1217" t="s">
        <v>17</v>
      </c>
      <c r="E1217" t="s">
        <v>33</v>
      </c>
      <c r="F1217" t="s">
        <v>1710</v>
      </c>
      <c r="G1217" s="2">
        <f t="shared" si="36"/>
        <v>42124</v>
      </c>
      <c r="H1217">
        <f>DAY(Europe_Sales_Records34[[#This Row],[Order Date Fixed]])</f>
        <v>30</v>
      </c>
      <c r="I1217" t="str">
        <f>TEXT(Europe_Sales_Records34[[#This Row],[Order Date Fixed]],"MMM")</f>
        <v>Apr</v>
      </c>
      <c r="J1217">
        <f>YEAR(Europe_Sales_Records34[[#This Row],[Order Date Fixed]])</f>
        <v>2015</v>
      </c>
      <c r="K1217" t="str">
        <f>TEXT(Europe_Sales_Records34[[#This Row],[Order Date Fixed]],"MMM-YYYY")</f>
        <v>Apr-2015</v>
      </c>
      <c r="L1217">
        <v>212319648</v>
      </c>
      <c r="M1217" s="2">
        <f t="shared" si="37"/>
        <v>42139</v>
      </c>
      <c r="N1217">
        <f>DAY(Europe_Sales_Records34[[#This Row],[Ship Date Fixed]])</f>
        <v>15</v>
      </c>
      <c r="O1217" t="str">
        <f>TEXT(Europe_Sales_Records34[[#This Row],[Ship Date Fixed]],"MMM")</f>
        <v>May</v>
      </c>
      <c r="P1217">
        <f>YEAR(Europe_Sales_Records34[[#This Row],[Ship Date Fixed]])</f>
        <v>2015</v>
      </c>
      <c r="Q1217" t="str">
        <f>TEXT(Europe_Sales_Records34[[#This Row],[Ship Date Fixed]],"MMM-YYYY")</f>
        <v>May-2015</v>
      </c>
      <c r="R1217" t="s">
        <v>1239</v>
      </c>
      <c r="S1217" s="3">
        <f>Europe_Sales_Records34[[#This Row],[Ship Date Fixed]]-Europe_Sales_Records34[[#This Row],[Order Date Fixed]]</f>
        <v>15</v>
      </c>
      <c r="T1217">
        <v>8957</v>
      </c>
      <c r="U1217">
        <v>47.45</v>
      </c>
      <c r="V1217">
        <v>31.79</v>
      </c>
      <c r="W1217">
        <f>Europe_Sales_Records34[[#This Row],[Total Revenue]]/Europe_Sales_Records34[[#This Row],[Units Sold]]</f>
        <v>47.45</v>
      </c>
      <c r="X1217">
        <v>425009.65</v>
      </c>
      <c r="Y1217">
        <v>284743.03000000003</v>
      </c>
      <c r="Z1217" s="4">
        <f>Europe_Sales_Records34[[#This Row],[Total Profit]]/Europe_Sales_Records34[[#This Row],[Total Revenue]]</f>
        <v>0.330031612223393</v>
      </c>
      <c r="AA1217">
        <v>140266.62</v>
      </c>
    </row>
    <row r="1218" spans="1:27" x14ac:dyDescent="0.3">
      <c r="A1218" t="s">
        <v>14</v>
      </c>
      <c r="B1218" t="s">
        <v>110</v>
      </c>
      <c r="C1218" t="s">
        <v>71</v>
      </c>
      <c r="D1218" t="s">
        <v>23</v>
      </c>
      <c r="E1218" t="s">
        <v>33</v>
      </c>
      <c r="F1218" t="s">
        <v>155</v>
      </c>
      <c r="G1218" s="2">
        <f t="shared" ref="G1218:G1281" si="38">DATE(
  RIGHT(F1218,4),
  LEFT(F1218,FIND("/",F1218)-1),
  MID(F1218,FIND("/",F1218)+1, FIND("/",F1218,FIND("/",F1218)+1)-FIND("/",F1218)-1)
)</f>
        <v>41759</v>
      </c>
      <c r="H1218">
        <f>DAY(Europe_Sales_Records34[[#This Row],[Order Date Fixed]])</f>
        <v>30</v>
      </c>
      <c r="I1218" t="str">
        <f>TEXT(Europe_Sales_Records34[[#This Row],[Order Date Fixed]],"MMM")</f>
        <v>Apr</v>
      </c>
      <c r="J1218">
        <f>YEAR(Europe_Sales_Records34[[#This Row],[Order Date Fixed]])</f>
        <v>2014</v>
      </c>
      <c r="K1218" t="str">
        <f>TEXT(Europe_Sales_Records34[[#This Row],[Order Date Fixed]],"MMM-YYYY")</f>
        <v>Apr-2014</v>
      </c>
      <c r="L1218">
        <v>971578347</v>
      </c>
      <c r="M1218" s="2">
        <f t="shared" ref="M1218:M1281" si="39">DATE(
  RIGHT(R1218,4),
  LEFT(R1218,FIND("/",R1218)-1),
  MID(
      R1218,
      FIND("/",R1218)+1,
      FIND("/",R1218,FIND("/",R1218)+1)-FIND("/",R1218)-1
     )
)</f>
        <v>41806</v>
      </c>
      <c r="N1218">
        <f>DAY(Europe_Sales_Records34[[#This Row],[Ship Date Fixed]])</f>
        <v>16</v>
      </c>
      <c r="O1218" t="str">
        <f>TEXT(Europe_Sales_Records34[[#This Row],[Ship Date Fixed]],"MMM")</f>
        <v>Jun</v>
      </c>
      <c r="P1218">
        <f>YEAR(Europe_Sales_Records34[[#This Row],[Ship Date Fixed]])</f>
        <v>2014</v>
      </c>
      <c r="Q1218" t="str">
        <f>TEXT(Europe_Sales_Records34[[#This Row],[Ship Date Fixed]],"MMM-YYYY")</f>
        <v>Jun-2014</v>
      </c>
      <c r="R1218" t="s">
        <v>1711</v>
      </c>
      <c r="S1218" s="3">
        <f>Europe_Sales_Records34[[#This Row],[Ship Date Fixed]]-Europe_Sales_Records34[[#This Row],[Order Date Fixed]]</f>
        <v>47</v>
      </c>
      <c r="T1218">
        <v>478</v>
      </c>
      <c r="U1218">
        <v>668.27</v>
      </c>
      <c r="V1218">
        <v>502.54</v>
      </c>
      <c r="W1218">
        <f>Europe_Sales_Records34[[#This Row],[Total Revenue]]/Europe_Sales_Records34[[#This Row],[Units Sold]]</f>
        <v>668.27</v>
      </c>
      <c r="X1218">
        <v>319433.06</v>
      </c>
      <c r="Y1218">
        <v>240214.12</v>
      </c>
      <c r="Z1218" s="4">
        <f>Europe_Sales_Records34[[#This Row],[Total Profit]]/Europe_Sales_Records34[[#This Row],[Total Revenue]]</f>
        <v>0.24799856345489099</v>
      </c>
      <c r="AA1218">
        <v>79218.94</v>
      </c>
    </row>
    <row r="1219" spans="1:27" x14ac:dyDescent="0.3">
      <c r="A1219" t="s">
        <v>14</v>
      </c>
      <c r="B1219" t="s">
        <v>185</v>
      </c>
      <c r="C1219" t="s">
        <v>37</v>
      </c>
      <c r="D1219" t="s">
        <v>17</v>
      </c>
      <c r="E1219" t="s">
        <v>33</v>
      </c>
      <c r="F1219" t="s">
        <v>1712</v>
      </c>
      <c r="G1219" s="2">
        <f t="shared" si="38"/>
        <v>42691</v>
      </c>
      <c r="H1219">
        <f>DAY(Europe_Sales_Records34[[#This Row],[Order Date Fixed]])</f>
        <v>17</v>
      </c>
      <c r="I1219" t="str">
        <f>TEXT(Europe_Sales_Records34[[#This Row],[Order Date Fixed]],"MMM")</f>
        <v>Nov</v>
      </c>
      <c r="J1219">
        <f>YEAR(Europe_Sales_Records34[[#This Row],[Order Date Fixed]])</f>
        <v>2016</v>
      </c>
      <c r="K1219" t="str">
        <f>TEXT(Europe_Sales_Records34[[#This Row],[Order Date Fixed]],"MMM-YYYY")</f>
        <v>Nov-2016</v>
      </c>
      <c r="L1219">
        <v>704233348</v>
      </c>
      <c r="M1219" s="2">
        <f t="shared" si="39"/>
        <v>42700</v>
      </c>
      <c r="N1219">
        <f>DAY(Europe_Sales_Records34[[#This Row],[Ship Date Fixed]])</f>
        <v>26</v>
      </c>
      <c r="O1219" t="str">
        <f>TEXT(Europe_Sales_Records34[[#This Row],[Ship Date Fixed]],"MMM")</f>
        <v>Nov</v>
      </c>
      <c r="P1219">
        <f>YEAR(Europe_Sales_Records34[[#This Row],[Ship Date Fixed]])</f>
        <v>2016</v>
      </c>
      <c r="Q1219" t="str">
        <f>TEXT(Europe_Sales_Records34[[#This Row],[Ship Date Fixed]],"MMM-YYYY")</f>
        <v>Nov-2016</v>
      </c>
      <c r="R1219" t="s">
        <v>605</v>
      </c>
      <c r="S1219" s="3">
        <f>Europe_Sales_Records34[[#This Row],[Ship Date Fixed]]-Europe_Sales_Records34[[#This Row],[Order Date Fixed]]</f>
        <v>9</v>
      </c>
      <c r="T1219">
        <v>7152</v>
      </c>
      <c r="U1219">
        <v>9.33</v>
      </c>
      <c r="V1219">
        <v>6.92</v>
      </c>
      <c r="W1219">
        <f>Europe_Sales_Records34[[#This Row],[Total Revenue]]/Europe_Sales_Records34[[#This Row],[Units Sold]]</f>
        <v>9.33</v>
      </c>
      <c r="X1219">
        <v>66728.160000000003</v>
      </c>
      <c r="Y1219">
        <v>49491.839999999997</v>
      </c>
      <c r="Z1219" s="4">
        <f>Europe_Sales_Records34[[#This Row],[Total Profit]]/Europe_Sales_Records34[[#This Row],[Total Revenue]]</f>
        <v>0.25830653804930331</v>
      </c>
      <c r="AA1219">
        <v>17236.32</v>
      </c>
    </row>
    <row r="1220" spans="1:27" x14ac:dyDescent="0.3">
      <c r="A1220" t="s">
        <v>14</v>
      </c>
      <c r="B1220" t="s">
        <v>31</v>
      </c>
      <c r="C1220" t="s">
        <v>58</v>
      </c>
      <c r="D1220" t="s">
        <v>23</v>
      </c>
      <c r="E1220" t="s">
        <v>18</v>
      </c>
      <c r="F1220" t="s">
        <v>1364</v>
      </c>
      <c r="G1220" s="2">
        <f t="shared" si="38"/>
        <v>40329</v>
      </c>
      <c r="H1220">
        <f>DAY(Europe_Sales_Records34[[#This Row],[Order Date Fixed]])</f>
        <v>31</v>
      </c>
      <c r="I1220" t="str">
        <f>TEXT(Europe_Sales_Records34[[#This Row],[Order Date Fixed]],"MMM")</f>
        <v>May</v>
      </c>
      <c r="J1220">
        <f>YEAR(Europe_Sales_Records34[[#This Row],[Order Date Fixed]])</f>
        <v>2010</v>
      </c>
      <c r="K1220" t="str">
        <f>TEXT(Europe_Sales_Records34[[#This Row],[Order Date Fixed]],"MMM-YYYY")</f>
        <v>May-2010</v>
      </c>
      <c r="L1220">
        <v>768230426</v>
      </c>
      <c r="M1220" s="2">
        <f t="shared" si="39"/>
        <v>40351</v>
      </c>
      <c r="N1220">
        <f>DAY(Europe_Sales_Records34[[#This Row],[Ship Date Fixed]])</f>
        <v>22</v>
      </c>
      <c r="O1220" t="str">
        <f>TEXT(Europe_Sales_Records34[[#This Row],[Ship Date Fixed]],"MMM")</f>
        <v>Jun</v>
      </c>
      <c r="P1220">
        <f>YEAR(Europe_Sales_Records34[[#This Row],[Ship Date Fixed]])</f>
        <v>2010</v>
      </c>
      <c r="Q1220" t="str">
        <f>TEXT(Europe_Sales_Records34[[#This Row],[Ship Date Fixed]],"MMM-YYYY")</f>
        <v>Jun-2010</v>
      </c>
      <c r="R1220" t="s">
        <v>1713</v>
      </c>
      <c r="S1220" s="3">
        <f>Europe_Sales_Records34[[#This Row],[Ship Date Fixed]]-Europe_Sales_Records34[[#This Row],[Order Date Fixed]]</f>
        <v>22</v>
      </c>
      <c r="T1220">
        <v>5310</v>
      </c>
      <c r="U1220">
        <v>152.58000000000001</v>
      </c>
      <c r="V1220">
        <v>97.44</v>
      </c>
      <c r="W1220">
        <f>Europe_Sales_Records34[[#This Row],[Total Revenue]]/Europe_Sales_Records34[[#This Row],[Units Sold]]</f>
        <v>152.58000000000001</v>
      </c>
      <c r="X1220">
        <v>810199.8</v>
      </c>
      <c r="Y1220">
        <v>517406.4</v>
      </c>
      <c r="Z1220" s="4">
        <f>Europe_Sales_Records34[[#This Row],[Total Profit]]/Europe_Sales_Records34[[#This Row],[Total Revenue]]</f>
        <v>0.36138419189933152</v>
      </c>
      <c r="AA1220">
        <v>292793.40000000002</v>
      </c>
    </row>
    <row r="1221" spans="1:27" x14ac:dyDescent="0.3">
      <c r="A1221" t="s">
        <v>14</v>
      </c>
      <c r="B1221" t="s">
        <v>45</v>
      </c>
      <c r="C1221" t="s">
        <v>37</v>
      </c>
      <c r="D1221" t="s">
        <v>17</v>
      </c>
      <c r="E1221" t="s">
        <v>24</v>
      </c>
      <c r="F1221" t="s">
        <v>1714</v>
      </c>
      <c r="G1221" s="2">
        <f t="shared" si="38"/>
        <v>42735</v>
      </c>
      <c r="H1221">
        <f>DAY(Europe_Sales_Records34[[#This Row],[Order Date Fixed]])</f>
        <v>31</v>
      </c>
      <c r="I1221" t="str">
        <f>TEXT(Europe_Sales_Records34[[#This Row],[Order Date Fixed]],"MMM")</f>
        <v>Dec</v>
      </c>
      <c r="J1221">
        <f>YEAR(Europe_Sales_Records34[[#This Row],[Order Date Fixed]])</f>
        <v>2016</v>
      </c>
      <c r="K1221" t="str">
        <f>TEXT(Europe_Sales_Records34[[#This Row],[Order Date Fixed]],"MMM-YYYY")</f>
        <v>Dec-2016</v>
      </c>
      <c r="L1221">
        <v>707661855</v>
      </c>
      <c r="M1221" s="2">
        <f t="shared" si="39"/>
        <v>42761</v>
      </c>
      <c r="N1221">
        <f>DAY(Europe_Sales_Records34[[#This Row],[Ship Date Fixed]])</f>
        <v>26</v>
      </c>
      <c r="O1221" t="str">
        <f>TEXT(Europe_Sales_Records34[[#This Row],[Ship Date Fixed]],"MMM")</f>
        <v>Jan</v>
      </c>
      <c r="P1221">
        <f>YEAR(Europe_Sales_Records34[[#This Row],[Ship Date Fixed]])</f>
        <v>2017</v>
      </c>
      <c r="Q1221" t="str">
        <f>TEXT(Europe_Sales_Records34[[#This Row],[Ship Date Fixed]],"MMM-YYYY")</f>
        <v>Jan-2017</v>
      </c>
      <c r="R1221" t="s">
        <v>1087</v>
      </c>
      <c r="S1221" s="3">
        <f>Europe_Sales_Records34[[#This Row],[Ship Date Fixed]]-Europe_Sales_Records34[[#This Row],[Order Date Fixed]]</f>
        <v>26</v>
      </c>
      <c r="T1221">
        <v>1723</v>
      </c>
      <c r="U1221">
        <v>9.33</v>
      </c>
      <c r="V1221">
        <v>6.92</v>
      </c>
      <c r="W1221">
        <f>Europe_Sales_Records34[[#This Row],[Total Revenue]]/Europe_Sales_Records34[[#This Row],[Units Sold]]</f>
        <v>9.33</v>
      </c>
      <c r="X1221">
        <v>16075.59</v>
      </c>
      <c r="Y1221">
        <v>11923.16</v>
      </c>
      <c r="Z1221" s="4">
        <f>Europe_Sales_Records34[[#This Row],[Total Profit]]/Europe_Sales_Records34[[#This Row],[Total Revenue]]</f>
        <v>0.25830653804930331</v>
      </c>
      <c r="AA1221">
        <v>4152.43</v>
      </c>
    </row>
    <row r="1222" spans="1:27" x14ac:dyDescent="0.3">
      <c r="A1222" t="s">
        <v>14</v>
      </c>
      <c r="B1222" t="s">
        <v>135</v>
      </c>
      <c r="C1222" t="s">
        <v>37</v>
      </c>
      <c r="D1222" t="s">
        <v>17</v>
      </c>
      <c r="E1222" t="s">
        <v>24</v>
      </c>
      <c r="F1222" t="s">
        <v>1715</v>
      </c>
      <c r="G1222" s="2">
        <f t="shared" si="38"/>
        <v>40794</v>
      </c>
      <c r="H1222">
        <f>DAY(Europe_Sales_Records34[[#This Row],[Order Date Fixed]])</f>
        <v>8</v>
      </c>
      <c r="I1222" t="str">
        <f>TEXT(Europe_Sales_Records34[[#This Row],[Order Date Fixed]],"MMM")</f>
        <v>Sep</v>
      </c>
      <c r="J1222">
        <f>YEAR(Europe_Sales_Records34[[#This Row],[Order Date Fixed]])</f>
        <v>2011</v>
      </c>
      <c r="K1222" t="str">
        <f>TEXT(Europe_Sales_Records34[[#This Row],[Order Date Fixed]],"MMM-YYYY")</f>
        <v>Sep-2011</v>
      </c>
      <c r="L1222">
        <v>628595054</v>
      </c>
      <c r="M1222" s="2">
        <f t="shared" si="39"/>
        <v>40837</v>
      </c>
      <c r="N1222">
        <f>DAY(Europe_Sales_Records34[[#This Row],[Ship Date Fixed]])</f>
        <v>21</v>
      </c>
      <c r="O1222" t="str">
        <f>TEXT(Europe_Sales_Records34[[#This Row],[Ship Date Fixed]],"MMM")</f>
        <v>Oct</v>
      </c>
      <c r="P1222">
        <f>YEAR(Europe_Sales_Records34[[#This Row],[Ship Date Fixed]])</f>
        <v>2011</v>
      </c>
      <c r="Q1222" t="str">
        <f>TEXT(Europe_Sales_Records34[[#This Row],[Ship Date Fixed]],"MMM-YYYY")</f>
        <v>Oct-2011</v>
      </c>
      <c r="R1222" t="s">
        <v>499</v>
      </c>
      <c r="S1222" s="3">
        <f>Europe_Sales_Records34[[#This Row],[Ship Date Fixed]]-Europe_Sales_Records34[[#This Row],[Order Date Fixed]]</f>
        <v>43</v>
      </c>
      <c r="T1222">
        <v>4100</v>
      </c>
      <c r="U1222">
        <v>9.33</v>
      </c>
      <c r="V1222">
        <v>6.92</v>
      </c>
      <c r="W1222">
        <f>Europe_Sales_Records34[[#This Row],[Total Revenue]]/Europe_Sales_Records34[[#This Row],[Units Sold]]</f>
        <v>9.33</v>
      </c>
      <c r="X1222">
        <v>38253</v>
      </c>
      <c r="Y1222">
        <v>28372</v>
      </c>
      <c r="Z1222" s="4">
        <f>Europe_Sales_Records34[[#This Row],[Total Profit]]/Europe_Sales_Records34[[#This Row],[Total Revenue]]</f>
        <v>0.25830653804930331</v>
      </c>
      <c r="AA1222">
        <v>9881</v>
      </c>
    </row>
    <row r="1223" spans="1:27" x14ac:dyDescent="0.3">
      <c r="A1223" t="s">
        <v>14</v>
      </c>
      <c r="B1223" t="s">
        <v>183</v>
      </c>
      <c r="C1223" t="s">
        <v>16</v>
      </c>
      <c r="D1223" t="s">
        <v>17</v>
      </c>
      <c r="E1223" t="s">
        <v>54</v>
      </c>
      <c r="F1223" t="s">
        <v>244</v>
      </c>
      <c r="G1223" s="2">
        <f t="shared" si="38"/>
        <v>40229</v>
      </c>
      <c r="H1223">
        <f>DAY(Europe_Sales_Records34[[#This Row],[Order Date Fixed]])</f>
        <v>20</v>
      </c>
      <c r="I1223" t="str">
        <f>TEXT(Europe_Sales_Records34[[#This Row],[Order Date Fixed]],"MMM")</f>
        <v>Feb</v>
      </c>
      <c r="J1223">
        <f>YEAR(Europe_Sales_Records34[[#This Row],[Order Date Fixed]])</f>
        <v>2010</v>
      </c>
      <c r="K1223" t="str">
        <f>TEXT(Europe_Sales_Records34[[#This Row],[Order Date Fixed]],"MMM-YYYY")</f>
        <v>Feb-2010</v>
      </c>
      <c r="L1223">
        <v>795141351</v>
      </c>
      <c r="M1223" s="2">
        <f t="shared" si="39"/>
        <v>40233</v>
      </c>
      <c r="N1223">
        <f>DAY(Europe_Sales_Records34[[#This Row],[Ship Date Fixed]])</f>
        <v>24</v>
      </c>
      <c r="O1223" t="str">
        <f>TEXT(Europe_Sales_Records34[[#This Row],[Ship Date Fixed]],"MMM")</f>
        <v>Feb</v>
      </c>
      <c r="P1223">
        <f>YEAR(Europe_Sales_Records34[[#This Row],[Ship Date Fixed]])</f>
        <v>2010</v>
      </c>
      <c r="Q1223" t="str">
        <f>TEXT(Europe_Sales_Records34[[#This Row],[Ship Date Fixed]],"MMM-YYYY")</f>
        <v>Feb-2010</v>
      </c>
      <c r="R1223" t="s">
        <v>1716</v>
      </c>
      <c r="S1223" s="3">
        <f>Europe_Sales_Records34[[#This Row],[Ship Date Fixed]]-Europe_Sales_Records34[[#This Row],[Order Date Fixed]]</f>
        <v>4</v>
      </c>
      <c r="T1223">
        <v>8850</v>
      </c>
      <c r="U1223">
        <v>47.45</v>
      </c>
      <c r="V1223">
        <v>31.79</v>
      </c>
      <c r="W1223">
        <f>Europe_Sales_Records34[[#This Row],[Total Revenue]]/Europe_Sales_Records34[[#This Row],[Units Sold]]</f>
        <v>47.45</v>
      </c>
      <c r="X1223">
        <v>419932.5</v>
      </c>
      <c r="Y1223">
        <v>281341.5</v>
      </c>
      <c r="Z1223" s="4">
        <f>Europe_Sales_Records34[[#This Row],[Total Profit]]/Europe_Sales_Records34[[#This Row],[Total Revenue]]</f>
        <v>0.33003161222339306</v>
      </c>
      <c r="AA1223">
        <v>138591</v>
      </c>
    </row>
    <row r="1224" spans="1:27" x14ac:dyDescent="0.3">
      <c r="A1224" t="s">
        <v>14</v>
      </c>
      <c r="B1224" t="s">
        <v>57</v>
      </c>
      <c r="C1224" t="s">
        <v>50</v>
      </c>
      <c r="D1224" t="s">
        <v>17</v>
      </c>
      <c r="E1224" t="s">
        <v>24</v>
      </c>
      <c r="F1224" t="s">
        <v>1717</v>
      </c>
      <c r="G1224" s="2">
        <f t="shared" si="38"/>
        <v>42085</v>
      </c>
      <c r="H1224">
        <f>DAY(Europe_Sales_Records34[[#This Row],[Order Date Fixed]])</f>
        <v>22</v>
      </c>
      <c r="I1224" t="str">
        <f>TEXT(Europe_Sales_Records34[[#This Row],[Order Date Fixed]],"MMM")</f>
        <v>Mar</v>
      </c>
      <c r="J1224">
        <f>YEAR(Europe_Sales_Records34[[#This Row],[Order Date Fixed]])</f>
        <v>2015</v>
      </c>
      <c r="K1224" t="str">
        <f>TEXT(Europe_Sales_Records34[[#This Row],[Order Date Fixed]],"MMM-YYYY")</f>
        <v>Mar-2015</v>
      </c>
      <c r="L1224">
        <v>164259612</v>
      </c>
      <c r="M1224" s="2">
        <f t="shared" si="39"/>
        <v>42123</v>
      </c>
      <c r="N1224">
        <f>DAY(Europe_Sales_Records34[[#This Row],[Ship Date Fixed]])</f>
        <v>29</v>
      </c>
      <c r="O1224" t="str">
        <f>TEXT(Europe_Sales_Records34[[#This Row],[Ship Date Fixed]],"MMM")</f>
        <v>Apr</v>
      </c>
      <c r="P1224">
        <f>YEAR(Europe_Sales_Records34[[#This Row],[Ship Date Fixed]])</f>
        <v>2015</v>
      </c>
      <c r="Q1224" t="str">
        <f>TEXT(Europe_Sales_Records34[[#This Row],[Ship Date Fixed]],"MMM-YYYY")</f>
        <v>Apr-2015</v>
      </c>
      <c r="R1224" t="s">
        <v>1718</v>
      </c>
      <c r="S1224" s="3">
        <f>Europe_Sales_Records34[[#This Row],[Ship Date Fixed]]-Europe_Sales_Records34[[#This Row],[Order Date Fixed]]</f>
        <v>38</v>
      </c>
      <c r="T1224">
        <v>6924</v>
      </c>
      <c r="U1224">
        <v>421.89</v>
      </c>
      <c r="V1224">
        <v>364.69</v>
      </c>
      <c r="W1224">
        <f>Europe_Sales_Records34[[#This Row],[Total Revenue]]/Europe_Sales_Records34[[#This Row],[Units Sold]]</f>
        <v>421.89</v>
      </c>
      <c r="X1224">
        <v>2921166.36</v>
      </c>
      <c r="Y1224">
        <v>2525113.56</v>
      </c>
      <c r="Z1224" s="4">
        <f>Europe_Sales_Records34[[#This Row],[Total Profit]]/Europe_Sales_Records34[[#This Row],[Total Revenue]]</f>
        <v>0.13558036455000119</v>
      </c>
      <c r="AA1224">
        <v>396052.8</v>
      </c>
    </row>
    <row r="1225" spans="1:27" x14ac:dyDescent="0.3">
      <c r="A1225" t="s">
        <v>14</v>
      </c>
      <c r="B1225" t="s">
        <v>115</v>
      </c>
      <c r="C1225" t="s">
        <v>58</v>
      </c>
      <c r="D1225" t="s">
        <v>23</v>
      </c>
      <c r="E1225" t="s">
        <v>54</v>
      </c>
      <c r="F1225" t="s">
        <v>602</v>
      </c>
      <c r="G1225" s="2">
        <f t="shared" si="38"/>
        <v>42689</v>
      </c>
      <c r="H1225">
        <f>DAY(Europe_Sales_Records34[[#This Row],[Order Date Fixed]])</f>
        <v>15</v>
      </c>
      <c r="I1225" t="str">
        <f>TEXT(Europe_Sales_Records34[[#This Row],[Order Date Fixed]],"MMM")</f>
        <v>Nov</v>
      </c>
      <c r="J1225">
        <f>YEAR(Europe_Sales_Records34[[#This Row],[Order Date Fixed]])</f>
        <v>2016</v>
      </c>
      <c r="K1225" t="str">
        <f>TEXT(Europe_Sales_Records34[[#This Row],[Order Date Fixed]],"MMM-YYYY")</f>
        <v>Nov-2016</v>
      </c>
      <c r="L1225">
        <v>750439441</v>
      </c>
      <c r="M1225" s="2">
        <f t="shared" si="39"/>
        <v>42733</v>
      </c>
      <c r="N1225">
        <f>DAY(Europe_Sales_Records34[[#This Row],[Ship Date Fixed]])</f>
        <v>29</v>
      </c>
      <c r="O1225" t="str">
        <f>TEXT(Europe_Sales_Records34[[#This Row],[Ship Date Fixed]],"MMM")</f>
        <v>Dec</v>
      </c>
      <c r="P1225">
        <f>YEAR(Europe_Sales_Records34[[#This Row],[Ship Date Fixed]])</f>
        <v>2016</v>
      </c>
      <c r="Q1225" t="str">
        <f>TEXT(Europe_Sales_Records34[[#This Row],[Ship Date Fixed]],"MMM-YYYY")</f>
        <v>Dec-2016</v>
      </c>
      <c r="R1225" t="s">
        <v>1719</v>
      </c>
      <c r="S1225" s="3">
        <f>Europe_Sales_Records34[[#This Row],[Ship Date Fixed]]-Europe_Sales_Records34[[#This Row],[Order Date Fixed]]</f>
        <v>44</v>
      </c>
      <c r="T1225">
        <v>562</v>
      </c>
      <c r="U1225">
        <v>152.58000000000001</v>
      </c>
      <c r="V1225">
        <v>97.44</v>
      </c>
      <c r="W1225">
        <f>Europe_Sales_Records34[[#This Row],[Total Revenue]]/Europe_Sales_Records34[[#This Row],[Units Sold]]</f>
        <v>152.58000000000001</v>
      </c>
      <c r="X1225">
        <v>85749.96</v>
      </c>
      <c r="Y1225">
        <v>54761.279999999999</v>
      </c>
      <c r="Z1225" s="4">
        <f>Europe_Sales_Records34[[#This Row],[Total Profit]]/Europe_Sales_Records34[[#This Row],[Total Revenue]]</f>
        <v>0.36138419189933146</v>
      </c>
      <c r="AA1225">
        <v>30988.68</v>
      </c>
    </row>
    <row r="1226" spans="1:27" x14ac:dyDescent="0.3">
      <c r="A1226" t="s">
        <v>14</v>
      </c>
      <c r="B1226" t="s">
        <v>122</v>
      </c>
      <c r="C1226" t="s">
        <v>37</v>
      </c>
      <c r="D1226" t="s">
        <v>17</v>
      </c>
      <c r="E1226" t="s">
        <v>18</v>
      </c>
      <c r="F1226" t="s">
        <v>704</v>
      </c>
      <c r="G1226" s="2">
        <f t="shared" si="38"/>
        <v>41972</v>
      </c>
      <c r="H1226">
        <f>DAY(Europe_Sales_Records34[[#This Row],[Order Date Fixed]])</f>
        <v>29</v>
      </c>
      <c r="I1226" t="str">
        <f>TEXT(Europe_Sales_Records34[[#This Row],[Order Date Fixed]],"MMM")</f>
        <v>Nov</v>
      </c>
      <c r="J1226">
        <f>YEAR(Europe_Sales_Records34[[#This Row],[Order Date Fixed]])</f>
        <v>2014</v>
      </c>
      <c r="K1226" t="str">
        <f>TEXT(Europe_Sales_Records34[[#This Row],[Order Date Fixed]],"MMM-YYYY")</f>
        <v>Nov-2014</v>
      </c>
      <c r="L1226">
        <v>362258565</v>
      </c>
      <c r="M1226" s="2">
        <f t="shared" si="39"/>
        <v>41987</v>
      </c>
      <c r="N1226">
        <f>DAY(Europe_Sales_Records34[[#This Row],[Ship Date Fixed]])</f>
        <v>14</v>
      </c>
      <c r="O1226" t="str">
        <f>TEXT(Europe_Sales_Records34[[#This Row],[Ship Date Fixed]],"MMM")</f>
        <v>Dec</v>
      </c>
      <c r="P1226">
        <f>YEAR(Europe_Sales_Records34[[#This Row],[Ship Date Fixed]])</f>
        <v>2014</v>
      </c>
      <c r="Q1226" t="str">
        <f>TEXT(Europe_Sales_Records34[[#This Row],[Ship Date Fixed]],"MMM-YYYY")</f>
        <v>Dec-2014</v>
      </c>
      <c r="R1226" t="s">
        <v>1720</v>
      </c>
      <c r="S1226" s="3">
        <f>Europe_Sales_Records34[[#This Row],[Ship Date Fixed]]-Europe_Sales_Records34[[#This Row],[Order Date Fixed]]</f>
        <v>15</v>
      </c>
      <c r="T1226">
        <v>9214</v>
      </c>
      <c r="U1226">
        <v>9.33</v>
      </c>
      <c r="V1226">
        <v>6.92</v>
      </c>
      <c r="W1226">
        <f>Europe_Sales_Records34[[#This Row],[Total Revenue]]/Europe_Sales_Records34[[#This Row],[Units Sold]]</f>
        <v>9.33</v>
      </c>
      <c r="X1226">
        <v>85966.62</v>
      </c>
      <c r="Y1226">
        <v>63760.88</v>
      </c>
      <c r="Z1226" s="4">
        <f>Europe_Sales_Records34[[#This Row],[Total Profit]]/Europe_Sales_Records34[[#This Row],[Total Revenue]]</f>
        <v>0.25830653804930337</v>
      </c>
      <c r="AA1226">
        <v>22205.74</v>
      </c>
    </row>
    <row r="1227" spans="1:27" x14ac:dyDescent="0.3">
      <c r="A1227" t="s">
        <v>14</v>
      </c>
      <c r="B1227" t="s">
        <v>243</v>
      </c>
      <c r="C1227" t="s">
        <v>28</v>
      </c>
      <c r="D1227" t="s">
        <v>23</v>
      </c>
      <c r="E1227" t="s">
        <v>54</v>
      </c>
      <c r="F1227" t="s">
        <v>1013</v>
      </c>
      <c r="G1227" s="2">
        <f t="shared" si="38"/>
        <v>42018</v>
      </c>
      <c r="H1227">
        <f>DAY(Europe_Sales_Records34[[#This Row],[Order Date Fixed]])</f>
        <v>14</v>
      </c>
      <c r="I1227" t="str">
        <f>TEXT(Europe_Sales_Records34[[#This Row],[Order Date Fixed]],"MMM")</f>
        <v>Jan</v>
      </c>
      <c r="J1227">
        <f>YEAR(Europe_Sales_Records34[[#This Row],[Order Date Fixed]])</f>
        <v>2015</v>
      </c>
      <c r="K1227" t="str">
        <f>TEXT(Europe_Sales_Records34[[#This Row],[Order Date Fixed]],"MMM-YYYY")</f>
        <v>Jan-2015</v>
      </c>
      <c r="L1227">
        <v>209357202</v>
      </c>
      <c r="M1227" s="2">
        <f t="shared" si="39"/>
        <v>42026</v>
      </c>
      <c r="N1227">
        <f>DAY(Europe_Sales_Records34[[#This Row],[Ship Date Fixed]])</f>
        <v>22</v>
      </c>
      <c r="O1227" t="str">
        <f>TEXT(Europe_Sales_Records34[[#This Row],[Ship Date Fixed]],"MMM")</f>
        <v>Jan</v>
      </c>
      <c r="P1227">
        <f>YEAR(Europe_Sales_Records34[[#This Row],[Ship Date Fixed]])</f>
        <v>2015</v>
      </c>
      <c r="Q1227" t="str">
        <f>TEXT(Europe_Sales_Records34[[#This Row],[Ship Date Fixed]],"MMM-YYYY")</f>
        <v>Jan-2015</v>
      </c>
      <c r="R1227" t="s">
        <v>875</v>
      </c>
      <c r="S1227" s="3">
        <f>Europe_Sales_Records34[[#This Row],[Ship Date Fixed]]-Europe_Sales_Records34[[#This Row],[Order Date Fixed]]</f>
        <v>8</v>
      </c>
      <c r="T1227">
        <v>2303</v>
      </c>
      <c r="U1227">
        <v>205.7</v>
      </c>
      <c r="V1227">
        <v>117.11</v>
      </c>
      <c r="W1227">
        <f>Europe_Sales_Records34[[#This Row],[Total Revenue]]/Europe_Sales_Records34[[#This Row],[Units Sold]]</f>
        <v>205.7</v>
      </c>
      <c r="X1227">
        <v>473727.1</v>
      </c>
      <c r="Y1227">
        <v>269704.33</v>
      </c>
      <c r="Z1227" s="4">
        <f>Europe_Sales_Records34[[#This Row],[Total Profit]]/Europe_Sales_Records34[[#This Row],[Total Revenue]]</f>
        <v>0.43067574137092851</v>
      </c>
      <c r="AA1227">
        <v>204022.77</v>
      </c>
    </row>
    <row r="1228" spans="1:27" x14ac:dyDescent="0.3">
      <c r="A1228" t="s">
        <v>14</v>
      </c>
      <c r="B1228" t="s">
        <v>86</v>
      </c>
      <c r="C1228" t="s">
        <v>75</v>
      </c>
      <c r="D1228" t="s">
        <v>17</v>
      </c>
      <c r="E1228" t="s">
        <v>33</v>
      </c>
      <c r="F1228" t="s">
        <v>282</v>
      </c>
      <c r="G1228" s="2">
        <f t="shared" si="38"/>
        <v>41718</v>
      </c>
      <c r="H1228">
        <f>DAY(Europe_Sales_Records34[[#This Row],[Order Date Fixed]])</f>
        <v>20</v>
      </c>
      <c r="I1228" t="str">
        <f>TEXT(Europe_Sales_Records34[[#This Row],[Order Date Fixed]],"MMM")</f>
        <v>Mar</v>
      </c>
      <c r="J1228">
        <f>YEAR(Europe_Sales_Records34[[#This Row],[Order Date Fixed]])</f>
        <v>2014</v>
      </c>
      <c r="K1228" t="str">
        <f>TEXT(Europe_Sales_Records34[[#This Row],[Order Date Fixed]],"MMM-YYYY")</f>
        <v>Mar-2014</v>
      </c>
      <c r="L1228">
        <v>450041043</v>
      </c>
      <c r="M1228" s="2">
        <f t="shared" si="39"/>
        <v>41745</v>
      </c>
      <c r="N1228">
        <f>DAY(Europe_Sales_Records34[[#This Row],[Ship Date Fixed]])</f>
        <v>16</v>
      </c>
      <c r="O1228" t="str">
        <f>TEXT(Europe_Sales_Records34[[#This Row],[Ship Date Fixed]],"MMM")</f>
        <v>Apr</v>
      </c>
      <c r="P1228">
        <f>YEAR(Europe_Sales_Records34[[#This Row],[Ship Date Fixed]])</f>
        <v>2014</v>
      </c>
      <c r="Q1228" t="str">
        <f>TEXT(Europe_Sales_Records34[[#This Row],[Ship Date Fixed]],"MMM-YYYY")</f>
        <v>Apr-2014</v>
      </c>
      <c r="R1228" t="s">
        <v>1721</v>
      </c>
      <c r="S1228" s="3">
        <f>Europe_Sales_Records34[[#This Row],[Ship Date Fixed]]-Europe_Sales_Records34[[#This Row],[Order Date Fixed]]</f>
        <v>27</v>
      </c>
      <c r="T1228">
        <v>6000</v>
      </c>
      <c r="U1228">
        <v>437.2</v>
      </c>
      <c r="V1228">
        <v>263.33</v>
      </c>
      <c r="W1228">
        <f>Europe_Sales_Records34[[#This Row],[Total Revenue]]/Europe_Sales_Records34[[#This Row],[Units Sold]]</f>
        <v>437.2</v>
      </c>
      <c r="X1228">
        <v>2623200</v>
      </c>
      <c r="Y1228">
        <v>1579980</v>
      </c>
      <c r="Z1228" s="4">
        <f>Europe_Sales_Records34[[#This Row],[Total Profit]]/Europe_Sales_Records34[[#This Row],[Total Revenue]]</f>
        <v>0.39768984446477584</v>
      </c>
      <c r="AA1228">
        <v>1043220</v>
      </c>
    </row>
    <row r="1229" spans="1:27" x14ac:dyDescent="0.3">
      <c r="A1229" t="s">
        <v>14</v>
      </c>
      <c r="B1229" t="s">
        <v>243</v>
      </c>
      <c r="C1229" t="s">
        <v>32</v>
      </c>
      <c r="D1229" t="s">
        <v>23</v>
      </c>
      <c r="E1229" t="s">
        <v>54</v>
      </c>
      <c r="F1229" t="s">
        <v>1722</v>
      </c>
      <c r="G1229" s="2">
        <f t="shared" si="38"/>
        <v>42078</v>
      </c>
      <c r="H1229">
        <f>DAY(Europe_Sales_Records34[[#This Row],[Order Date Fixed]])</f>
        <v>15</v>
      </c>
      <c r="I1229" t="str">
        <f>TEXT(Europe_Sales_Records34[[#This Row],[Order Date Fixed]],"MMM")</f>
        <v>Mar</v>
      </c>
      <c r="J1229">
        <f>YEAR(Europe_Sales_Records34[[#This Row],[Order Date Fixed]])</f>
        <v>2015</v>
      </c>
      <c r="K1229" t="str">
        <f>TEXT(Europe_Sales_Records34[[#This Row],[Order Date Fixed]],"MMM-YYYY")</f>
        <v>Mar-2015</v>
      </c>
      <c r="L1229">
        <v>103450715</v>
      </c>
      <c r="M1229" s="2">
        <f t="shared" si="39"/>
        <v>42112</v>
      </c>
      <c r="N1229">
        <f>DAY(Europe_Sales_Records34[[#This Row],[Ship Date Fixed]])</f>
        <v>18</v>
      </c>
      <c r="O1229" t="str">
        <f>TEXT(Europe_Sales_Records34[[#This Row],[Ship Date Fixed]],"MMM")</f>
        <v>Apr</v>
      </c>
      <c r="P1229">
        <f>YEAR(Europe_Sales_Records34[[#This Row],[Ship Date Fixed]])</f>
        <v>2015</v>
      </c>
      <c r="Q1229" t="str">
        <f>TEXT(Europe_Sales_Records34[[#This Row],[Ship Date Fixed]],"MMM-YYYY")</f>
        <v>Apr-2015</v>
      </c>
      <c r="R1229" t="s">
        <v>1321</v>
      </c>
      <c r="S1229" s="3">
        <f>Europe_Sales_Records34[[#This Row],[Ship Date Fixed]]-Europe_Sales_Records34[[#This Row],[Order Date Fixed]]</f>
        <v>34</v>
      </c>
      <c r="T1229">
        <v>2220</v>
      </c>
      <c r="U1229">
        <v>651.21</v>
      </c>
      <c r="V1229">
        <v>524.96</v>
      </c>
      <c r="W1229">
        <f>Europe_Sales_Records34[[#This Row],[Total Revenue]]/Europe_Sales_Records34[[#This Row],[Units Sold]]</f>
        <v>651.20999999999992</v>
      </c>
      <c r="X1229">
        <v>1445686.2</v>
      </c>
      <c r="Y1229">
        <v>1165411.2</v>
      </c>
      <c r="Z1229" s="4">
        <f>Europe_Sales_Records34[[#This Row],[Total Profit]]/Europe_Sales_Records34[[#This Row],[Total Revenue]]</f>
        <v>0.19386987300563566</v>
      </c>
      <c r="AA1229">
        <v>280275</v>
      </c>
    </row>
    <row r="1230" spans="1:27" x14ac:dyDescent="0.3">
      <c r="A1230" t="s">
        <v>14</v>
      </c>
      <c r="B1230" t="s">
        <v>45</v>
      </c>
      <c r="C1230" t="s">
        <v>37</v>
      </c>
      <c r="D1230" t="s">
        <v>23</v>
      </c>
      <c r="E1230" t="s">
        <v>24</v>
      </c>
      <c r="F1230" t="s">
        <v>1723</v>
      </c>
      <c r="G1230" s="2">
        <f t="shared" si="38"/>
        <v>42638</v>
      </c>
      <c r="H1230">
        <f>DAY(Europe_Sales_Records34[[#This Row],[Order Date Fixed]])</f>
        <v>25</v>
      </c>
      <c r="I1230" t="str">
        <f>TEXT(Europe_Sales_Records34[[#This Row],[Order Date Fixed]],"MMM")</f>
        <v>Sep</v>
      </c>
      <c r="J1230">
        <f>YEAR(Europe_Sales_Records34[[#This Row],[Order Date Fixed]])</f>
        <v>2016</v>
      </c>
      <c r="K1230" t="str">
        <f>TEXT(Europe_Sales_Records34[[#This Row],[Order Date Fixed]],"MMM-YYYY")</f>
        <v>Sep-2016</v>
      </c>
      <c r="L1230">
        <v>384601581</v>
      </c>
      <c r="M1230" s="2">
        <f t="shared" si="39"/>
        <v>42662</v>
      </c>
      <c r="N1230">
        <f>DAY(Europe_Sales_Records34[[#This Row],[Ship Date Fixed]])</f>
        <v>19</v>
      </c>
      <c r="O1230" t="str">
        <f>TEXT(Europe_Sales_Records34[[#This Row],[Ship Date Fixed]],"MMM")</f>
        <v>Oct</v>
      </c>
      <c r="P1230">
        <f>YEAR(Europe_Sales_Records34[[#This Row],[Ship Date Fixed]])</f>
        <v>2016</v>
      </c>
      <c r="Q1230" t="str">
        <f>TEXT(Europe_Sales_Records34[[#This Row],[Ship Date Fixed]],"MMM-YYYY")</f>
        <v>Oct-2016</v>
      </c>
      <c r="R1230" t="s">
        <v>1724</v>
      </c>
      <c r="S1230" s="3">
        <f>Europe_Sales_Records34[[#This Row],[Ship Date Fixed]]-Europe_Sales_Records34[[#This Row],[Order Date Fixed]]</f>
        <v>24</v>
      </c>
      <c r="T1230">
        <v>1009</v>
      </c>
      <c r="U1230">
        <v>9.33</v>
      </c>
      <c r="V1230">
        <v>6.92</v>
      </c>
      <c r="W1230">
        <f>Europe_Sales_Records34[[#This Row],[Total Revenue]]/Europe_Sales_Records34[[#This Row],[Units Sold]]</f>
        <v>9.33</v>
      </c>
      <c r="X1230">
        <v>9413.9699999999993</v>
      </c>
      <c r="Y1230">
        <v>6982.28</v>
      </c>
      <c r="Z1230" s="4">
        <f>Europe_Sales_Records34[[#This Row],[Total Profit]]/Europe_Sales_Records34[[#This Row],[Total Revenue]]</f>
        <v>0.25830653804930337</v>
      </c>
      <c r="AA1230">
        <v>2431.69</v>
      </c>
    </row>
    <row r="1231" spans="1:27" x14ac:dyDescent="0.3">
      <c r="A1231" t="s">
        <v>14</v>
      </c>
      <c r="B1231" t="s">
        <v>127</v>
      </c>
      <c r="C1231" t="s">
        <v>46</v>
      </c>
      <c r="D1231" t="s">
        <v>23</v>
      </c>
      <c r="E1231" t="s">
        <v>33</v>
      </c>
      <c r="F1231" t="s">
        <v>1725</v>
      </c>
      <c r="G1231" s="2">
        <f t="shared" si="38"/>
        <v>42241</v>
      </c>
      <c r="H1231">
        <f>DAY(Europe_Sales_Records34[[#This Row],[Order Date Fixed]])</f>
        <v>25</v>
      </c>
      <c r="I1231" t="str">
        <f>TEXT(Europe_Sales_Records34[[#This Row],[Order Date Fixed]],"MMM")</f>
        <v>Aug</v>
      </c>
      <c r="J1231">
        <f>YEAR(Europe_Sales_Records34[[#This Row],[Order Date Fixed]])</f>
        <v>2015</v>
      </c>
      <c r="K1231" t="str">
        <f>TEXT(Europe_Sales_Records34[[#This Row],[Order Date Fixed]],"MMM-YYYY")</f>
        <v>Aug-2015</v>
      </c>
      <c r="L1231">
        <v>186079490</v>
      </c>
      <c r="M1231" s="2">
        <f t="shared" si="39"/>
        <v>42245</v>
      </c>
      <c r="N1231">
        <f>DAY(Europe_Sales_Records34[[#This Row],[Ship Date Fixed]])</f>
        <v>29</v>
      </c>
      <c r="O1231" t="str">
        <f>TEXT(Europe_Sales_Records34[[#This Row],[Ship Date Fixed]],"MMM")</f>
        <v>Aug</v>
      </c>
      <c r="P1231">
        <f>YEAR(Europe_Sales_Records34[[#This Row],[Ship Date Fixed]])</f>
        <v>2015</v>
      </c>
      <c r="Q1231" t="str">
        <f>TEXT(Europe_Sales_Records34[[#This Row],[Ship Date Fixed]],"MMM-YYYY")</f>
        <v>Aug-2015</v>
      </c>
      <c r="R1231" t="s">
        <v>1199</v>
      </c>
      <c r="S1231" s="3">
        <f>Europe_Sales_Records34[[#This Row],[Ship Date Fixed]]-Europe_Sales_Records34[[#This Row],[Order Date Fixed]]</f>
        <v>4</v>
      </c>
      <c r="T1231">
        <v>3911</v>
      </c>
      <c r="U1231">
        <v>154.06</v>
      </c>
      <c r="V1231">
        <v>90.93</v>
      </c>
      <c r="W1231">
        <f>Europe_Sales_Records34[[#This Row],[Total Revenue]]/Europe_Sales_Records34[[#This Row],[Units Sold]]</f>
        <v>154.06</v>
      </c>
      <c r="X1231">
        <v>602528.66</v>
      </c>
      <c r="Y1231">
        <v>355627.23</v>
      </c>
      <c r="Z1231" s="4">
        <f>Europe_Sales_Records34[[#This Row],[Total Profit]]/Europe_Sales_Records34[[#This Row],[Total Revenue]]</f>
        <v>0.40977541217707386</v>
      </c>
      <c r="AA1231">
        <v>246901.43</v>
      </c>
    </row>
    <row r="1232" spans="1:27" x14ac:dyDescent="0.3">
      <c r="A1232" t="s">
        <v>14</v>
      </c>
      <c r="B1232" t="s">
        <v>31</v>
      </c>
      <c r="C1232" t="s">
        <v>32</v>
      </c>
      <c r="D1232" t="s">
        <v>23</v>
      </c>
      <c r="E1232" t="s">
        <v>24</v>
      </c>
      <c r="F1232" t="s">
        <v>861</v>
      </c>
      <c r="G1232" s="2">
        <f t="shared" si="38"/>
        <v>41051</v>
      </c>
      <c r="H1232">
        <f>DAY(Europe_Sales_Records34[[#This Row],[Order Date Fixed]])</f>
        <v>22</v>
      </c>
      <c r="I1232" t="str">
        <f>TEXT(Europe_Sales_Records34[[#This Row],[Order Date Fixed]],"MMM")</f>
        <v>May</v>
      </c>
      <c r="J1232">
        <f>YEAR(Europe_Sales_Records34[[#This Row],[Order Date Fixed]])</f>
        <v>2012</v>
      </c>
      <c r="K1232" t="str">
        <f>TEXT(Europe_Sales_Records34[[#This Row],[Order Date Fixed]],"MMM-YYYY")</f>
        <v>May-2012</v>
      </c>
      <c r="L1232">
        <v>513026177</v>
      </c>
      <c r="M1232" s="2">
        <f t="shared" si="39"/>
        <v>41065</v>
      </c>
      <c r="N1232">
        <f>DAY(Europe_Sales_Records34[[#This Row],[Ship Date Fixed]])</f>
        <v>5</v>
      </c>
      <c r="O1232" t="str">
        <f>TEXT(Europe_Sales_Records34[[#This Row],[Ship Date Fixed]],"MMM")</f>
        <v>Jun</v>
      </c>
      <c r="P1232">
        <f>YEAR(Europe_Sales_Records34[[#This Row],[Ship Date Fixed]])</f>
        <v>2012</v>
      </c>
      <c r="Q1232" t="str">
        <f>TEXT(Europe_Sales_Records34[[#This Row],[Ship Date Fixed]],"MMM-YYYY")</f>
        <v>Jun-2012</v>
      </c>
      <c r="R1232" t="s">
        <v>1696</v>
      </c>
      <c r="S1232" s="3">
        <f>Europe_Sales_Records34[[#This Row],[Ship Date Fixed]]-Europe_Sales_Records34[[#This Row],[Order Date Fixed]]</f>
        <v>14</v>
      </c>
      <c r="T1232">
        <v>4701</v>
      </c>
      <c r="U1232">
        <v>651.21</v>
      </c>
      <c r="V1232">
        <v>524.96</v>
      </c>
      <c r="W1232">
        <f>Europe_Sales_Records34[[#This Row],[Total Revenue]]/Europe_Sales_Records34[[#This Row],[Units Sold]]</f>
        <v>651.21</v>
      </c>
      <c r="X1232">
        <v>3061338.21</v>
      </c>
      <c r="Y1232">
        <v>2467836.96</v>
      </c>
      <c r="Z1232" s="4">
        <f>Europe_Sales_Records34[[#This Row],[Total Profit]]/Europe_Sales_Records34[[#This Row],[Total Revenue]]</f>
        <v>0.19386987300563566</v>
      </c>
      <c r="AA1232">
        <v>593501.25</v>
      </c>
    </row>
    <row r="1233" spans="1:27" x14ac:dyDescent="0.3">
      <c r="A1233" t="s">
        <v>14</v>
      </c>
      <c r="B1233" t="s">
        <v>100</v>
      </c>
      <c r="C1233" t="s">
        <v>64</v>
      </c>
      <c r="D1233" t="s">
        <v>17</v>
      </c>
      <c r="E1233" t="s">
        <v>33</v>
      </c>
      <c r="F1233" t="s">
        <v>618</v>
      </c>
      <c r="G1233" s="2">
        <f t="shared" si="38"/>
        <v>40253</v>
      </c>
      <c r="H1233">
        <f>DAY(Europe_Sales_Records34[[#This Row],[Order Date Fixed]])</f>
        <v>16</v>
      </c>
      <c r="I1233" t="str">
        <f>TEXT(Europe_Sales_Records34[[#This Row],[Order Date Fixed]],"MMM")</f>
        <v>Mar</v>
      </c>
      <c r="J1233">
        <f>YEAR(Europe_Sales_Records34[[#This Row],[Order Date Fixed]])</f>
        <v>2010</v>
      </c>
      <c r="K1233" t="str">
        <f>TEXT(Europe_Sales_Records34[[#This Row],[Order Date Fixed]],"MMM-YYYY")</f>
        <v>Mar-2010</v>
      </c>
      <c r="L1233">
        <v>222720611</v>
      </c>
      <c r="M1233" s="2">
        <f t="shared" si="39"/>
        <v>40269</v>
      </c>
      <c r="N1233">
        <f>DAY(Europe_Sales_Records34[[#This Row],[Ship Date Fixed]])</f>
        <v>1</v>
      </c>
      <c r="O1233" t="str">
        <f>TEXT(Europe_Sales_Records34[[#This Row],[Ship Date Fixed]],"MMM")</f>
        <v>Apr</v>
      </c>
      <c r="P1233">
        <f>YEAR(Europe_Sales_Records34[[#This Row],[Ship Date Fixed]])</f>
        <v>2010</v>
      </c>
      <c r="Q1233" t="str">
        <f>TEXT(Europe_Sales_Records34[[#This Row],[Ship Date Fixed]],"MMM-YYYY")</f>
        <v>Apr-2010</v>
      </c>
      <c r="R1233" t="s">
        <v>48</v>
      </c>
      <c r="S1233" s="3">
        <f>Europe_Sales_Records34[[#This Row],[Ship Date Fixed]]-Europe_Sales_Records34[[#This Row],[Order Date Fixed]]</f>
        <v>16</v>
      </c>
      <c r="T1233">
        <v>6833</v>
      </c>
      <c r="U1233">
        <v>255.28</v>
      </c>
      <c r="V1233">
        <v>159.41999999999999</v>
      </c>
      <c r="W1233">
        <f>Europe_Sales_Records34[[#This Row],[Total Revenue]]/Europe_Sales_Records34[[#This Row],[Units Sold]]</f>
        <v>255.28</v>
      </c>
      <c r="X1233">
        <v>1744328.24</v>
      </c>
      <c r="Y1233">
        <v>1089316.8600000001</v>
      </c>
      <c r="Z1233" s="4">
        <f>Europe_Sales_Records34[[#This Row],[Total Profit]]/Europe_Sales_Records34[[#This Row],[Total Revenue]]</f>
        <v>0.37550924475086178</v>
      </c>
      <c r="AA1233">
        <v>655011.38</v>
      </c>
    </row>
    <row r="1234" spans="1:27" x14ac:dyDescent="0.3">
      <c r="A1234" t="s">
        <v>14</v>
      </c>
      <c r="B1234" t="s">
        <v>21</v>
      </c>
      <c r="C1234" t="s">
        <v>71</v>
      </c>
      <c r="D1234" t="s">
        <v>17</v>
      </c>
      <c r="E1234" t="s">
        <v>24</v>
      </c>
      <c r="F1234" t="s">
        <v>336</v>
      </c>
      <c r="G1234" s="2">
        <f t="shared" si="38"/>
        <v>40969</v>
      </c>
      <c r="H1234">
        <f>DAY(Europe_Sales_Records34[[#This Row],[Order Date Fixed]])</f>
        <v>1</v>
      </c>
      <c r="I1234" t="str">
        <f>TEXT(Europe_Sales_Records34[[#This Row],[Order Date Fixed]],"MMM")</f>
        <v>Mar</v>
      </c>
      <c r="J1234">
        <f>YEAR(Europe_Sales_Records34[[#This Row],[Order Date Fixed]])</f>
        <v>2012</v>
      </c>
      <c r="K1234" t="str">
        <f>TEXT(Europe_Sales_Records34[[#This Row],[Order Date Fixed]],"MMM-YYYY")</f>
        <v>Mar-2012</v>
      </c>
      <c r="L1234">
        <v>891681563</v>
      </c>
      <c r="M1234" s="2">
        <f t="shared" si="39"/>
        <v>40995</v>
      </c>
      <c r="N1234">
        <f>DAY(Europe_Sales_Records34[[#This Row],[Ship Date Fixed]])</f>
        <v>27</v>
      </c>
      <c r="O1234" t="str">
        <f>TEXT(Europe_Sales_Records34[[#This Row],[Ship Date Fixed]],"MMM")</f>
        <v>Mar</v>
      </c>
      <c r="P1234">
        <f>YEAR(Europe_Sales_Records34[[#This Row],[Ship Date Fixed]])</f>
        <v>2012</v>
      </c>
      <c r="Q1234" t="str">
        <f>TEXT(Europe_Sales_Records34[[#This Row],[Ship Date Fixed]],"MMM-YYYY")</f>
        <v>Mar-2012</v>
      </c>
      <c r="R1234" t="s">
        <v>369</v>
      </c>
      <c r="S1234" s="3">
        <f>Europe_Sales_Records34[[#This Row],[Ship Date Fixed]]-Europe_Sales_Records34[[#This Row],[Order Date Fixed]]</f>
        <v>26</v>
      </c>
      <c r="T1234">
        <v>7245</v>
      </c>
      <c r="U1234">
        <v>668.27</v>
      </c>
      <c r="V1234">
        <v>502.54</v>
      </c>
      <c r="W1234">
        <f>Europe_Sales_Records34[[#This Row],[Total Revenue]]/Europe_Sales_Records34[[#This Row],[Units Sold]]</f>
        <v>668.2700000000001</v>
      </c>
      <c r="X1234">
        <v>4841616.1500000004</v>
      </c>
      <c r="Y1234">
        <v>3640902.3</v>
      </c>
      <c r="Z1234" s="4">
        <f>Europe_Sales_Records34[[#This Row],[Total Profit]]/Europe_Sales_Records34[[#This Row],[Total Revenue]]</f>
        <v>0.24799856345489099</v>
      </c>
      <c r="AA1234">
        <v>1200713.8500000001</v>
      </c>
    </row>
    <row r="1235" spans="1:27" x14ac:dyDescent="0.3">
      <c r="A1235" t="s">
        <v>14</v>
      </c>
      <c r="B1235" t="s">
        <v>132</v>
      </c>
      <c r="C1235" t="s">
        <v>16</v>
      </c>
      <c r="D1235" t="s">
        <v>17</v>
      </c>
      <c r="E1235" t="s">
        <v>24</v>
      </c>
      <c r="F1235" t="s">
        <v>174</v>
      </c>
      <c r="G1235" s="2">
        <f t="shared" si="38"/>
        <v>41068</v>
      </c>
      <c r="H1235">
        <f>DAY(Europe_Sales_Records34[[#This Row],[Order Date Fixed]])</f>
        <v>8</v>
      </c>
      <c r="I1235" t="str">
        <f>TEXT(Europe_Sales_Records34[[#This Row],[Order Date Fixed]],"MMM")</f>
        <v>Jun</v>
      </c>
      <c r="J1235">
        <f>YEAR(Europe_Sales_Records34[[#This Row],[Order Date Fixed]])</f>
        <v>2012</v>
      </c>
      <c r="K1235" t="str">
        <f>TEXT(Europe_Sales_Records34[[#This Row],[Order Date Fixed]],"MMM-YYYY")</f>
        <v>Jun-2012</v>
      </c>
      <c r="L1235">
        <v>129169023</v>
      </c>
      <c r="M1235" s="2">
        <f t="shared" si="39"/>
        <v>41108</v>
      </c>
      <c r="N1235">
        <f>DAY(Europe_Sales_Records34[[#This Row],[Ship Date Fixed]])</f>
        <v>18</v>
      </c>
      <c r="O1235" t="str">
        <f>TEXT(Europe_Sales_Records34[[#This Row],[Ship Date Fixed]],"MMM")</f>
        <v>Jul</v>
      </c>
      <c r="P1235">
        <f>YEAR(Europe_Sales_Records34[[#This Row],[Ship Date Fixed]])</f>
        <v>2012</v>
      </c>
      <c r="Q1235" t="str">
        <f>TEXT(Europe_Sales_Records34[[#This Row],[Ship Date Fixed]],"MMM-YYYY")</f>
        <v>Jul-2012</v>
      </c>
      <c r="R1235" t="s">
        <v>1298</v>
      </c>
      <c r="S1235" s="3">
        <f>Europe_Sales_Records34[[#This Row],[Ship Date Fixed]]-Europe_Sales_Records34[[#This Row],[Order Date Fixed]]</f>
        <v>40</v>
      </c>
      <c r="T1235">
        <v>2839</v>
      </c>
      <c r="U1235">
        <v>47.45</v>
      </c>
      <c r="V1235">
        <v>31.79</v>
      </c>
      <c r="W1235">
        <f>Europe_Sales_Records34[[#This Row],[Total Revenue]]/Europe_Sales_Records34[[#This Row],[Units Sold]]</f>
        <v>47.449999999999996</v>
      </c>
      <c r="X1235">
        <v>134710.54999999999</v>
      </c>
      <c r="Y1235">
        <v>90251.81</v>
      </c>
      <c r="Z1235" s="4">
        <f>Europe_Sales_Records34[[#This Row],[Total Profit]]/Europe_Sales_Records34[[#This Row],[Total Revenue]]</f>
        <v>0.33003161222339306</v>
      </c>
      <c r="AA1235">
        <v>44458.74</v>
      </c>
    </row>
    <row r="1236" spans="1:27" x14ac:dyDescent="0.3">
      <c r="A1236" t="s">
        <v>14</v>
      </c>
      <c r="B1236" t="s">
        <v>163</v>
      </c>
      <c r="C1236" t="s">
        <v>28</v>
      </c>
      <c r="D1236" t="s">
        <v>23</v>
      </c>
      <c r="E1236" t="s">
        <v>18</v>
      </c>
      <c r="F1236" t="s">
        <v>285</v>
      </c>
      <c r="G1236" s="2">
        <f t="shared" si="38"/>
        <v>41171</v>
      </c>
      <c r="H1236">
        <f>DAY(Europe_Sales_Records34[[#This Row],[Order Date Fixed]])</f>
        <v>19</v>
      </c>
      <c r="I1236" t="str">
        <f>TEXT(Europe_Sales_Records34[[#This Row],[Order Date Fixed]],"MMM")</f>
        <v>Sep</v>
      </c>
      <c r="J1236">
        <f>YEAR(Europe_Sales_Records34[[#This Row],[Order Date Fixed]])</f>
        <v>2012</v>
      </c>
      <c r="K1236" t="str">
        <f>TEXT(Europe_Sales_Records34[[#This Row],[Order Date Fixed]],"MMM-YYYY")</f>
        <v>Sep-2012</v>
      </c>
      <c r="L1236">
        <v>764811360</v>
      </c>
      <c r="M1236" s="2">
        <f t="shared" si="39"/>
        <v>41182</v>
      </c>
      <c r="N1236">
        <f>DAY(Europe_Sales_Records34[[#This Row],[Ship Date Fixed]])</f>
        <v>30</v>
      </c>
      <c r="O1236" t="str">
        <f>TEXT(Europe_Sales_Records34[[#This Row],[Ship Date Fixed]],"MMM")</f>
        <v>Sep</v>
      </c>
      <c r="P1236">
        <f>YEAR(Europe_Sales_Records34[[#This Row],[Ship Date Fixed]])</f>
        <v>2012</v>
      </c>
      <c r="Q1236" t="str">
        <f>TEXT(Europe_Sales_Records34[[#This Row],[Ship Date Fixed]],"MMM-YYYY")</f>
        <v>Sep-2012</v>
      </c>
      <c r="R1236" t="s">
        <v>1292</v>
      </c>
      <c r="S1236" s="3">
        <f>Europe_Sales_Records34[[#This Row],[Ship Date Fixed]]-Europe_Sales_Records34[[#This Row],[Order Date Fixed]]</f>
        <v>11</v>
      </c>
      <c r="T1236">
        <v>3532</v>
      </c>
      <c r="U1236">
        <v>205.7</v>
      </c>
      <c r="V1236">
        <v>117.11</v>
      </c>
      <c r="W1236">
        <f>Europe_Sales_Records34[[#This Row],[Total Revenue]]/Europe_Sales_Records34[[#This Row],[Units Sold]]</f>
        <v>205.70000000000002</v>
      </c>
      <c r="X1236">
        <v>726532.4</v>
      </c>
      <c r="Y1236">
        <v>413632.52</v>
      </c>
      <c r="Z1236" s="4">
        <f>Europe_Sales_Records34[[#This Row],[Total Profit]]/Europe_Sales_Records34[[#This Row],[Total Revenue]]</f>
        <v>0.43067574137092851</v>
      </c>
      <c r="AA1236">
        <v>312899.88</v>
      </c>
    </row>
    <row r="1237" spans="1:27" x14ac:dyDescent="0.3">
      <c r="A1237" t="s">
        <v>14</v>
      </c>
      <c r="B1237" t="s">
        <v>92</v>
      </c>
      <c r="C1237" t="s">
        <v>46</v>
      </c>
      <c r="D1237" t="s">
        <v>17</v>
      </c>
      <c r="E1237" t="s">
        <v>18</v>
      </c>
      <c r="F1237" t="s">
        <v>636</v>
      </c>
      <c r="G1237" s="2">
        <f t="shared" si="38"/>
        <v>41564</v>
      </c>
      <c r="H1237">
        <f>DAY(Europe_Sales_Records34[[#This Row],[Order Date Fixed]])</f>
        <v>17</v>
      </c>
      <c r="I1237" t="str">
        <f>TEXT(Europe_Sales_Records34[[#This Row],[Order Date Fixed]],"MMM")</f>
        <v>Oct</v>
      </c>
      <c r="J1237">
        <f>YEAR(Europe_Sales_Records34[[#This Row],[Order Date Fixed]])</f>
        <v>2013</v>
      </c>
      <c r="K1237" t="str">
        <f>TEXT(Europe_Sales_Records34[[#This Row],[Order Date Fixed]],"MMM-YYYY")</f>
        <v>Oct-2013</v>
      </c>
      <c r="L1237">
        <v>801925837</v>
      </c>
      <c r="M1237" s="2">
        <f t="shared" si="39"/>
        <v>41573</v>
      </c>
      <c r="N1237">
        <f>DAY(Europe_Sales_Records34[[#This Row],[Ship Date Fixed]])</f>
        <v>26</v>
      </c>
      <c r="O1237" t="str">
        <f>TEXT(Europe_Sales_Records34[[#This Row],[Ship Date Fixed]],"MMM")</f>
        <v>Oct</v>
      </c>
      <c r="P1237">
        <f>YEAR(Europe_Sales_Records34[[#This Row],[Ship Date Fixed]])</f>
        <v>2013</v>
      </c>
      <c r="Q1237" t="str">
        <f>TEXT(Europe_Sales_Records34[[#This Row],[Ship Date Fixed]],"MMM-YYYY")</f>
        <v>Oct-2013</v>
      </c>
      <c r="R1237" t="s">
        <v>993</v>
      </c>
      <c r="S1237" s="3">
        <f>Europe_Sales_Records34[[#This Row],[Ship Date Fixed]]-Europe_Sales_Records34[[#This Row],[Order Date Fixed]]</f>
        <v>9</v>
      </c>
      <c r="T1237">
        <v>6531</v>
      </c>
      <c r="U1237">
        <v>154.06</v>
      </c>
      <c r="V1237">
        <v>90.93</v>
      </c>
      <c r="W1237">
        <f>Europe_Sales_Records34[[#This Row],[Total Revenue]]/Europe_Sales_Records34[[#This Row],[Units Sold]]</f>
        <v>154.06</v>
      </c>
      <c r="X1237">
        <v>1006165.86</v>
      </c>
      <c r="Y1237">
        <v>593863.82999999996</v>
      </c>
      <c r="Z1237" s="4">
        <f>Europe_Sales_Records34[[#This Row],[Total Profit]]/Europe_Sales_Records34[[#This Row],[Total Revenue]]</f>
        <v>0.40977541217707392</v>
      </c>
      <c r="AA1237">
        <v>412302.03</v>
      </c>
    </row>
    <row r="1238" spans="1:27" x14ac:dyDescent="0.3">
      <c r="A1238" t="s">
        <v>14</v>
      </c>
      <c r="B1238" t="s">
        <v>61</v>
      </c>
      <c r="C1238" t="s">
        <v>32</v>
      </c>
      <c r="D1238" t="s">
        <v>17</v>
      </c>
      <c r="E1238" t="s">
        <v>18</v>
      </c>
      <c r="F1238" t="s">
        <v>1726</v>
      </c>
      <c r="G1238" s="2">
        <f t="shared" si="38"/>
        <v>41583</v>
      </c>
      <c r="H1238">
        <f>DAY(Europe_Sales_Records34[[#This Row],[Order Date Fixed]])</f>
        <v>5</v>
      </c>
      <c r="I1238" t="str">
        <f>TEXT(Europe_Sales_Records34[[#This Row],[Order Date Fixed]],"MMM")</f>
        <v>Nov</v>
      </c>
      <c r="J1238">
        <f>YEAR(Europe_Sales_Records34[[#This Row],[Order Date Fixed]])</f>
        <v>2013</v>
      </c>
      <c r="K1238" t="str">
        <f>TEXT(Europe_Sales_Records34[[#This Row],[Order Date Fixed]],"MMM-YYYY")</f>
        <v>Nov-2013</v>
      </c>
      <c r="L1238">
        <v>881194770</v>
      </c>
      <c r="M1238" s="2">
        <f t="shared" si="39"/>
        <v>41613</v>
      </c>
      <c r="N1238">
        <f>DAY(Europe_Sales_Records34[[#This Row],[Ship Date Fixed]])</f>
        <v>5</v>
      </c>
      <c r="O1238" t="str">
        <f>TEXT(Europe_Sales_Records34[[#This Row],[Ship Date Fixed]],"MMM")</f>
        <v>Dec</v>
      </c>
      <c r="P1238">
        <f>YEAR(Europe_Sales_Records34[[#This Row],[Ship Date Fixed]])</f>
        <v>2013</v>
      </c>
      <c r="Q1238" t="str">
        <f>TEXT(Europe_Sales_Records34[[#This Row],[Ship Date Fixed]],"MMM-YYYY")</f>
        <v>Dec-2013</v>
      </c>
      <c r="R1238" t="s">
        <v>1604</v>
      </c>
      <c r="S1238" s="3">
        <f>Europe_Sales_Records34[[#This Row],[Ship Date Fixed]]-Europe_Sales_Records34[[#This Row],[Order Date Fixed]]</f>
        <v>30</v>
      </c>
      <c r="T1238">
        <v>3969</v>
      </c>
      <c r="U1238">
        <v>651.21</v>
      </c>
      <c r="V1238">
        <v>524.96</v>
      </c>
      <c r="W1238">
        <f>Europe_Sales_Records34[[#This Row],[Total Revenue]]/Europe_Sales_Records34[[#This Row],[Units Sold]]</f>
        <v>651.21</v>
      </c>
      <c r="X1238">
        <v>2584652.4900000002</v>
      </c>
      <c r="Y1238">
        <v>2083566.24</v>
      </c>
      <c r="Z1238" s="4">
        <f>Europe_Sales_Records34[[#This Row],[Total Profit]]/Europe_Sales_Records34[[#This Row],[Total Revenue]]</f>
        <v>0.19386987300563566</v>
      </c>
      <c r="AA1238">
        <v>501086.25</v>
      </c>
    </row>
    <row r="1239" spans="1:27" x14ac:dyDescent="0.3">
      <c r="A1239" t="s">
        <v>14</v>
      </c>
      <c r="B1239" t="s">
        <v>27</v>
      </c>
      <c r="C1239" t="s">
        <v>46</v>
      </c>
      <c r="D1239" t="s">
        <v>17</v>
      </c>
      <c r="E1239" t="s">
        <v>18</v>
      </c>
      <c r="F1239" t="s">
        <v>1727</v>
      </c>
      <c r="G1239" s="2">
        <f t="shared" si="38"/>
        <v>40772</v>
      </c>
      <c r="H1239">
        <f>DAY(Europe_Sales_Records34[[#This Row],[Order Date Fixed]])</f>
        <v>17</v>
      </c>
      <c r="I1239" t="str">
        <f>TEXT(Europe_Sales_Records34[[#This Row],[Order Date Fixed]],"MMM")</f>
        <v>Aug</v>
      </c>
      <c r="J1239">
        <f>YEAR(Europe_Sales_Records34[[#This Row],[Order Date Fixed]])</f>
        <v>2011</v>
      </c>
      <c r="K1239" t="str">
        <f>TEXT(Europe_Sales_Records34[[#This Row],[Order Date Fixed]],"MMM-YYYY")</f>
        <v>Aug-2011</v>
      </c>
      <c r="L1239">
        <v>917835032</v>
      </c>
      <c r="M1239" s="2">
        <f t="shared" si="39"/>
        <v>40822</v>
      </c>
      <c r="N1239">
        <f>DAY(Europe_Sales_Records34[[#This Row],[Ship Date Fixed]])</f>
        <v>6</v>
      </c>
      <c r="O1239" t="str">
        <f>TEXT(Europe_Sales_Records34[[#This Row],[Ship Date Fixed]],"MMM")</f>
        <v>Oct</v>
      </c>
      <c r="P1239">
        <f>YEAR(Europe_Sales_Records34[[#This Row],[Ship Date Fixed]])</f>
        <v>2011</v>
      </c>
      <c r="Q1239" t="str">
        <f>TEXT(Europe_Sales_Records34[[#This Row],[Ship Date Fixed]],"MMM-YYYY")</f>
        <v>Oct-2011</v>
      </c>
      <c r="R1239" t="s">
        <v>1728</v>
      </c>
      <c r="S1239" s="3">
        <f>Europe_Sales_Records34[[#This Row],[Ship Date Fixed]]-Europe_Sales_Records34[[#This Row],[Order Date Fixed]]</f>
        <v>50</v>
      </c>
      <c r="T1239">
        <v>6637</v>
      </c>
      <c r="U1239">
        <v>154.06</v>
      </c>
      <c r="V1239">
        <v>90.93</v>
      </c>
      <c r="W1239">
        <f>Europe_Sales_Records34[[#This Row],[Total Revenue]]/Europe_Sales_Records34[[#This Row],[Units Sold]]</f>
        <v>154.06</v>
      </c>
      <c r="X1239">
        <v>1022496.22</v>
      </c>
      <c r="Y1239">
        <v>603502.41</v>
      </c>
      <c r="Z1239" s="4">
        <f>Europe_Sales_Records34[[#This Row],[Total Profit]]/Europe_Sales_Records34[[#This Row],[Total Revenue]]</f>
        <v>0.40977541217707386</v>
      </c>
      <c r="AA1239">
        <v>418993.81</v>
      </c>
    </row>
    <row r="1240" spans="1:27" x14ac:dyDescent="0.3">
      <c r="A1240" t="s">
        <v>14</v>
      </c>
      <c r="B1240" t="s">
        <v>49</v>
      </c>
      <c r="C1240" t="s">
        <v>37</v>
      </c>
      <c r="D1240" t="s">
        <v>23</v>
      </c>
      <c r="E1240" t="s">
        <v>54</v>
      </c>
      <c r="F1240" t="s">
        <v>111</v>
      </c>
      <c r="G1240" s="2">
        <f t="shared" si="38"/>
        <v>41798</v>
      </c>
      <c r="H1240">
        <f>DAY(Europe_Sales_Records34[[#This Row],[Order Date Fixed]])</f>
        <v>8</v>
      </c>
      <c r="I1240" t="str">
        <f>TEXT(Europe_Sales_Records34[[#This Row],[Order Date Fixed]],"MMM")</f>
        <v>Jun</v>
      </c>
      <c r="J1240">
        <f>YEAR(Europe_Sales_Records34[[#This Row],[Order Date Fixed]])</f>
        <v>2014</v>
      </c>
      <c r="K1240" t="str">
        <f>TEXT(Europe_Sales_Records34[[#This Row],[Order Date Fixed]],"MMM-YYYY")</f>
        <v>Jun-2014</v>
      </c>
      <c r="L1240">
        <v>159232509</v>
      </c>
      <c r="M1240" s="2">
        <f t="shared" si="39"/>
        <v>41834</v>
      </c>
      <c r="N1240">
        <f>DAY(Europe_Sales_Records34[[#This Row],[Ship Date Fixed]])</f>
        <v>14</v>
      </c>
      <c r="O1240" t="str">
        <f>TEXT(Europe_Sales_Records34[[#This Row],[Ship Date Fixed]],"MMM")</f>
        <v>Jul</v>
      </c>
      <c r="P1240">
        <f>YEAR(Europe_Sales_Records34[[#This Row],[Ship Date Fixed]])</f>
        <v>2014</v>
      </c>
      <c r="Q1240" t="str">
        <f>TEXT(Europe_Sales_Records34[[#This Row],[Ship Date Fixed]],"MMM-YYYY")</f>
        <v>Jul-2014</v>
      </c>
      <c r="R1240" t="s">
        <v>583</v>
      </c>
      <c r="S1240" s="3">
        <f>Europe_Sales_Records34[[#This Row],[Ship Date Fixed]]-Europe_Sales_Records34[[#This Row],[Order Date Fixed]]</f>
        <v>36</v>
      </c>
      <c r="T1240">
        <v>9293</v>
      </c>
      <c r="U1240">
        <v>9.33</v>
      </c>
      <c r="V1240">
        <v>6.92</v>
      </c>
      <c r="W1240">
        <f>Europe_Sales_Records34[[#This Row],[Total Revenue]]/Europe_Sales_Records34[[#This Row],[Units Sold]]</f>
        <v>9.33</v>
      </c>
      <c r="X1240">
        <v>86703.69</v>
      </c>
      <c r="Y1240">
        <v>64307.56</v>
      </c>
      <c r="Z1240" s="4">
        <f>Europe_Sales_Records34[[#This Row],[Total Profit]]/Europe_Sales_Records34[[#This Row],[Total Revenue]]</f>
        <v>0.25830653804930331</v>
      </c>
      <c r="AA1240">
        <v>22396.13</v>
      </c>
    </row>
    <row r="1241" spans="1:27" x14ac:dyDescent="0.3">
      <c r="A1241" t="s">
        <v>14</v>
      </c>
      <c r="B1241" t="s">
        <v>83</v>
      </c>
      <c r="C1241" t="s">
        <v>46</v>
      </c>
      <c r="D1241" t="s">
        <v>23</v>
      </c>
      <c r="E1241" t="s">
        <v>33</v>
      </c>
      <c r="F1241" t="s">
        <v>1729</v>
      </c>
      <c r="G1241" s="2">
        <f t="shared" si="38"/>
        <v>41578</v>
      </c>
      <c r="H1241">
        <f>DAY(Europe_Sales_Records34[[#This Row],[Order Date Fixed]])</f>
        <v>31</v>
      </c>
      <c r="I1241" t="str">
        <f>TEXT(Europe_Sales_Records34[[#This Row],[Order Date Fixed]],"MMM")</f>
        <v>Oct</v>
      </c>
      <c r="J1241">
        <f>YEAR(Europe_Sales_Records34[[#This Row],[Order Date Fixed]])</f>
        <v>2013</v>
      </c>
      <c r="K1241" t="str">
        <f>TEXT(Europe_Sales_Records34[[#This Row],[Order Date Fixed]],"MMM-YYYY")</f>
        <v>Oct-2013</v>
      </c>
      <c r="L1241">
        <v>917639768</v>
      </c>
      <c r="M1241" s="2">
        <f t="shared" si="39"/>
        <v>41622</v>
      </c>
      <c r="N1241">
        <f>DAY(Europe_Sales_Records34[[#This Row],[Ship Date Fixed]])</f>
        <v>14</v>
      </c>
      <c r="O1241" t="str">
        <f>TEXT(Europe_Sales_Records34[[#This Row],[Ship Date Fixed]],"MMM")</f>
        <v>Dec</v>
      </c>
      <c r="P1241">
        <f>YEAR(Europe_Sales_Records34[[#This Row],[Ship Date Fixed]])</f>
        <v>2013</v>
      </c>
      <c r="Q1241" t="str">
        <f>TEXT(Europe_Sales_Records34[[#This Row],[Ship Date Fixed]],"MMM-YYYY")</f>
        <v>Dec-2013</v>
      </c>
      <c r="R1241" t="s">
        <v>659</v>
      </c>
      <c r="S1241" s="3">
        <f>Europe_Sales_Records34[[#This Row],[Ship Date Fixed]]-Europe_Sales_Records34[[#This Row],[Order Date Fixed]]</f>
        <v>44</v>
      </c>
      <c r="T1241">
        <v>8854</v>
      </c>
      <c r="U1241">
        <v>154.06</v>
      </c>
      <c r="V1241">
        <v>90.93</v>
      </c>
      <c r="W1241">
        <f>Europe_Sales_Records34[[#This Row],[Total Revenue]]/Europe_Sales_Records34[[#This Row],[Units Sold]]</f>
        <v>154.06</v>
      </c>
      <c r="X1241">
        <v>1364047.24</v>
      </c>
      <c r="Y1241">
        <v>805094.22</v>
      </c>
      <c r="Z1241" s="4">
        <f>Europe_Sales_Records34[[#This Row],[Total Profit]]/Europe_Sales_Records34[[#This Row],[Total Revenue]]</f>
        <v>0.40977541217707386</v>
      </c>
      <c r="AA1241">
        <v>558953.02</v>
      </c>
    </row>
    <row r="1242" spans="1:27" x14ac:dyDescent="0.3">
      <c r="A1242" t="s">
        <v>14</v>
      </c>
      <c r="B1242" t="s">
        <v>138</v>
      </c>
      <c r="C1242" t="s">
        <v>37</v>
      </c>
      <c r="D1242" t="s">
        <v>23</v>
      </c>
      <c r="E1242" t="s">
        <v>24</v>
      </c>
      <c r="F1242" t="s">
        <v>926</v>
      </c>
      <c r="G1242" s="2">
        <f t="shared" si="38"/>
        <v>40611</v>
      </c>
      <c r="H1242">
        <f>DAY(Europe_Sales_Records34[[#This Row],[Order Date Fixed]])</f>
        <v>9</v>
      </c>
      <c r="I1242" t="str">
        <f>TEXT(Europe_Sales_Records34[[#This Row],[Order Date Fixed]],"MMM")</f>
        <v>Mar</v>
      </c>
      <c r="J1242">
        <f>YEAR(Europe_Sales_Records34[[#This Row],[Order Date Fixed]])</f>
        <v>2011</v>
      </c>
      <c r="K1242" t="str">
        <f>TEXT(Europe_Sales_Records34[[#This Row],[Order Date Fixed]],"MMM-YYYY")</f>
        <v>Mar-2011</v>
      </c>
      <c r="L1242">
        <v>965796363</v>
      </c>
      <c r="M1242" s="2">
        <f t="shared" si="39"/>
        <v>40621</v>
      </c>
      <c r="N1242">
        <f>DAY(Europe_Sales_Records34[[#This Row],[Ship Date Fixed]])</f>
        <v>19</v>
      </c>
      <c r="O1242" t="str">
        <f>TEXT(Europe_Sales_Records34[[#This Row],[Ship Date Fixed]],"MMM")</f>
        <v>Mar</v>
      </c>
      <c r="P1242">
        <f>YEAR(Europe_Sales_Records34[[#This Row],[Ship Date Fixed]])</f>
        <v>2011</v>
      </c>
      <c r="Q1242" t="str">
        <f>TEXT(Europe_Sales_Records34[[#This Row],[Ship Date Fixed]],"MMM-YYYY")</f>
        <v>Mar-2011</v>
      </c>
      <c r="R1242" t="s">
        <v>1730</v>
      </c>
      <c r="S1242" s="3">
        <f>Europe_Sales_Records34[[#This Row],[Ship Date Fixed]]-Europe_Sales_Records34[[#This Row],[Order Date Fixed]]</f>
        <v>10</v>
      </c>
      <c r="T1242">
        <v>9461</v>
      </c>
      <c r="U1242">
        <v>9.33</v>
      </c>
      <c r="V1242">
        <v>6.92</v>
      </c>
      <c r="W1242">
        <f>Europe_Sales_Records34[[#This Row],[Total Revenue]]/Europe_Sales_Records34[[#This Row],[Units Sold]]</f>
        <v>9.33</v>
      </c>
      <c r="X1242">
        <v>88271.13</v>
      </c>
      <c r="Y1242">
        <v>65470.12</v>
      </c>
      <c r="Z1242" s="4">
        <f>Europe_Sales_Records34[[#This Row],[Total Profit]]/Europe_Sales_Records34[[#This Row],[Total Revenue]]</f>
        <v>0.25830653804930331</v>
      </c>
      <c r="AA1242">
        <v>22801.01</v>
      </c>
    </row>
    <row r="1243" spans="1:27" x14ac:dyDescent="0.3">
      <c r="A1243" t="s">
        <v>14</v>
      </c>
      <c r="B1243" t="s">
        <v>21</v>
      </c>
      <c r="C1243" t="s">
        <v>64</v>
      </c>
      <c r="D1243" t="s">
        <v>23</v>
      </c>
      <c r="E1243" t="s">
        <v>33</v>
      </c>
      <c r="F1243" t="s">
        <v>1632</v>
      </c>
      <c r="G1243" s="2">
        <f t="shared" si="38"/>
        <v>42567</v>
      </c>
      <c r="H1243">
        <f>DAY(Europe_Sales_Records34[[#This Row],[Order Date Fixed]])</f>
        <v>16</v>
      </c>
      <c r="I1243" t="str">
        <f>TEXT(Europe_Sales_Records34[[#This Row],[Order Date Fixed]],"MMM")</f>
        <v>Jul</v>
      </c>
      <c r="J1243">
        <f>YEAR(Europe_Sales_Records34[[#This Row],[Order Date Fixed]])</f>
        <v>2016</v>
      </c>
      <c r="K1243" t="str">
        <f>TEXT(Europe_Sales_Records34[[#This Row],[Order Date Fixed]],"MMM-YYYY")</f>
        <v>Jul-2016</v>
      </c>
      <c r="L1243">
        <v>551118266</v>
      </c>
      <c r="M1243" s="2">
        <f t="shared" si="39"/>
        <v>42597</v>
      </c>
      <c r="N1243">
        <f>DAY(Europe_Sales_Records34[[#This Row],[Ship Date Fixed]])</f>
        <v>15</v>
      </c>
      <c r="O1243" t="str">
        <f>TEXT(Europe_Sales_Records34[[#This Row],[Ship Date Fixed]],"MMM")</f>
        <v>Aug</v>
      </c>
      <c r="P1243">
        <f>YEAR(Europe_Sales_Records34[[#This Row],[Ship Date Fixed]])</f>
        <v>2016</v>
      </c>
      <c r="Q1243" t="str">
        <f>TEXT(Europe_Sales_Records34[[#This Row],[Ship Date Fixed]],"MMM-YYYY")</f>
        <v>Aug-2016</v>
      </c>
      <c r="R1243" t="s">
        <v>1731</v>
      </c>
      <c r="S1243" s="3">
        <f>Europe_Sales_Records34[[#This Row],[Ship Date Fixed]]-Europe_Sales_Records34[[#This Row],[Order Date Fixed]]</f>
        <v>30</v>
      </c>
      <c r="T1243">
        <v>6997</v>
      </c>
      <c r="U1243">
        <v>255.28</v>
      </c>
      <c r="V1243">
        <v>159.41999999999999</v>
      </c>
      <c r="W1243">
        <f>Europe_Sales_Records34[[#This Row],[Total Revenue]]/Europe_Sales_Records34[[#This Row],[Units Sold]]</f>
        <v>255.28</v>
      </c>
      <c r="X1243">
        <v>1786194.16</v>
      </c>
      <c r="Y1243">
        <v>1115461.74</v>
      </c>
      <c r="Z1243" s="4">
        <f>Europe_Sales_Records34[[#This Row],[Total Profit]]/Europe_Sales_Records34[[#This Row],[Total Revenue]]</f>
        <v>0.37550924475086184</v>
      </c>
      <c r="AA1243">
        <v>670732.42000000004</v>
      </c>
    </row>
    <row r="1244" spans="1:27" x14ac:dyDescent="0.3">
      <c r="A1244" t="s">
        <v>14</v>
      </c>
      <c r="B1244" t="s">
        <v>141</v>
      </c>
      <c r="C1244" t="s">
        <v>32</v>
      </c>
      <c r="D1244" t="s">
        <v>23</v>
      </c>
      <c r="E1244" t="s">
        <v>24</v>
      </c>
      <c r="F1244" t="s">
        <v>1732</v>
      </c>
      <c r="G1244" s="2">
        <f t="shared" si="38"/>
        <v>42592</v>
      </c>
      <c r="H1244">
        <f>DAY(Europe_Sales_Records34[[#This Row],[Order Date Fixed]])</f>
        <v>10</v>
      </c>
      <c r="I1244" t="str">
        <f>TEXT(Europe_Sales_Records34[[#This Row],[Order Date Fixed]],"MMM")</f>
        <v>Aug</v>
      </c>
      <c r="J1244">
        <f>YEAR(Europe_Sales_Records34[[#This Row],[Order Date Fixed]])</f>
        <v>2016</v>
      </c>
      <c r="K1244" t="str">
        <f>TEXT(Europe_Sales_Records34[[#This Row],[Order Date Fixed]],"MMM-YYYY")</f>
        <v>Aug-2016</v>
      </c>
      <c r="L1244">
        <v>849454581</v>
      </c>
      <c r="M1244" s="2">
        <f t="shared" si="39"/>
        <v>42619</v>
      </c>
      <c r="N1244">
        <f>DAY(Europe_Sales_Records34[[#This Row],[Ship Date Fixed]])</f>
        <v>6</v>
      </c>
      <c r="O1244" t="str">
        <f>TEXT(Europe_Sales_Records34[[#This Row],[Ship Date Fixed]],"MMM")</f>
        <v>Sep</v>
      </c>
      <c r="P1244">
        <f>YEAR(Europe_Sales_Records34[[#This Row],[Ship Date Fixed]])</f>
        <v>2016</v>
      </c>
      <c r="Q1244" t="str">
        <f>TEXT(Europe_Sales_Records34[[#This Row],[Ship Date Fixed]],"MMM-YYYY")</f>
        <v>Sep-2016</v>
      </c>
      <c r="R1244" t="s">
        <v>371</v>
      </c>
      <c r="S1244" s="3">
        <f>Europe_Sales_Records34[[#This Row],[Ship Date Fixed]]-Europe_Sales_Records34[[#This Row],[Order Date Fixed]]</f>
        <v>27</v>
      </c>
      <c r="T1244">
        <v>1342</v>
      </c>
      <c r="U1244">
        <v>651.21</v>
      </c>
      <c r="V1244">
        <v>524.96</v>
      </c>
      <c r="W1244">
        <f>Europe_Sales_Records34[[#This Row],[Total Revenue]]/Europe_Sales_Records34[[#This Row],[Units Sold]]</f>
        <v>651.20999999999992</v>
      </c>
      <c r="X1244">
        <v>873923.82</v>
      </c>
      <c r="Y1244">
        <v>704496.32</v>
      </c>
      <c r="Z1244" s="4">
        <f>Europe_Sales_Records34[[#This Row],[Total Profit]]/Europe_Sales_Records34[[#This Row],[Total Revenue]]</f>
        <v>0.19386987300563568</v>
      </c>
      <c r="AA1244">
        <v>169427.5</v>
      </c>
    </row>
    <row r="1245" spans="1:27" x14ac:dyDescent="0.3">
      <c r="A1245" t="s">
        <v>14</v>
      </c>
      <c r="B1245" t="s">
        <v>364</v>
      </c>
      <c r="C1245" t="s">
        <v>28</v>
      </c>
      <c r="D1245" t="s">
        <v>17</v>
      </c>
      <c r="E1245" t="s">
        <v>24</v>
      </c>
      <c r="F1245" t="s">
        <v>267</v>
      </c>
      <c r="G1245" s="2">
        <f t="shared" si="38"/>
        <v>40526</v>
      </c>
      <c r="H1245">
        <f>DAY(Europe_Sales_Records34[[#This Row],[Order Date Fixed]])</f>
        <v>14</v>
      </c>
      <c r="I1245" t="str">
        <f>TEXT(Europe_Sales_Records34[[#This Row],[Order Date Fixed]],"MMM")</f>
        <v>Dec</v>
      </c>
      <c r="J1245">
        <f>YEAR(Europe_Sales_Records34[[#This Row],[Order Date Fixed]])</f>
        <v>2010</v>
      </c>
      <c r="K1245" t="str">
        <f>TEXT(Europe_Sales_Records34[[#This Row],[Order Date Fixed]],"MMM-YYYY")</f>
        <v>Dec-2010</v>
      </c>
      <c r="L1245">
        <v>962560546</v>
      </c>
      <c r="M1245" s="2">
        <f t="shared" si="39"/>
        <v>40551</v>
      </c>
      <c r="N1245">
        <f>DAY(Europe_Sales_Records34[[#This Row],[Ship Date Fixed]])</f>
        <v>8</v>
      </c>
      <c r="O1245" t="str">
        <f>TEXT(Europe_Sales_Records34[[#This Row],[Ship Date Fixed]],"MMM")</f>
        <v>Jan</v>
      </c>
      <c r="P1245">
        <f>YEAR(Europe_Sales_Records34[[#This Row],[Ship Date Fixed]])</f>
        <v>2011</v>
      </c>
      <c r="Q1245" t="str">
        <f>TEXT(Europe_Sales_Records34[[#This Row],[Ship Date Fixed]],"MMM-YYYY")</f>
        <v>Jan-2011</v>
      </c>
      <c r="R1245" t="s">
        <v>1273</v>
      </c>
      <c r="S1245" s="3">
        <f>Europe_Sales_Records34[[#This Row],[Ship Date Fixed]]-Europe_Sales_Records34[[#This Row],[Order Date Fixed]]</f>
        <v>25</v>
      </c>
      <c r="T1245">
        <v>1911</v>
      </c>
      <c r="U1245">
        <v>205.7</v>
      </c>
      <c r="V1245">
        <v>117.11</v>
      </c>
      <c r="W1245">
        <f>Europe_Sales_Records34[[#This Row],[Total Revenue]]/Europe_Sales_Records34[[#This Row],[Units Sold]]</f>
        <v>205.70000000000002</v>
      </c>
      <c r="X1245">
        <v>393092.7</v>
      </c>
      <c r="Y1245">
        <v>223797.21</v>
      </c>
      <c r="Z1245" s="4">
        <f>Europe_Sales_Records34[[#This Row],[Total Profit]]/Europe_Sales_Records34[[#This Row],[Total Revenue]]</f>
        <v>0.43067574137092851</v>
      </c>
      <c r="AA1245">
        <v>169295.49</v>
      </c>
    </row>
    <row r="1246" spans="1:27" x14ac:dyDescent="0.3">
      <c r="A1246" t="s">
        <v>14</v>
      </c>
      <c r="B1246" t="s">
        <v>92</v>
      </c>
      <c r="C1246" t="s">
        <v>46</v>
      </c>
      <c r="D1246" t="s">
        <v>17</v>
      </c>
      <c r="E1246" t="s">
        <v>54</v>
      </c>
      <c r="F1246" t="s">
        <v>113</v>
      </c>
      <c r="G1246" s="2">
        <f t="shared" si="38"/>
        <v>40686</v>
      </c>
      <c r="H1246">
        <f>DAY(Europe_Sales_Records34[[#This Row],[Order Date Fixed]])</f>
        <v>23</v>
      </c>
      <c r="I1246" t="str">
        <f>TEXT(Europe_Sales_Records34[[#This Row],[Order Date Fixed]],"MMM")</f>
        <v>May</v>
      </c>
      <c r="J1246">
        <f>YEAR(Europe_Sales_Records34[[#This Row],[Order Date Fixed]])</f>
        <v>2011</v>
      </c>
      <c r="K1246" t="str">
        <f>TEXT(Europe_Sales_Records34[[#This Row],[Order Date Fixed]],"MMM-YYYY")</f>
        <v>May-2011</v>
      </c>
      <c r="L1246">
        <v>927351081</v>
      </c>
      <c r="M1246" s="2">
        <f t="shared" si="39"/>
        <v>40696</v>
      </c>
      <c r="N1246">
        <f>DAY(Europe_Sales_Records34[[#This Row],[Ship Date Fixed]])</f>
        <v>2</v>
      </c>
      <c r="O1246" t="str">
        <f>TEXT(Europe_Sales_Records34[[#This Row],[Ship Date Fixed]],"MMM")</f>
        <v>Jun</v>
      </c>
      <c r="P1246">
        <f>YEAR(Europe_Sales_Records34[[#This Row],[Ship Date Fixed]])</f>
        <v>2011</v>
      </c>
      <c r="Q1246" t="str">
        <f>TEXT(Europe_Sales_Records34[[#This Row],[Ship Date Fixed]],"MMM-YYYY")</f>
        <v>Jun-2011</v>
      </c>
      <c r="R1246" t="s">
        <v>1023</v>
      </c>
      <c r="S1246" s="3">
        <f>Europe_Sales_Records34[[#This Row],[Ship Date Fixed]]-Europe_Sales_Records34[[#This Row],[Order Date Fixed]]</f>
        <v>10</v>
      </c>
      <c r="T1246">
        <v>2647</v>
      </c>
      <c r="U1246">
        <v>154.06</v>
      </c>
      <c r="V1246">
        <v>90.93</v>
      </c>
      <c r="W1246">
        <f>Europe_Sales_Records34[[#This Row],[Total Revenue]]/Europe_Sales_Records34[[#This Row],[Units Sold]]</f>
        <v>154.06</v>
      </c>
      <c r="X1246">
        <v>407796.82</v>
      </c>
      <c r="Y1246">
        <v>240691.71</v>
      </c>
      <c r="Z1246" s="4">
        <f>Europe_Sales_Records34[[#This Row],[Total Profit]]/Europe_Sales_Records34[[#This Row],[Total Revenue]]</f>
        <v>0.40977541217707381</v>
      </c>
      <c r="AA1246">
        <v>167105.10999999999</v>
      </c>
    </row>
    <row r="1247" spans="1:27" x14ac:dyDescent="0.3">
      <c r="A1247" t="s">
        <v>14</v>
      </c>
      <c r="B1247" t="s">
        <v>45</v>
      </c>
      <c r="C1247" t="s">
        <v>71</v>
      </c>
      <c r="D1247" t="s">
        <v>23</v>
      </c>
      <c r="E1247" t="s">
        <v>54</v>
      </c>
      <c r="F1247" t="s">
        <v>1733</v>
      </c>
      <c r="G1247" s="2">
        <f t="shared" si="38"/>
        <v>40471</v>
      </c>
      <c r="H1247">
        <f>DAY(Europe_Sales_Records34[[#This Row],[Order Date Fixed]])</f>
        <v>20</v>
      </c>
      <c r="I1247" t="str">
        <f>TEXT(Europe_Sales_Records34[[#This Row],[Order Date Fixed]],"MMM")</f>
        <v>Oct</v>
      </c>
      <c r="J1247">
        <f>YEAR(Europe_Sales_Records34[[#This Row],[Order Date Fixed]])</f>
        <v>2010</v>
      </c>
      <c r="K1247" t="str">
        <f>TEXT(Europe_Sales_Records34[[#This Row],[Order Date Fixed]],"MMM-YYYY")</f>
        <v>Oct-2010</v>
      </c>
      <c r="L1247">
        <v>840781390</v>
      </c>
      <c r="M1247" s="2">
        <f t="shared" si="39"/>
        <v>40495</v>
      </c>
      <c r="N1247">
        <f>DAY(Europe_Sales_Records34[[#This Row],[Ship Date Fixed]])</f>
        <v>13</v>
      </c>
      <c r="O1247" t="str">
        <f>TEXT(Europe_Sales_Records34[[#This Row],[Ship Date Fixed]],"MMM")</f>
        <v>Nov</v>
      </c>
      <c r="P1247">
        <f>YEAR(Europe_Sales_Records34[[#This Row],[Ship Date Fixed]])</f>
        <v>2010</v>
      </c>
      <c r="Q1247" t="str">
        <f>TEXT(Europe_Sales_Records34[[#This Row],[Ship Date Fixed]],"MMM-YYYY")</f>
        <v>Nov-2010</v>
      </c>
      <c r="R1247" t="s">
        <v>1734</v>
      </c>
      <c r="S1247" s="3">
        <f>Europe_Sales_Records34[[#This Row],[Ship Date Fixed]]-Europe_Sales_Records34[[#This Row],[Order Date Fixed]]</f>
        <v>24</v>
      </c>
      <c r="T1247">
        <v>4752</v>
      </c>
      <c r="U1247">
        <v>668.27</v>
      </c>
      <c r="V1247">
        <v>502.54</v>
      </c>
      <c r="W1247">
        <f>Europe_Sales_Records34[[#This Row],[Total Revenue]]/Europe_Sales_Records34[[#This Row],[Units Sold]]</f>
        <v>668.27</v>
      </c>
      <c r="X1247">
        <v>3175619.04</v>
      </c>
      <c r="Y1247">
        <v>2388070.08</v>
      </c>
      <c r="Z1247" s="4">
        <f>Europe_Sales_Records34[[#This Row],[Total Profit]]/Europe_Sales_Records34[[#This Row],[Total Revenue]]</f>
        <v>0.24799856345489096</v>
      </c>
      <c r="AA1247">
        <v>787548.96</v>
      </c>
    </row>
    <row r="1248" spans="1:27" x14ac:dyDescent="0.3">
      <c r="A1248" t="s">
        <v>14</v>
      </c>
      <c r="B1248" t="s">
        <v>166</v>
      </c>
      <c r="C1248" t="s">
        <v>46</v>
      </c>
      <c r="D1248" t="s">
        <v>23</v>
      </c>
      <c r="E1248" t="s">
        <v>54</v>
      </c>
      <c r="F1248" t="s">
        <v>1735</v>
      </c>
      <c r="G1248" s="2">
        <f t="shared" si="38"/>
        <v>42825</v>
      </c>
      <c r="H1248">
        <f>DAY(Europe_Sales_Records34[[#This Row],[Order Date Fixed]])</f>
        <v>31</v>
      </c>
      <c r="I1248" t="str">
        <f>TEXT(Europe_Sales_Records34[[#This Row],[Order Date Fixed]],"MMM")</f>
        <v>Mar</v>
      </c>
      <c r="J1248">
        <f>YEAR(Europe_Sales_Records34[[#This Row],[Order Date Fixed]])</f>
        <v>2017</v>
      </c>
      <c r="K1248" t="str">
        <f>TEXT(Europe_Sales_Records34[[#This Row],[Order Date Fixed]],"MMM-YYYY")</f>
        <v>Mar-2017</v>
      </c>
      <c r="L1248">
        <v>722233331</v>
      </c>
      <c r="M1248" s="2">
        <f t="shared" si="39"/>
        <v>42831</v>
      </c>
      <c r="N1248">
        <f>DAY(Europe_Sales_Records34[[#This Row],[Ship Date Fixed]])</f>
        <v>6</v>
      </c>
      <c r="O1248" t="str">
        <f>TEXT(Europe_Sales_Records34[[#This Row],[Ship Date Fixed]],"MMM")</f>
        <v>Apr</v>
      </c>
      <c r="P1248">
        <f>YEAR(Europe_Sales_Records34[[#This Row],[Ship Date Fixed]])</f>
        <v>2017</v>
      </c>
      <c r="Q1248" t="str">
        <f>TEXT(Europe_Sales_Records34[[#This Row],[Ship Date Fixed]],"MMM-YYYY")</f>
        <v>Apr-2017</v>
      </c>
      <c r="R1248" t="s">
        <v>1736</v>
      </c>
      <c r="S1248" s="3">
        <f>Europe_Sales_Records34[[#This Row],[Ship Date Fixed]]-Europe_Sales_Records34[[#This Row],[Order Date Fixed]]</f>
        <v>6</v>
      </c>
      <c r="T1248">
        <v>3747</v>
      </c>
      <c r="U1248">
        <v>154.06</v>
      </c>
      <c r="V1248">
        <v>90.93</v>
      </c>
      <c r="W1248">
        <f>Europe_Sales_Records34[[#This Row],[Total Revenue]]/Europe_Sales_Records34[[#This Row],[Units Sold]]</f>
        <v>154.05999999999997</v>
      </c>
      <c r="X1248">
        <v>577262.81999999995</v>
      </c>
      <c r="Y1248">
        <v>340714.71</v>
      </c>
      <c r="Z1248" s="4">
        <f>Europe_Sales_Records34[[#This Row],[Total Profit]]/Europe_Sales_Records34[[#This Row],[Total Revenue]]</f>
        <v>0.40977541217707386</v>
      </c>
      <c r="AA1248">
        <v>236548.11</v>
      </c>
    </row>
    <row r="1249" spans="1:27" x14ac:dyDescent="0.3">
      <c r="A1249" t="s">
        <v>14</v>
      </c>
      <c r="B1249" t="s">
        <v>86</v>
      </c>
      <c r="C1249" t="s">
        <v>50</v>
      </c>
      <c r="D1249" t="s">
        <v>23</v>
      </c>
      <c r="E1249" t="s">
        <v>54</v>
      </c>
      <c r="F1249" t="s">
        <v>345</v>
      </c>
      <c r="G1249" s="2">
        <f t="shared" si="38"/>
        <v>40868</v>
      </c>
      <c r="H1249">
        <f>DAY(Europe_Sales_Records34[[#This Row],[Order Date Fixed]])</f>
        <v>21</v>
      </c>
      <c r="I1249" t="str">
        <f>TEXT(Europe_Sales_Records34[[#This Row],[Order Date Fixed]],"MMM")</f>
        <v>Nov</v>
      </c>
      <c r="J1249">
        <f>YEAR(Europe_Sales_Records34[[#This Row],[Order Date Fixed]])</f>
        <v>2011</v>
      </c>
      <c r="K1249" t="str">
        <f>TEXT(Europe_Sales_Records34[[#This Row],[Order Date Fixed]],"MMM-YYYY")</f>
        <v>Nov-2011</v>
      </c>
      <c r="L1249">
        <v>663080108</v>
      </c>
      <c r="M1249" s="2">
        <f t="shared" si="39"/>
        <v>40887</v>
      </c>
      <c r="N1249">
        <f>DAY(Europe_Sales_Records34[[#This Row],[Ship Date Fixed]])</f>
        <v>10</v>
      </c>
      <c r="O1249" t="str">
        <f>TEXT(Europe_Sales_Records34[[#This Row],[Ship Date Fixed]],"MMM")</f>
        <v>Dec</v>
      </c>
      <c r="P1249">
        <f>YEAR(Europe_Sales_Records34[[#This Row],[Ship Date Fixed]])</f>
        <v>2011</v>
      </c>
      <c r="Q1249" t="str">
        <f>TEXT(Europe_Sales_Records34[[#This Row],[Ship Date Fixed]],"MMM-YYYY")</f>
        <v>Dec-2011</v>
      </c>
      <c r="R1249" t="s">
        <v>1265</v>
      </c>
      <c r="S1249" s="3">
        <f>Europe_Sales_Records34[[#This Row],[Ship Date Fixed]]-Europe_Sales_Records34[[#This Row],[Order Date Fixed]]</f>
        <v>19</v>
      </c>
      <c r="T1249">
        <v>8994</v>
      </c>
      <c r="U1249">
        <v>421.89</v>
      </c>
      <c r="V1249">
        <v>364.69</v>
      </c>
      <c r="W1249">
        <f>Europe_Sales_Records34[[#This Row],[Total Revenue]]/Europe_Sales_Records34[[#This Row],[Units Sold]]</f>
        <v>421.89000000000004</v>
      </c>
      <c r="X1249">
        <v>3794478.66</v>
      </c>
      <c r="Y1249">
        <v>3280021.86</v>
      </c>
      <c r="Z1249" s="4">
        <f>Europe_Sales_Records34[[#This Row],[Total Profit]]/Europe_Sales_Records34[[#This Row],[Total Revenue]]</f>
        <v>0.13558036455000116</v>
      </c>
      <c r="AA1249">
        <v>514456.8</v>
      </c>
    </row>
    <row r="1250" spans="1:27" x14ac:dyDescent="0.3">
      <c r="A1250" t="s">
        <v>14</v>
      </c>
      <c r="B1250" t="s">
        <v>89</v>
      </c>
      <c r="C1250" t="s">
        <v>28</v>
      </c>
      <c r="D1250" t="s">
        <v>23</v>
      </c>
      <c r="E1250" t="s">
        <v>33</v>
      </c>
      <c r="F1250" t="s">
        <v>809</v>
      </c>
      <c r="G1250" s="2">
        <f t="shared" si="38"/>
        <v>40823</v>
      </c>
      <c r="H1250">
        <f>DAY(Europe_Sales_Records34[[#This Row],[Order Date Fixed]])</f>
        <v>7</v>
      </c>
      <c r="I1250" t="str">
        <f>TEXT(Europe_Sales_Records34[[#This Row],[Order Date Fixed]],"MMM")</f>
        <v>Oct</v>
      </c>
      <c r="J1250">
        <f>YEAR(Europe_Sales_Records34[[#This Row],[Order Date Fixed]])</f>
        <v>2011</v>
      </c>
      <c r="K1250" t="str">
        <f>TEXT(Europe_Sales_Records34[[#This Row],[Order Date Fixed]],"MMM-YYYY")</f>
        <v>Oct-2011</v>
      </c>
      <c r="L1250">
        <v>439640080</v>
      </c>
      <c r="M1250" s="2">
        <f t="shared" si="39"/>
        <v>40849</v>
      </c>
      <c r="N1250">
        <f>DAY(Europe_Sales_Records34[[#This Row],[Ship Date Fixed]])</f>
        <v>2</v>
      </c>
      <c r="O1250" t="str">
        <f>TEXT(Europe_Sales_Records34[[#This Row],[Ship Date Fixed]],"MMM")</f>
        <v>Nov</v>
      </c>
      <c r="P1250">
        <f>YEAR(Europe_Sales_Records34[[#This Row],[Ship Date Fixed]])</f>
        <v>2011</v>
      </c>
      <c r="Q1250" t="str">
        <f>TEXT(Europe_Sales_Records34[[#This Row],[Ship Date Fixed]],"MMM-YYYY")</f>
        <v>Nov-2011</v>
      </c>
      <c r="R1250" t="s">
        <v>1737</v>
      </c>
      <c r="S1250" s="3">
        <f>Europe_Sales_Records34[[#This Row],[Ship Date Fixed]]-Europe_Sales_Records34[[#This Row],[Order Date Fixed]]</f>
        <v>26</v>
      </c>
      <c r="T1250">
        <v>8124</v>
      </c>
      <c r="U1250">
        <v>205.7</v>
      </c>
      <c r="V1250">
        <v>117.11</v>
      </c>
      <c r="W1250">
        <f>Europe_Sales_Records34[[#This Row],[Total Revenue]]/Europe_Sales_Records34[[#This Row],[Units Sold]]</f>
        <v>205.70000000000002</v>
      </c>
      <c r="X1250">
        <v>1671106.8</v>
      </c>
      <c r="Y1250">
        <v>951401.64</v>
      </c>
      <c r="Z1250" s="4">
        <f>Europe_Sales_Records34[[#This Row],[Total Profit]]/Europe_Sales_Records34[[#This Row],[Total Revenue]]</f>
        <v>0.43067574137092857</v>
      </c>
      <c r="AA1250">
        <v>719705.16</v>
      </c>
    </row>
    <row r="1251" spans="1:27" x14ac:dyDescent="0.3">
      <c r="A1251" t="s">
        <v>14</v>
      </c>
      <c r="B1251" t="s">
        <v>342</v>
      </c>
      <c r="C1251" t="s">
        <v>71</v>
      </c>
      <c r="D1251" t="s">
        <v>17</v>
      </c>
      <c r="E1251" t="s">
        <v>54</v>
      </c>
      <c r="F1251" t="s">
        <v>936</v>
      </c>
      <c r="G1251" s="2">
        <f t="shared" si="38"/>
        <v>41809</v>
      </c>
      <c r="H1251">
        <f>DAY(Europe_Sales_Records34[[#This Row],[Order Date Fixed]])</f>
        <v>19</v>
      </c>
      <c r="I1251" t="str">
        <f>TEXT(Europe_Sales_Records34[[#This Row],[Order Date Fixed]],"MMM")</f>
        <v>Jun</v>
      </c>
      <c r="J1251">
        <f>YEAR(Europe_Sales_Records34[[#This Row],[Order Date Fixed]])</f>
        <v>2014</v>
      </c>
      <c r="K1251" t="str">
        <f>TEXT(Europe_Sales_Records34[[#This Row],[Order Date Fixed]],"MMM-YYYY")</f>
        <v>Jun-2014</v>
      </c>
      <c r="L1251">
        <v>765858924</v>
      </c>
      <c r="M1251" s="2">
        <f t="shared" si="39"/>
        <v>41841</v>
      </c>
      <c r="N1251">
        <f>DAY(Europe_Sales_Records34[[#This Row],[Ship Date Fixed]])</f>
        <v>21</v>
      </c>
      <c r="O1251" t="str">
        <f>TEXT(Europe_Sales_Records34[[#This Row],[Ship Date Fixed]],"MMM")</f>
        <v>Jul</v>
      </c>
      <c r="P1251">
        <f>YEAR(Europe_Sales_Records34[[#This Row],[Ship Date Fixed]])</f>
        <v>2014</v>
      </c>
      <c r="Q1251" t="str">
        <f>TEXT(Europe_Sales_Records34[[#This Row],[Ship Date Fixed]],"MMM-YYYY")</f>
        <v>Jul-2014</v>
      </c>
      <c r="R1251" t="s">
        <v>1258</v>
      </c>
      <c r="S1251" s="3">
        <f>Europe_Sales_Records34[[#This Row],[Ship Date Fixed]]-Europe_Sales_Records34[[#This Row],[Order Date Fixed]]</f>
        <v>32</v>
      </c>
      <c r="T1251">
        <v>3530</v>
      </c>
      <c r="U1251">
        <v>668.27</v>
      </c>
      <c r="V1251">
        <v>502.54</v>
      </c>
      <c r="W1251">
        <f>Europe_Sales_Records34[[#This Row],[Total Revenue]]/Europe_Sales_Records34[[#This Row],[Units Sold]]</f>
        <v>668.27</v>
      </c>
      <c r="X1251">
        <v>2358993.1</v>
      </c>
      <c r="Y1251">
        <v>1773966.2</v>
      </c>
      <c r="Z1251" s="4">
        <f>Europe_Sales_Records34[[#This Row],[Total Profit]]/Europe_Sales_Records34[[#This Row],[Total Revenue]]</f>
        <v>0.24799856345489099</v>
      </c>
      <c r="AA1251">
        <v>585026.9</v>
      </c>
    </row>
    <row r="1252" spans="1:27" x14ac:dyDescent="0.3">
      <c r="A1252" t="s">
        <v>14</v>
      </c>
      <c r="B1252" t="s">
        <v>27</v>
      </c>
      <c r="C1252" t="s">
        <v>28</v>
      </c>
      <c r="D1252" t="s">
        <v>23</v>
      </c>
      <c r="E1252" t="s">
        <v>24</v>
      </c>
      <c r="F1252" t="s">
        <v>1738</v>
      </c>
      <c r="G1252" s="2">
        <f t="shared" si="38"/>
        <v>40311</v>
      </c>
      <c r="H1252">
        <f>DAY(Europe_Sales_Records34[[#This Row],[Order Date Fixed]])</f>
        <v>13</v>
      </c>
      <c r="I1252" t="str">
        <f>TEXT(Europe_Sales_Records34[[#This Row],[Order Date Fixed]],"MMM")</f>
        <v>May</v>
      </c>
      <c r="J1252">
        <f>YEAR(Europe_Sales_Records34[[#This Row],[Order Date Fixed]])</f>
        <v>2010</v>
      </c>
      <c r="K1252" t="str">
        <f>TEXT(Europe_Sales_Records34[[#This Row],[Order Date Fixed]],"MMM-YYYY")</f>
        <v>May-2010</v>
      </c>
      <c r="L1252">
        <v>123544108</v>
      </c>
      <c r="M1252" s="2">
        <f t="shared" si="39"/>
        <v>40351</v>
      </c>
      <c r="N1252">
        <f>DAY(Europe_Sales_Records34[[#This Row],[Ship Date Fixed]])</f>
        <v>22</v>
      </c>
      <c r="O1252" t="str">
        <f>TEXT(Europe_Sales_Records34[[#This Row],[Ship Date Fixed]],"MMM")</f>
        <v>Jun</v>
      </c>
      <c r="P1252">
        <f>YEAR(Europe_Sales_Records34[[#This Row],[Ship Date Fixed]])</f>
        <v>2010</v>
      </c>
      <c r="Q1252" t="str">
        <f>TEXT(Europe_Sales_Records34[[#This Row],[Ship Date Fixed]],"MMM-YYYY")</f>
        <v>Jun-2010</v>
      </c>
      <c r="R1252" t="s">
        <v>1713</v>
      </c>
      <c r="S1252" s="3">
        <f>Europe_Sales_Records34[[#This Row],[Ship Date Fixed]]-Europe_Sales_Records34[[#This Row],[Order Date Fixed]]</f>
        <v>40</v>
      </c>
      <c r="T1252">
        <v>8302</v>
      </c>
      <c r="U1252">
        <v>205.7</v>
      </c>
      <c r="V1252">
        <v>117.11</v>
      </c>
      <c r="W1252">
        <f>Europe_Sales_Records34[[#This Row],[Total Revenue]]/Europe_Sales_Records34[[#This Row],[Units Sold]]</f>
        <v>205.7</v>
      </c>
      <c r="X1252">
        <v>1707721.4</v>
      </c>
      <c r="Y1252">
        <v>972247.22</v>
      </c>
      <c r="Z1252" s="4">
        <f>Europe_Sales_Records34[[#This Row],[Total Profit]]/Europe_Sales_Records34[[#This Row],[Total Revenue]]</f>
        <v>0.43067574137092857</v>
      </c>
      <c r="AA1252">
        <v>735474.18</v>
      </c>
    </row>
    <row r="1253" spans="1:27" x14ac:dyDescent="0.3">
      <c r="A1253" t="s">
        <v>14</v>
      </c>
      <c r="B1253" t="s">
        <v>80</v>
      </c>
      <c r="C1253" t="s">
        <v>58</v>
      </c>
      <c r="D1253" t="s">
        <v>17</v>
      </c>
      <c r="E1253" t="s">
        <v>24</v>
      </c>
      <c r="F1253" t="s">
        <v>1739</v>
      </c>
      <c r="G1253" s="2">
        <f t="shared" si="38"/>
        <v>42832</v>
      </c>
      <c r="H1253">
        <f>DAY(Europe_Sales_Records34[[#This Row],[Order Date Fixed]])</f>
        <v>7</v>
      </c>
      <c r="I1253" t="str">
        <f>TEXT(Europe_Sales_Records34[[#This Row],[Order Date Fixed]],"MMM")</f>
        <v>Apr</v>
      </c>
      <c r="J1253">
        <f>YEAR(Europe_Sales_Records34[[#This Row],[Order Date Fixed]])</f>
        <v>2017</v>
      </c>
      <c r="K1253" t="str">
        <f>TEXT(Europe_Sales_Records34[[#This Row],[Order Date Fixed]],"MMM-YYYY")</f>
        <v>Apr-2017</v>
      </c>
      <c r="L1253">
        <v>569170606</v>
      </c>
      <c r="M1253" s="2">
        <f t="shared" si="39"/>
        <v>42838</v>
      </c>
      <c r="N1253">
        <f>DAY(Europe_Sales_Records34[[#This Row],[Ship Date Fixed]])</f>
        <v>13</v>
      </c>
      <c r="O1253" t="str">
        <f>TEXT(Europe_Sales_Records34[[#This Row],[Ship Date Fixed]],"MMM")</f>
        <v>Apr</v>
      </c>
      <c r="P1253">
        <f>YEAR(Europe_Sales_Records34[[#This Row],[Ship Date Fixed]])</f>
        <v>2017</v>
      </c>
      <c r="Q1253" t="str">
        <f>TEXT(Europe_Sales_Records34[[#This Row],[Ship Date Fixed]],"MMM-YYYY")</f>
        <v>Apr-2017</v>
      </c>
      <c r="R1253" t="s">
        <v>760</v>
      </c>
      <c r="S1253" s="3">
        <f>Europe_Sales_Records34[[#This Row],[Ship Date Fixed]]-Europe_Sales_Records34[[#This Row],[Order Date Fixed]]</f>
        <v>6</v>
      </c>
      <c r="T1253">
        <v>9085</v>
      </c>
      <c r="U1253">
        <v>152.58000000000001</v>
      </c>
      <c r="V1253">
        <v>97.44</v>
      </c>
      <c r="W1253">
        <f>Europe_Sales_Records34[[#This Row],[Total Revenue]]/Europe_Sales_Records34[[#This Row],[Units Sold]]</f>
        <v>152.58000000000001</v>
      </c>
      <c r="X1253">
        <v>1386189.3</v>
      </c>
      <c r="Y1253">
        <v>885242.4</v>
      </c>
      <c r="Z1253" s="4">
        <f>Europe_Sales_Records34[[#This Row],[Total Profit]]/Europe_Sales_Records34[[#This Row],[Total Revenue]]</f>
        <v>0.36138419189933152</v>
      </c>
      <c r="AA1253">
        <v>500946.9</v>
      </c>
    </row>
    <row r="1254" spans="1:27" x14ac:dyDescent="0.3">
      <c r="A1254" t="s">
        <v>14</v>
      </c>
      <c r="B1254" t="s">
        <v>61</v>
      </c>
      <c r="C1254" t="s">
        <v>102</v>
      </c>
      <c r="D1254" t="s">
        <v>23</v>
      </c>
      <c r="E1254" t="s">
        <v>33</v>
      </c>
      <c r="F1254" t="s">
        <v>139</v>
      </c>
      <c r="G1254" s="2">
        <f t="shared" si="38"/>
        <v>40914</v>
      </c>
      <c r="H1254">
        <f>DAY(Europe_Sales_Records34[[#This Row],[Order Date Fixed]])</f>
        <v>6</v>
      </c>
      <c r="I1254" t="str">
        <f>TEXT(Europe_Sales_Records34[[#This Row],[Order Date Fixed]],"MMM")</f>
        <v>Jan</v>
      </c>
      <c r="J1254">
        <f>YEAR(Europe_Sales_Records34[[#This Row],[Order Date Fixed]])</f>
        <v>2012</v>
      </c>
      <c r="K1254" t="str">
        <f>TEXT(Europe_Sales_Records34[[#This Row],[Order Date Fixed]],"MMM-YYYY")</f>
        <v>Jan-2012</v>
      </c>
      <c r="L1254">
        <v>185947310</v>
      </c>
      <c r="M1254" s="2">
        <f t="shared" si="39"/>
        <v>40935</v>
      </c>
      <c r="N1254">
        <f>DAY(Europe_Sales_Records34[[#This Row],[Ship Date Fixed]])</f>
        <v>27</v>
      </c>
      <c r="O1254" t="str">
        <f>TEXT(Europe_Sales_Records34[[#This Row],[Ship Date Fixed]],"MMM")</f>
        <v>Jan</v>
      </c>
      <c r="P1254">
        <f>YEAR(Europe_Sales_Records34[[#This Row],[Ship Date Fixed]])</f>
        <v>2012</v>
      </c>
      <c r="Q1254" t="str">
        <f>TEXT(Europe_Sales_Records34[[#This Row],[Ship Date Fixed]],"MMM-YYYY")</f>
        <v>Jan-2012</v>
      </c>
      <c r="R1254" t="s">
        <v>1536</v>
      </c>
      <c r="S1254" s="3">
        <f>Europe_Sales_Records34[[#This Row],[Ship Date Fixed]]-Europe_Sales_Records34[[#This Row],[Order Date Fixed]]</f>
        <v>21</v>
      </c>
      <c r="T1254">
        <v>4796</v>
      </c>
      <c r="U1254">
        <v>81.73</v>
      </c>
      <c r="V1254">
        <v>56.67</v>
      </c>
      <c r="W1254">
        <f>Europe_Sales_Records34[[#This Row],[Total Revenue]]/Europe_Sales_Records34[[#This Row],[Units Sold]]</f>
        <v>81.73</v>
      </c>
      <c r="X1254">
        <v>391977.08</v>
      </c>
      <c r="Y1254">
        <v>271789.32</v>
      </c>
      <c r="Z1254" s="4">
        <f>Europe_Sales_Records34[[#This Row],[Total Profit]]/Europe_Sales_Records34[[#This Row],[Total Revenue]]</f>
        <v>0.30661935641747212</v>
      </c>
      <c r="AA1254">
        <v>120187.76</v>
      </c>
    </row>
    <row r="1255" spans="1:27" x14ac:dyDescent="0.3">
      <c r="A1255" t="s">
        <v>14</v>
      </c>
      <c r="B1255" t="s">
        <v>89</v>
      </c>
      <c r="C1255" t="s">
        <v>46</v>
      </c>
      <c r="D1255" t="s">
        <v>23</v>
      </c>
      <c r="E1255" t="s">
        <v>54</v>
      </c>
      <c r="F1255" t="s">
        <v>668</v>
      </c>
      <c r="G1255" s="2">
        <f t="shared" si="38"/>
        <v>42204</v>
      </c>
      <c r="H1255">
        <f>DAY(Europe_Sales_Records34[[#This Row],[Order Date Fixed]])</f>
        <v>19</v>
      </c>
      <c r="I1255" t="str">
        <f>TEXT(Europe_Sales_Records34[[#This Row],[Order Date Fixed]],"MMM")</f>
        <v>Jul</v>
      </c>
      <c r="J1255">
        <f>YEAR(Europe_Sales_Records34[[#This Row],[Order Date Fixed]])</f>
        <v>2015</v>
      </c>
      <c r="K1255" t="str">
        <f>TEXT(Europe_Sales_Records34[[#This Row],[Order Date Fixed]],"MMM-YYYY")</f>
        <v>Jul-2015</v>
      </c>
      <c r="L1255">
        <v>534709155</v>
      </c>
      <c r="M1255" s="2">
        <f t="shared" si="39"/>
        <v>42249</v>
      </c>
      <c r="N1255">
        <f>DAY(Europe_Sales_Records34[[#This Row],[Ship Date Fixed]])</f>
        <v>2</v>
      </c>
      <c r="O1255" t="str">
        <f>TEXT(Europe_Sales_Records34[[#This Row],[Ship Date Fixed]],"MMM")</f>
        <v>Sep</v>
      </c>
      <c r="P1255">
        <f>YEAR(Europe_Sales_Records34[[#This Row],[Ship Date Fixed]])</f>
        <v>2015</v>
      </c>
      <c r="Q1255" t="str">
        <f>TEXT(Europe_Sales_Records34[[#This Row],[Ship Date Fixed]],"MMM-YYYY")</f>
        <v>Sep-2015</v>
      </c>
      <c r="R1255" t="s">
        <v>1034</v>
      </c>
      <c r="S1255" s="3">
        <f>Europe_Sales_Records34[[#This Row],[Ship Date Fixed]]-Europe_Sales_Records34[[#This Row],[Order Date Fixed]]</f>
        <v>45</v>
      </c>
      <c r="T1255">
        <v>1176</v>
      </c>
      <c r="U1255">
        <v>154.06</v>
      </c>
      <c r="V1255">
        <v>90.93</v>
      </c>
      <c r="W1255">
        <f>Europe_Sales_Records34[[#This Row],[Total Revenue]]/Europe_Sales_Records34[[#This Row],[Units Sold]]</f>
        <v>154.06</v>
      </c>
      <c r="X1255">
        <v>181174.56</v>
      </c>
      <c r="Y1255">
        <v>106933.68</v>
      </c>
      <c r="Z1255" s="4">
        <f>Europe_Sales_Records34[[#This Row],[Total Profit]]/Europe_Sales_Records34[[#This Row],[Total Revenue]]</f>
        <v>0.40977541217707392</v>
      </c>
      <c r="AA1255">
        <v>74240.88</v>
      </c>
    </row>
    <row r="1256" spans="1:27" x14ac:dyDescent="0.3">
      <c r="A1256" t="s">
        <v>14</v>
      </c>
      <c r="B1256" t="s">
        <v>67</v>
      </c>
      <c r="C1256" t="s">
        <v>32</v>
      </c>
      <c r="D1256" t="s">
        <v>23</v>
      </c>
      <c r="E1256" t="s">
        <v>18</v>
      </c>
      <c r="F1256" t="s">
        <v>1740</v>
      </c>
      <c r="G1256" s="2">
        <f t="shared" si="38"/>
        <v>41860</v>
      </c>
      <c r="H1256">
        <f>DAY(Europe_Sales_Records34[[#This Row],[Order Date Fixed]])</f>
        <v>9</v>
      </c>
      <c r="I1256" t="str">
        <f>TEXT(Europe_Sales_Records34[[#This Row],[Order Date Fixed]],"MMM")</f>
        <v>Aug</v>
      </c>
      <c r="J1256">
        <f>YEAR(Europe_Sales_Records34[[#This Row],[Order Date Fixed]])</f>
        <v>2014</v>
      </c>
      <c r="K1256" t="str">
        <f>TEXT(Europe_Sales_Records34[[#This Row],[Order Date Fixed]],"MMM-YYYY")</f>
        <v>Aug-2014</v>
      </c>
      <c r="L1256">
        <v>138182103</v>
      </c>
      <c r="M1256" s="2">
        <f t="shared" si="39"/>
        <v>41867</v>
      </c>
      <c r="N1256">
        <f>DAY(Europe_Sales_Records34[[#This Row],[Ship Date Fixed]])</f>
        <v>16</v>
      </c>
      <c r="O1256" t="str">
        <f>TEXT(Europe_Sales_Records34[[#This Row],[Ship Date Fixed]],"MMM")</f>
        <v>Aug</v>
      </c>
      <c r="P1256">
        <f>YEAR(Europe_Sales_Records34[[#This Row],[Ship Date Fixed]])</f>
        <v>2014</v>
      </c>
      <c r="Q1256" t="str">
        <f>TEXT(Europe_Sales_Records34[[#This Row],[Ship Date Fixed]],"MMM-YYYY")</f>
        <v>Aug-2014</v>
      </c>
      <c r="R1256" t="s">
        <v>1232</v>
      </c>
      <c r="S1256" s="3">
        <f>Europe_Sales_Records34[[#This Row],[Ship Date Fixed]]-Europe_Sales_Records34[[#This Row],[Order Date Fixed]]</f>
        <v>7</v>
      </c>
      <c r="T1256">
        <v>10</v>
      </c>
      <c r="U1256">
        <v>651.21</v>
      </c>
      <c r="V1256">
        <v>524.96</v>
      </c>
      <c r="W1256">
        <f>Europe_Sales_Records34[[#This Row],[Total Revenue]]/Europe_Sales_Records34[[#This Row],[Units Sold]]</f>
        <v>651.21</v>
      </c>
      <c r="X1256">
        <v>6512.1</v>
      </c>
      <c r="Y1256">
        <v>5249.6</v>
      </c>
      <c r="Z1256" s="4">
        <f>Europe_Sales_Records34[[#This Row],[Total Profit]]/Europe_Sales_Records34[[#This Row],[Total Revenue]]</f>
        <v>0.19386987300563566</v>
      </c>
      <c r="AA1256">
        <v>1262.5</v>
      </c>
    </row>
    <row r="1257" spans="1:27" x14ac:dyDescent="0.3">
      <c r="A1257" t="s">
        <v>14</v>
      </c>
      <c r="B1257" t="s">
        <v>31</v>
      </c>
      <c r="C1257" t="s">
        <v>50</v>
      </c>
      <c r="D1257" t="s">
        <v>17</v>
      </c>
      <c r="E1257" t="s">
        <v>54</v>
      </c>
      <c r="F1257" t="s">
        <v>357</v>
      </c>
      <c r="G1257" s="2">
        <f t="shared" si="38"/>
        <v>41527</v>
      </c>
      <c r="H1257">
        <f>DAY(Europe_Sales_Records34[[#This Row],[Order Date Fixed]])</f>
        <v>10</v>
      </c>
      <c r="I1257" t="str">
        <f>TEXT(Europe_Sales_Records34[[#This Row],[Order Date Fixed]],"MMM")</f>
        <v>Sep</v>
      </c>
      <c r="J1257">
        <f>YEAR(Europe_Sales_Records34[[#This Row],[Order Date Fixed]])</f>
        <v>2013</v>
      </c>
      <c r="K1257" t="str">
        <f>TEXT(Europe_Sales_Records34[[#This Row],[Order Date Fixed]],"MMM-YYYY")</f>
        <v>Sep-2013</v>
      </c>
      <c r="L1257">
        <v>780590045</v>
      </c>
      <c r="M1257" s="2">
        <f t="shared" si="39"/>
        <v>41550</v>
      </c>
      <c r="N1257">
        <f>DAY(Europe_Sales_Records34[[#This Row],[Ship Date Fixed]])</f>
        <v>3</v>
      </c>
      <c r="O1257" t="str">
        <f>TEXT(Europe_Sales_Records34[[#This Row],[Ship Date Fixed]],"MMM")</f>
        <v>Oct</v>
      </c>
      <c r="P1257">
        <f>YEAR(Europe_Sales_Records34[[#This Row],[Ship Date Fixed]])</f>
        <v>2013</v>
      </c>
      <c r="Q1257" t="str">
        <f>TEXT(Europe_Sales_Records34[[#This Row],[Ship Date Fixed]],"MMM-YYYY")</f>
        <v>Oct-2013</v>
      </c>
      <c r="R1257" t="s">
        <v>1741</v>
      </c>
      <c r="S1257" s="3">
        <f>Europe_Sales_Records34[[#This Row],[Ship Date Fixed]]-Europe_Sales_Records34[[#This Row],[Order Date Fixed]]</f>
        <v>23</v>
      </c>
      <c r="T1257">
        <v>2796</v>
      </c>
      <c r="U1257">
        <v>421.89</v>
      </c>
      <c r="V1257">
        <v>364.69</v>
      </c>
      <c r="W1257">
        <f>Europe_Sales_Records34[[#This Row],[Total Revenue]]/Europe_Sales_Records34[[#This Row],[Units Sold]]</f>
        <v>421.89</v>
      </c>
      <c r="X1257">
        <v>1179604.44</v>
      </c>
      <c r="Y1257">
        <v>1019673.24</v>
      </c>
      <c r="Z1257" s="4">
        <f>Europe_Sales_Records34[[#This Row],[Total Profit]]/Europe_Sales_Records34[[#This Row],[Total Revenue]]</f>
        <v>0.13558036455000119</v>
      </c>
      <c r="AA1257">
        <v>159931.20000000001</v>
      </c>
    </row>
    <row r="1258" spans="1:27" x14ac:dyDescent="0.3">
      <c r="A1258" t="s">
        <v>14</v>
      </c>
      <c r="B1258" t="s">
        <v>183</v>
      </c>
      <c r="C1258" t="s">
        <v>37</v>
      </c>
      <c r="D1258" t="s">
        <v>23</v>
      </c>
      <c r="E1258" t="s">
        <v>33</v>
      </c>
      <c r="F1258" t="s">
        <v>1350</v>
      </c>
      <c r="G1258" s="2">
        <f t="shared" si="38"/>
        <v>42925</v>
      </c>
      <c r="H1258">
        <f>DAY(Europe_Sales_Records34[[#This Row],[Order Date Fixed]])</f>
        <v>9</v>
      </c>
      <c r="I1258" t="str">
        <f>TEXT(Europe_Sales_Records34[[#This Row],[Order Date Fixed]],"MMM")</f>
        <v>Jul</v>
      </c>
      <c r="J1258">
        <f>YEAR(Europe_Sales_Records34[[#This Row],[Order Date Fixed]])</f>
        <v>2017</v>
      </c>
      <c r="K1258" t="str">
        <f>TEXT(Europe_Sales_Records34[[#This Row],[Order Date Fixed]],"MMM-YYYY")</f>
        <v>Jul-2017</v>
      </c>
      <c r="L1258">
        <v>643448483</v>
      </c>
      <c r="M1258" s="2">
        <f t="shared" si="39"/>
        <v>42941</v>
      </c>
      <c r="N1258">
        <f>DAY(Europe_Sales_Records34[[#This Row],[Ship Date Fixed]])</f>
        <v>25</v>
      </c>
      <c r="O1258" t="str">
        <f>TEXT(Europe_Sales_Records34[[#This Row],[Ship Date Fixed]],"MMM")</f>
        <v>Jul</v>
      </c>
      <c r="P1258">
        <f>YEAR(Europe_Sales_Records34[[#This Row],[Ship Date Fixed]])</f>
        <v>2017</v>
      </c>
      <c r="Q1258" t="str">
        <f>TEXT(Europe_Sales_Records34[[#This Row],[Ship Date Fixed]],"MMM-YYYY")</f>
        <v>Jul-2017</v>
      </c>
      <c r="R1258" t="s">
        <v>1742</v>
      </c>
      <c r="S1258" s="3">
        <f>Europe_Sales_Records34[[#This Row],[Ship Date Fixed]]-Europe_Sales_Records34[[#This Row],[Order Date Fixed]]</f>
        <v>16</v>
      </c>
      <c r="T1258">
        <v>9560</v>
      </c>
      <c r="U1258">
        <v>9.33</v>
      </c>
      <c r="V1258">
        <v>6.92</v>
      </c>
      <c r="W1258">
        <f>Europe_Sales_Records34[[#This Row],[Total Revenue]]/Europe_Sales_Records34[[#This Row],[Units Sold]]</f>
        <v>9.33</v>
      </c>
      <c r="X1258">
        <v>89194.8</v>
      </c>
      <c r="Y1258">
        <v>66155.199999999997</v>
      </c>
      <c r="Z1258" s="4">
        <f>Europe_Sales_Records34[[#This Row],[Total Profit]]/Europe_Sales_Records34[[#This Row],[Total Revenue]]</f>
        <v>0.25830653804930331</v>
      </c>
      <c r="AA1258">
        <v>23039.599999999999</v>
      </c>
    </row>
    <row r="1259" spans="1:27" x14ac:dyDescent="0.3">
      <c r="A1259" t="s">
        <v>14</v>
      </c>
      <c r="B1259" t="s">
        <v>271</v>
      </c>
      <c r="C1259" t="s">
        <v>32</v>
      </c>
      <c r="D1259" t="s">
        <v>23</v>
      </c>
      <c r="E1259" t="s">
        <v>18</v>
      </c>
      <c r="F1259" t="s">
        <v>863</v>
      </c>
      <c r="G1259" s="2">
        <f t="shared" si="38"/>
        <v>40549</v>
      </c>
      <c r="H1259">
        <f>DAY(Europe_Sales_Records34[[#This Row],[Order Date Fixed]])</f>
        <v>6</v>
      </c>
      <c r="I1259" t="str">
        <f>TEXT(Europe_Sales_Records34[[#This Row],[Order Date Fixed]],"MMM")</f>
        <v>Jan</v>
      </c>
      <c r="J1259">
        <f>YEAR(Europe_Sales_Records34[[#This Row],[Order Date Fixed]])</f>
        <v>2011</v>
      </c>
      <c r="K1259" t="str">
        <f>TEXT(Europe_Sales_Records34[[#This Row],[Order Date Fixed]],"MMM-YYYY")</f>
        <v>Jan-2011</v>
      </c>
      <c r="L1259">
        <v>144978606</v>
      </c>
      <c r="M1259" s="2">
        <f t="shared" si="39"/>
        <v>40593</v>
      </c>
      <c r="N1259">
        <f>DAY(Europe_Sales_Records34[[#This Row],[Ship Date Fixed]])</f>
        <v>19</v>
      </c>
      <c r="O1259" t="str">
        <f>TEXT(Europe_Sales_Records34[[#This Row],[Ship Date Fixed]],"MMM")</f>
        <v>Feb</v>
      </c>
      <c r="P1259">
        <f>YEAR(Europe_Sales_Records34[[#This Row],[Ship Date Fixed]])</f>
        <v>2011</v>
      </c>
      <c r="Q1259" t="str">
        <f>TEXT(Europe_Sales_Records34[[#This Row],[Ship Date Fixed]],"MMM-YYYY")</f>
        <v>Feb-2011</v>
      </c>
      <c r="R1259" t="s">
        <v>1029</v>
      </c>
      <c r="S1259" s="3">
        <f>Europe_Sales_Records34[[#This Row],[Ship Date Fixed]]-Europe_Sales_Records34[[#This Row],[Order Date Fixed]]</f>
        <v>44</v>
      </c>
      <c r="T1259">
        <v>1246</v>
      </c>
      <c r="U1259">
        <v>651.21</v>
      </c>
      <c r="V1259">
        <v>524.96</v>
      </c>
      <c r="W1259">
        <f>Europe_Sales_Records34[[#This Row],[Total Revenue]]/Europe_Sales_Records34[[#This Row],[Units Sold]]</f>
        <v>651.21</v>
      </c>
      <c r="X1259">
        <v>811407.66</v>
      </c>
      <c r="Y1259">
        <v>654100.16</v>
      </c>
      <c r="Z1259" s="4">
        <f>Europe_Sales_Records34[[#This Row],[Total Profit]]/Europe_Sales_Records34[[#This Row],[Total Revenue]]</f>
        <v>0.19386987300563566</v>
      </c>
      <c r="AA1259">
        <v>157307.5</v>
      </c>
    </row>
    <row r="1260" spans="1:27" x14ac:dyDescent="0.3">
      <c r="A1260" t="s">
        <v>14</v>
      </c>
      <c r="B1260" t="s">
        <v>86</v>
      </c>
      <c r="C1260" t="s">
        <v>71</v>
      </c>
      <c r="D1260" t="s">
        <v>23</v>
      </c>
      <c r="E1260" t="s">
        <v>24</v>
      </c>
      <c r="F1260" t="s">
        <v>601</v>
      </c>
      <c r="G1260" s="2">
        <f t="shared" si="38"/>
        <v>41643</v>
      </c>
      <c r="H1260">
        <f>DAY(Europe_Sales_Records34[[#This Row],[Order Date Fixed]])</f>
        <v>4</v>
      </c>
      <c r="I1260" t="str">
        <f>TEXT(Europe_Sales_Records34[[#This Row],[Order Date Fixed]],"MMM")</f>
        <v>Jan</v>
      </c>
      <c r="J1260">
        <f>YEAR(Europe_Sales_Records34[[#This Row],[Order Date Fixed]])</f>
        <v>2014</v>
      </c>
      <c r="K1260" t="str">
        <f>TEXT(Europe_Sales_Records34[[#This Row],[Order Date Fixed]],"MMM-YYYY")</f>
        <v>Jan-2014</v>
      </c>
      <c r="L1260">
        <v>444798934</v>
      </c>
      <c r="M1260" s="2">
        <f t="shared" si="39"/>
        <v>41659</v>
      </c>
      <c r="N1260">
        <f>DAY(Europe_Sales_Records34[[#This Row],[Ship Date Fixed]])</f>
        <v>20</v>
      </c>
      <c r="O1260" t="str">
        <f>TEXT(Europe_Sales_Records34[[#This Row],[Ship Date Fixed]],"MMM")</f>
        <v>Jan</v>
      </c>
      <c r="P1260">
        <f>YEAR(Europe_Sales_Records34[[#This Row],[Ship Date Fixed]])</f>
        <v>2014</v>
      </c>
      <c r="Q1260" t="str">
        <f>TEXT(Europe_Sales_Records34[[#This Row],[Ship Date Fixed]],"MMM-YYYY")</f>
        <v>Jan-2014</v>
      </c>
      <c r="R1260" t="s">
        <v>1743</v>
      </c>
      <c r="S1260" s="3">
        <f>Europe_Sales_Records34[[#This Row],[Ship Date Fixed]]-Europe_Sales_Records34[[#This Row],[Order Date Fixed]]</f>
        <v>16</v>
      </c>
      <c r="T1260">
        <v>4744</v>
      </c>
      <c r="U1260">
        <v>668.27</v>
      </c>
      <c r="V1260">
        <v>502.54</v>
      </c>
      <c r="W1260">
        <f>Europe_Sales_Records34[[#This Row],[Total Revenue]]/Europe_Sales_Records34[[#This Row],[Units Sold]]</f>
        <v>668.27</v>
      </c>
      <c r="X1260">
        <v>3170272.88</v>
      </c>
      <c r="Y1260">
        <v>2384049.7599999998</v>
      </c>
      <c r="Z1260" s="4">
        <f>Europe_Sales_Records34[[#This Row],[Total Profit]]/Europe_Sales_Records34[[#This Row],[Total Revenue]]</f>
        <v>0.24799856345489099</v>
      </c>
      <c r="AA1260">
        <v>786223.12</v>
      </c>
    </row>
    <row r="1261" spans="1:27" x14ac:dyDescent="0.3">
      <c r="A1261" t="s">
        <v>14</v>
      </c>
      <c r="B1261" t="s">
        <v>92</v>
      </c>
      <c r="C1261" t="s">
        <v>50</v>
      </c>
      <c r="D1261" t="s">
        <v>23</v>
      </c>
      <c r="E1261" t="s">
        <v>18</v>
      </c>
      <c r="F1261" t="s">
        <v>1071</v>
      </c>
      <c r="G1261" s="2">
        <f t="shared" si="38"/>
        <v>42886</v>
      </c>
      <c r="H1261">
        <f>DAY(Europe_Sales_Records34[[#This Row],[Order Date Fixed]])</f>
        <v>31</v>
      </c>
      <c r="I1261" t="str">
        <f>TEXT(Europe_Sales_Records34[[#This Row],[Order Date Fixed]],"MMM")</f>
        <v>May</v>
      </c>
      <c r="J1261">
        <f>YEAR(Europe_Sales_Records34[[#This Row],[Order Date Fixed]])</f>
        <v>2017</v>
      </c>
      <c r="K1261" t="str">
        <f>TEXT(Europe_Sales_Records34[[#This Row],[Order Date Fixed]],"MMM-YYYY")</f>
        <v>May-2017</v>
      </c>
      <c r="L1261">
        <v>543396508</v>
      </c>
      <c r="M1261" s="2">
        <f t="shared" si="39"/>
        <v>42891</v>
      </c>
      <c r="N1261">
        <f>DAY(Europe_Sales_Records34[[#This Row],[Ship Date Fixed]])</f>
        <v>5</v>
      </c>
      <c r="O1261" t="str">
        <f>TEXT(Europe_Sales_Records34[[#This Row],[Ship Date Fixed]],"MMM")</f>
        <v>Jun</v>
      </c>
      <c r="P1261">
        <f>YEAR(Europe_Sales_Records34[[#This Row],[Ship Date Fixed]])</f>
        <v>2017</v>
      </c>
      <c r="Q1261" t="str">
        <f>TEXT(Europe_Sales_Records34[[#This Row],[Ship Date Fixed]],"MMM-YYYY")</f>
        <v>Jun-2017</v>
      </c>
      <c r="R1261" t="s">
        <v>978</v>
      </c>
      <c r="S1261" s="3">
        <f>Europe_Sales_Records34[[#This Row],[Ship Date Fixed]]-Europe_Sales_Records34[[#This Row],[Order Date Fixed]]</f>
        <v>5</v>
      </c>
      <c r="T1261">
        <v>1957</v>
      </c>
      <c r="U1261">
        <v>421.89</v>
      </c>
      <c r="V1261">
        <v>364.69</v>
      </c>
      <c r="W1261">
        <f>Europe_Sales_Records34[[#This Row],[Total Revenue]]/Europe_Sales_Records34[[#This Row],[Units Sold]]</f>
        <v>421.89</v>
      </c>
      <c r="X1261">
        <v>825638.73</v>
      </c>
      <c r="Y1261">
        <v>713698.33</v>
      </c>
      <c r="Z1261" s="4">
        <f>Europe_Sales_Records34[[#This Row],[Total Profit]]/Europe_Sales_Records34[[#This Row],[Total Revenue]]</f>
        <v>0.13558036455000119</v>
      </c>
      <c r="AA1261">
        <v>111940.4</v>
      </c>
    </row>
    <row r="1262" spans="1:27" x14ac:dyDescent="0.3">
      <c r="A1262" t="s">
        <v>14</v>
      </c>
      <c r="B1262" t="s">
        <v>27</v>
      </c>
      <c r="C1262" t="s">
        <v>50</v>
      </c>
      <c r="D1262" t="s">
        <v>23</v>
      </c>
      <c r="E1262" t="s">
        <v>54</v>
      </c>
      <c r="F1262" t="s">
        <v>658</v>
      </c>
      <c r="G1262" s="2">
        <f t="shared" si="38"/>
        <v>41584</v>
      </c>
      <c r="H1262">
        <f>DAY(Europe_Sales_Records34[[#This Row],[Order Date Fixed]])</f>
        <v>6</v>
      </c>
      <c r="I1262" t="str">
        <f>TEXT(Europe_Sales_Records34[[#This Row],[Order Date Fixed]],"MMM")</f>
        <v>Nov</v>
      </c>
      <c r="J1262">
        <f>YEAR(Europe_Sales_Records34[[#This Row],[Order Date Fixed]])</f>
        <v>2013</v>
      </c>
      <c r="K1262" t="str">
        <f>TEXT(Europe_Sales_Records34[[#This Row],[Order Date Fixed]],"MMM-YYYY")</f>
        <v>Nov-2013</v>
      </c>
      <c r="L1262">
        <v>866396272</v>
      </c>
      <c r="M1262" s="2">
        <f t="shared" si="39"/>
        <v>41594</v>
      </c>
      <c r="N1262">
        <f>DAY(Europe_Sales_Records34[[#This Row],[Ship Date Fixed]])</f>
        <v>16</v>
      </c>
      <c r="O1262" t="str">
        <f>TEXT(Europe_Sales_Records34[[#This Row],[Ship Date Fixed]],"MMM")</f>
        <v>Nov</v>
      </c>
      <c r="P1262">
        <f>YEAR(Europe_Sales_Records34[[#This Row],[Ship Date Fixed]])</f>
        <v>2013</v>
      </c>
      <c r="Q1262" t="str">
        <f>TEXT(Europe_Sales_Records34[[#This Row],[Ship Date Fixed]],"MMM-YYYY")</f>
        <v>Nov-2013</v>
      </c>
      <c r="R1262" t="s">
        <v>1080</v>
      </c>
      <c r="S1262" s="3">
        <f>Europe_Sales_Records34[[#This Row],[Ship Date Fixed]]-Europe_Sales_Records34[[#This Row],[Order Date Fixed]]</f>
        <v>10</v>
      </c>
      <c r="T1262">
        <v>4765</v>
      </c>
      <c r="U1262">
        <v>421.89</v>
      </c>
      <c r="V1262">
        <v>364.69</v>
      </c>
      <c r="W1262">
        <f>Europe_Sales_Records34[[#This Row],[Total Revenue]]/Europe_Sales_Records34[[#This Row],[Units Sold]]</f>
        <v>421.89000000000004</v>
      </c>
      <c r="X1262">
        <v>2010305.85</v>
      </c>
      <c r="Y1262">
        <v>1737747.85</v>
      </c>
      <c r="Z1262" s="4">
        <f>Europe_Sales_Records34[[#This Row],[Total Profit]]/Europe_Sales_Records34[[#This Row],[Total Revenue]]</f>
        <v>0.13558036455000119</v>
      </c>
      <c r="AA1262">
        <v>272558</v>
      </c>
    </row>
    <row r="1263" spans="1:27" x14ac:dyDescent="0.3">
      <c r="A1263" t="s">
        <v>14</v>
      </c>
      <c r="B1263" t="s">
        <v>271</v>
      </c>
      <c r="C1263" t="s">
        <v>28</v>
      </c>
      <c r="D1263" t="s">
        <v>23</v>
      </c>
      <c r="E1263" t="s">
        <v>54</v>
      </c>
      <c r="F1263" t="s">
        <v>1744</v>
      </c>
      <c r="G1263" s="2">
        <f t="shared" si="38"/>
        <v>42563</v>
      </c>
      <c r="H1263">
        <f>DAY(Europe_Sales_Records34[[#This Row],[Order Date Fixed]])</f>
        <v>12</v>
      </c>
      <c r="I1263" t="str">
        <f>TEXT(Europe_Sales_Records34[[#This Row],[Order Date Fixed]],"MMM")</f>
        <v>Jul</v>
      </c>
      <c r="J1263">
        <f>YEAR(Europe_Sales_Records34[[#This Row],[Order Date Fixed]])</f>
        <v>2016</v>
      </c>
      <c r="K1263" t="str">
        <f>TEXT(Europe_Sales_Records34[[#This Row],[Order Date Fixed]],"MMM-YYYY")</f>
        <v>Jul-2016</v>
      </c>
      <c r="L1263">
        <v>946823489</v>
      </c>
      <c r="M1263" s="2">
        <f t="shared" si="39"/>
        <v>42612</v>
      </c>
      <c r="N1263">
        <f>DAY(Europe_Sales_Records34[[#This Row],[Ship Date Fixed]])</f>
        <v>30</v>
      </c>
      <c r="O1263" t="str">
        <f>TEXT(Europe_Sales_Records34[[#This Row],[Ship Date Fixed]],"MMM")</f>
        <v>Aug</v>
      </c>
      <c r="P1263">
        <f>YEAR(Europe_Sales_Records34[[#This Row],[Ship Date Fixed]])</f>
        <v>2016</v>
      </c>
      <c r="Q1263" t="str">
        <f>TEXT(Europe_Sales_Records34[[#This Row],[Ship Date Fixed]],"MMM-YYYY")</f>
        <v>Aug-2016</v>
      </c>
      <c r="R1263" t="s">
        <v>1745</v>
      </c>
      <c r="S1263" s="3">
        <f>Europe_Sales_Records34[[#This Row],[Ship Date Fixed]]-Europe_Sales_Records34[[#This Row],[Order Date Fixed]]</f>
        <v>49</v>
      </c>
      <c r="T1263">
        <v>4966</v>
      </c>
      <c r="U1263">
        <v>205.7</v>
      </c>
      <c r="V1263">
        <v>117.11</v>
      </c>
      <c r="W1263">
        <f>Europe_Sales_Records34[[#This Row],[Total Revenue]]/Europe_Sales_Records34[[#This Row],[Units Sold]]</f>
        <v>205.7</v>
      </c>
      <c r="X1263">
        <v>1021506.2</v>
      </c>
      <c r="Y1263">
        <v>581568.26</v>
      </c>
      <c r="Z1263" s="4">
        <f>Europe_Sales_Records34[[#This Row],[Total Profit]]/Europe_Sales_Records34[[#This Row],[Total Revenue]]</f>
        <v>0.43067574137092857</v>
      </c>
      <c r="AA1263">
        <v>439937.94</v>
      </c>
    </row>
    <row r="1264" spans="1:27" x14ac:dyDescent="0.3">
      <c r="A1264" t="s">
        <v>14</v>
      </c>
      <c r="B1264" t="s">
        <v>61</v>
      </c>
      <c r="C1264" t="s">
        <v>75</v>
      </c>
      <c r="D1264" t="s">
        <v>23</v>
      </c>
      <c r="E1264" t="s">
        <v>54</v>
      </c>
      <c r="F1264" t="s">
        <v>1746</v>
      </c>
      <c r="G1264" s="2">
        <f t="shared" si="38"/>
        <v>41243</v>
      </c>
      <c r="H1264">
        <f>DAY(Europe_Sales_Records34[[#This Row],[Order Date Fixed]])</f>
        <v>30</v>
      </c>
      <c r="I1264" t="str">
        <f>TEXT(Europe_Sales_Records34[[#This Row],[Order Date Fixed]],"MMM")</f>
        <v>Nov</v>
      </c>
      <c r="J1264">
        <f>YEAR(Europe_Sales_Records34[[#This Row],[Order Date Fixed]])</f>
        <v>2012</v>
      </c>
      <c r="K1264" t="str">
        <f>TEXT(Europe_Sales_Records34[[#This Row],[Order Date Fixed]],"MMM-YYYY")</f>
        <v>Nov-2012</v>
      </c>
      <c r="L1264">
        <v>228211200</v>
      </c>
      <c r="M1264" s="2">
        <f t="shared" si="39"/>
        <v>41246</v>
      </c>
      <c r="N1264">
        <f>DAY(Europe_Sales_Records34[[#This Row],[Ship Date Fixed]])</f>
        <v>3</v>
      </c>
      <c r="O1264" t="str">
        <f>TEXT(Europe_Sales_Records34[[#This Row],[Ship Date Fixed]],"MMM")</f>
        <v>Dec</v>
      </c>
      <c r="P1264">
        <f>YEAR(Europe_Sales_Records34[[#This Row],[Ship Date Fixed]])</f>
        <v>2012</v>
      </c>
      <c r="Q1264" t="str">
        <f>TEXT(Europe_Sales_Records34[[#This Row],[Ship Date Fixed]],"MMM-YYYY")</f>
        <v>Dec-2012</v>
      </c>
      <c r="R1264" t="s">
        <v>1447</v>
      </c>
      <c r="S1264" s="3">
        <f>Europe_Sales_Records34[[#This Row],[Ship Date Fixed]]-Europe_Sales_Records34[[#This Row],[Order Date Fixed]]</f>
        <v>3</v>
      </c>
      <c r="T1264">
        <v>1620</v>
      </c>
      <c r="U1264">
        <v>437.2</v>
      </c>
      <c r="V1264">
        <v>263.33</v>
      </c>
      <c r="W1264">
        <f>Europe_Sales_Records34[[#This Row],[Total Revenue]]/Europe_Sales_Records34[[#This Row],[Units Sold]]</f>
        <v>437.2</v>
      </c>
      <c r="X1264">
        <v>708264</v>
      </c>
      <c r="Y1264">
        <v>426594.6</v>
      </c>
      <c r="Z1264" s="4">
        <f>Europe_Sales_Records34[[#This Row],[Total Profit]]/Europe_Sales_Records34[[#This Row],[Total Revenue]]</f>
        <v>0.3976898444647759</v>
      </c>
      <c r="AA1264">
        <v>281669.40000000002</v>
      </c>
    </row>
    <row r="1265" spans="1:27" x14ac:dyDescent="0.3">
      <c r="A1265" t="s">
        <v>14</v>
      </c>
      <c r="B1265" t="s">
        <v>257</v>
      </c>
      <c r="C1265" t="s">
        <v>28</v>
      </c>
      <c r="D1265" t="s">
        <v>23</v>
      </c>
      <c r="E1265" t="s">
        <v>24</v>
      </c>
      <c r="F1265" t="s">
        <v>1747</v>
      </c>
      <c r="G1265" s="2">
        <f t="shared" si="38"/>
        <v>40703</v>
      </c>
      <c r="H1265">
        <f>DAY(Europe_Sales_Records34[[#This Row],[Order Date Fixed]])</f>
        <v>9</v>
      </c>
      <c r="I1265" t="str">
        <f>TEXT(Europe_Sales_Records34[[#This Row],[Order Date Fixed]],"MMM")</f>
        <v>Jun</v>
      </c>
      <c r="J1265">
        <f>YEAR(Europe_Sales_Records34[[#This Row],[Order Date Fixed]])</f>
        <v>2011</v>
      </c>
      <c r="K1265" t="str">
        <f>TEXT(Europe_Sales_Records34[[#This Row],[Order Date Fixed]],"MMM-YYYY")</f>
        <v>Jun-2011</v>
      </c>
      <c r="L1265">
        <v>547587192</v>
      </c>
      <c r="M1265" s="2">
        <f t="shared" si="39"/>
        <v>40738</v>
      </c>
      <c r="N1265">
        <f>DAY(Europe_Sales_Records34[[#This Row],[Ship Date Fixed]])</f>
        <v>14</v>
      </c>
      <c r="O1265" t="str">
        <f>TEXT(Europe_Sales_Records34[[#This Row],[Ship Date Fixed]],"MMM")</f>
        <v>Jul</v>
      </c>
      <c r="P1265">
        <f>YEAR(Europe_Sales_Records34[[#This Row],[Ship Date Fixed]])</f>
        <v>2011</v>
      </c>
      <c r="Q1265" t="str">
        <f>TEXT(Europe_Sales_Records34[[#This Row],[Ship Date Fixed]],"MMM-YYYY")</f>
        <v>Jul-2011</v>
      </c>
      <c r="R1265" t="s">
        <v>918</v>
      </c>
      <c r="S1265" s="3">
        <f>Europe_Sales_Records34[[#This Row],[Ship Date Fixed]]-Europe_Sales_Records34[[#This Row],[Order Date Fixed]]</f>
        <v>35</v>
      </c>
      <c r="T1265">
        <v>2073</v>
      </c>
      <c r="U1265">
        <v>205.7</v>
      </c>
      <c r="V1265">
        <v>117.11</v>
      </c>
      <c r="W1265">
        <f>Europe_Sales_Records34[[#This Row],[Total Revenue]]/Europe_Sales_Records34[[#This Row],[Units Sold]]</f>
        <v>205.7</v>
      </c>
      <c r="X1265">
        <v>426416.1</v>
      </c>
      <c r="Y1265">
        <v>242769.03</v>
      </c>
      <c r="Z1265" s="4">
        <f>Europe_Sales_Records34[[#This Row],[Total Profit]]/Europe_Sales_Records34[[#This Row],[Total Revenue]]</f>
        <v>0.43067574137092857</v>
      </c>
      <c r="AA1265">
        <v>183647.07</v>
      </c>
    </row>
    <row r="1266" spans="1:27" x14ac:dyDescent="0.3">
      <c r="A1266" t="s">
        <v>14</v>
      </c>
      <c r="B1266" t="s">
        <v>185</v>
      </c>
      <c r="C1266" t="s">
        <v>22</v>
      </c>
      <c r="D1266" t="s">
        <v>23</v>
      </c>
      <c r="E1266" t="s">
        <v>54</v>
      </c>
      <c r="F1266" t="s">
        <v>1101</v>
      </c>
      <c r="G1266" s="2">
        <f t="shared" si="38"/>
        <v>40188</v>
      </c>
      <c r="H1266">
        <f>DAY(Europe_Sales_Records34[[#This Row],[Order Date Fixed]])</f>
        <v>10</v>
      </c>
      <c r="I1266" t="str">
        <f>TEXT(Europe_Sales_Records34[[#This Row],[Order Date Fixed]],"MMM")</f>
        <v>Jan</v>
      </c>
      <c r="J1266">
        <f>YEAR(Europe_Sales_Records34[[#This Row],[Order Date Fixed]])</f>
        <v>2010</v>
      </c>
      <c r="K1266" t="str">
        <f>TEXT(Europe_Sales_Records34[[#This Row],[Order Date Fixed]],"MMM-YYYY")</f>
        <v>Jan-2010</v>
      </c>
      <c r="L1266">
        <v>689421546</v>
      </c>
      <c r="M1266" s="2">
        <f t="shared" si="39"/>
        <v>40209</v>
      </c>
      <c r="N1266">
        <f>DAY(Europe_Sales_Records34[[#This Row],[Ship Date Fixed]])</f>
        <v>31</v>
      </c>
      <c r="O1266" t="str">
        <f>TEXT(Europe_Sales_Records34[[#This Row],[Ship Date Fixed]],"MMM")</f>
        <v>Jan</v>
      </c>
      <c r="P1266">
        <f>YEAR(Europe_Sales_Records34[[#This Row],[Ship Date Fixed]])</f>
        <v>2010</v>
      </c>
      <c r="Q1266" t="str">
        <f>TEXT(Europe_Sales_Records34[[#This Row],[Ship Date Fixed]],"MMM-YYYY")</f>
        <v>Jan-2010</v>
      </c>
      <c r="R1266" t="s">
        <v>651</v>
      </c>
      <c r="S1266" s="3">
        <f>Europe_Sales_Records34[[#This Row],[Ship Date Fixed]]-Europe_Sales_Records34[[#This Row],[Order Date Fixed]]</f>
        <v>21</v>
      </c>
      <c r="T1266">
        <v>4011</v>
      </c>
      <c r="U1266">
        <v>109.28</v>
      </c>
      <c r="V1266">
        <v>35.840000000000003</v>
      </c>
      <c r="W1266">
        <f>Europe_Sales_Records34[[#This Row],[Total Revenue]]/Europe_Sales_Records34[[#This Row],[Units Sold]]</f>
        <v>109.28</v>
      </c>
      <c r="X1266">
        <v>438322.08</v>
      </c>
      <c r="Y1266">
        <v>143754.23999999999</v>
      </c>
      <c r="Z1266" s="4">
        <f>Europe_Sales_Records34[[#This Row],[Total Profit]]/Europe_Sales_Records34[[#This Row],[Total Revenue]]</f>
        <v>0.67203513909224011</v>
      </c>
      <c r="AA1266">
        <v>294567.84000000003</v>
      </c>
    </row>
    <row r="1267" spans="1:27" x14ac:dyDescent="0.3">
      <c r="A1267" t="s">
        <v>14</v>
      </c>
      <c r="B1267" t="s">
        <v>232</v>
      </c>
      <c r="C1267" t="s">
        <v>50</v>
      </c>
      <c r="D1267" t="s">
        <v>23</v>
      </c>
      <c r="E1267" t="s">
        <v>24</v>
      </c>
      <c r="F1267" t="s">
        <v>1682</v>
      </c>
      <c r="G1267" s="2">
        <f t="shared" si="38"/>
        <v>40533</v>
      </c>
      <c r="H1267">
        <f>DAY(Europe_Sales_Records34[[#This Row],[Order Date Fixed]])</f>
        <v>21</v>
      </c>
      <c r="I1267" t="str">
        <f>TEXT(Europe_Sales_Records34[[#This Row],[Order Date Fixed]],"MMM")</f>
        <v>Dec</v>
      </c>
      <c r="J1267">
        <f>YEAR(Europe_Sales_Records34[[#This Row],[Order Date Fixed]])</f>
        <v>2010</v>
      </c>
      <c r="K1267" t="str">
        <f>TEXT(Europe_Sales_Records34[[#This Row],[Order Date Fixed]],"MMM-YYYY")</f>
        <v>Dec-2010</v>
      </c>
      <c r="L1267">
        <v>530882394</v>
      </c>
      <c r="M1267" s="2">
        <f t="shared" si="39"/>
        <v>40576</v>
      </c>
      <c r="N1267">
        <f>DAY(Europe_Sales_Records34[[#This Row],[Ship Date Fixed]])</f>
        <v>2</v>
      </c>
      <c r="O1267" t="str">
        <f>TEXT(Europe_Sales_Records34[[#This Row],[Ship Date Fixed]],"MMM")</f>
        <v>Feb</v>
      </c>
      <c r="P1267">
        <f>YEAR(Europe_Sales_Records34[[#This Row],[Ship Date Fixed]])</f>
        <v>2011</v>
      </c>
      <c r="Q1267" t="str">
        <f>TEXT(Europe_Sales_Records34[[#This Row],[Ship Date Fixed]],"MMM-YYYY")</f>
        <v>Feb-2011</v>
      </c>
      <c r="R1267" t="s">
        <v>1328</v>
      </c>
      <c r="S1267" s="3">
        <f>Europe_Sales_Records34[[#This Row],[Ship Date Fixed]]-Europe_Sales_Records34[[#This Row],[Order Date Fixed]]</f>
        <v>43</v>
      </c>
      <c r="T1267">
        <v>8753</v>
      </c>
      <c r="U1267">
        <v>421.89</v>
      </c>
      <c r="V1267">
        <v>364.69</v>
      </c>
      <c r="W1267">
        <f>Europe_Sales_Records34[[#This Row],[Total Revenue]]/Europe_Sales_Records34[[#This Row],[Units Sold]]</f>
        <v>421.89</v>
      </c>
      <c r="X1267">
        <v>3692803.17</v>
      </c>
      <c r="Y1267">
        <v>3192131.57</v>
      </c>
      <c r="Z1267" s="4">
        <f>Europe_Sales_Records34[[#This Row],[Total Profit]]/Europe_Sales_Records34[[#This Row],[Total Revenue]]</f>
        <v>0.13558036455000119</v>
      </c>
      <c r="AA1267">
        <v>500671.6</v>
      </c>
    </row>
    <row r="1268" spans="1:27" x14ac:dyDescent="0.3">
      <c r="A1268" t="s">
        <v>14</v>
      </c>
      <c r="B1268" t="s">
        <v>243</v>
      </c>
      <c r="C1268" t="s">
        <v>58</v>
      </c>
      <c r="D1268" t="s">
        <v>17</v>
      </c>
      <c r="E1268" t="s">
        <v>24</v>
      </c>
      <c r="F1268" t="s">
        <v>594</v>
      </c>
      <c r="G1268" s="2">
        <f t="shared" si="38"/>
        <v>40704</v>
      </c>
      <c r="H1268">
        <f>DAY(Europe_Sales_Records34[[#This Row],[Order Date Fixed]])</f>
        <v>10</v>
      </c>
      <c r="I1268" t="str">
        <f>TEXT(Europe_Sales_Records34[[#This Row],[Order Date Fixed]],"MMM")</f>
        <v>Jun</v>
      </c>
      <c r="J1268">
        <f>YEAR(Europe_Sales_Records34[[#This Row],[Order Date Fixed]])</f>
        <v>2011</v>
      </c>
      <c r="K1268" t="str">
        <f>TEXT(Europe_Sales_Records34[[#This Row],[Order Date Fixed]],"MMM-YYYY")</f>
        <v>Jun-2011</v>
      </c>
      <c r="L1268">
        <v>765552079</v>
      </c>
      <c r="M1268" s="2">
        <f t="shared" si="39"/>
        <v>40741</v>
      </c>
      <c r="N1268">
        <f>DAY(Europe_Sales_Records34[[#This Row],[Ship Date Fixed]])</f>
        <v>17</v>
      </c>
      <c r="O1268" t="str">
        <f>TEXT(Europe_Sales_Records34[[#This Row],[Ship Date Fixed]],"MMM")</f>
        <v>Jul</v>
      </c>
      <c r="P1268">
        <f>YEAR(Europe_Sales_Records34[[#This Row],[Ship Date Fixed]])</f>
        <v>2011</v>
      </c>
      <c r="Q1268" t="str">
        <f>TEXT(Europe_Sales_Records34[[#This Row],[Ship Date Fixed]],"MMM-YYYY")</f>
        <v>Jul-2011</v>
      </c>
      <c r="R1268" t="s">
        <v>1037</v>
      </c>
      <c r="S1268" s="3">
        <f>Europe_Sales_Records34[[#This Row],[Ship Date Fixed]]-Europe_Sales_Records34[[#This Row],[Order Date Fixed]]</f>
        <v>37</v>
      </c>
      <c r="T1268">
        <v>2727</v>
      </c>
      <c r="U1268">
        <v>152.58000000000001</v>
      </c>
      <c r="V1268">
        <v>97.44</v>
      </c>
      <c r="W1268">
        <f>Europe_Sales_Records34[[#This Row],[Total Revenue]]/Europe_Sales_Records34[[#This Row],[Units Sold]]</f>
        <v>152.57999999999998</v>
      </c>
      <c r="X1268">
        <v>416085.66</v>
      </c>
      <c r="Y1268">
        <v>265718.88</v>
      </c>
      <c r="Z1268" s="4">
        <f>Europe_Sales_Records34[[#This Row],[Total Profit]]/Europe_Sales_Records34[[#This Row],[Total Revenue]]</f>
        <v>0.36138419189933152</v>
      </c>
      <c r="AA1268">
        <v>150366.78</v>
      </c>
    </row>
    <row r="1269" spans="1:27" x14ac:dyDescent="0.3">
      <c r="A1269" t="s">
        <v>14</v>
      </c>
      <c r="B1269" t="s">
        <v>169</v>
      </c>
      <c r="C1269" t="s">
        <v>64</v>
      </c>
      <c r="D1269" t="s">
        <v>17</v>
      </c>
      <c r="E1269" t="s">
        <v>24</v>
      </c>
      <c r="F1269" t="s">
        <v>1748</v>
      </c>
      <c r="G1269" s="2">
        <f t="shared" si="38"/>
        <v>40324</v>
      </c>
      <c r="H1269">
        <f>DAY(Europe_Sales_Records34[[#This Row],[Order Date Fixed]])</f>
        <v>26</v>
      </c>
      <c r="I1269" t="str">
        <f>TEXT(Europe_Sales_Records34[[#This Row],[Order Date Fixed]],"MMM")</f>
        <v>May</v>
      </c>
      <c r="J1269">
        <f>YEAR(Europe_Sales_Records34[[#This Row],[Order Date Fixed]])</f>
        <v>2010</v>
      </c>
      <c r="K1269" t="str">
        <f>TEXT(Europe_Sales_Records34[[#This Row],[Order Date Fixed]],"MMM-YYYY")</f>
        <v>May-2010</v>
      </c>
      <c r="L1269">
        <v>469974792</v>
      </c>
      <c r="M1269" s="2">
        <f t="shared" si="39"/>
        <v>40346</v>
      </c>
      <c r="N1269">
        <f>DAY(Europe_Sales_Records34[[#This Row],[Ship Date Fixed]])</f>
        <v>17</v>
      </c>
      <c r="O1269" t="str">
        <f>TEXT(Europe_Sales_Records34[[#This Row],[Ship Date Fixed]],"MMM")</f>
        <v>Jun</v>
      </c>
      <c r="P1269">
        <f>YEAR(Europe_Sales_Records34[[#This Row],[Ship Date Fixed]])</f>
        <v>2010</v>
      </c>
      <c r="Q1269" t="str">
        <f>TEXT(Europe_Sales_Records34[[#This Row],[Ship Date Fixed]],"MMM-YYYY")</f>
        <v>Jun-2010</v>
      </c>
      <c r="R1269" t="s">
        <v>1749</v>
      </c>
      <c r="S1269" s="3">
        <f>Europe_Sales_Records34[[#This Row],[Ship Date Fixed]]-Europe_Sales_Records34[[#This Row],[Order Date Fixed]]</f>
        <v>22</v>
      </c>
      <c r="T1269">
        <v>4840</v>
      </c>
      <c r="U1269">
        <v>255.28</v>
      </c>
      <c r="V1269">
        <v>159.41999999999999</v>
      </c>
      <c r="W1269">
        <f>Europe_Sales_Records34[[#This Row],[Total Revenue]]/Europe_Sales_Records34[[#This Row],[Units Sold]]</f>
        <v>255.28</v>
      </c>
      <c r="X1269">
        <v>1235555.2</v>
      </c>
      <c r="Y1269">
        <v>771592.8</v>
      </c>
      <c r="Z1269" s="4">
        <f>Europe_Sales_Records34[[#This Row],[Total Profit]]/Europe_Sales_Records34[[#This Row],[Total Revenue]]</f>
        <v>0.37550924475086184</v>
      </c>
      <c r="AA1269">
        <v>463962.4</v>
      </c>
    </row>
    <row r="1270" spans="1:27" x14ac:dyDescent="0.3">
      <c r="A1270" t="s">
        <v>14</v>
      </c>
      <c r="B1270" t="s">
        <v>97</v>
      </c>
      <c r="C1270" t="s">
        <v>102</v>
      </c>
      <c r="D1270" t="s">
        <v>17</v>
      </c>
      <c r="E1270" t="s">
        <v>24</v>
      </c>
      <c r="F1270" t="s">
        <v>1750</v>
      </c>
      <c r="G1270" s="2">
        <f t="shared" si="38"/>
        <v>41966</v>
      </c>
      <c r="H1270">
        <f>DAY(Europe_Sales_Records34[[#This Row],[Order Date Fixed]])</f>
        <v>23</v>
      </c>
      <c r="I1270" t="str">
        <f>TEXT(Europe_Sales_Records34[[#This Row],[Order Date Fixed]],"MMM")</f>
        <v>Nov</v>
      </c>
      <c r="J1270">
        <f>YEAR(Europe_Sales_Records34[[#This Row],[Order Date Fixed]])</f>
        <v>2014</v>
      </c>
      <c r="K1270" t="str">
        <f>TEXT(Europe_Sales_Records34[[#This Row],[Order Date Fixed]],"MMM-YYYY")</f>
        <v>Nov-2014</v>
      </c>
      <c r="L1270">
        <v>700304019</v>
      </c>
      <c r="M1270" s="2">
        <f t="shared" si="39"/>
        <v>41994</v>
      </c>
      <c r="N1270">
        <f>DAY(Europe_Sales_Records34[[#This Row],[Ship Date Fixed]])</f>
        <v>21</v>
      </c>
      <c r="O1270" t="str">
        <f>TEXT(Europe_Sales_Records34[[#This Row],[Ship Date Fixed]],"MMM")</f>
        <v>Dec</v>
      </c>
      <c r="P1270">
        <f>YEAR(Europe_Sales_Records34[[#This Row],[Ship Date Fixed]])</f>
        <v>2014</v>
      </c>
      <c r="Q1270" t="str">
        <f>TEXT(Europe_Sales_Records34[[#This Row],[Ship Date Fixed]],"MMM-YYYY")</f>
        <v>Dec-2014</v>
      </c>
      <c r="R1270" t="s">
        <v>1404</v>
      </c>
      <c r="S1270" s="3">
        <f>Europe_Sales_Records34[[#This Row],[Ship Date Fixed]]-Europe_Sales_Records34[[#This Row],[Order Date Fixed]]</f>
        <v>28</v>
      </c>
      <c r="T1270">
        <v>4376</v>
      </c>
      <c r="U1270">
        <v>81.73</v>
      </c>
      <c r="V1270">
        <v>56.67</v>
      </c>
      <c r="W1270">
        <f>Europe_Sales_Records34[[#This Row],[Total Revenue]]/Europe_Sales_Records34[[#This Row],[Units Sold]]</f>
        <v>81.72999999999999</v>
      </c>
      <c r="X1270">
        <v>357650.48</v>
      </c>
      <c r="Y1270">
        <v>247987.92</v>
      </c>
      <c r="Z1270" s="4">
        <f>Europe_Sales_Records34[[#This Row],[Total Profit]]/Europe_Sales_Records34[[#This Row],[Total Revenue]]</f>
        <v>0.30661935641747218</v>
      </c>
      <c r="AA1270">
        <v>109662.56</v>
      </c>
    </row>
    <row r="1271" spans="1:27" x14ac:dyDescent="0.3">
      <c r="A1271" t="s">
        <v>14</v>
      </c>
      <c r="B1271" t="s">
        <v>115</v>
      </c>
      <c r="C1271" t="s">
        <v>22</v>
      </c>
      <c r="D1271" t="s">
        <v>23</v>
      </c>
      <c r="E1271" t="s">
        <v>54</v>
      </c>
      <c r="F1271" t="s">
        <v>512</v>
      </c>
      <c r="G1271" s="2">
        <f t="shared" si="38"/>
        <v>41743</v>
      </c>
      <c r="H1271">
        <f>DAY(Europe_Sales_Records34[[#This Row],[Order Date Fixed]])</f>
        <v>14</v>
      </c>
      <c r="I1271" t="str">
        <f>TEXT(Europe_Sales_Records34[[#This Row],[Order Date Fixed]],"MMM")</f>
        <v>Apr</v>
      </c>
      <c r="J1271">
        <f>YEAR(Europe_Sales_Records34[[#This Row],[Order Date Fixed]])</f>
        <v>2014</v>
      </c>
      <c r="K1271" t="str">
        <f>TEXT(Europe_Sales_Records34[[#This Row],[Order Date Fixed]],"MMM-YYYY")</f>
        <v>Apr-2014</v>
      </c>
      <c r="L1271">
        <v>509356057</v>
      </c>
      <c r="M1271" s="2">
        <f t="shared" si="39"/>
        <v>41746</v>
      </c>
      <c r="N1271">
        <f>DAY(Europe_Sales_Records34[[#This Row],[Ship Date Fixed]])</f>
        <v>17</v>
      </c>
      <c r="O1271" t="str">
        <f>TEXT(Europe_Sales_Records34[[#This Row],[Ship Date Fixed]],"MMM")</f>
        <v>Apr</v>
      </c>
      <c r="P1271">
        <f>YEAR(Europe_Sales_Records34[[#This Row],[Ship Date Fixed]])</f>
        <v>2014</v>
      </c>
      <c r="Q1271" t="str">
        <f>TEXT(Europe_Sales_Records34[[#This Row],[Ship Date Fixed]],"MMM-YYYY")</f>
        <v>Apr-2014</v>
      </c>
      <c r="R1271" t="s">
        <v>777</v>
      </c>
      <c r="S1271" s="3">
        <f>Europe_Sales_Records34[[#This Row],[Ship Date Fixed]]-Europe_Sales_Records34[[#This Row],[Order Date Fixed]]</f>
        <v>3</v>
      </c>
      <c r="T1271">
        <v>8631</v>
      </c>
      <c r="U1271">
        <v>109.28</v>
      </c>
      <c r="V1271">
        <v>35.840000000000003</v>
      </c>
      <c r="W1271">
        <f>Europe_Sales_Records34[[#This Row],[Total Revenue]]/Europe_Sales_Records34[[#This Row],[Units Sold]]</f>
        <v>109.28</v>
      </c>
      <c r="X1271">
        <v>943195.68</v>
      </c>
      <c r="Y1271">
        <v>309335.03999999998</v>
      </c>
      <c r="Z1271" s="4">
        <f>Europe_Sales_Records34[[#This Row],[Total Profit]]/Europe_Sales_Records34[[#This Row],[Total Revenue]]</f>
        <v>0.67203513909224011</v>
      </c>
      <c r="AA1271">
        <v>633860.64</v>
      </c>
    </row>
    <row r="1272" spans="1:27" x14ac:dyDescent="0.3">
      <c r="A1272" t="s">
        <v>14</v>
      </c>
      <c r="B1272" t="s">
        <v>122</v>
      </c>
      <c r="C1272" t="s">
        <v>64</v>
      </c>
      <c r="D1272" t="s">
        <v>17</v>
      </c>
      <c r="E1272" t="s">
        <v>24</v>
      </c>
      <c r="F1272" t="s">
        <v>1751</v>
      </c>
      <c r="G1272" s="2">
        <f t="shared" si="38"/>
        <v>40219</v>
      </c>
      <c r="H1272">
        <f>DAY(Europe_Sales_Records34[[#This Row],[Order Date Fixed]])</f>
        <v>10</v>
      </c>
      <c r="I1272" t="str">
        <f>TEXT(Europe_Sales_Records34[[#This Row],[Order Date Fixed]],"MMM")</f>
        <v>Feb</v>
      </c>
      <c r="J1272">
        <f>YEAR(Europe_Sales_Records34[[#This Row],[Order Date Fixed]])</f>
        <v>2010</v>
      </c>
      <c r="K1272" t="str">
        <f>TEXT(Europe_Sales_Records34[[#This Row],[Order Date Fixed]],"MMM-YYYY")</f>
        <v>Feb-2010</v>
      </c>
      <c r="L1272">
        <v>838788402</v>
      </c>
      <c r="M1272" s="2">
        <f t="shared" si="39"/>
        <v>40235</v>
      </c>
      <c r="N1272">
        <f>DAY(Europe_Sales_Records34[[#This Row],[Ship Date Fixed]])</f>
        <v>26</v>
      </c>
      <c r="O1272" t="str">
        <f>TEXT(Europe_Sales_Records34[[#This Row],[Ship Date Fixed]],"MMM")</f>
        <v>Feb</v>
      </c>
      <c r="P1272">
        <f>YEAR(Europe_Sales_Records34[[#This Row],[Ship Date Fixed]])</f>
        <v>2010</v>
      </c>
      <c r="Q1272" t="str">
        <f>TEXT(Europe_Sales_Records34[[#This Row],[Ship Date Fixed]],"MMM-YYYY")</f>
        <v>Feb-2010</v>
      </c>
      <c r="R1272" t="s">
        <v>1102</v>
      </c>
      <c r="S1272" s="3">
        <f>Europe_Sales_Records34[[#This Row],[Ship Date Fixed]]-Europe_Sales_Records34[[#This Row],[Order Date Fixed]]</f>
        <v>16</v>
      </c>
      <c r="T1272">
        <v>4983</v>
      </c>
      <c r="U1272">
        <v>255.28</v>
      </c>
      <c r="V1272">
        <v>159.41999999999999</v>
      </c>
      <c r="W1272">
        <f>Europe_Sales_Records34[[#This Row],[Total Revenue]]/Europe_Sales_Records34[[#This Row],[Units Sold]]</f>
        <v>255.28</v>
      </c>
      <c r="X1272">
        <v>1272060.24</v>
      </c>
      <c r="Y1272">
        <v>794389.86</v>
      </c>
      <c r="Z1272" s="4">
        <f>Europe_Sales_Records34[[#This Row],[Total Profit]]/Europe_Sales_Records34[[#This Row],[Total Revenue]]</f>
        <v>0.37550924475086178</v>
      </c>
      <c r="AA1272">
        <v>477670.38</v>
      </c>
    </row>
    <row r="1273" spans="1:27" x14ac:dyDescent="0.3">
      <c r="A1273" t="s">
        <v>14</v>
      </c>
      <c r="B1273" t="s">
        <v>31</v>
      </c>
      <c r="C1273" t="s">
        <v>32</v>
      </c>
      <c r="D1273" t="s">
        <v>17</v>
      </c>
      <c r="E1273" t="s">
        <v>18</v>
      </c>
      <c r="F1273" t="s">
        <v>1752</v>
      </c>
      <c r="G1273" s="2">
        <f t="shared" si="38"/>
        <v>41679</v>
      </c>
      <c r="H1273">
        <f>DAY(Europe_Sales_Records34[[#This Row],[Order Date Fixed]])</f>
        <v>9</v>
      </c>
      <c r="I1273" t="str">
        <f>TEXT(Europe_Sales_Records34[[#This Row],[Order Date Fixed]],"MMM")</f>
        <v>Feb</v>
      </c>
      <c r="J1273">
        <f>YEAR(Europe_Sales_Records34[[#This Row],[Order Date Fixed]])</f>
        <v>2014</v>
      </c>
      <c r="K1273" t="str">
        <f>TEXT(Europe_Sales_Records34[[#This Row],[Order Date Fixed]],"MMM-YYYY")</f>
        <v>Feb-2014</v>
      </c>
      <c r="L1273">
        <v>200507199</v>
      </c>
      <c r="M1273" s="2">
        <f t="shared" si="39"/>
        <v>41695</v>
      </c>
      <c r="N1273">
        <f>DAY(Europe_Sales_Records34[[#This Row],[Ship Date Fixed]])</f>
        <v>25</v>
      </c>
      <c r="O1273" t="str">
        <f>TEXT(Europe_Sales_Records34[[#This Row],[Ship Date Fixed]],"MMM")</f>
        <v>Feb</v>
      </c>
      <c r="P1273">
        <f>YEAR(Europe_Sales_Records34[[#This Row],[Ship Date Fixed]])</f>
        <v>2014</v>
      </c>
      <c r="Q1273" t="str">
        <f>TEXT(Europe_Sales_Records34[[#This Row],[Ship Date Fixed]],"MMM-YYYY")</f>
        <v>Feb-2014</v>
      </c>
      <c r="R1273" t="s">
        <v>1753</v>
      </c>
      <c r="S1273" s="3">
        <f>Europe_Sales_Records34[[#This Row],[Ship Date Fixed]]-Europe_Sales_Records34[[#This Row],[Order Date Fixed]]</f>
        <v>16</v>
      </c>
      <c r="T1273">
        <v>3391</v>
      </c>
      <c r="U1273">
        <v>651.21</v>
      </c>
      <c r="V1273">
        <v>524.96</v>
      </c>
      <c r="W1273">
        <f>Europe_Sales_Records34[[#This Row],[Total Revenue]]/Europe_Sales_Records34[[#This Row],[Units Sold]]</f>
        <v>651.20999999999992</v>
      </c>
      <c r="X1273">
        <v>2208253.11</v>
      </c>
      <c r="Y1273">
        <v>1780139.36</v>
      </c>
      <c r="Z1273" s="4">
        <f>Europe_Sales_Records34[[#This Row],[Total Profit]]/Europe_Sales_Records34[[#This Row],[Total Revenue]]</f>
        <v>0.19386987300563568</v>
      </c>
      <c r="AA1273">
        <v>428113.75</v>
      </c>
    </row>
    <row r="1274" spans="1:27" x14ac:dyDescent="0.3">
      <c r="A1274" t="s">
        <v>14</v>
      </c>
      <c r="B1274" t="s">
        <v>220</v>
      </c>
      <c r="C1274" t="s">
        <v>50</v>
      </c>
      <c r="D1274" t="s">
        <v>23</v>
      </c>
      <c r="E1274" t="s">
        <v>24</v>
      </c>
      <c r="F1274" t="s">
        <v>1754</v>
      </c>
      <c r="G1274" s="2">
        <f t="shared" si="38"/>
        <v>40819</v>
      </c>
      <c r="H1274">
        <f>DAY(Europe_Sales_Records34[[#This Row],[Order Date Fixed]])</f>
        <v>3</v>
      </c>
      <c r="I1274" t="str">
        <f>TEXT(Europe_Sales_Records34[[#This Row],[Order Date Fixed]],"MMM")</f>
        <v>Oct</v>
      </c>
      <c r="J1274">
        <f>YEAR(Europe_Sales_Records34[[#This Row],[Order Date Fixed]])</f>
        <v>2011</v>
      </c>
      <c r="K1274" t="str">
        <f>TEXT(Europe_Sales_Records34[[#This Row],[Order Date Fixed]],"MMM-YYYY")</f>
        <v>Oct-2011</v>
      </c>
      <c r="L1274">
        <v>504973971</v>
      </c>
      <c r="M1274" s="2">
        <f t="shared" si="39"/>
        <v>40849</v>
      </c>
      <c r="N1274">
        <f>DAY(Europe_Sales_Records34[[#This Row],[Ship Date Fixed]])</f>
        <v>2</v>
      </c>
      <c r="O1274" t="str">
        <f>TEXT(Europe_Sales_Records34[[#This Row],[Ship Date Fixed]],"MMM")</f>
        <v>Nov</v>
      </c>
      <c r="P1274">
        <f>YEAR(Europe_Sales_Records34[[#This Row],[Ship Date Fixed]])</f>
        <v>2011</v>
      </c>
      <c r="Q1274" t="str">
        <f>TEXT(Europe_Sales_Records34[[#This Row],[Ship Date Fixed]],"MMM-YYYY")</f>
        <v>Nov-2011</v>
      </c>
      <c r="R1274" t="s">
        <v>1737</v>
      </c>
      <c r="S1274" s="3">
        <f>Europe_Sales_Records34[[#This Row],[Ship Date Fixed]]-Europe_Sales_Records34[[#This Row],[Order Date Fixed]]</f>
        <v>30</v>
      </c>
      <c r="T1274">
        <v>1875</v>
      </c>
      <c r="U1274">
        <v>421.89</v>
      </c>
      <c r="V1274">
        <v>364.69</v>
      </c>
      <c r="W1274">
        <f>Europe_Sales_Records34[[#This Row],[Total Revenue]]/Europe_Sales_Records34[[#This Row],[Units Sold]]</f>
        <v>421.89</v>
      </c>
      <c r="X1274">
        <v>791043.75</v>
      </c>
      <c r="Y1274">
        <v>683793.75</v>
      </c>
      <c r="Z1274" s="4">
        <f>Europe_Sales_Records34[[#This Row],[Total Profit]]/Europe_Sales_Records34[[#This Row],[Total Revenue]]</f>
        <v>0.13558036455000119</v>
      </c>
      <c r="AA1274">
        <v>107250</v>
      </c>
    </row>
    <row r="1275" spans="1:27" x14ac:dyDescent="0.3">
      <c r="A1275" t="s">
        <v>14</v>
      </c>
      <c r="B1275" t="s">
        <v>122</v>
      </c>
      <c r="C1275" t="s">
        <v>28</v>
      </c>
      <c r="D1275" t="s">
        <v>17</v>
      </c>
      <c r="E1275" t="s">
        <v>54</v>
      </c>
      <c r="F1275" t="s">
        <v>793</v>
      </c>
      <c r="G1275" s="2">
        <f t="shared" si="38"/>
        <v>40198</v>
      </c>
      <c r="H1275">
        <f>DAY(Europe_Sales_Records34[[#This Row],[Order Date Fixed]])</f>
        <v>20</v>
      </c>
      <c r="I1275" t="str">
        <f>TEXT(Europe_Sales_Records34[[#This Row],[Order Date Fixed]],"MMM")</f>
        <v>Jan</v>
      </c>
      <c r="J1275">
        <f>YEAR(Europe_Sales_Records34[[#This Row],[Order Date Fixed]])</f>
        <v>2010</v>
      </c>
      <c r="K1275" t="str">
        <f>TEXT(Europe_Sales_Records34[[#This Row],[Order Date Fixed]],"MMM-YYYY")</f>
        <v>Jan-2010</v>
      </c>
      <c r="L1275">
        <v>477282845</v>
      </c>
      <c r="M1275" s="2">
        <f t="shared" si="39"/>
        <v>40213</v>
      </c>
      <c r="N1275">
        <f>DAY(Europe_Sales_Records34[[#This Row],[Ship Date Fixed]])</f>
        <v>4</v>
      </c>
      <c r="O1275" t="str">
        <f>TEXT(Europe_Sales_Records34[[#This Row],[Ship Date Fixed]],"MMM")</f>
        <v>Feb</v>
      </c>
      <c r="P1275">
        <f>YEAR(Europe_Sales_Records34[[#This Row],[Ship Date Fixed]])</f>
        <v>2010</v>
      </c>
      <c r="Q1275" t="str">
        <f>TEXT(Europe_Sales_Records34[[#This Row],[Ship Date Fixed]],"MMM-YYYY")</f>
        <v>Feb-2010</v>
      </c>
      <c r="R1275" t="s">
        <v>1755</v>
      </c>
      <c r="S1275" s="3">
        <f>Europe_Sales_Records34[[#This Row],[Ship Date Fixed]]-Europe_Sales_Records34[[#This Row],[Order Date Fixed]]</f>
        <v>15</v>
      </c>
      <c r="T1275">
        <v>7455</v>
      </c>
      <c r="U1275">
        <v>205.7</v>
      </c>
      <c r="V1275">
        <v>117.11</v>
      </c>
      <c r="W1275">
        <f>Europe_Sales_Records34[[#This Row],[Total Revenue]]/Europe_Sales_Records34[[#This Row],[Units Sold]]</f>
        <v>205.7</v>
      </c>
      <c r="X1275">
        <v>1533493.5</v>
      </c>
      <c r="Y1275">
        <v>873055.05</v>
      </c>
      <c r="Z1275" s="4">
        <f>Europe_Sales_Records34[[#This Row],[Total Profit]]/Europe_Sales_Records34[[#This Row],[Total Revenue]]</f>
        <v>0.43067574137092851</v>
      </c>
      <c r="AA1275">
        <v>660438.44999999995</v>
      </c>
    </row>
    <row r="1276" spans="1:27" x14ac:dyDescent="0.3">
      <c r="A1276" t="s">
        <v>14</v>
      </c>
      <c r="B1276" t="s">
        <v>243</v>
      </c>
      <c r="C1276" t="s">
        <v>75</v>
      </c>
      <c r="D1276" t="s">
        <v>23</v>
      </c>
      <c r="E1276" t="s">
        <v>33</v>
      </c>
      <c r="F1276" t="s">
        <v>696</v>
      </c>
      <c r="G1276" s="2">
        <f t="shared" si="38"/>
        <v>40238</v>
      </c>
      <c r="H1276">
        <f>DAY(Europe_Sales_Records34[[#This Row],[Order Date Fixed]])</f>
        <v>1</v>
      </c>
      <c r="I1276" t="str">
        <f>TEXT(Europe_Sales_Records34[[#This Row],[Order Date Fixed]],"MMM")</f>
        <v>Mar</v>
      </c>
      <c r="J1276">
        <f>YEAR(Europe_Sales_Records34[[#This Row],[Order Date Fixed]])</f>
        <v>2010</v>
      </c>
      <c r="K1276" t="str">
        <f>TEXT(Europe_Sales_Records34[[#This Row],[Order Date Fixed]],"MMM-YYYY")</f>
        <v>Mar-2010</v>
      </c>
      <c r="L1276">
        <v>161399304</v>
      </c>
      <c r="M1276" s="2">
        <f t="shared" si="39"/>
        <v>40252</v>
      </c>
      <c r="N1276">
        <f>DAY(Europe_Sales_Records34[[#This Row],[Ship Date Fixed]])</f>
        <v>15</v>
      </c>
      <c r="O1276" t="str">
        <f>TEXT(Europe_Sales_Records34[[#This Row],[Ship Date Fixed]],"MMM")</f>
        <v>Mar</v>
      </c>
      <c r="P1276">
        <f>YEAR(Europe_Sales_Records34[[#This Row],[Ship Date Fixed]])</f>
        <v>2010</v>
      </c>
      <c r="Q1276" t="str">
        <f>TEXT(Europe_Sales_Records34[[#This Row],[Ship Date Fixed]],"MMM-YYYY")</f>
        <v>Mar-2010</v>
      </c>
      <c r="R1276" t="s">
        <v>1756</v>
      </c>
      <c r="S1276" s="3">
        <f>Europe_Sales_Records34[[#This Row],[Ship Date Fixed]]-Europe_Sales_Records34[[#This Row],[Order Date Fixed]]</f>
        <v>14</v>
      </c>
      <c r="T1276">
        <v>496</v>
      </c>
      <c r="U1276">
        <v>437.2</v>
      </c>
      <c r="V1276">
        <v>263.33</v>
      </c>
      <c r="W1276">
        <f>Europe_Sales_Records34[[#This Row],[Total Revenue]]/Europe_Sales_Records34[[#This Row],[Units Sold]]</f>
        <v>437.20000000000005</v>
      </c>
      <c r="X1276">
        <v>216851.20000000001</v>
      </c>
      <c r="Y1276">
        <v>130611.68</v>
      </c>
      <c r="Z1276" s="4">
        <f>Europe_Sales_Records34[[#This Row],[Total Profit]]/Europe_Sales_Records34[[#This Row],[Total Revenue]]</f>
        <v>0.39768984446477584</v>
      </c>
      <c r="AA1276">
        <v>86239.52</v>
      </c>
    </row>
    <row r="1277" spans="1:27" x14ac:dyDescent="0.3">
      <c r="A1277" t="s">
        <v>14</v>
      </c>
      <c r="B1277" t="s">
        <v>135</v>
      </c>
      <c r="C1277" t="s">
        <v>32</v>
      </c>
      <c r="D1277" t="s">
        <v>23</v>
      </c>
      <c r="E1277" t="s">
        <v>54</v>
      </c>
      <c r="F1277" t="s">
        <v>1757</v>
      </c>
      <c r="G1277" s="2">
        <f t="shared" si="38"/>
        <v>40775</v>
      </c>
      <c r="H1277">
        <f>DAY(Europe_Sales_Records34[[#This Row],[Order Date Fixed]])</f>
        <v>20</v>
      </c>
      <c r="I1277" t="str">
        <f>TEXT(Europe_Sales_Records34[[#This Row],[Order Date Fixed]],"MMM")</f>
        <v>Aug</v>
      </c>
      <c r="J1277">
        <f>YEAR(Europe_Sales_Records34[[#This Row],[Order Date Fixed]])</f>
        <v>2011</v>
      </c>
      <c r="K1277" t="str">
        <f>TEXT(Europe_Sales_Records34[[#This Row],[Order Date Fixed]],"MMM-YYYY")</f>
        <v>Aug-2011</v>
      </c>
      <c r="L1277">
        <v>204392325</v>
      </c>
      <c r="M1277" s="2">
        <f t="shared" si="39"/>
        <v>40812</v>
      </c>
      <c r="N1277">
        <f>DAY(Europe_Sales_Records34[[#This Row],[Ship Date Fixed]])</f>
        <v>26</v>
      </c>
      <c r="O1277" t="str">
        <f>TEXT(Europe_Sales_Records34[[#This Row],[Ship Date Fixed]],"MMM")</f>
        <v>Sep</v>
      </c>
      <c r="P1277">
        <f>YEAR(Europe_Sales_Records34[[#This Row],[Ship Date Fixed]])</f>
        <v>2011</v>
      </c>
      <c r="Q1277" t="str">
        <f>TEXT(Europe_Sales_Records34[[#This Row],[Ship Date Fixed]],"MMM-YYYY")</f>
        <v>Sep-2011</v>
      </c>
      <c r="R1277" t="s">
        <v>1477</v>
      </c>
      <c r="S1277" s="3">
        <f>Europe_Sales_Records34[[#This Row],[Ship Date Fixed]]-Europe_Sales_Records34[[#This Row],[Order Date Fixed]]</f>
        <v>37</v>
      </c>
      <c r="T1277">
        <v>3086</v>
      </c>
      <c r="U1277">
        <v>651.21</v>
      </c>
      <c r="V1277">
        <v>524.96</v>
      </c>
      <c r="W1277">
        <f>Europe_Sales_Records34[[#This Row],[Total Revenue]]/Europe_Sales_Records34[[#This Row],[Units Sold]]</f>
        <v>651.21</v>
      </c>
      <c r="X1277">
        <v>2009634.06</v>
      </c>
      <c r="Y1277">
        <v>1620026.56</v>
      </c>
      <c r="Z1277" s="4">
        <f>Europe_Sales_Records34[[#This Row],[Total Profit]]/Europe_Sales_Records34[[#This Row],[Total Revenue]]</f>
        <v>0.19386987300563566</v>
      </c>
      <c r="AA1277">
        <v>389607.5</v>
      </c>
    </row>
    <row r="1278" spans="1:27" x14ac:dyDescent="0.3">
      <c r="A1278" t="s">
        <v>14</v>
      </c>
      <c r="B1278" t="s">
        <v>80</v>
      </c>
      <c r="C1278" t="s">
        <v>28</v>
      </c>
      <c r="D1278" t="s">
        <v>17</v>
      </c>
      <c r="E1278" t="s">
        <v>24</v>
      </c>
      <c r="F1278" t="s">
        <v>1758</v>
      </c>
      <c r="G1278" s="2">
        <f t="shared" si="38"/>
        <v>40357</v>
      </c>
      <c r="H1278">
        <f>DAY(Europe_Sales_Records34[[#This Row],[Order Date Fixed]])</f>
        <v>28</v>
      </c>
      <c r="I1278" t="str">
        <f>TEXT(Europe_Sales_Records34[[#This Row],[Order Date Fixed]],"MMM")</f>
        <v>Jun</v>
      </c>
      <c r="J1278">
        <f>YEAR(Europe_Sales_Records34[[#This Row],[Order Date Fixed]])</f>
        <v>2010</v>
      </c>
      <c r="K1278" t="str">
        <f>TEXT(Europe_Sales_Records34[[#This Row],[Order Date Fixed]],"MMM-YYYY")</f>
        <v>Jun-2010</v>
      </c>
      <c r="L1278">
        <v>400904691</v>
      </c>
      <c r="M1278" s="2">
        <f t="shared" si="39"/>
        <v>40371</v>
      </c>
      <c r="N1278">
        <f>DAY(Europe_Sales_Records34[[#This Row],[Ship Date Fixed]])</f>
        <v>12</v>
      </c>
      <c r="O1278" t="str">
        <f>TEXT(Europe_Sales_Records34[[#This Row],[Ship Date Fixed]],"MMM")</f>
        <v>Jul</v>
      </c>
      <c r="P1278">
        <f>YEAR(Europe_Sales_Records34[[#This Row],[Ship Date Fixed]])</f>
        <v>2010</v>
      </c>
      <c r="Q1278" t="str">
        <f>TEXT(Europe_Sales_Records34[[#This Row],[Ship Date Fixed]],"MMM-YYYY")</f>
        <v>Jul-2010</v>
      </c>
      <c r="R1278" t="s">
        <v>493</v>
      </c>
      <c r="S1278" s="3">
        <f>Europe_Sales_Records34[[#This Row],[Ship Date Fixed]]-Europe_Sales_Records34[[#This Row],[Order Date Fixed]]</f>
        <v>14</v>
      </c>
      <c r="T1278">
        <v>5462</v>
      </c>
      <c r="U1278">
        <v>205.7</v>
      </c>
      <c r="V1278">
        <v>117.11</v>
      </c>
      <c r="W1278">
        <f>Europe_Sales_Records34[[#This Row],[Total Revenue]]/Europe_Sales_Records34[[#This Row],[Units Sold]]</f>
        <v>205.7</v>
      </c>
      <c r="X1278">
        <v>1123533.3999999999</v>
      </c>
      <c r="Y1278">
        <v>639654.81999999995</v>
      </c>
      <c r="Z1278" s="4">
        <f>Europe_Sales_Records34[[#This Row],[Total Profit]]/Europe_Sales_Records34[[#This Row],[Total Revenue]]</f>
        <v>0.43067574137092857</v>
      </c>
      <c r="AA1278">
        <v>483878.58</v>
      </c>
    </row>
    <row r="1279" spans="1:27" x14ac:dyDescent="0.3">
      <c r="A1279" t="s">
        <v>14</v>
      </c>
      <c r="B1279" t="s">
        <v>57</v>
      </c>
      <c r="C1279" t="s">
        <v>16</v>
      </c>
      <c r="D1279" t="s">
        <v>17</v>
      </c>
      <c r="E1279" t="s">
        <v>33</v>
      </c>
      <c r="F1279" t="s">
        <v>1678</v>
      </c>
      <c r="G1279" s="2">
        <f t="shared" si="38"/>
        <v>42725</v>
      </c>
      <c r="H1279">
        <f>DAY(Europe_Sales_Records34[[#This Row],[Order Date Fixed]])</f>
        <v>21</v>
      </c>
      <c r="I1279" t="str">
        <f>TEXT(Europe_Sales_Records34[[#This Row],[Order Date Fixed]],"MMM")</f>
        <v>Dec</v>
      </c>
      <c r="J1279">
        <f>YEAR(Europe_Sales_Records34[[#This Row],[Order Date Fixed]])</f>
        <v>2016</v>
      </c>
      <c r="K1279" t="str">
        <f>TEXT(Europe_Sales_Records34[[#This Row],[Order Date Fixed]],"MMM-YYYY")</f>
        <v>Dec-2016</v>
      </c>
      <c r="L1279">
        <v>244023358</v>
      </c>
      <c r="M1279" s="2">
        <f t="shared" si="39"/>
        <v>42757</v>
      </c>
      <c r="N1279">
        <f>DAY(Europe_Sales_Records34[[#This Row],[Ship Date Fixed]])</f>
        <v>22</v>
      </c>
      <c r="O1279" t="str">
        <f>TEXT(Europe_Sales_Records34[[#This Row],[Ship Date Fixed]],"MMM")</f>
        <v>Jan</v>
      </c>
      <c r="P1279">
        <f>YEAR(Europe_Sales_Records34[[#This Row],[Ship Date Fixed]])</f>
        <v>2017</v>
      </c>
      <c r="Q1279" t="str">
        <f>TEXT(Europe_Sales_Records34[[#This Row],[Ship Date Fixed]],"MMM-YYYY")</f>
        <v>Jan-2017</v>
      </c>
      <c r="R1279" t="s">
        <v>570</v>
      </c>
      <c r="S1279" s="3">
        <f>Europe_Sales_Records34[[#This Row],[Ship Date Fixed]]-Europe_Sales_Records34[[#This Row],[Order Date Fixed]]</f>
        <v>32</v>
      </c>
      <c r="T1279">
        <v>789</v>
      </c>
      <c r="U1279">
        <v>47.45</v>
      </c>
      <c r="V1279">
        <v>31.79</v>
      </c>
      <c r="W1279">
        <f>Europe_Sales_Records34[[#This Row],[Total Revenue]]/Europe_Sales_Records34[[#This Row],[Units Sold]]</f>
        <v>47.45</v>
      </c>
      <c r="X1279">
        <v>37438.050000000003</v>
      </c>
      <c r="Y1279">
        <v>25082.31</v>
      </c>
      <c r="Z1279" s="4">
        <f>Europe_Sales_Records34[[#This Row],[Total Profit]]/Europe_Sales_Records34[[#This Row],[Total Revenue]]</f>
        <v>0.330031612223393</v>
      </c>
      <c r="AA1279">
        <v>12355.74</v>
      </c>
    </row>
    <row r="1280" spans="1:27" x14ac:dyDescent="0.3">
      <c r="A1280" t="s">
        <v>14</v>
      </c>
      <c r="B1280" t="s">
        <v>146</v>
      </c>
      <c r="C1280" t="s">
        <v>75</v>
      </c>
      <c r="D1280" t="s">
        <v>23</v>
      </c>
      <c r="E1280" t="s">
        <v>54</v>
      </c>
      <c r="F1280" t="s">
        <v>1759</v>
      </c>
      <c r="G1280" s="2">
        <f t="shared" si="38"/>
        <v>41438</v>
      </c>
      <c r="H1280">
        <f>DAY(Europe_Sales_Records34[[#This Row],[Order Date Fixed]])</f>
        <v>13</v>
      </c>
      <c r="I1280" t="str">
        <f>TEXT(Europe_Sales_Records34[[#This Row],[Order Date Fixed]],"MMM")</f>
        <v>Jun</v>
      </c>
      <c r="J1280">
        <f>YEAR(Europe_Sales_Records34[[#This Row],[Order Date Fixed]])</f>
        <v>2013</v>
      </c>
      <c r="K1280" t="str">
        <f>TEXT(Europe_Sales_Records34[[#This Row],[Order Date Fixed]],"MMM-YYYY")</f>
        <v>Jun-2013</v>
      </c>
      <c r="L1280">
        <v>830172288</v>
      </c>
      <c r="M1280" s="2">
        <f t="shared" si="39"/>
        <v>41484</v>
      </c>
      <c r="N1280">
        <f>DAY(Europe_Sales_Records34[[#This Row],[Ship Date Fixed]])</f>
        <v>29</v>
      </c>
      <c r="O1280" t="str">
        <f>TEXT(Europe_Sales_Records34[[#This Row],[Ship Date Fixed]],"MMM")</f>
        <v>Jul</v>
      </c>
      <c r="P1280">
        <f>YEAR(Europe_Sales_Records34[[#This Row],[Ship Date Fixed]])</f>
        <v>2013</v>
      </c>
      <c r="Q1280" t="str">
        <f>TEXT(Europe_Sales_Records34[[#This Row],[Ship Date Fixed]],"MMM-YYYY")</f>
        <v>Jul-2013</v>
      </c>
      <c r="R1280" t="s">
        <v>1306</v>
      </c>
      <c r="S1280" s="3">
        <f>Europe_Sales_Records34[[#This Row],[Ship Date Fixed]]-Europe_Sales_Records34[[#This Row],[Order Date Fixed]]</f>
        <v>46</v>
      </c>
      <c r="T1280">
        <v>5283</v>
      </c>
      <c r="U1280">
        <v>437.2</v>
      </c>
      <c r="V1280">
        <v>263.33</v>
      </c>
      <c r="W1280">
        <f>Europe_Sales_Records34[[#This Row],[Total Revenue]]/Europe_Sales_Records34[[#This Row],[Units Sold]]</f>
        <v>437.20000000000005</v>
      </c>
      <c r="X1280">
        <v>2309727.6</v>
      </c>
      <c r="Y1280">
        <v>1391172.39</v>
      </c>
      <c r="Z1280" s="4">
        <f>Europe_Sales_Records34[[#This Row],[Total Profit]]/Europe_Sales_Records34[[#This Row],[Total Revenue]]</f>
        <v>0.39768984446477579</v>
      </c>
      <c r="AA1280">
        <v>918555.21</v>
      </c>
    </row>
    <row r="1281" spans="1:27" x14ac:dyDescent="0.3">
      <c r="A1281" t="s">
        <v>14</v>
      </c>
      <c r="B1281" t="s">
        <v>146</v>
      </c>
      <c r="C1281" t="s">
        <v>50</v>
      </c>
      <c r="D1281" t="s">
        <v>17</v>
      </c>
      <c r="E1281" t="s">
        <v>33</v>
      </c>
      <c r="F1281" t="s">
        <v>1419</v>
      </c>
      <c r="G1281" s="2">
        <f t="shared" si="38"/>
        <v>42503</v>
      </c>
      <c r="H1281">
        <f>DAY(Europe_Sales_Records34[[#This Row],[Order Date Fixed]])</f>
        <v>13</v>
      </c>
      <c r="I1281" t="str">
        <f>TEXT(Europe_Sales_Records34[[#This Row],[Order Date Fixed]],"MMM")</f>
        <v>May</v>
      </c>
      <c r="J1281">
        <f>YEAR(Europe_Sales_Records34[[#This Row],[Order Date Fixed]])</f>
        <v>2016</v>
      </c>
      <c r="K1281" t="str">
        <f>TEXT(Europe_Sales_Records34[[#This Row],[Order Date Fixed]],"MMM-YYYY")</f>
        <v>May-2016</v>
      </c>
      <c r="L1281">
        <v>815755307</v>
      </c>
      <c r="M1281" s="2">
        <f t="shared" si="39"/>
        <v>42530</v>
      </c>
      <c r="N1281">
        <f>DAY(Europe_Sales_Records34[[#This Row],[Ship Date Fixed]])</f>
        <v>9</v>
      </c>
      <c r="O1281" t="str">
        <f>TEXT(Europe_Sales_Records34[[#This Row],[Ship Date Fixed]],"MMM")</f>
        <v>Jun</v>
      </c>
      <c r="P1281">
        <f>YEAR(Europe_Sales_Records34[[#This Row],[Ship Date Fixed]])</f>
        <v>2016</v>
      </c>
      <c r="Q1281" t="str">
        <f>TEXT(Europe_Sales_Records34[[#This Row],[Ship Date Fixed]],"MMM-YYYY")</f>
        <v>Jun-2016</v>
      </c>
      <c r="R1281" t="s">
        <v>980</v>
      </c>
      <c r="S1281" s="3">
        <f>Europe_Sales_Records34[[#This Row],[Ship Date Fixed]]-Europe_Sales_Records34[[#This Row],[Order Date Fixed]]</f>
        <v>27</v>
      </c>
      <c r="T1281">
        <v>8978</v>
      </c>
      <c r="U1281">
        <v>421.89</v>
      </c>
      <c r="V1281">
        <v>364.69</v>
      </c>
      <c r="W1281">
        <f>Europe_Sales_Records34[[#This Row],[Total Revenue]]/Europe_Sales_Records34[[#This Row],[Units Sold]]</f>
        <v>421.89</v>
      </c>
      <c r="X1281">
        <v>3787728.42</v>
      </c>
      <c r="Y1281">
        <v>3274186.82</v>
      </c>
      <c r="Z1281" s="4">
        <f>Europe_Sales_Records34[[#This Row],[Total Profit]]/Europe_Sales_Records34[[#This Row],[Total Revenue]]</f>
        <v>0.13558036455000119</v>
      </c>
      <c r="AA1281">
        <v>513541.6</v>
      </c>
    </row>
    <row r="1282" spans="1:27" x14ac:dyDescent="0.3">
      <c r="A1282" t="s">
        <v>14</v>
      </c>
      <c r="B1282" t="s">
        <v>27</v>
      </c>
      <c r="C1282" t="s">
        <v>22</v>
      </c>
      <c r="D1282" t="s">
        <v>23</v>
      </c>
      <c r="E1282" t="s">
        <v>24</v>
      </c>
      <c r="F1282" t="s">
        <v>1760</v>
      </c>
      <c r="G1282" s="2">
        <f t="shared" ref="G1282:G1345" si="40">DATE(
  RIGHT(F1282,4),
  LEFT(F1282,FIND("/",F1282)-1),
  MID(F1282,FIND("/",F1282)+1, FIND("/",F1282,FIND("/",F1282)+1)-FIND("/",F1282)-1)
)</f>
        <v>42361</v>
      </c>
      <c r="H1282">
        <f>DAY(Europe_Sales_Records34[[#This Row],[Order Date Fixed]])</f>
        <v>23</v>
      </c>
      <c r="I1282" t="str">
        <f>TEXT(Europe_Sales_Records34[[#This Row],[Order Date Fixed]],"MMM")</f>
        <v>Dec</v>
      </c>
      <c r="J1282">
        <f>YEAR(Europe_Sales_Records34[[#This Row],[Order Date Fixed]])</f>
        <v>2015</v>
      </c>
      <c r="K1282" t="str">
        <f>TEXT(Europe_Sales_Records34[[#This Row],[Order Date Fixed]],"MMM-YYYY")</f>
        <v>Dec-2015</v>
      </c>
      <c r="L1282">
        <v>870173251</v>
      </c>
      <c r="M1282" s="2">
        <f t="shared" ref="M1282:M1331" si="41">DATE(
  RIGHT(R1282,4),
  LEFT(R1282,FIND("/",R1282)-1),
  MID(
      R1282,
      FIND("/",R1282)+1,
      FIND("/",R1282,FIND("/",R1282)+1)-FIND("/",R1282)-1
     )
)</f>
        <v>42368</v>
      </c>
      <c r="N1282">
        <f>DAY(Europe_Sales_Records34[[#This Row],[Ship Date Fixed]])</f>
        <v>30</v>
      </c>
      <c r="O1282" t="str">
        <f>TEXT(Europe_Sales_Records34[[#This Row],[Ship Date Fixed]],"MMM")</f>
        <v>Dec</v>
      </c>
      <c r="P1282">
        <f>YEAR(Europe_Sales_Records34[[#This Row],[Ship Date Fixed]])</f>
        <v>2015</v>
      </c>
      <c r="Q1282" t="str">
        <f>TEXT(Europe_Sales_Records34[[#This Row],[Ship Date Fixed]],"MMM-YYYY")</f>
        <v>Dec-2015</v>
      </c>
      <c r="R1282" t="s">
        <v>1706</v>
      </c>
      <c r="S1282" s="3">
        <f>Europe_Sales_Records34[[#This Row],[Ship Date Fixed]]-Europe_Sales_Records34[[#This Row],[Order Date Fixed]]</f>
        <v>7</v>
      </c>
      <c r="T1282">
        <v>2457</v>
      </c>
      <c r="U1282">
        <v>109.28</v>
      </c>
      <c r="V1282">
        <v>35.840000000000003</v>
      </c>
      <c r="W1282">
        <f>Europe_Sales_Records34[[#This Row],[Total Revenue]]/Europe_Sales_Records34[[#This Row],[Units Sold]]</f>
        <v>109.28000000000002</v>
      </c>
      <c r="X1282">
        <v>268500.96000000002</v>
      </c>
      <c r="Y1282">
        <v>88058.880000000005</v>
      </c>
      <c r="Z1282" s="4">
        <f>Europe_Sales_Records34[[#This Row],[Total Profit]]/Europe_Sales_Records34[[#This Row],[Total Revenue]]</f>
        <v>0.67203513909224</v>
      </c>
      <c r="AA1282">
        <v>180442.08</v>
      </c>
    </row>
    <row r="1283" spans="1:27" x14ac:dyDescent="0.3">
      <c r="A1283" t="s">
        <v>14</v>
      </c>
      <c r="B1283" t="s">
        <v>183</v>
      </c>
      <c r="C1283" t="s">
        <v>64</v>
      </c>
      <c r="D1283" t="s">
        <v>23</v>
      </c>
      <c r="E1283" t="s">
        <v>24</v>
      </c>
      <c r="F1283" t="s">
        <v>1428</v>
      </c>
      <c r="G1283" s="2">
        <f t="shared" si="40"/>
        <v>41505</v>
      </c>
      <c r="H1283">
        <f>DAY(Europe_Sales_Records34[[#This Row],[Order Date Fixed]])</f>
        <v>19</v>
      </c>
      <c r="I1283" t="str">
        <f>TEXT(Europe_Sales_Records34[[#This Row],[Order Date Fixed]],"MMM")</f>
        <v>Aug</v>
      </c>
      <c r="J1283">
        <f>YEAR(Europe_Sales_Records34[[#This Row],[Order Date Fixed]])</f>
        <v>2013</v>
      </c>
      <c r="K1283" t="str">
        <f>TEXT(Europe_Sales_Records34[[#This Row],[Order Date Fixed]],"MMM-YYYY")</f>
        <v>Aug-2013</v>
      </c>
      <c r="L1283">
        <v>444234168</v>
      </c>
      <c r="M1283" s="2">
        <f t="shared" si="41"/>
        <v>41544</v>
      </c>
      <c r="N1283">
        <f>DAY(Europe_Sales_Records34[[#This Row],[Ship Date Fixed]])</f>
        <v>27</v>
      </c>
      <c r="O1283" t="str">
        <f>TEXT(Europe_Sales_Records34[[#This Row],[Ship Date Fixed]],"MMM")</f>
        <v>Sep</v>
      </c>
      <c r="P1283">
        <f>YEAR(Europe_Sales_Records34[[#This Row],[Ship Date Fixed]])</f>
        <v>2013</v>
      </c>
      <c r="Q1283" t="str">
        <f>TEXT(Europe_Sales_Records34[[#This Row],[Ship Date Fixed]],"MMM-YYYY")</f>
        <v>Sep-2013</v>
      </c>
      <c r="R1283" t="s">
        <v>1761</v>
      </c>
      <c r="S1283" s="3">
        <f>Europe_Sales_Records34[[#This Row],[Ship Date Fixed]]-Europe_Sales_Records34[[#This Row],[Order Date Fixed]]</f>
        <v>39</v>
      </c>
      <c r="T1283">
        <v>7617</v>
      </c>
      <c r="U1283">
        <v>255.28</v>
      </c>
      <c r="V1283">
        <v>159.41999999999999</v>
      </c>
      <c r="W1283">
        <f>Europe_Sales_Records34[[#This Row],[Total Revenue]]/Europe_Sales_Records34[[#This Row],[Units Sold]]</f>
        <v>255.28</v>
      </c>
      <c r="X1283">
        <v>1944467.76</v>
      </c>
      <c r="Y1283">
        <v>1214302.1399999999</v>
      </c>
      <c r="Z1283" s="4">
        <f>Europe_Sales_Records34[[#This Row],[Total Profit]]/Europe_Sales_Records34[[#This Row],[Total Revenue]]</f>
        <v>0.37550924475086178</v>
      </c>
      <c r="AA1283">
        <v>730165.62</v>
      </c>
    </row>
    <row r="1284" spans="1:27" x14ac:dyDescent="0.3">
      <c r="A1284" t="s">
        <v>14</v>
      </c>
      <c r="B1284" t="s">
        <v>92</v>
      </c>
      <c r="C1284" t="s">
        <v>22</v>
      </c>
      <c r="D1284" t="s">
        <v>17</v>
      </c>
      <c r="E1284" t="s">
        <v>54</v>
      </c>
      <c r="F1284" t="s">
        <v>1336</v>
      </c>
      <c r="G1284" s="2">
        <f t="shared" si="40"/>
        <v>42586</v>
      </c>
      <c r="H1284">
        <f>DAY(Europe_Sales_Records34[[#This Row],[Order Date Fixed]])</f>
        <v>4</v>
      </c>
      <c r="I1284" t="str">
        <f>TEXT(Europe_Sales_Records34[[#This Row],[Order Date Fixed]],"MMM")</f>
        <v>Aug</v>
      </c>
      <c r="J1284">
        <f>YEAR(Europe_Sales_Records34[[#This Row],[Order Date Fixed]])</f>
        <v>2016</v>
      </c>
      <c r="K1284" t="str">
        <f>TEXT(Europe_Sales_Records34[[#This Row],[Order Date Fixed]],"MMM-YYYY")</f>
        <v>Aug-2016</v>
      </c>
      <c r="L1284">
        <v>545059049</v>
      </c>
      <c r="M1284" s="2">
        <f t="shared" si="41"/>
        <v>42590</v>
      </c>
      <c r="N1284">
        <f>DAY(Europe_Sales_Records34[[#This Row],[Ship Date Fixed]])</f>
        <v>8</v>
      </c>
      <c r="O1284" t="str">
        <f>TEXT(Europe_Sales_Records34[[#This Row],[Ship Date Fixed]],"MMM")</f>
        <v>Aug</v>
      </c>
      <c r="P1284">
        <f>YEAR(Europe_Sales_Records34[[#This Row],[Ship Date Fixed]])</f>
        <v>2016</v>
      </c>
      <c r="Q1284" t="str">
        <f>TEXT(Europe_Sales_Records34[[#This Row],[Ship Date Fixed]],"MMM-YYYY")</f>
        <v>Aug-2016</v>
      </c>
      <c r="R1284" t="s">
        <v>1257</v>
      </c>
      <c r="S1284" s="3">
        <f>Europe_Sales_Records34[[#This Row],[Ship Date Fixed]]-Europe_Sales_Records34[[#This Row],[Order Date Fixed]]</f>
        <v>4</v>
      </c>
      <c r="T1284">
        <v>3940</v>
      </c>
      <c r="U1284">
        <v>109.28</v>
      </c>
      <c r="V1284">
        <v>35.840000000000003</v>
      </c>
      <c r="W1284">
        <f>Europe_Sales_Records34[[#This Row],[Total Revenue]]/Europe_Sales_Records34[[#This Row],[Units Sold]]</f>
        <v>109.28</v>
      </c>
      <c r="X1284">
        <v>430563.2</v>
      </c>
      <c r="Y1284">
        <v>141209.60000000001</v>
      </c>
      <c r="Z1284" s="4">
        <f>Europe_Sales_Records34[[#This Row],[Total Profit]]/Europe_Sales_Records34[[#This Row],[Total Revenue]]</f>
        <v>0.67203513909224</v>
      </c>
      <c r="AA1284">
        <v>289353.59999999998</v>
      </c>
    </row>
    <row r="1285" spans="1:27" x14ac:dyDescent="0.3">
      <c r="A1285" t="s">
        <v>14</v>
      </c>
      <c r="B1285" t="s">
        <v>94</v>
      </c>
      <c r="C1285" t="s">
        <v>64</v>
      </c>
      <c r="D1285" t="s">
        <v>17</v>
      </c>
      <c r="E1285" t="s">
        <v>24</v>
      </c>
      <c r="F1285" t="s">
        <v>1137</v>
      </c>
      <c r="G1285" s="2">
        <f t="shared" si="40"/>
        <v>42284</v>
      </c>
      <c r="H1285">
        <f>DAY(Europe_Sales_Records34[[#This Row],[Order Date Fixed]])</f>
        <v>7</v>
      </c>
      <c r="I1285" t="str">
        <f>TEXT(Europe_Sales_Records34[[#This Row],[Order Date Fixed]],"MMM")</f>
        <v>Oct</v>
      </c>
      <c r="J1285">
        <f>YEAR(Europe_Sales_Records34[[#This Row],[Order Date Fixed]])</f>
        <v>2015</v>
      </c>
      <c r="K1285" t="str">
        <f>TEXT(Europe_Sales_Records34[[#This Row],[Order Date Fixed]],"MMM-YYYY")</f>
        <v>Oct-2015</v>
      </c>
      <c r="L1285">
        <v>530702579</v>
      </c>
      <c r="M1285" s="2">
        <f t="shared" si="41"/>
        <v>42317</v>
      </c>
      <c r="N1285">
        <f>DAY(Europe_Sales_Records34[[#This Row],[Ship Date Fixed]])</f>
        <v>9</v>
      </c>
      <c r="O1285" t="str">
        <f>TEXT(Europe_Sales_Records34[[#This Row],[Ship Date Fixed]],"MMM")</f>
        <v>Nov</v>
      </c>
      <c r="P1285">
        <f>YEAR(Europe_Sales_Records34[[#This Row],[Ship Date Fixed]])</f>
        <v>2015</v>
      </c>
      <c r="Q1285" t="str">
        <f>TEXT(Europe_Sales_Records34[[#This Row],[Ship Date Fixed]],"MMM-YYYY")</f>
        <v>Nov-2015</v>
      </c>
      <c r="R1285" t="s">
        <v>1762</v>
      </c>
      <c r="S1285" s="3">
        <f>Europe_Sales_Records34[[#This Row],[Ship Date Fixed]]-Europe_Sales_Records34[[#This Row],[Order Date Fixed]]</f>
        <v>33</v>
      </c>
      <c r="T1285">
        <v>5541</v>
      </c>
      <c r="U1285">
        <v>255.28</v>
      </c>
      <c r="V1285">
        <v>159.41999999999999</v>
      </c>
      <c r="W1285">
        <f>Europe_Sales_Records34[[#This Row],[Total Revenue]]/Europe_Sales_Records34[[#This Row],[Units Sold]]</f>
        <v>255.28</v>
      </c>
      <c r="X1285">
        <v>1414506.48</v>
      </c>
      <c r="Y1285">
        <v>883346.22</v>
      </c>
      <c r="Z1285" s="4">
        <f>Europe_Sales_Records34[[#This Row],[Total Profit]]/Europe_Sales_Records34[[#This Row],[Total Revenue]]</f>
        <v>0.37550924475086184</v>
      </c>
      <c r="AA1285">
        <v>531160.26</v>
      </c>
    </row>
    <row r="1286" spans="1:27" x14ac:dyDescent="0.3">
      <c r="A1286" t="s">
        <v>14</v>
      </c>
      <c r="B1286" t="s">
        <v>223</v>
      </c>
      <c r="C1286" t="s">
        <v>102</v>
      </c>
      <c r="D1286" t="s">
        <v>17</v>
      </c>
      <c r="E1286" t="s">
        <v>33</v>
      </c>
      <c r="F1286" t="s">
        <v>374</v>
      </c>
      <c r="G1286" s="2">
        <f t="shared" si="40"/>
        <v>41585</v>
      </c>
      <c r="H1286">
        <f>DAY(Europe_Sales_Records34[[#This Row],[Order Date Fixed]])</f>
        <v>7</v>
      </c>
      <c r="I1286" t="str">
        <f>TEXT(Europe_Sales_Records34[[#This Row],[Order Date Fixed]],"MMM")</f>
        <v>Nov</v>
      </c>
      <c r="J1286">
        <f>YEAR(Europe_Sales_Records34[[#This Row],[Order Date Fixed]])</f>
        <v>2013</v>
      </c>
      <c r="K1286" t="str">
        <f>TEXT(Europe_Sales_Records34[[#This Row],[Order Date Fixed]],"MMM-YYYY")</f>
        <v>Nov-2013</v>
      </c>
      <c r="L1286">
        <v>546140086</v>
      </c>
      <c r="M1286" s="2">
        <f t="shared" si="41"/>
        <v>41627</v>
      </c>
      <c r="N1286">
        <f>DAY(Europe_Sales_Records34[[#This Row],[Ship Date Fixed]])</f>
        <v>19</v>
      </c>
      <c r="O1286" t="str">
        <f>TEXT(Europe_Sales_Records34[[#This Row],[Ship Date Fixed]],"MMM")</f>
        <v>Dec</v>
      </c>
      <c r="P1286">
        <f>YEAR(Europe_Sales_Records34[[#This Row],[Ship Date Fixed]])</f>
        <v>2013</v>
      </c>
      <c r="Q1286" t="str">
        <f>TEXT(Europe_Sales_Records34[[#This Row],[Ship Date Fixed]],"MMM-YYYY")</f>
        <v>Dec-2013</v>
      </c>
      <c r="R1286" t="s">
        <v>888</v>
      </c>
      <c r="S1286" s="3">
        <f>Europe_Sales_Records34[[#This Row],[Ship Date Fixed]]-Europe_Sales_Records34[[#This Row],[Order Date Fixed]]</f>
        <v>42</v>
      </c>
      <c r="T1286">
        <v>3843</v>
      </c>
      <c r="U1286">
        <v>81.73</v>
      </c>
      <c r="V1286">
        <v>56.67</v>
      </c>
      <c r="W1286">
        <f>Europe_Sales_Records34[[#This Row],[Total Revenue]]/Europe_Sales_Records34[[#This Row],[Units Sold]]</f>
        <v>81.73</v>
      </c>
      <c r="X1286">
        <v>314088.39</v>
      </c>
      <c r="Y1286">
        <v>217782.81</v>
      </c>
      <c r="Z1286" s="4">
        <f>Europe_Sales_Records34[[#This Row],[Total Profit]]/Europe_Sales_Records34[[#This Row],[Total Revenue]]</f>
        <v>0.30661935641747218</v>
      </c>
      <c r="AA1286">
        <v>96305.58</v>
      </c>
    </row>
    <row r="1287" spans="1:27" x14ac:dyDescent="0.3">
      <c r="A1287" t="s">
        <v>14</v>
      </c>
      <c r="B1287" t="s">
        <v>264</v>
      </c>
      <c r="C1287" t="s">
        <v>46</v>
      </c>
      <c r="D1287" t="s">
        <v>17</v>
      </c>
      <c r="E1287" t="s">
        <v>24</v>
      </c>
      <c r="F1287" t="s">
        <v>1763</v>
      </c>
      <c r="G1287" s="2">
        <f t="shared" si="40"/>
        <v>42893</v>
      </c>
      <c r="H1287">
        <f>DAY(Europe_Sales_Records34[[#This Row],[Order Date Fixed]])</f>
        <v>7</v>
      </c>
      <c r="I1287" t="str">
        <f>TEXT(Europe_Sales_Records34[[#This Row],[Order Date Fixed]],"MMM")</f>
        <v>Jun</v>
      </c>
      <c r="J1287">
        <f>YEAR(Europe_Sales_Records34[[#This Row],[Order Date Fixed]])</f>
        <v>2017</v>
      </c>
      <c r="K1287" t="str">
        <f>TEXT(Europe_Sales_Records34[[#This Row],[Order Date Fixed]],"MMM-YYYY")</f>
        <v>Jun-2017</v>
      </c>
      <c r="L1287">
        <v>215584218</v>
      </c>
      <c r="M1287" s="2">
        <f t="shared" si="41"/>
        <v>42907</v>
      </c>
      <c r="N1287">
        <f>DAY(Europe_Sales_Records34[[#This Row],[Ship Date Fixed]])</f>
        <v>21</v>
      </c>
      <c r="O1287" t="str">
        <f>TEXT(Europe_Sales_Records34[[#This Row],[Ship Date Fixed]],"MMM")</f>
        <v>Jun</v>
      </c>
      <c r="P1287">
        <f>YEAR(Europe_Sales_Records34[[#This Row],[Ship Date Fixed]])</f>
        <v>2017</v>
      </c>
      <c r="Q1287" t="str">
        <f>TEXT(Europe_Sales_Records34[[#This Row],[Ship Date Fixed]],"MMM-YYYY")</f>
        <v>Jun-2017</v>
      </c>
      <c r="R1287" t="s">
        <v>1630</v>
      </c>
      <c r="S1287" s="3">
        <f>Europe_Sales_Records34[[#This Row],[Ship Date Fixed]]-Europe_Sales_Records34[[#This Row],[Order Date Fixed]]</f>
        <v>14</v>
      </c>
      <c r="T1287">
        <v>5016</v>
      </c>
      <c r="U1287">
        <v>154.06</v>
      </c>
      <c r="V1287">
        <v>90.93</v>
      </c>
      <c r="W1287">
        <f>Europe_Sales_Records34[[#This Row],[Total Revenue]]/Europe_Sales_Records34[[#This Row],[Units Sold]]</f>
        <v>154.06</v>
      </c>
      <c r="X1287">
        <v>772764.96</v>
      </c>
      <c r="Y1287">
        <v>456104.88</v>
      </c>
      <c r="Z1287" s="4">
        <f>Europe_Sales_Records34[[#This Row],[Total Profit]]/Europe_Sales_Records34[[#This Row],[Total Revenue]]</f>
        <v>0.40977541217707392</v>
      </c>
      <c r="AA1287">
        <v>316660.08</v>
      </c>
    </row>
    <row r="1288" spans="1:27" x14ac:dyDescent="0.3">
      <c r="A1288" t="s">
        <v>14</v>
      </c>
      <c r="B1288" t="s">
        <v>169</v>
      </c>
      <c r="C1288" t="s">
        <v>28</v>
      </c>
      <c r="D1288" t="s">
        <v>23</v>
      </c>
      <c r="E1288" t="s">
        <v>33</v>
      </c>
      <c r="F1288" t="s">
        <v>41</v>
      </c>
      <c r="G1288" s="2">
        <f t="shared" si="40"/>
        <v>42519</v>
      </c>
      <c r="H1288">
        <f>DAY(Europe_Sales_Records34[[#This Row],[Order Date Fixed]])</f>
        <v>29</v>
      </c>
      <c r="I1288" t="str">
        <f>TEXT(Europe_Sales_Records34[[#This Row],[Order Date Fixed]],"MMM")</f>
        <v>May</v>
      </c>
      <c r="J1288">
        <f>YEAR(Europe_Sales_Records34[[#This Row],[Order Date Fixed]])</f>
        <v>2016</v>
      </c>
      <c r="K1288" t="str">
        <f>TEXT(Europe_Sales_Records34[[#This Row],[Order Date Fixed]],"MMM-YYYY")</f>
        <v>May-2016</v>
      </c>
      <c r="L1288">
        <v>407220542</v>
      </c>
      <c r="M1288" s="2">
        <f t="shared" si="41"/>
        <v>42555</v>
      </c>
      <c r="N1288">
        <f>DAY(Europe_Sales_Records34[[#This Row],[Ship Date Fixed]])</f>
        <v>4</v>
      </c>
      <c r="O1288" t="str">
        <f>TEXT(Europe_Sales_Records34[[#This Row],[Ship Date Fixed]],"MMM")</f>
        <v>Jul</v>
      </c>
      <c r="P1288">
        <f>YEAR(Europe_Sales_Records34[[#This Row],[Ship Date Fixed]])</f>
        <v>2016</v>
      </c>
      <c r="Q1288" t="str">
        <f>TEXT(Europe_Sales_Records34[[#This Row],[Ship Date Fixed]],"MMM-YYYY")</f>
        <v>Jul-2016</v>
      </c>
      <c r="R1288" t="s">
        <v>1764</v>
      </c>
      <c r="S1288" s="3">
        <f>Europe_Sales_Records34[[#This Row],[Ship Date Fixed]]-Europe_Sales_Records34[[#This Row],[Order Date Fixed]]</f>
        <v>36</v>
      </c>
      <c r="T1288">
        <v>4463</v>
      </c>
      <c r="U1288">
        <v>205.7</v>
      </c>
      <c r="V1288">
        <v>117.11</v>
      </c>
      <c r="W1288">
        <f>Europe_Sales_Records34[[#This Row],[Total Revenue]]/Europe_Sales_Records34[[#This Row],[Units Sold]]</f>
        <v>205.7</v>
      </c>
      <c r="X1288">
        <v>918039.1</v>
      </c>
      <c r="Y1288">
        <v>522661.93</v>
      </c>
      <c r="Z1288" s="4">
        <f>Europe_Sales_Records34[[#This Row],[Total Profit]]/Europe_Sales_Records34[[#This Row],[Total Revenue]]</f>
        <v>0.43067574137092851</v>
      </c>
      <c r="AA1288">
        <v>395377.17</v>
      </c>
    </row>
    <row r="1289" spans="1:27" x14ac:dyDescent="0.3">
      <c r="A1289" t="s">
        <v>14</v>
      </c>
      <c r="B1289" t="s">
        <v>271</v>
      </c>
      <c r="C1289" t="s">
        <v>46</v>
      </c>
      <c r="D1289" t="s">
        <v>23</v>
      </c>
      <c r="E1289" t="s">
        <v>33</v>
      </c>
      <c r="F1289" t="s">
        <v>1455</v>
      </c>
      <c r="G1289" s="2">
        <f t="shared" si="40"/>
        <v>42484</v>
      </c>
      <c r="H1289">
        <f>DAY(Europe_Sales_Records34[[#This Row],[Order Date Fixed]])</f>
        <v>24</v>
      </c>
      <c r="I1289" t="str">
        <f>TEXT(Europe_Sales_Records34[[#This Row],[Order Date Fixed]],"MMM")</f>
        <v>Apr</v>
      </c>
      <c r="J1289">
        <f>YEAR(Europe_Sales_Records34[[#This Row],[Order Date Fixed]])</f>
        <v>2016</v>
      </c>
      <c r="K1289" t="str">
        <f>TEXT(Europe_Sales_Records34[[#This Row],[Order Date Fixed]],"MMM-YYYY")</f>
        <v>Apr-2016</v>
      </c>
      <c r="L1289">
        <v>956969964</v>
      </c>
      <c r="M1289" s="2">
        <f t="shared" si="41"/>
        <v>42517</v>
      </c>
      <c r="N1289">
        <f>DAY(Europe_Sales_Records34[[#This Row],[Ship Date Fixed]])</f>
        <v>27</v>
      </c>
      <c r="O1289" t="str">
        <f>TEXT(Europe_Sales_Records34[[#This Row],[Ship Date Fixed]],"MMM")</f>
        <v>May</v>
      </c>
      <c r="P1289">
        <f>YEAR(Europe_Sales_Records34[[#This Row],[Ship Date Fixed]])</f>
        <v>2016</v>
      </c>
      <c r="Q1289" t="str">
        <f>TEXT(Europe_Sales_Records34[[#This Row],[Ship Date Fixed]],"MMM-YYYY")</f>
        <v>May-2016</v>
      </c>
      <c r="R1289" t="s">
        <v>1765</v>
      </c>
      <c r="S1289" s="3">
        <f>Europe_Sales_Records34[[#This Row],[Ship Date Fixed]]-Europe_Sales_Records34[[#This Row],[Order Date Fixed]]</f>
        <v>33</v>
      </c>
      <c r="T1289">
        <v>7533</v>
      </c>
      <c r="U1289">
        <v>154.06</v>
      </c>
      <c r="V1289">
        <v>90.93</v>
      </c>
      <c r="W1289">
        <f>Europe_Sales_Records34[[#This Row],[Total Revenue]]/Europe_Sales_Records34[[#This Row],[Units Sold]]</f>
        <v>154.06</v>
      </c>
      <c r="X1289">
        <v>1160533.98</v>
      </c>
      <c r="Y1289">
        <v>684975.69</v>
      </c>
      <c r="Z1289" s="4">
        <f>Europe_Sales_Records34[[#This Row],[Total Profit]]/Europe_Sales_Records34[[#This Row],[Total Revenue]]</f>
        <v>0.40977541217707386</v>
      </c>
      <c r="AA1289">
        <v>475558.29</v>
      </c>
    </row>
    <row r="1290" spans="1:27" x14ac:dyDescent="0.3">
      <c r="A1290" t="s">
        <v>14</v>
      </c>
      <c r="B1290" t="s">
        <v>97</v>
      </c>
      <c r="C1290" t="s">
        <v>37</v>
      </c>
      <c r="D1290" t="s">
        <v>23</v>
      </c>
      <c r="E1290" t="s">
        <v>33</v>
      </c>
      <c r="F1290" t="s">
        <v>1429</v>
      </c>
      <c r="G1290" s="2">
        <f t="shared" si="40"/>
        <v>41984</v>
      </c>
      <c r="H1290">
        <f>DAY(Europe_Sales_Records34[[#This Row],[Order Date Fixed]])</f>
        <v>11</v>
      </c>
      <c r="I1290" t="str">
        <f>TEXT(Europe_Sales_Records34[[#This Row],[Order Date Fixed]],"MMM")</f>
        <v>Dec</v>
      </c>
      <c r="J1290">
        <f>YEAR(Europe_Sales_Records34[[#This Row],[Order Date Fixed]])</f>
        <v>2014</v>
      </c>
      <c r="K1290" t="str">
        <f>TEXT(Europe_Sales_Records34[[#This Row],[Order Date Fixed]],"MMM-YYYY")</f>
        <v>Dec-2014</v>
      </c>
      <c r="L1290">
        <v>399256312</v>
      </c>
      <c r="M1290" s="2">
        <f t="shared" si="41"/>
        <v>42009</v>
      </c>
      <c r="N1290">
        <f>DAY(Europe_Sales_Records34[[#This Row],[Ship Date Fixed]])</f>
        <v>5</v>
      </c>
      <c r="O1290" t="str">
        <f>TEXT(Europe_Sales_Records34[[#This Row],[Ship Date Fixed]],"MMM")</f>
        <v>Jan</v>
      </c>
      <c r="P1290">
        <f>YEAR(Europe_Sales_Records34[[#This Row],[Ship Date Fixed]])</f>
        <v>2015</v>
      </c>
      <c r="Q1290" t="str">
        <f>TEXT(Europe_Sales_Records34[[#This Row],[Ship Date Fixed]],"MMM-YYYY")</f>
        <v>Jan-2015</v>
      </c>
      <c r="R1290" t="s">
        <v>1766</v>
      </c>
      <c r="S1290" s="3">
        <f>Europe_Sales_Records34[[#This Row],[Ship Date Fixed]]-Europe_Sales_Records34[[#This Row],[Order Date Fixed]]</f>
        <v>25</v>
      </c>
      <c r="T1290">
        <v>7670</v>
      </c>
      <c r="U1290">
        <v>9.33</v>
      </c>
      <c r="V1290">
        <v>6.92</v>
      </c>
      <c r="W1290">
        <f>Europe_Sales_Records34[[#This Row],[Total Revenue]]/Europe_Sales_Records34[[#This Row],[Units Sold]]</f>
        <v>9.33</v>
      </c>
      <c r="X1290">
        <v>71561.100000000006</v>
      </c>
      <c r="Y1290">
        <v>53076.4</v>
      </c>
      <c r="Z1290" s="4">
        <f>Europe_Sales_Records34[[#This Row],[Total Profit]]/Europe_Sales_Records34[[#This Row],[Total Revenue]]</f>
        <v>0.25830653804930331</v>
      </c>
      <c r="AA1290">
        <v>18484.7</v>
      </c>
    </row>
    <row r="1291" spans="1:27" x14ac:dyDescent="0.3">
      <c r="A1291" t="s">
        <v>14</v>
      </c>
      <c r="B1291" t="s">
        <v>232</v>
      </c>
      <c r="C1291" t="s">
        <v>58</v>
      </c>
      <c r="D1291" t="s">
        <v>17</v>
      </c>
      <c r="E1291" t="s">
        <v>24</v>
      </c>
      <c r="F1291" t="s">
        <v>1767</v>
      </c>
      <c r="G1291" s="2">
        <f t="shared" si="40"/>
        <v>40605</v>
      </c>
      <c r="H1291">
        <f>DAY(Europe_Sales_Records34[[#This Row],[Order Date Fixed]])</f>
        <v>3</v>
      </c>
      <c r="I1291" t="str">
        <f>TEXT(Europe_Sales_Records34[[#This Row],[Order Date Fixed]],"MMM")</f>
        <v>Mar</v>
      </c>
      <c r="J1291">
        <f>YEAR(Europe_Sales_Records34[[#This Row],[Order Date Fixed]])</f>
        <v>2011</v>
      </c>
      <c r="K1291" t="str">
        <f>TEXT(Europe_Sales_Records34[[#This Row],[Order Date Fixed]],"MMM-YYYY")</f>
        <v>Mar-2011</v>
      </c>
      <c r="L1291">
        <v>488815915</v>
      </c>
      <c r="M1291" s="2">
        <f t="shared" si="41"/>
        <v>40650</v>
      </c>
      <c r="N1291">
        <f>DAY(Europe_Sales_Records34[[#This Row],[Ship Date Fixed]])</f>
        <v>17</v>
      </c>
      <c r="O1291" t="str">
        <f>TEXT(Europe_Sales_Records34[[#This Row],[Ship Date Fixed]],"MMM")</f>
        <v>Apr</v>
      </c>
      <c r="P1291">
        <f>YEAR(Europe_Sales_Records34[[#This Row],[Ship Date Fixed]])</f>
        <v>2011</v>
      </c>
      <c r="Q1291" t="str">
        <f>TEXT(Europe_Sales_Records34[[#This Row],[Ship Date Fixed]],"MMM-YYYY")</f>
        <v>Apr-2011</v>
      </c>
      <c r="R1291" t="s">
        <v>1531</v>
      </c>
      <c r="S1291" s="3">
        <f>Europe_Sales_Records34[[#This Row],[Ship Date Fixed]]-Europe_Sales_Records34[[#This Row],[Order Date Fixed]]</f>
        <v>45</v>
      </c>
      <c r="T1291">
        <v>347</v>
      </c>
      <c r="U1291">
        <v>152.58000000000001</v>
      </c>
      <c r="V1291">
        <v>97.44</v>
      </c>
      <c r="W1291">
        <f>Europe_Sales_Records34[[#This Row],[Total Revenue]]/Europe_Sales_Records34[[#This Row],[Units Sold]]</f>
        <v>152.58000000000001</v>
      </c>
      <c r="X1291">
        <v>52945.26</v>
      </c>
      <c r="Y1291">
        <v>33811.68</v>
      </c>
      <c r="Z1291" s="4">
        <f>Europe_Sales_Records34[[#This Row],[Total Profit]]/Europe_Sales_Records34[[#This Row],[Total Revenue]]</f>
        <v>0.36138419189933152</v>
      </c>
      <c r="AA1291">
        <v>19133.580000000002</v>
      </c>
    </row>
    <row r="1292" spans="1:27" x14ac:dyDescent="0.3">
      <c r="A1292" t="s">
        <v>14</v>
      </c>
      <c r="B1292" t="s">
        <v>138</v>
      </c>
      <c r="C1292" t="s">
        <v>22</v>
      </c>
      <c r="D1292" t="s">
        <v>17</v>
      </c>
      <c r="E1292" t="s">
        <v>18</v>
      </c>
      <c r="F1292" t="s">
        <v>1007</v>
      </c>
      <c r="G1292" s="2">
        <f t="shared" si="40"/>
        <v>41028</v>
      </c>
      <c r="H1292">
        <f>DAY(Europe_Sales_Records34[[#This Row],[Order Date Fixed]])</f>
        <v>29</v>
      </c>
      <c r="I1292" t="str">
        <f>TEXT(Europe_Sales_Records34[[#This Row],[Order Date Fixed]],"MMM")</f>
        <v>Apr</v>
      </c>
      <c r="J1292">
        <f>YEAR(Europe_Sales_Records34[[#This Row],[Order Date Fixed]])</f>
        <v>2012</v>
      </c>
      <c r="K1292" t="str">
        <f>TEXT(Europe_Sales_Records34[[#This Row],[Order Date Fixed]],"MMM-YYYY")</f>
        <v>Apr-2012</v>
      </c>
      <c r="L1292">
        <v>530262696</v>
      </c>
      <c r="M1292" s="2">
        <f t="shared" si="41"/>
        <v>41040</v>
      </c>
      <c r="N1292">
        <f>DAY(Europe_Sales_Records34[[#This Row],[Ship Date Fixed]])</f>
        <v>11</v>
      </c>
      <c r="O1292" t="str">
        <f>TEXT(Europe_Sales_Records34[[#This Row],[Ship Date Fixed]],"MMM")</f>
        <v>May</v>
      </c>
      <c r="P1292">
        <f>YEAR(Europe_Sales_Records34[[#This Row],[Ship Date Fixed]])</f>
        <v>2012</v>
      </c>
      <c r="Q1292" t="str">
        <f>TEXT(Europe_Sales_Records34[[#This Row],[Ship Date Fixed]],"MMM-YYYY")</f>
        <v>May-2012</v>
      </c>
      <c r="R1292" t="s">
        <v>1012</v>
      </c>
      <c r="S1292" s="3">
        <f>Europe_Sales_Records34[[#This Row],[Ship Date Fixed]]-Europe_Sales_Records34[[#This Row],[Order Date Fixed]]</f>
        <v>12</v>
      </c>
      <c r="T1292">
        <v>5370</v>
      </c>
      <c r="U1292">
        <v>109.28</v>
      </c>
      <c r="V1292">
        <v>35.840000000000003</v>
      </c>
      <c r="W1292">
        <f>Europe_Sales_Records34[[#This Row],[Total Revenue]]/Europe_Sales_Records34[[#This Row],[Units Sold]]</f>
        <v>109.28</v>
      </c>
      <c r="X1292">
        <v>586833.6</v>
      </c>
      <c r="Y1292">
        <v>192460.79999999999</v>
      </c>
      <c r="Z1292" s="4">
        <f>Europe_Sales_Records34[[#This Row],[Total Profit]]/Europe_Sales_Records34[[#This Row],[Total Revenue]]</f>
        <v>0.67203513909224011</v>
      </c>
      <c r="AA1292">
        <v>394372.8</v>
      </c>
    </row>
    <row r="1293" spans="1:27" x14ac:dyDescent="0.3">
      <c r="A1293" t="s">
        <v>14</v>
      </c>
      <c r="B1293" t="s">
        <v>49</v>
      </c>
      <c r="C1293" t="s">
        <v>75</v>
      </c>
      <c r="D1293" t="s">
        <v>23</v>
      </c>
      <c r="E1293" t="s">
        <v>33</v>
      </c>
      <c r="F1293" t="s">
        <v>1085</v>
      </c>
      <c r="G1293" s="2">
        <f t="shared" si="40"/>
        <v>42426</v>
      </c>
      <c r="H1293">
        <f>DAY(Europe_Sales_Records34[[#This Row],[Order Date Fixed]])</f>
        <v>26</v>
      </c>
      <c r="I1293" t="str">
        <f>TEXT(Europe_Sales_Records34[[#This Row],[Order Date Fixed]],"MMM")</f>
        <v>Feb</v>
      </c>
      <c r="J1293">
        <f>YEAR(Europe_Sales_Records34[[#This Row],[Order Date Fixed]])</f>
        <v>2016</v>
      </c>
      <c r="K1293" t="str">
        <f>TEXT(Europe_Sales_Records34[[#This Row],[Order Date Fixed]],"MMM-YYYY")</f>
        <v>Feb-2016</v>
      </c>
      <c r="L1293">
        <v>243521249</v>
      </c>
      <c r="M1293" s="2">
        <f t="shared" si="41"/>
        <v>42457</v>
      </c>
      <c r="N1293">
        <f>DAY(Europe_Sales_Records34[[#This Row],[Ship Date Fixed]])</f>
        <v>28</v>
      </c>
      <c r="O1293" t="str">
        <f>TEXT(Europe_Sales_Records34[[#This Row],[Ship Date Fixed]],"MMM")</f>
        <v>Mar</v>
      </c>
      <c r="P1293">
        <f>YEAR(Europe_Sales_Records34[[#This Row],[Ship Date Fixed]])</f>
        <v>2016</v>
      </c>
      <c r="Q1293" t="str">
        <f>TEXT(Europe_Sales_Records34[[#This Row],[Ship Date Fixed]],"MMM-YYYY")</f>
        <v>Mar-2016</v>
      </c>
      <c r="R1293" t="s">
        <v>315</v>
      </c>
      <c r="S1293" s="3">
        <f>Europe_Sales_Records34[[#This Row],[Ship Date Fixed]]-Europe_Sales_Records34[[#This Row],[Order Date Fixed]]</f>
        <v>31</v>
      </c>
      <c r="T1293">
        <v>2204</v>
      </c>
      <c r="U1293">
        <v>437.2</v>
      </c>
      <c r="V1293">
        <v>263.33</v>
      </c>
      <c r="W1293">
        <f>Europe_Sales_Records34[[#This Row],[Total Revenue]]/Europe_Sales_Records34[[#This Row],[Units Sold]]</f>
        <v>437.20000000000005</v>
      </c>
      <c r="X1293">
        <v>963588.8</v>
      </c>
      <c r="Y1293">
        <v>580379.31999999995</v>
      </c>
      <c r="Z1293" s="4">
        <f>Europe_Sales_Records34[[#This Row],[Total Profit]]/Europe_Sales_Records34[[#This Row],[Total Revenue]]</f>
        <v>0.39768984446477579</v>
      </c>
      <c r="AA1293">
        <v>383209.48</v>
      </c>
    </row>
    <row r="1294" spans="1:27" x14ac:dyDescent="0.3">
      <c r="A1294" t="s">
        <v>14</v>
      </c>
      <c r="B1294" t="s">
        <v>223</v>
      </c>
      <c r="C1294" t="s">
        <v>75</v>
      </c>
      <c r="D1294" t="s">
        <v>23</v>
      </c>
      <c r="E1294" t="s">
        <v>24</v>
      </c>
      <c r="F1294" t="s">
        <v>1768</v>
      </c>
      <c r="G1294" s="2">
        <f t="shared" si="40"/>
        <v>40570</v>
      </c>
      <c r="H1294">
        <f>DAY(Europe_Sales_Records34[[#This Row],[Order Date Fixed]])</f>
        <v>27</v>
      </c>
      <c r="I1294" t="str">
        <f>TEXT(Europe_Sales_Records34[[#This Row],[Order Date Fixed]],"MMM")</f>
        <v>Jan</v>
      </c>
      <c r="J1294">
        <f>YEAR(Europe_Sales_Records34[[#This Row],[Order Date Fixed]])</f>
        <v>2011</v>
      </c>
      <c r="K1294" t="str">
        <f>TEXT(Europe_Sales_Records34[[#This Row],[Order Date Fixed]],"MMM-YYYY")</f>
        <v>Jan-2011</v>
      </c>
      <c r="L1294">
        <v>878614270</v>
      </c>
      <c r="M1294" s="2">
        <f t="shared" si="41"/>
        <v>40591</v>
      </c>
      <c r="N1294">
        <f>DAY(Europe_Sales_Records34[[#This Row],[Ship Date Fixed]])</f>
        <v>17</v>
      </c>
      <c r="O1294" t="str">
        <f>TEXT(Europe_Sales_Records34[[#This Row],[Ship Date Fixed]],"MMM")</f>
        <v>Feb</v>
      </c>
      <c r="P1294">
        <f>YEAR(Europe_Sales_Records34[[#This Row],[Ship Date Fixed]])</f>
        <v>2011</v>
      </c>
      <c r="Q1294" t="str">
        <f>TEXT(Europe_Sales_Records34[[#This Row],[Ship Date Fixed]],"MMM-YYYY")</f>
        <v>Feb-2011</v>
      </c>
      <c r="R1294" t="s">
        <v>250</v>
      </c>
      <c r="S1294" s="3">
        <f>Europe_Sales_Records34[[#This Row],[Ship Date Fixed]]-Europe_Sales_Records34[[#This Row],[Order Date Fixed]]</f>
        <v>21</v>
      </c>
      <c r="T1294">
        <v>342</v>
      </c>
      <c r="U1294">
        <v>437.2</v>
      </c>
      <c r="V1294">
        <v>263.33</v>
      </c>
      <c r="W1294">
        <f>Europe_Sales_Records34[[#This Row],[Total Revenue]]/Europe_Sales_Records34[[#This Row],[Units Sold]]</f>
        <v>437.2</v>
      </c>
      <c r="X1294">
        <v>149522.4</v>
      </c>
      <c r="Y1294">
        <v>90058.86</v>
      </c>
      <c r="Z1294" s="4">
        <f>Europe_Sales_Records34[[#This Row],[Total Profit]]/Europe_Sales_Records34[[#This Row],[Total Revenue]]</f>
        <v>0.39768984446477584</v>
      </c>
      <c r="AA1294">
        <v>59463.54</v>
      </c>
    </row>
    <row r="1295" spans="1:27" x14ac:dyDescent="0.3">
      <c r="A1295" t="s">
        <v>14</v>
      </c>
      <c r="B1295" t="s">
        <v>127</v>
      </c>
      <c r="C1295" t="s">
        <v>46</v>
      </c>
      <c r="D1295" t="s">
        <v>17</v>
      </c>
      <c r="E1295" t="s">
        <v>54</v>
      </c>
      <c r="F1295" t="s">
        <v>1769</v>
      </c>
      <c r="G1295" s="2">
        <f t="shared" si="40"/>
        <v>41782</v>
      </c>
      <c r="H1295">
        <f>DAY(Europe_Sales_Records34[[#This Row],[Order Date Fixed]])</f>
        <v>23</v>
      </c>
      <c r="I1295" t="str">
        <f>TEXT(Europe_Sales_Records34[[#This Row],[Order Date Fixed]],"MMM")</f>
        <v>May</v>
      </c>
      <c r="J1295">
        <f>YEAR(Europe_Sales_Records34[[#This Row],[Order Date Fixed]])</f>
        <v>2014</v>
      </c>
      <c r="K1295" t="str">
        <f>TEXT(Europe_Sales_Records34[[#This Row],[Order Date Fixed]],"MMM-YYYY")</f>
        <v>May-2014</v>
      </c>
      <c r="L1295">
        <v>954341828</v>
      </c>
      <c r="M1295" s="2">
        <f t="shared" si="41"/>
        <v>41831</v>
      </c>
      <c r="N1295">
        <f>DAY(Europe_Sales_Records34[[#This Row],[Ship Date Fixed]])</f>
        <v>11</v>
      </c>
      <c r="O1295" t="str">
        <f>TEXT(Europe_Sales_Records34[[#This Row],[Ship Date Fixed]],"MMM")</f>
        <v>Jul</v>
      </c>
      <c r="P1295">
        <f>YEAR(Europe_Sales_Records34[[#This Row],[Ship Date Fixed]])</f>
        <v>2014</v>
      </c>
      <c r="Q1295" t="str">
        <f>TEXT(Europe_Sales_Records34[[#This Row],[Ship Date Fixed]],"MMM-YYYY")</f>
        <v>Jul-2014</v>
      </c>
      <c r="R1295" t="s">
        <v>462</v>
      </c>
      <c r="S1295" s="3">
        <f>Europe_Sales_Records34[[#This Row],[Ship Date Fixed]]-Europe_Sales_Records34[[#This Row],[Order Date Fixed]]</f>
        <v>49</v>
      </c>
      <c r="T1295">
        <v>9809</v>
      </c>
      <c r="U1295">
        <v>154.06</v>
      </c>
      <c r="V1295">
        <v>90.93</v>
      </c>
      <c r="W1295">
        <f>Europe_Sales_Records34[[#This Row],[Total Revenue]]/Europe_Sales_Records34[[#This Row],[Units Sold]]</f>
        <v>154.06</v>
      </c>
      <c r="X1295">
        <v>1511174.54</v>
      </c>
      <c r="Y1295">
        <v>891932.37</v>
      </c>
      <c r="Z1295" s="4">
        <f>Europe_Sales_Records34[[#This Row],[Total Profit]]/Europe_Sales_Records34[[#This Row],[Total Revenue]]</f>
        <v>0.40977541217707386</v>
      </c>
      <c r="AA1295">
        <v>619242.17000000004</v>
      </c>
    </row>
    <row r="1296" spans="1:27" x14ac:dyDescent="0.3">
      <c r="A1296" t="s">
        <v>14</v>
      </c>
      <c r="B1296" t="s">
        <v>146</v>
      </c>
      <c r="C1296" t="s">
        <v>16</v>
      </c>
      <c r="D1296" t="s">
        <v>23</v>
      </c>
      <c r="E1296" t="s">
        <v>54</v>
      </c>
      <c r="F1296" t="s">
        <v>1770</v>
      </c>
      <c r="G1296" s="2">
        <f t="shared" si="40"/>
        <v>40433</v>
      </c>
      <c r="H1296">
        <f>DAY(Europe_Sales_Records34[[#This Row],[Order Date Fixed]])</f>
        <v>12</v>
      </c>
      <c r="I1296" t="str">
        <f>TEXT(Europe_Sales_Records34[[#This Row],[Order Date Fixed]],"MMM")</f>
        <v>Sep</v>
      </c>
      <c r="J1296">
        <f>YEAR(Europe_Sales_Records34[[#This Row],[Order Date Fixed]])</f>
        <v>2010</v>
      </c>
      <c r="K1296" t="str">
        <f>TEXT(Europe_Sales_Records34[[#This Row],[Order Date Fixed]],"MMM-YYYY")</f>
        <v>Sep-2010</v>
      </c>
      <c r="L1296">
        <v>607620608</v>
      </c>
      <c r="M1296" s="2">
        <f t="shared" si="41"/>
        <v>40441</v>
      </c>
      <c r="N1296">
        <f>DAY(Europe_Sales_Records34[[#This Row],[Ship Date Fixed]])</f>
        <v>20</v>
      </c>
      <c r="O1296" t="str">
        <f>TEXT(Europe_Sales_Records34[[#This Row],[Ship Date Fixed]],"MMM")</f>
        <v>Sep</v>
      </c>
      <c r="P1296">
        <f>YEAR(Europe_Sales_Records34[[#This Row],[Ship Date Fixed]])</f>
        <v>2010</v>
      </c>
      <c r="Q1296" t="str">
        <f>TEXT(Europe_Sales_Records34[[#This Row],[Ship Date Fixed]],"MMM-YYYY")</f>
        <v>Sep-2010</v>
      </c>
      <c r="R1296" t="s">
        <v>170</v>
      </c>
      <c r="S1296" s="3">
        <f>Europe_Sales_Records34[[#This Row],[Ship Date Fixed]]-Europe_Sales_Records34[[#This Row],[Order Date Fixed]]</f>
        <v>8</v>
      </c>
      <c r="T1296">
        <v>7296</v>
      </c>
      <c r="U1296">
        <v>47.45</v>
      </c>
      <c r="V1296">
        <v>31.79</v>
      </c>
      <c r="W1296">
        <f>Europe_Sales_Records34[[#This Row],[Total Revenue]]/Europe_Sales_Records34[[#This Row],[Units Sold]]</f>
        <v>47.45</v>
      </c>
      <c r="X1296">
        <v>346195.20000000001</v>
      </c>
      <c r="Y1296">
        <v>231939.84</v>
      </c>
      <c r="Z1296" s="4">
        <f>Europe_Sales_Records34[[#This Row],[Total Profit]]/Europe_Sales_Records34[[#This Row],[Total Revenue]]</f>
        <v>0.33003161222339306</v>
      </c>
      <c r="AA1296">
        <v>114255.36</v>
      </c>
    </row>
    <row r="1297" spans="1:27" x14ac:dyDescent="0.3">
      <c r="A1297" t="s">
        <v>14</v>
      </c>
      <c r="B1297" t="s">
        <v>105</v>
      </c>
      <c r="C1297" t="s">
        <v>102</v>
      </c>
      <c r="D1297" t="s">
        <v>23</v>
      </c>
      <c r="E1297" t="s">
        <v>33</v>
      </c>
      <c r="F1297" t="s">
        <v>1231</v>
      </c>
      <c r="G1297" s="2">
        <f t="shared" si="40"/>
        <v>41641</v>
      </c>
      <c r="H1297">
        <f>DAY(Europe_Sales_Records34[[#This Row],[Order Date Fixed]])</f>
        <v>2</v>
      </c>
      <c r="I1297" t="str">
        <f>TEXT(Europe_Sales_Records34[[#This Row],[Order Date Fixed]],"MMM")</f>
        <v>Jan</v>
      </c>
      <c r="J1297">
        <f>YEAR(Europe_Sales_Records34[[#This Row],[Order Date Fixed]])</f>
        <v>2014</v>
      </c>
      <c r="K1297" t="str">
        <f>TEXT(Europe_Sales_Records34[[#This Row],[Order Date Fixed]],"MMM-YYYY")</f>
        <v>Jan-2014</v>
      </c>
      <c r="L1297">
        <v>561534678</v>
      </c>
      <c r="M1297" s="2">
        <f t="shared" si="41"/>
        <v>41668</v>
      </c>
      <c r="N1297">
        <f>DAY(Europe_Sales_Records34[[#This Row],[Ship Date Fixed]])</f>
        <v>29</v>
      </c>
      <c r="O1297" t="str">
        <f>TEXT(Europe_Sales_Records34[[#This Row],[Ship Date Fixed]],"MMM")</f>
        <v>Jan</v>
      </c>
      <c r="P1297">
        <f>YEAR(Europe_Sales_Records34[[#This Row],[Ship Date Fixed]])</f>
        <v>2014</v>
      </c>
      <c r="Q1297" t="str">
        <f>TEXT(Europe_Sales_Records34[[#This Row],[Ship Date Fixed]],"MMM-YYYY")</f>
        <v>Jan-2014</v>
      </c>
      <c r="R1297" t="s">
        <v>1771</v>
      </c>
      <c r="S1297" s="3">
        <f>Europe_Sales_Records34[[#This Row],[Ship Date Fixed]]-Europe_Sales_Records34[[#This Row],[Order Date Fixed]]</f>
        <v>27</v>
      </c>
      <c r="T1297">
        <v>9445</v>
      </c>
      <c r="U1297">
        <v>81.73</v>
      </c>
      <c r="V1297">
        <v>56.67</v>
      </c>
      <c r="W1297">
        <f>Europe_Sales_Records34[[#This Row],[Total Revenue]]/Europe_Sales_Records34[[#This Row],[Units Sold]]</f>
        <v>81.73</v>
      </c>
      <c r="X1297">
        <v>771939.85</v>
      </c>
      <c r="Y1297">
        <v>535248.15</v>
      </c>
      <c r="Z1297" s="4">
        <f>Europe_Sales_Records34[[#This Row],[Total Profit]]/Europe_Sales_Records34[[#This Row],[Total Revenue]]</f>
        <v>0.30661935641747218</v>
      </c>
      <c r="AA1297">
        <v>236691.7</v>
      </c>
    </row>
    <row r="1298" spans="1:27" x14ac:dyDescent="0.3">
      <c r="A1298" t="s">
        <v>14</v>
      </c>
      <c r="B1298" t="s">
        <v>135</v>
      </c>
      <c r="C1298" t="s">
        <v>46</v>
      </c>
      <c r="D1298" t="s">
        <v>17</v>
      </c>
      <c r="E1298" t="s">
        <v>33</v>
      </c>
      <c r="F1298" t="s">
        <v>1583</v>
      </c>
      <c r="G1298" s="2">
        <f t="shared" si="40"/>
        <v>41645</v>
      </c>
      <c r="H1298">
        <f>DAY(Europe_Sales_Records34[[#This Row],[Order Date Fixed]])</f>
        <v>6</v>
      </c>
      <c r="I1298" t="str">
        <f>TEXT(Europe_Sales_Records34[[#This Row],[Order Date Fixed]],"MMM")</f>
        <v>Jan</v>
      </c>
      <c r="J1298">
        <f>YEAR(Europe_Sales_Records34[[#This Row],[Order Date Fixed]])</f>
        <v>2014</v>
      </c>
      <c r="K1298" t="str">
        <f>TEXT(Europe_Sales_Records34[[#This Row],[Order Date Fixed]],"MMM-YYYY")</f>
        <v>Jan-2014</v>
      </c>
      <c r="L1298">
        <v>768676316</v>
      </c>
      <c r="M1298" s="2">
        <f t="shared" si="41"/>
        <v>41678</v>
      </c>
      <c r="N1298">
        <f>DAY(Europe_Sales_Records34[[#This Row],[Ship Date Fixed]])</f>
        <v>8</v>
      </c>
      <c r="O1298" t="str">
        <f>TEXT(Europe_Sales_Records34[[#This Row],[Ship Date Fixed]],"MMM")</f>
        <v>Feb</v>
      </c>
      <c r="P1298">
        <f>YEAR(Europe_Sales_Records34[[#This Row],[Ship Date Fixed]])</f>
        <v>2014</v>
      </c>
      <c r="Q1298" t="str">
        <f>TEXT(Europe_Sales_Records34[[#This Row],[Ship Date Fixed]],"MMM-YYYY")</f>
        <v>Feb-2014</v>
      </c>
      <c r="R1298" t="s">
        <v>421</v>
      </c>
      <c r="S1298" s="3">
        <f>Europe_Sales_Records34[[#This Row],[Ship Date Fixed]]-Europe_Sales_Records34[[#This Row],[Order Date Fixed]]</f>
        <v>33</v>
      </c>
      <c r="T1298">
        <v>7259</v>
      </c>
      <c r="U1298">
        <v>154.06</v>
      </c>
      <c r="V1298">
        <v>90.93</v>
      </c>
      <c r="W1298">
        <f>Europe_Sales_Records34[[#This Row],[Total Revenue]]/Europe_Sales_Records34[[#This Row],[Units Sold]]</f>
        <v>154.06</v>
      </c>
      <c r="X1298">
        <v>1118321.54</v>
      </c>
      <c r="Y1298">
        <v>660060.87</v>
      </c>
      <c r="Z1298" s="4">
        <f>Europe_Sales_Records34[[#This Row],[Total Profit]]/Europe_Sales_Records34[[#This Row],[Total Revenue]]</f>
        <v>0.40977541217707386</v>
      </c>
      <c r="AA1298">
        <v>458260.67</v>
      </c>
    </row>
    <row r="1299" spans="1:27" x14ac:dyDescent="0.3">
      <c r="A1299" t="s">
        <v>14</v>
      </c>
      <c r="B1299" t="s">
        <v>115</v>
      </c>
      <c r="C1299" t="s">
        <v>75</v>
      </c>
      <c r="D1299" t="s">
        <v>17</v>
      </c>
      <c r="E1299" t="s">
        <v>33</v>
      </c>
      <c r="F1299" t="s">
        <v>1772</v>
      </c>
      <c r="G1299" s="2">
        <f t="shared" si="40"/>
        <v>40886</v>
      </c>
      <c r="H1299">
        <f>DAY(Europe_Sales_Records34[[#This Row],[Order Date Fixed]])</f>
        <v>9</v>
      </c>
      <c r="I1299" t="str">
        <f>TEXT(Europe_Sales_Records34[[#This Row],[Order Date Fixed]],"MMM")</f>
        <v>Dec</v>
      </c>
      <c r="J1299">
        <f>YEAR(Europe_Sales_Records34[[#This Row],[Order Date Fixed]])</f>
        <v>2011</v>
      </c>
      <c r="K1299" t="str">
        <f>TEXT(Europe_Sales_Records34[[#This Row],[Order Date Fixed]],"MMM-YYYY")</f>
        <v>Dec-2011</v>
      </c>
      <c r="L1299">
        <v>337354791</v>
      </c>
      <c r="M1299" s="2">
        <f t="shared" si="41"/>
        <v>40936</v>
      </c>
      <c r="N1299">
        <f>DAY(Europe_Sales_Records34[[#This Row],[Ship Date Fixed]])</f>
        <v>28</v>
      </c>
      <c r="O1299" t="str">
        <f>TEXT(Europe_Sales_Records34[[#This Row],[Ship Date Fixed]],"MMM")</f>
        <v>Jan</v>
      </c>
      <c r="P1299">
        <f>YEAR(Europe_Sales_Records34[[#This Row],[Ship Date Fixed]])</f>
        <v>2012</v>
      </c>
      <c r="Q1299" t="str">
        <f>TEXT(Europe_Sales_Records34[[#This Row],[Ship Date Fixed]],"MMM-YYYY")</f>
        <v>Jan-2012</v>
      </c>
      <c r="R1299" t="s">
        <v>1537</v>
      </c>
      <c r="S1299" s="3">
        <f>Europe_Sales_Records34[[#This Row],[Ship Date Fixed]]-Europe_Sales_Records34[[#This Row],[Order Date Fixed]]</f>
        <v>50</v>
      </c>
      <c r="T1299">
        <v>9634</v>
      </c>
      <c r="U1299">
        <v>437.2</v>
      </c>
      <c r="V1299">
        <v>263.33</v>
      </c>
      <c r="W1299">
        <f>Europe_Sales_Records34[[#This Row],[Total Revenue]]/Europe_Sales_Records34[[#This Row],[Units Sold]]</f>
        <v>437.2</v>
      </c>
      <c r="X1299">
        <v>4211984.8</v>
      </c>
      <c r="Y1299">
        <v>2536921.2200000002</v>
      </c>
      <c r="Z1299" s="4">
        <f>Europe_Sales_Records34[[#This Row],[Total Profit]]/Europe_Sales_Records34[[#This Row],[Total Revenue]]</f>
        <v>0.3976898444647759</v>
      </c>
      <c r="AA1299">
        <v>1675063.58</v>
      </c>
    </row>
    <row r="1300" spans="1:27" x14ac:dyDescent="0.3">
      <c r="A1300" t="s">
        <v>14</v>
      </c>
      <c r="B1300" t="s">
        <v>115</v>
      </c>
      <c r="C1300" t="s">
        <v>50</v>
      </c>
      <c r="D1300" t="s">
        <v>17</v>
      </c>
      <c r="E1300" t="s">
        <v>24</v>
      </c>
      <c r="F1300" t="s">
        <v>1773</v>
      </c>
      <c r="G1300" s="2">
        <f t="shared" si="40"/>
        <v>41164</v>
      </c>
      <c r="H1300">
        <f>DAY(Europe_Sales_Records34[[#This Row],[Order Date Fixed]])</f>
        <v>12</v>
      </c>
      <c r="I1300" t="str">
        <f>TEXT(Europe_Sales_Records34[[#This Row],[Order Date Fixed]],"MMM")</f>
        <v>Sep</v>
      </c>
      <c r="J1300">
        <f>YEAR(Europe_Sales_Records34[[#This Row],[Order Date Fixed]])</f>
        <v>2012</v>
      </c>
      <c r="K1300" t="str">
        <f>TEXT(Europe_Sales_Records34[[#This Row],[Order Date Fixed]],"MMM-YYYY")</f>
        <v>Sep-2012</v>
      </c>
      <c r="L1300">
        <v>917874085</v>
      </c>
      <c r="M1300" s="2">
        <f t="shared" si="41"/>
        <v>41175</v>
      </c>
      <c r="N1300">
        <f>DAY(Europe_Sales_Records34[[#This Row],[Ship Date Fixed]])</f>
        <v>23</v>
      </c>
      <c r="O1300" t="str">
        <f>TEXT(Europe_Sales_Records34[[#This Row],[Ship Date Fixed]],"MMM")</f>
        <v>Sep</v>
      </c>
      <c r="P1300">
        <f>YEAR(Europe_Sales_Records34[[#This Row],[Ship Date Fixed]])</f>
        <v>2012</v>
      </c>
      <c r="Q1300" t="str">
        <f>TEXT(Europe_Sales_Records34[[#This Row],[Ship Date Fixed]],"MMM-YYYY")</f>
        <v>Sep-2012</v>
      </c>
      <c r="R1300" t="s">
        <v>1774</v>
      </c>
      <c r="S1300" s="3">
        <f>Europe_Sales_Records34[[#This Row],[Ship Date Fixed]]-Europe_Sales_Records34[[#This Row],[Order Date Fixed]]</f>
        <v>11</v>
      </c>
      <c r="T1300">
        <v>8194</v>
      </c>
      <c r="U1300">
        <v>421.89</v>
      </c>
      <c r="V1300">
        <v>364.69</v>
      </c>
      <c r="W1300">
        <f>Europe_Sales_Records34[[#This Row],[Total Revenue]]/Europe_Sales_Records34[[#This Row],[Units Sold]]</f>
        <v>421.89000000000004</v>
      </c>
      <c r="X1300">
        <v>3456966.66</v>
      </c>
      <c r="Y1300">
        <v>2988269.86</v>
      </c>
      <c r="Z1300" s="4">
        <f>Europe_Sales_Records34[[#This Row],[Total Profit]]/Europe_Sales_Records34[[#This Row],[Total Revenue]]</f>
        <v>0.13558036455000116</v>
      </c>
      <c r="AA1300">
        <v>468696.8</v>
      </c>
    </row>
    <row r="1301" spans="1:27" x14ac:dyDescent="0.3">
      <c r="A1301" t="s">
        <v>14</v>
      </c>
      <c r="B1301" t="s">
        <v>89</v>
      </c>
      <c r="C1301" t="s">
        <v>28</v>
      </c>
      <c r="D1301" t="s">
        <v>23</v>
      </c>
      <c r="E1301" t="s">
        <v>18</v>
      </c>
      <c r="F1301" t="s">
        <v>1775</v>
      </c>
      <c r="G1301" s="2">
        <f t="shared" si="40"/>
        <v>41525</v>
      </c>
      <c r="H1301">
        <f>DAY(Europe_Sales_Records34[[#This Row],[Order Date Fixed]])</f>
        <v>8</v>
      </c>
      <c r="I1301" t="str">
        <f>TEXT(Europe_Sales_Records34[[#This Row],[Order Date Fixed]],"MMM")</f>
        <v>Sep</v>
      </c>
      <c r="J1301">
        <f>YEAR(Europe_Sales_Records34[[#This Row],[Order Date Fixed]])</f>
        <v>2013</v>
      </c>
      <c r="K1301" t="str">
        <f>TEXT(Europe_Sales_Records34[[#This Row],[Order Date Fixed]],"MMM-YYYY")</f>
        <v>Sep-2013</v>
      </c>
      <c r="L1301">
        <v>176050603</v>
      </c>
      <c r="M1301" s="2">
        <f t="shared" si="41"/>
        <v>41575</v>
      </c>
      <c r="N1301">
        <f>DAY(Europe_Sales_Records34[[#This Row],[Ship Date Fixed]])</f>
        <v>28</v>
      </c>
      <c r="O1301" t="str">
        <f>TEXT(Europe_Sales_Records34[[#This Row],[Ship Date Fixed]],"MMM")</f>
        <v>Oct</v>
      </c>
      <c r="P1301">
        <f>YEAR(Europe_Sales_Records34[[#This Row],[Ship Date Fixed]])</f>
        <v>2013</v>
      </c>
      <c r="Q1301" t="str">
        <f>TEXT(Europe_Sales_Records34[[#This Row],[Ship Date Fixed]],"MMM-YYYY")</f>
        <v>Oct-2013</v>
      </c>
      <c r="R1301" t="s">
        <v>587</v>
      </c>
      <c r="S1301" s="3">
        <f>Europe_Sales_Records34[[#This Row],[Ship Date Fixed]]-Europe_Sales_Records34[[#This Row],[Order Date Fixed]]</f>
        <v>50</v>
      </c>
      <c r="T1301">
        <v>6140</v>
      </c>
      <c r="U1301">
        <v>205.7</v>
      </c>
      <c r="V1301">
        <v>117.11</v>
      </c>
      <c r="W1301">
        <f>Europe_Sales_Records34[[#This Row],[Total Revenue]]/Europe_Sales_Records34[[#This Row],[Units Sold]]</f>
        <v>205.7</v>
      </c>
      <c r="X1301">
        <v>1262998</v>
      </c>
      <c r="Y1301">
        <v>719055.4</v>
      </c>
      <c r="Z1301" s="4">
        <f>Europe_Sales_Records34[[#This Row],[Total Profit]]/Europe_Sales_Records34[[#This Row],[Total Revenue]]</f>
        <v>0.43067574137092851</v>
      </c>
      <c r="AA1301">
        <v>543942.6</v>
      </c>
    </row>
    <row r="1302" spans="1:27" x14ac:dyDescent="0.3">
      <c r="A1302" t="s">
        <v>14</v>
      </c>
      <c r="B1302" t="s">
        <v>138</v>
      </c>
      <c r="C1302" t="s">
        <v>50</v>
      </c>
      <c r="D1302" t="s">
        <v>17</v>
      </c>
      <c r="E1302" t="s">
        <v>18</v>
      </c>
      <c r="F1302" t="s">
        <v>244</v>
      </c>
      <c r="G1302" s="2">
        <f t="shared" si="40"/>
        <v>40229</v>
      </c>
      <c r="H1302">
        <f>DAY(Europe_Sales_Records34[[#This Row],[Order Date Fixed]])</f>
        <v>20</v>
      </c>
      <c r="I1302" t="str">
        <f>TEXT(Europe_Sales_Records34[[#This Row],[Order Date Fixed]],"MMM")</f>
        <v>Feb</v>
      </c>
      <c r="J1302">
        <f>YEAR(Europe_Sales_Records34[[#This Row],[Order Date Fixed]])</f>
        <v>2010</v>
      </c>
      <c r="K1302" t="str">
        <f>TEXT(Europe_Sales_Records34[[#This Row],[Order Date Fixed]],"MMM-YYYY")</f>
        <v>Feb-2010</v>
      </c>
      <c r="L1302">
        <v>930296790</v>
      </c>
      <c r="M1302" s="2">
        <f t="shared" si="41"/>
        <v>40263</v>
      </c>
      <c r="N1302">
        <f>DAY(Europe_Sales_Records34[[#This Row],[Ship Date Fixed]])</f>
        <v>26</v>
      </c>
      <c r="O1302" t="str">
        <f>TEXT(Europe_Sales_Records34[[#This Row],[Ship Date Fixed]],"MMM")</f>
        <v>Mar</v>
      </c>
      <c r="P1302">
        <f>YEAR(Europe_Sales_Records34[[#This Row],[Ship Date Fixed]])</f>
        <v>2010</v>
      </c>
      <c r="Q1302" t="str">
        <f>TEXT(Europe_Sales_Records34[[#This Row],[Ship Date Fixed]],"MMM-YYYY")</f>
        <v>Mar-2010</v>
      </c>
      <c r="R1302" t="s">
        <v>222</v>
      </c>
      <c r="S1302" s="3">
        <f>Europe_Sales_Records34[[#This Row],[Ship Date Fixed]]-Europe_Sales_Records34[[#This Row],[Order Date Fixed]]</f>
        <v>34</v>
      </c>
      <c r="T1302">
        <v>4348</v>
      </c>
      <c r="U1302">
        <v>421.89</v>
      </c>
      <c r="V1302">
        <v>364.69</v>
      </c>
      <c r="W1302">
        <f>Europe_Sales_Records34[[#This Row],[Total Revenue]]/Europe_Sales_Records34[[#This Row],[Units Sold]]</f>
        <v>421.89</v>
      </c>
      <c r="X1302">
        <v>1834377.72</v>
      </c>
      <c r="Y1302">
        <v>1585672.12</v>
      </c>
      <c r="Z1302" s="4">
        <f>Europe_Sales_Records34[[#This Row],[Total Profit]]/Europe_Sales_Records34[[#This Row],[Total Revenue]]</f>
        <v>0.13558036455000119</v>
      </c>
      <c r="AA1302">
        <v>248705.6</v>
      </c>
    </row>
    <row r="1303" spans="1:27" x14ac:dyDescent="0.3">
      <c r="A1303" t="s">
        <v>14</v>
      </c>
      <c r="B1303" t="s">
        <v>342</v>
      </c>
      <c r="C1303" t="s">
        <v>28</v>
      </c>
      <c r="D1303" t="s">
        <v>23</v>
      </c>
      <c r="E1303" t="s">
        <v>33</v>
      </c>
      <c r="F1303" t="s">
        <v>1776</v>
      </c>
      <c r="G1303" s="2">
        <f t="shared" si="40"/>
        <v>40800</v>
      </c>
      <c r="H1303">
        <f>DAY(Europe_Sales_Records34[[#This Row],[Order Date Fixed]])</f>
        <v>14</v>
      </c>
      <c r="I1303" t="str">
        <f>TEXT(Europe_Sales_Records34[[#This Row],[Order Date Fixed]],"MMM")</f>
        <v>Sep</v>
      </c>
      <c r="J1303">
        <f>YEAR(Europe_Sales_Records34[[#This Row],[Order Date Fixed]])</f>
        <v>2011</v>
      </c>
      <c r="K1303" t="str">
        <f>TEXT(Europe_Sales_Records34[[#This Row],[Order Date Fixed]],"MMM-YYYY")</f>
        <v>Sep-2011</v>
      </c>
      <c r="L1303">
        <v>273940503</v>
      </c>
      <c r="M1303" s="2">
        <f t="shared" si="41"/>
        <v>40835</v>
      </c>
      <c r="N1303">
        <f>DAY(Europe_Sales_Records34[[#This Row],[Ship Date Fixed]])</f>
        <v>19</v>
      </c>
      <c r="O1303" t="str">
        <f>TEXT(Europe_Sales_Records34[[#This Row],[Ship Date Fixed]],"MMM")</f>
        <v>Oct</v>
      </c>
      <c r="P1303">
        <f>YEAR(Europe_Sales_Records34[[#This Row],[Ship Date Fixed]])</f>
        <v>2011</v>
      </c>
      <c r="Q1303" t="str">
        <f>TEXT(Europe_Sales_Records34[[#This Row],[Ship Date Fixed]],"MMM-YYYY")</f>
        <v>Oct-2011</v>
      </c>
      <c r="R1303" t="s">
        <v>327</v>
      </c>
      <c r="S1303" s="3">
        <f>Europe_Sales_Records34[[#This Row],[Ship Date Fixed]]-Europe_Sales_Records34[[#This Row],[Order Date Fixed]]</f>
        <v>35</v>
      </c>
      <c r="T1303">
        <v>3937</v>
      </c>
      <c r="U1303">
        <v>205.7</v>
      </c>
      <c r="V1303">
        <v>117.11</v>
      </c>
      <c r="W1303">
        <f>Europe_Sales_Records34[[#This Row],[Total Revenue]]/Europe_Sales_Records34[[#This Row],[Units Sold]]</f>
        <v>205.70000000000002</v>
      </c>
      <c r="X1303">
        <v>809840.9</v>
      </c>
      <c r="Y1303">
        <v>461062.07</v>
      </c>
      <c r="Z1303" s="4">
        <f>Europe_Sales_Records34[[#This Row],[Total Profit]]/Europe_Sales_Records34[[#This Row],[Total Revenue]]</f>
        <v>0.43067574137092857</v>
      </c>
      <c r="AA1303">
        <v>348778.83</v>
      </c>
    </row>
    <row r="1304" spans="1:27" x14ac:dyDescent="0.3">
      <c r="A1304" t="s">
        <v>14</v>
      </c>
      <c r="B1304" t="s">
        <v>183</v>
      </c>
      <c r="C1304" t="s">
        <v>37</v>
      </c>
      <c r="D1304" t="s">
        <v>17</v>
      </c>
      <c r="E1304" t="s">
        <v>18</v>
      </c>
      <c r="F1304" t="s">
        <v>1777</v>
      </c>
      <c r="G1304" s="2">
        <f t="shared" si="40"/>
        <v>41787</v>
      </c>
      <c r="H1304">
        <f>DAY(Europe_Sales_Records34[[#This Row],[Order Date Fixed]])</f>
        <v>28</v>
      </c>
      <c r="I1304" t="str">
        <f>TEXT(Europe_Sales_Records34[[#This Row],[Order Date Fixed]],"MMM")</f>
        <v>May</v>
      </c>
      <c r="J1304">
        <f>YEAR(Europe_Sales_Records34[[#This Row],[Order Date Fixed]])</f>
        <v>2014</v>
      </c>
      <c r="K1304" t="str">
        <f>TEXT(Europe_Sales_Records34[[#This Row],[Order Date Fixed]],"MMM-YYYY")</f>
        <v>May-2014</v>
      </c>
      <c r="L1304">
        <v>656244552</v>
      </c>
      <c r="M1304" s="2">
        <f t="shared" si="41"/>
        <v>41809</v>
      </c>
      <c r="N1304">
        <f>DAY(Europe_Sales_Records34[[#This Row],[Ship Date Fixed]])</f>
        <v>19</v>
      </c>
      <c r="O1304" t="str">
        <f>TEXT(Europe_Sales_Records34[[#This Row],[Ship Date Fixed]],"MMM")</f>
        <v>Jun</v>
      </c>
      <c r="P1304">
        <f>YEAR(Europe_Sales_Records34[[#This Row],[Ship Date Fixed]])</f>
        <v>2014</v>
      </c>
      <c r="Q1304" t="str">
        <f>TEXT(Europe_Sales_Records34[[#This Row],[Ship Date Fixed]],"MMM-YYYY")</f>
        <v>Jun-2014</v>
      </c>
      <c r="R1304" t="s">
        <v>936</v>
      </c>
      <c r="S1304" s="3">
        <f>Europe_Sales_Records34[[#This Row],[Ship Date Fixed]]-Europe_Sales_Records34[[#This Row],[Order Date Fixed]]</f>
        <v>22</v>
      </c>
      <c r="T1304">
        <v>6201</v>
      </c>
      <c r="U1304">
        <v>9.33</v>
      </c>
      <c r="V1304">
        <v>6.92</v>
      </c>
      <c r="W1304">
        <f>Europe_Sales_Records34[[#This Row],[Total Revenue]]/Europe_Sales_Records34[[#This Row],[Units Sold]]</f>
        <v>9.33</v>
      </c>
      <c r="X1304">
        <v>57855.33</v>
      </c>
      <c r="Y1304">
        <v>42910.92</v>
      </c>
      <c r="Z1304" s="4">
        <f>Europe_Sales_Records34[[#This Row],[Total Profit]]/Europe_Sales_Records34[[#This Row],[Total Revenue]]</f>
        <v>0.25830653804930331</v>
      </c>
      <c r="AA1304">
        <v>14944.41</v>
      </c>
    </row>
    <row r="1305" spans="1:27" x14ac:dyDescent="0.3">
      <c r="A1305" t="s">
        <v>14</v>
      </c>
      <c r="B1305" t="s">
        <v>181</v>
      </c>
      <c r="C1305" t="s">
        <v>71</v>
      </c>
      <c r="D1305" t="s">
        <v>23</v>
      </c>
      <c r="E1305" t="s">
        <v>18</v>
      </c>
      <c r="F1305" t="s">
        <v>423</v>
      </c>
      <c r="G1305" s="2">
        <f t="shared" si="40"/>
        <v>41848</v>
      </c>
      <c r="H1305">
        <f>DAY(Europe_Sales_Records34[[#This Row],[Order Date Fixed]])</f>
        <v>28</v>
      </c>
      <c r="I1305" t="str">
        <f>TEXT(Europe_Sales_Records34[[#This Row],[Order Date Fixed]],"MMM")</f>
        <v>Jul</v>
      </c>
      <c r="J1305">
        <f>YEAR(Europe_Sales_Records34[[#This Row],[Order Date Fixed]])</f>
        <v>2014</v>
      </c>
      <c r="K1305" t="str">
        <f>TEXT(Europe_Sales_Records34[[#This Row],[Order Date Fixed]],"MMM-YYYY")</f>
        <v>Jul-2014</v>
      </c>
      <c r="L1305">
        <v>666483724</v>
      </c>
      <c r="M1305" s="2">
        <f t="shared" si="41"/>
        <v>41882</v>
      </c>
      <c r="N1305">
        <f>DAY(Europe_Sales_Records34[[#This Row],[Ship Date Fixed]])</f>
        <v>31</v>
      </c>
      <c r="O1305" t="str">
        <f>TEXT(Europe_Sales_Records34[[#This Row],[Ship Date Fixed]],"MMM")</f>
        <v>Aug</v>
      </c>
      <c r="P1305">
        <f>YEAR(Europe_Sales_Records34[[#This Row],[Ship Date Fixed]])</f>
        <v>2014</v>
      </c>
      <c r="Q1305" t="str">
        <f>TEXT(Europe_Sales_Records34[[#This Row],[Ship Date Fixed]],"MMM-YYYY")</f>
        <v>Aug-2014</v>
      </c>
      <c r="R1305" t="s">
        <v>1470</v>
      </c>
      <c r="S1305" s="3">
        <f>Europe_Sales_Records34[[#This Row],[Ship Date Fixed]]-Europe_Sales_Records34[[#This Row],[Order Date Fixed]]</f>
        <v>34</v>
      </c>
      <c r="T1305">
        <v>6199</v>
      </c>
      <c r="U1305">
        <v>668.27</v>
      </c>
      <c r="V1305">
        <v>502.54</v>
      </c>
      <c r="W1305">
        <f>Europe_Sales_Records34[[#This Row],[Total Revenue]]/Europe_Sales_Records34[[#This Row],[Units Sold]]</f>
        <v>668.27</v>
      </c>
      <c r="X1305">
        <v>4142605.73</v>
      </c>
      <c r="Y1305">
        <v>3115245.46</v>
      </c>
      <c r="Z1305" s="4">
        <f>Europe_Sales_Records34[[#This Row],[Total Profit]]/Europe_Sales_Records34[[#This Row],[Total Revenue]]</f>
        <v>0.24799856345489099</v>
      </c>
      <c r="AA1305">
        <v>1027360.27</v>
      </c>
    </row>
    <row r="1306" spans="1:27" x14ac:dyDescent="0.3">
      <c r="A1306" t="s">
        <v>14</v>
      </c>
      <c r="B1306" t="s">
        <v>100</v>
      </c>
      <c r="C1306" t="s">
        <v>50</v>
      </c>
      <c r="D1306" t="s">
        <v>23</v>
      </c>
      <c r="E1306" t="s">
        <v>54</v>
      </c>
      <c r="F1306" t="s">
        <v>1325</v>
      </c>
      <c r="G1306" s="2">
        <f t="shared" si="40"/>
        <v>42505</v>
      </c>
      <c r="H1306">
        <f>DAY(Europe_Sales_Records34[[#This Row],[Order Date Fixed]])</f>
        <v>15</v>
      </c>
      <c r="I1306" t="str">
        <f>TEXT(Europe_Sales_Records34[[#This Row],[Order Date Fixed]],"MMM")</f>
        <v>May</v>
      </c>
      <c r="J1306">
        <f>YEAR(Europe_Sales_Records34[[#This Row],[Order Date Fixed]])</f>
        <v>2016</v>
      </c>
      <c r="K1306" t="str">
        <f>TEXT(Europe_Sales_Records34[[#This Row],[Order Date Fixed]],"MMM-YYYY")</f>
        <v>May-2016</v>
      </c>
      <c r="L1306">
        <v>422568786</v>
      </c>
      <c r="M1306" s="2">
        <f t="shared" si="41"/>
        <v>42538</v>
      </c>
      <c r="N1306">
        <f>DAY(Europe_Sales_Records34[[#This Row],[Ship Date Fixed]])</f>
        <v>17</v>
      </c>
      <c r="O1306" t="str">
        <f>TEXT(Europe_Sales_Records34[[#This Row],[Ship Date Fixed]],"MMM")</f>
        <v>Jun</v>
      </c>
      <c r="P1306">
        <f>YEAR(Europe_Sales_Records34[[#This Row],[Ship Date Fixed]])</f>
        <v>2016</v>
      </c>
      <c r="Q1306" t="str">
        <f>TEXT(Europe_Sales_Records34[[#This Row],[Ship Date Fixed]],"MMM-YYYY")</f>
        <v>Jun-2016</v>
      </c>
      <c r="R1306" t="s">
        <v>457</v>
      </c>
      <c r="S1306" s="3">
        <f>Europe_Sales_Records34[[#This Row],[Ship Date Fixed]]-Europe_Sales_Records34[[#This Row],[Order Date Fixed]]</f>
        <v>33</v>
      </c>
      <c r="T1306">
        <v>6349</v>
      </c>
      <c r="U1306">
        <v>421.89</v>
      </c>
      <c r="V1306">
        <v>364.69</v>
      </c>
      <c r="W1306">
        <f>Europe_Sales_Records34[[#This Row],[Total Revenue]]/Europe_Sales_Records34[[#This Row],[Units Sold]]</f>
        <v>421.89</v>
      </c>
      <c r="X1306">
        <v>2678579.61</v>
      </c>
      <c r="Y1306">
        <v>2315416.81</v>
      </c>
      <c r="Z1306" s="4">
        <f>Europe_Sales_Records34[[#This Row],[Total Profit]]/Europe_Sales_Records34[[#This Row],[Total Revenue]]</f>
        <v>0.13558036455000119</v>
      </c>
      <c r="AA1306">
        <v>363162.8</v>
      </c>
    </row>
    <row r="1307" spans="1:27" x14ac:dyDescent="0.3">
      <c r="A1307" t="s">
        <v>14</v>
      </c>
      <c r="B1307" t="s">
        <v>127</v>
      </c>
      <c r="C1307" t="s">
        <v>46</v>
      </c>
      <c r="D1307" t="s">
        <v>23</v>
      </c>
      <c r="E1307" t="s">
        <v>33</v>
      </c>
      <c r="F1307" t="s">
        <v>1778</v>
      </c>
      <c r="G1307" s="2">
        <f t="shared" si="40"/>
        <v>41147</v>
      </c>
      <c r="H1307">
        <f>DAY(Europe_Sales_Records34[[#This Row],[Order Date Fixed]])</f>
        <v>26</v>
      </c>
      <c r="I1307" t="str">
        <f>TEXT(Europe_Sales_Records34[[#This Row],[Order Date Fixed]],"MMM")</f>
        <v>Aug</v>
      </c>
      <c r="J1307">
        <f>YEAR(Europe_Sales_Records34[[#This Row],[Order Date Fixed]])</f>
        <v>2012</v>
      </c>
      <c r="K1307" t="str">
        <f>TEXT(Europe_Sales_Records34[[#This Row],[Order Date Fixed]],"MMM-YYYY")</f>
        <v>Aug-2012</v>
      </c>
      <c r="L1307">
        <v>969195258</v>
      </c>
      <c r="M1307" s="2">
        <f t="shared" si="41"/>
        <v>41169</v>
      </c>
      <c r="N1307">
        <f>DAY(Europe_Sales_Records34[[#This Row],[Ship Date Fixed]])</f>
        <v>17</v>
      </c>
      <c r="O1307" t="str">
        <f>TEXT(Europe_Sales_Records34[[#This Row],[Ship Date Fixed]],"MMM")</f>
        <v>Sep</v>
      </c>
      <c r="P1307">
        <f>YEAR(Europe_Sales_Records34[[#This Row],[Ship Date Fixed]])</f>
        <v>2012</v>
      </c>
      <c r="Q1307" t="str">
        <f>TEXT(Europe_Sales_Records34[[#This Row],[Ship Date Fixed]],"MMM-YYYY")</f>
        <v>Sep-2012</v>
      </c>
      <c r="R1307" t="s">
        <v>937</v>
      </c>
      <c r="S1307" s="3">
        <f>Europe_Sales_Records34[[#This Row],[Ship Date Fixed]]-Europe_Sales_Records34[[#This Row],[Order Date Fixed]]</f>
        <v>22</v>
      </c>
      <c r="T1307">
        <v>5269</v>
      </c>
      <c r="U1307">
        <v>154.06</v>
      </c>
      <c r="V1307">
        <v>90.93</v>
      </c>
      <c r="W1307">
        <f>Europe_Sales_Records34[[#This Row],[Total Revenue]]/Europe_Sales_Records34[[#This Row],[Units Sold]]</f>
        <v>154.06</v>
      </c>
      <c r="X1307">
        <v>811742.14</v>
      </c>
      <c r="Y1307">
        <v>479110.17</v>
      </c>
      <c r="Z1307" s="4">
        <f>Europe_Sales_Records34[[#This Row],[Total Profit]]/Europe_Sales_Records34[[#This Row],[Total Revenue]]</f>
        <v>0.40977541217707381</v>
      </c>
      <c r="AA1307">
        <v>332631.96999999997</v>
      </c>
    </row>
    <row r="1308" spans="1:27" x14ac:dyDescent="0.3">
      <c r="A1308" t="s">
        <v>14</v>
      </c>
      <c r="B1308" t="s">
        <v>67</v>
      </c>
      <c r="C1308" t="s">
        <v>32</v>
      </c>
      <c r="D1308" t="s">
        <v>23</v>
      </c>
      <c r="E1308" t="s">
        <v>18</v>
      </c>
      <c r="F1308" t="s">
        <v>1227</v>
      </c>
      <c r="G1308" s="2">
        <f t="shared" si="40"/>
        <v>40753</v>
      </c>
      <c r="H1308">
        <f>DAY(Europe_Sales_Records34[[#This Row],[Order Date Fixed]])</f>
        <v>29</v>
      </c>
      <c r="I1308" t="str">
        <f>TEXT(Europe_Sales_Records34[[#This Row],[Order Date Fixed]],"MMM")</f>
        <v>Jul</v>
      </c>
      <c r="J1308">
        <f>YEAR(Europe_Sales_Records34[[#This Row],[Order Date Fixed]])</f>
        <v>2011</v>
      </c>
      <c r="K1308" t="str">
        <f>TEXT(Europe_Sales_Records34[[#This Row],[Order Date Fixed]],"MMM-YYYY")</f>
        <v>Jul-2011</v>
      </c>
      <c r="L1308">
        <v>857457864</v>
      </c>
      <c r="M1308" s="2">
        <f t="shared" si="41"/>
        <v>40802</v>
      </c>
      <c r="N1308">
        <f>DAY(Europe_Sales_Records34[[#This Row],[Ship Date Fixed]])</f>
        <v>16</v>
      </c>
      <c r="O1308" t="str">
        <f>TEXT(Europe_Sales_Records34[[#This Row],[Ship Date Fixed]],"MMM")</f>
        <v>Sep</v>
      </c>
      <c r="P1308">
        <f>YEAR(Europe_Sales_Records34[[#This Row],[Ship Date Fixed]])</f>
        <v>2011</v>
      </c>
      <c r="Q1308" t="str">
        <f>TEXT(Europe_Sales_Records34[[#This Row],[Ship Date Fixed]],"MMM-YYYY")</f>
        <v>Sep-2011</v>
      </c>
      <c r="R1308" t="s">
        <v>1779</v>
      </c>
      <c r="S1308" s="3">
        <f>Europe_Sales_Records34[[#This Row],[Ship Date Fixed]]-Europe_Sales_Records34[[#This Row],[Order Date Fixed]]</f>
        <v>49</v>
      </c>
      <c r="T1308">
        <v>9691</v>
      </c>
      <c r="U1308">
        <v>651.21</v>
      </c>
      <c r="V1308">
        <v>524.96</v>
      </c>
      <c r="W1308">
        <f>Europe_Sales_Records34[[#This Row],[Total Revenue]]/Europe_Sales_Records34[[#This Row],[Units Sold]]</f>
        <v>651.21</v>
      </c>
      <c r="X1308">
        <v>6310876.1100000003</v>
      </c>
      <c r="Y1308">
        <v>5087387.3600000003</v>
      </c>
      <c r="Z1308" s="4">
        <f>Europe_Sales_Records34[[#This Row],[Total Profit]]/Europe_Sales_Records34[[#This Row],[Total Revenue]]</f>
        <v>0.19386987300563566</v>
      </c>
      <c r="AA1308">
        <v>1223488.75</v>
      </c>
    </row>
    <row r="1309" spans="1:27" x14ac:dyDescent="0.3">
      <c r="A1309" t="s">
        <v>14</v>
      </c>
      <c r="B1309" t="s">
        <v>135</v>
      </c>
      <c r="C1309" t="s">
        <v>46</v>
      </c>
      <c r="D1309" t="s">
        <v>23</v>
      </c>
      <c r="E1309" t="s">
        <v>24</v>
      </c>
      <c r="F1309" t="s">
        <v>1696</v>
      </c>
      <c r="G1309" s="2">
        <f t="shared" si="40"/>
        <v>41065</v>
      </c>
      <c r="H1309">
        <f>DAY(Europe_Sales_Records34[[#This Row],[Order Date Fixed]])</f>
        <v>5</v>
      </c>
      <c r="I1309" t="str">
        <f>TEXT(Europe_Sales_Records34[[#This Row],[Order Date Fixed]],"MMM")</f>
        <v>Jun</v>
      </c>
      <c r="J1309">
        <f>YEAR(Europe_Sales_Records34[[#This Row],[Order Date Fixed]])</f>
        <v>2012</v>
      </c>
      <c r="K1309" t="str">
        <f>TEXT(Europe_Sales_Records34[[#This Row],[Order Date Fixed]],"MMM-YYYY")</f>
        <v>Jun-2012</v>
      </c>
      <c r="L1309">
        <v>495631301</v>
      </c>
      <c r="M1309" s="2">
        <f t="shared" si="41"/>
        <v>41108</v>
      </c>
      <c r="N1309">
        <f>DAY(Europe_Sales_Records34[[#This Row],[Ship Date Fixed]])</f>
        <v>18</v>
      </c>
      <c r="O1309" t="str">
        <f>TEXT(Europe_Sales_Records34[[#This Row],[Ship Date Fixed]],"MMM")</f>
        <v>Jul</v>
      </c>
      <c r="P1309">
        <f>YEAR(Europe_Sales_Records34[[#This Row],[Ship Date Fixed]])</f>
        <v>2012</v>
      </c>
      <c r="Q1309" t="str">
        <f>TEXT(Europe_Sales_Records34[[#This Row],[Ship Date Fixed]],"MMM-YYYY")</f>
        <v>Jul-2012</v>
      </c>
      <c r="R1309" t="s">
        <v>1298</v>
      </c>
      <c r="S1309" s="3">
        <f>Europe_Sales_Records34[[#This Row],[Ship Date Fixed]]-Europe_Sales_Records34[[#This Row],[Order Date Fixed]]</f>
        <v>43</v>
      </c>
      <c r="T1309">
        <v>7171</v>
      </c>
      <c r="U1309">
        <v>154.06</v>
      </c>
      <c r="V1309">
        <v>90.93</v>
      </c>
      <c r="W1309">
        <f>Europe_Sales_Records34[[#This Row],[Total Revenue]]/Europe_Sales_Records34[[#This Row],[Units Sold]]</f>
        <v>154.06</v>
      </c>
      <c r="X1309">
        <v>1104764.26</v>
      </c>
      <c r="Y1309">
        <v>652059.03</v>
      </c>
      <c r="Z1309" s="4">
        <f>Europe_Sales_Records34[[#This Row],[Total Profit]]/Europe_Sales_Records34[[#This Row],[Total Revenue]]</f>
        <v>0.40977541217707386</v>
      </c>
      <c r="AA1309">
        <v>452705.23</v>
      </c>
    </row>
    <row r="1310" spans="1:27" x14ac:dyDescent="0.3">
      <c r="A1310" t="s">
        <v>14</v>
      </c>
      <c r="B1310" t="s">
        <v>243</v>
      </c>
      <c r="C1310" t="s">
        <v>32</v>
      </c>
      <c r="D1310" t="s">
        <v>17</v>
      </c>
      <c r="E1310" t="s">
        <v>54</v>
      </c>
      <c r="F1310" t="s">
        <v>797</v>
      </c>
      <c r="G1310" s="2">
        <f t="shared" si="40"/>
        <v>41813</v>
      </c>
      <c r="H1310">
        <f>DAY(Europe_Sales_Records34[[#This Row],[Order Date Fixed]])</f>
        <v>23</v>
      </c>
      <c r="I1310" t="str">
        <f>TEXT(Europe_Sales_Records34[[#This Row],[Order Date Fixed]],"MMM")</f>
        <v>Jun</v>
      </c>
      <c r="J1310">
        <f>YEAR(Europe_Sales_Records34[[#This Row],[Order Date Fixed]])</f>
        <v>2014</v>
      </c>
      <c r="K1310" t="str">
        <f>TEXT(Europe_Sales_Records34[[#This Row],[Order Date Fixed]],"MMM-YYYY")</f>
        <v>Jun-2014</v>
      </c>
      <c r="L1310">
        <v>224647080</v>
      </c>
      <c r="M1310" s="2">
        <f t="shared" si="41"/>
        <v>41850</v>
      </c>
      <c r="N1310">
        <f>DAY(Europe_Sales_Records34[[#This Row],[Ship Date Fixed]])</f>
        <v>30</v>
      </c>
      <c r="O1310" t="str">
        <f>TEXT(Europe_Sales_Records34[[#This Row],[Ship Date Fixed]],"MMM")</f>
        <v>Jul</v>
      </c>
      <c r="P1310">
        <f>YEAR(Europe_Sales_Records34[[#This Row],[Ship Date Fixed]])</f>
        <v>2014</v>
      </c>
      <c r="Q1310" t="str">
        <f>TEXT(Europe_Sales_Records34[[#This Row],[Ship Date Fixed]],"MMM-YYYY")</f>
        <v>Jul-2014</v>
      </c>
      <c r="R1310" t="s">
        <v>1780</v>
      </c>
      <c r="S1310" s="3">
        <f>Europe_Sales_Records34[[#This Row],[Ship Date Fixed]]-Europe_Sales_Records34[[#This Row],[Order Date Fixed]]</f>
        <v>37</v>
      </c>
      <c r="T1310">
        <v>6918</v>
      </c>
      <c r="U1310">
        <v>651.21</v>
      </c>
      <c r="V1310">
        <v>524.96</v>
      </c>
      <c r="W1310">
        <f>Europe_Sales_Records34[[#This Row],[Total Revenue]]/Europe_Sales_Records34[[#This Row],[Units Sold]]</f>
        <v>651.21</v>
      </c>
      <c r="X1310">
        <v>4505070.78</v>
      </c>
      <c r="Y1310">
        <v>3631673.28</v>
      </c>
      <c r="Z1310" s="4">
        <f>Europe_Sales_Records34[[#This Row],[Total Profit]]/Europe_Sales_Records34[[#This Row],[Total Revenue]]</f>
        <v>0.19386987300563566</v>
      </c>
      <c r="AA1310">
        <v>873397.5</v>
      </c>
    </row>
    <row r="1311" spans="1:27" x14ac:dyDescent="0.3">
      <c r="A1311" t="s">
        <v>14</v>
      </c>
      <c r="B1311" t="s">
        <v>122</v>
      </c>
      <c r="C1311" t="s">
        <v>32</v>
      </c>
      <c r="D1311" t="s">
        <v>17</v>
      </c>
      <c r="E1311" t="s">
        <v>54</v>
      </c>
      <c r="F1311" t="s">
        <v>677</v>
      </c>
      <c r="G1311" s="2">
        <f t="shared" si="40"/>
        <v>41854</v>
      </c>
      <c r="H1311">
        <f>DAY(Europe_Sales_Records34[[#This Row],[Order Date Fixed]])</f>
        <v>3</v>
      </c>
      <c r="I1311" t="str">
        <f>TEXT(Europe_Sales_Records34[[#This Row],[Order Date Fixed]],"MMM")</f>
        <v>Aug</v>
      </c>
      <c r="J1311">
        <f>YEAR(Europe_Sales_Records34[[#This Row],[Order Date Fixed]])</f>
        <v>2014</v>
      </c>
      <c r="K1311" t="str">
        <f>TEXT(Europe_Sales_Records34[[#This Row],[Order Date Fixed]],"MMM-YYYY")</f>
        <v>Aug-2014</v>
      </c>
      <c r="L1311">
        <v>883504474</v>
      </c>
      <c r="M1311" s="2">
        <f t="shared" si="41"/>
        <v>41890</v>
      </c>
      <c r="N1311">
        <f>DAY(Europe_Sales_Records34[[#This Row],[Ship Date Fixed]])</f>
        <v>8</v>
      </c>
      <c r="O1311" t="str">
        <f>TEXT(Europe_Sales_Records34[[#This Row],[Ship Date Fixed]],"MMM")</f>
        <v>Sep</v>
      </c>
      <c r="P1311">
        <f>YEAR(Europe_Sales_Records34[[#This Row],[Ship Date Fixed]])</f>
        <v>2014</v>
      </c>
      <c r="Q1311" t="str">
        <f>TEXT(Europe_Sales_Records34[[#This Row],[Ship Date Fixed]],"MMM-YYYY")</f>
        <v>Sep-2014</v>
      </c>
      <c r="R1311" t="s">
        <v>1781</v>
      </c>
      <c r="S1311" s="3">
        <f>Europe_Sales_Records34[[#This Row],[Ship Date Fixed]]-Europe_Sales_Records34[[#This Row],[Order Date Fixed]]</f>
        <v>36</v>
      </c>
      <c r="T1311">
        <v>7462</v>
      </c>
      <c r="U1311">
        <v>651.21</v>
      </c>
      <c r="V1311">
        <v>524.96</v>
      </c>
      <c r="W1311">
        <f>Europe_Sales_Records34[[#This Row],[Total Revenue]]/Europe_Sales_Records34[[#This Row],[Units Sold]]</f>
        <v>651.20999999999992</v>
      </c>
      <c r="X1311">
        <v>4859329.0199999996</v>
      </c>
      <c r="Y1311">
        <v>3917251.52</v>
      </c>
      <c r="Z1311" s="4">
        <f>Europe_Sales_Records34[[#This Row],[Total Profit]]/Europe_Sales_Records34[[#This Row],[Total Revenue]]</f>
        <v>0.19386987300563568</v>
      </c>
      <c r="AA1311">
        <v>942077.5</v>
      </c>
    </row>
    <row r="1312" spans="1:27" x14ac:dyDescent="0.3">
      <c r="A1312" t="s">
        <v>14</v>
      </c>
      <c r="B1312" t="s">
        <v>27</v>
      </c>
      <c r="C1312" t="s">
        <v>32</v>
      </c>
      <c r="D1312" t="s">
        <v>17</v>
      </c>
      <c r="E1312" t="s">
        <v>18</v>
      </c>
      <c r="F1312" t="s">
        <v>628</v>
      </c>
      <c r="G1312" s="2">
        <f t="shared" si="40"/>
        <v>42097</v>
      </c>
      <c r="H1312">
        <f>DAY(Europe_Sales_Records34[[#This Row],[Order Date Fixed]])</f>
        <v>3</v>
      </c>
      <c r="I1312" t="str">
        <f>TEXT(Europe_Sales_Records34[[#This Row],[Order Date Fixed]],"MMM")</f>
        <v>Apr</v>
      </c>
      <c r="J1312">
        <f>YEAR(Europe_Sales_Records34[[#This Row],[Order Date Fixed]])</f>
        <v>2015</v>
      </c>
      <c r="K1312" t="str">
        <f>TEXT(Europe_Sales_Records34[[#This Row],[Order Date Fixed]],"MMM-YYYY")</f>
        <v>Apr-2015</v>
      </c>
      <c r="L1312">
        <v>575552117</v>
      </c>
      <c r="M1312" s="2">
        <f t="shared" si="41"/>
        <v>42120</v>
      </c>
      <c r="N1312">
        <f>DAY(Europe_Sales_Records34[[#This Row],[Ship Date Fixed]])</f>
        <v>26</v>
      </c>
      <c r="O1312" t="str">
        <f>TEXT(Europe_Sales_Records34[[#This Row],[Ship Date Fixed]],"MMM")</f>
        <v>Apr</v>
      </c>
      <c r="P1312">
        <f>YEAR(Europe_Sales_Records34[[#This Row],[Ship Date Fixed]])</f>
        <v>2015</v>
      </c>
      <c r="Q1312" t="str">
        <f>TEXT(Europe_Sales_Records34[[#This Row],[Ship Date Fixed]],"MMM-YYYY")</f>
        <v>Apr-2015</v>
      </c>
      <c r="R1312" t="s">
        <v>1782</v>
      </c>
      <c r="S1312" s="3">
        <f>Europe_Sales_Records34[[#This Row],[Ship Date Fixed]]-Europe_Sales_Records34[[#This Row],[Order Date Fixed]]</f>
        <v>23</v>
      </c>
      <c r="T1312">
        <v>7516</v>
      </c>
      <c r="U1312">
        <v>651.21</v>
      </c>
      <c r="V1312">
        <v>524.96</v>
      </c>
      <c r="W1312">
        <f>Europe_Sales_Records34[[#This Row],[Total Revenue]]/Europe_Sales_Records34[[#This Row],[Units Sold]]</f>
        <v>651.21</v>
      </c>
      <c r="X1312">
        <v>4894494.3600000003</v>
      </c>
      <c r="Y1312">
        <v>3945599.36</v>
      </c>
      <c r="Z1312" s="4">
        <f>Europe_Sales_Records34[[#This Row],[Total Profit]]/Europe_Sales_Records34[[#This Row],[Total Revenue]]</f>
        <v>0.19386987300563566</v>
      </c>
      <c r="AA1312">
        <v>948895</v>
      </c>
    </row>
    <row r="1313" spans="1:27" x14ac:dyDescent="0.3">
      <c r="A1313" t="s">
        <v>14</v>
      </c>
      <c r="B1313" t="s">
        <v>220</v>
      </c>
      <c r="C1313" t="s">
        <v>64</v>
      </c>
      <c r="D1313" t="s">
        <v>17</v>
      </c>
      <c r="E1313" t="s">
        <v>54</v>
      </c>
      <c r="F1313" t="s">
        <v>1562</v>
      </c>
      <c r="G1313" s="2">
        <f t="shared" si="40"/>
        <v>41470</v>
      </c>
      <c r="H1313">
        <f>DAY(Europe_Sales_Records34[[#This Row],[Order Date Fixed]])</f>
        <v>15</v>
      </c>
      <c r="I1313" t="str">
        <f>TEXT(Europe_Sales_Records34[[#This Row],[Order Date Fixed]],"MMM")</f>
        <v>Jul</v>
      </c>
      <c r="J1313">
        <f>YEAR(Europe_Sales_Records34[[#This Row],[Order Date Fixed]])</f>
        <v>2013</v>
      </c>
      <c r="K1313" t="str">
        <f>TEXT(Europe_Sales_Records34[[#This Row],[Order Date Fixed]],"MMM-YYYY")</f>
        <v>Jul-2013</v>
      </c>
      <c r="L1313">
        <v>141764247</v>
      </c>
      <c r="M1313" s="2">
        <f t="shared" si="41"/>
        <v>41515</v>
      </c>
      <c r="N1313">
        <f>DAY(Europe_Sales_Records34[[#This Row],[Ship Date Fixed]])</f>
        <v>29</v>
      </c>
      <c r="O1313" t="str">
        <f>TEXT(Europe_Sales_Records34[[#This Row],[Ship Date Fixed]],"MMM")</f>
        <v>Aug</v>
      </c>
      <c r="P1313">
        <f>YEAR(Europe_Sales_Records34[[#This Row],[Ship Date Fixed]])</f>
        <v>2013</v>
      </c>
      <c r="Q1313" t="str">
        <f>TEXT(Europe_Sales_Records34[[#This Row],[Ship Date Fixed]],"MMM-YYYY")</f>
        <v>Aug-2013</v>
      </c>
      <c r="R1313" t="s">
        <v>442</v>
      </c>
      <c r="S1313" s="3">
        <f>Europe_Sales_Records34[[#This Row],[Ship Date Fixed]]-Europe_Sales_Records34[[#This Row],[Order Date Fixed]]</f>
        <v>45</v>
      </c>
      <c r="T1313">
        <v>46</v>
      </c>
      <c r="U1313">
        <v>255.28</v>
      </c>
      <c r="V1313">
        <v>159.41999999999999</v>
      </c>
      <c r="W1313">
        <f>Europe_Sales_Records34[[#This Row],[Total Revenue]]/Europe_Sales_Records34[[#This Row],[Units Sold]]</f>
        <v>255.27999999999997</v>
      </c>
      <c r="X1313">
        <v>11742.88</v>
      </c>
      <c r="Y1313">
        <v>7333.32</v>
      </c>
      <c r="Z1313" s="4">
        <f>Europe_Sales_Records34[[#This Row],[Total Profit]]/Europe_Sales_Records34[[#This Row],[Total Revenue]]</f>
        <v>0.37550924475086184</v>
      </c>
      <c r="AA1313">
        <v>4409.5600000000004</v>
      </c>
    </row>
    <row r="1314" spans="1:27" x14ac:dyDescent="0.3">
      <c r="A1314" t="s">
        <v>14</v>
      </c>
      <c r="B1314" t="s">
        <v>185</v>
      </c>
      <c r="C1314" t="s">
        <v>46</v>
      </c>
      <c r="D1314" t="s">
        <v>17</v>
      </c>
      <c r="E1314" t="s">
        <v>24</v>
      </c>
      <c r="F1314" t="s">
        <v>1589</v>
      </c>
      <c r="G1314" s="2">
        <f t="shared" si="40"/>
        <v>42471</v>
      </c>
      <c r="H1314">
        <f>DAY(Europe_Sales_Records34[[#This Row],[Order Date Fixed]])</f>
        <v>11</v>
      </c>
      <c r="I1314" t="str">
        <f>TEXT(Europe_Sales_Records34[[#This Row],[Order Date Fixed]],"MMM")</f>
        <v>Apr</v>
      </c>
      <c r="J1314">
        <f>YEAR(Europe_Sales_Records34[[#This Row],[Order Date Fixed]])</f>
        <v>2016</v>
      </c>
      <c r="K1314" t="str">
        <f>TEXT(Europe_Sales_Records34[[#This Row],[Order Date Fixed]],"MMM-YYYY")</f>
        <v>Apr-2016</v>
      </c>
      <c r="L1314">
        <v>608374631</v>
      </c>
      <c r="M1314" s="2">
        <f t="shared" si="41"/>
        <v>42472</v>
      </c>
      <c r="N1314">
        <f>DAY(Europe_Sales_Records34[[#This Row],[Ship Date Fixed]])</f>
        <v>12</v>
      </c>
      <c r="O1314" t="str">
        <f>TEXT(Europe_Sales_Records34[[#This Row],[Ship Date Fixed]],"MMM")</f>
        <v>Apr</v>
      </c>
      <c r="P1314">
        <f>YEAR(Europe_Sales_Records34[[#This Row],[Ship Date Fixed]])</f>
        <v>2016</v>
      </c>
      <c r="Q1314" t="str">
        <f>TEXT(Europe_Sales_Records34[[#This Row],[Ship Date Fixed]],"MMM-YYYY")</f>
        <v>Apr-2016</v>
      </c>
      <c r="R1314" t="s">
        <v>1783</v>
      </c>
      <c r="S1314" s="3">
        <f>Europe_Sales_Records34[[#This Row],[Ship Date Fixed]]-Europe_Sales_Records34[[#This Row],[Order Date Fixed]]</f>
        <v>1</v>
      </c>
      <c r="T1314">
        <v>428</v>
      </c>
      <c r="U1314">
        <v>154.06</v>
      </c>
      <c r="V1314">
        <v>90.93</v>
      </c>
      <c r="W1314">
        <f>Europe_Sales_Records34[[#This Row],[Total Revenue]]/Europe_Sales_Records34[[#This Row],[Units Sold]]</f>
        <v>154.05999999999997</v>
      </c>
      <c r="X1314">
        <v>65937.679999999993</v>
      </c>
      <c r="Y1314">
        <v>38918.04</v>
      </c>
      <c r="Z1314" s="4">
        <f>Europe_Sales_Records34[[#This Row],[Total Profit]]/Europe_Sales_Records34[[#This Row],[Total Revenue]]</f>
        <v>0.40977541217707392</v>
      </c>
      <c r="AA1314">
        <v>27019.64</v>
      </c>
    </row>
    <row r="1315" spans="1:27" x14ac:dyDescent="0.3">
      <c r="A1315" t="s">
        <v>14</v>
      </c>
      <c r="B1315" t="s">
        <v>86</v>
      </c>
      <c r="C1315" t="s">
        <v>71</v>
      </c>
      <c r="D1315" t="s">
        <v>23</v>
      </c>
      <c r="E1315" t="s">
        <v>33</v>
      </c>
      <c r="F1315" t="s">
        <v>1784</v>
      </c>
      <c r="G1315" s="2">
        <f t="shared" si="40"/>
        <v>40925</v>
      </c>
      <c r="H1315">
        <f>DAY(Europe_Sales_Records34[[#This Row],[Order Date Fixed]])</f>
        <v>17</v>
      </c>
      <c r="I1315" t="str">
        <f>TEXT(Europe_Sales_Records34[[#This Row],[Order Date Fixed]],"MMM")</f>
        <v>Jan</v>
      </c>
      <c r="J1315">
        <f>YEAR(Europe_Sales_Records34[[#This Row],[Order Date Fixed]])</f>
        <v>2012</v>
      </c>
      <c r="K1315" t="str">
        <f>TEXT(Europe_Sales_Records34[[#This Row],[Order Date Fixed]],"MMM-YYYY")</f>
        <v>Jan-2012</v>
      </c>
      <c r="L1315">
        <v>200432097</v>
      </c>
      <c r="M1315" s="2">
        <f t="shared" si="41"/>
        <v>40939</v>
      </c>
      <c r="N1315">
        <f>DAY(Europe_Sales_Records34[[#This Row],[Ship Date Fixed]])</f>
        <v>31</v>
      </c>
      <c r="O1315" t="str">
        <f>TEXT(Europe_Sales_Records34[[#This Row],[Ship Date Fixed]],"MMM")</f>
        <v>Jan</v>
      </c>
      <c r="P1315">
        <f>YEAR(Europe_Sales_Records34[[#This Row],[Ship Date Fixed]])</f>
        <v>2012</v>
      </c>
      <c r="Q1315" t="str">
        <f>TEXT(Europe_Sales_Records34[[#This Row],[Ship Date Fixed]],"MMM-YYYY")</f>
        <v>Jan-2012</v>
      </c>
      <c r="R1315" t="s">
        <v>1785</v>
      </c>
      <c r="S1315" s="3">
        <f>Europe_Sales_Records34[[#This Row],[Ship Date Fixed]]-Europe_Sales_Records34[[#This Row],[Order Date Fixed]]</f>
        <v>14</v>
      </c>
      <c r="T1315">
        <v>1167</v>
      </c>
      <c r="U1315">
        <v>668.27</v>
      </c>
      <c r="V1315">
        <v>502.54</v>
      </c>
      <c r="W1315">
        <f>Europe_Sales_Records34[[#This Row],[Total Revenue]]/Europe_Sales_Records34[[#This Row],[Units Sold]]</f>
        <v>668.27</v>
      </c>
      <c r="X1315">
        <v>779871.09</v>
      </c>
      <c r="Y1315">
        <v>586464.18000000005</v>
      </c>
      <c r="Z1315" s="4">
        <f>Europe_Sales_Records34[[#This Row],[Total Profit]]/Europe_Sales_Records34[[#This Row],[Total Revenue]]</f>
        <v>0.24799856345489099</v>
      </c>
      <c r="AA1315">
        <v>193406.91</v>
      </c>
    </row>
    <row r="1316" spans="1:27" x14ac:dyDescent="0.3">
      <c r="A1316" t="s">
        <v>14</v>
      </c>
      <c r="B1316" t="s">
        <v>342</v>
      </c>
      <c r="C1316" t="s">
        <v>58</v>
      </c>
      <c r="D1316" t="s">
        <v>17</v>
      </c>
      <c r="E1316" t="s">
        <v>24</v>
      </c>
      <c r="F1316" t="s">
        <v>1786</v>
      </c>
      <c r="G1316" s="2">
        <f t="shared" si="40"/>
        <v>40411</v>
      </c>
      <c r="H1316">
        <f>DAY(Europe_Sales_Records34[[#This Row],[Order Date Fixed]])</f>
        <v>21</v>
      </c>
      <c r="I1316" t="str">
        <f>TEXT(Europe_Sales_Records34[[#This Row],[Order Date Fixed]],"MMM")</f>
        <v>Aug</v>
      </c>
      <c r="J1316">
        <f>YEAR(Europe_Sales_Records34[[#This Row],[Order Date Fixed]])</f>
        <v>2010</v>
      </c>
      <c r="K1316" t="str">
        <f>TEXT(Europe_Sales_Records34[[#This Row],[Order Date Fixed]],"MMM-YYYY")</f>
        <v>Aug-2010</v>
      </c>
      <c r="L1316">
        <v>884462773</v>
      </c>
      <c r="M1316" s="2">
        <f t="shared" si="41"/>
        <v>40456</v>
      </c>
      <c r="N1316">
        <f>DAY(Europe_Sales_Records34[[#This Row],[Ship Date Fixed]])</f>
        <v>5</v>
      </c>
      <c r="O1316" t="str">
        <f>TEXT(Europe_Sales_Records34[[#This Row],[Ship Date Fixed]],"MMM")</f>
        <v>Oct</v>
      </c>
      <c r="P1316">
        <f>YEAR(Europe_Sales_Records34[[#This Row],[Ship Date Fixed]])</f>
        <v>2010</v>
      </c>
      <c r="Q1316" t="str">
        <f>TEXT(Europe_Sales_Records34[[#This Row],[Ship Date Fixed]],"MMM-YYYY")</f>
        <v>Oct-2010</v>
      </c>
      <c r="R1316" t="s">
        <v>1787</v>
      </c>
      <c r="S1316" s="3">
        <f>Europe_Sales_Records34[[#This Row],[Ship Date Fixed]]-Europe_Sales_Records34[[#This Row],[Order Date Fixed]]</f>
        <v>45</v>
      </c>
      <c r="T1316">
        <v>1044</v>
      </c>
      <c r="U1316">
        <v>152.58000000000001</v>
      </c>
      <c r="V1316">
        <v>97.44</v>
      </c>
      <c r="W1316">
        <f>Europe_Sales_Records34[[#This Row],[Total Revenue]]/Europe_Sales_Records34[[#This Row],[Units Sold]]</f>
        <v>152.57999999999998</v>
      </c>
      <c r="X1316">
        <v>159293.51999999999</v>
      </c>
      <c r="Y1316">
        <v>101727.36</v>
      </c>
      <c r="Z1316" s="4">
        <f>Europe_Sales_Records34[[#This Row],[Total Profit]]/Europe_Sales_Records34[[#This Row],[Total Revenue]]</f>
        <v>0.36138419189933152</v>
      </c>
      <c r="AA1316">
        <v>57566.16</v>
      </c>
    </row>
    <row r="1317" spans="1:27" x14ac:dyDescent="0.3">
      <c r="A1317" t="s">
        <v>14</v>
      </c>
      <c r="B1317" t="s">
        <v>15</v>
      </c>
      <c r="C1317" t="s">
        <v>32</v>
      </c>
      <c r="D1317" t="s">
        <v>17</v>
      </c>
      <c r="E1317" t="s">
        <v>24</v>
      </c>
      <c r="F1317" t="s">
        <v>1788</v>
      </c>
      <c r="G1317" s="2">
        <f t="shared" si="40"/>
        <v>40348</v>
      </c>
      <c r="H1317">
        <f>DAY(Europe_Sales_Records34[[#This Row],[Order Date Fixed]])</f>
        <v>19</v>
      </c>
      <c r="I1317" t="str">
        <f>TEXT(Europe_Sales_Records34[[#This Row],[Order Date Fixed]],"MMM")</f>
        <v>Jun</v>
      </c>
      <c r="J1317">
        <f>YEAR(Europe_Sales_Records34[[#This Row],[Order Date Fixed]])</f>
        <v>2010</v>
      </c>
      <c r="K1317" t="str">
        <f>TEXT(Europe_Sales_Records34[[#This Row],[Order Date Fixed]],"MMM-YYYY")</f>
        <v>Jun-2010</v>
      </c>
      <c r="L1317">
        <v>885046851</v>
      </c>
      <c r="M1317" s="2">
        <f t="shared" si="41"/>
        <v>40378</v>
      </c>
      <c r="N1317">
        <f>DAY(Europe_Sales_Records34[[#This Row],[Ship Date Fixed]])</f>
        <v>19</v>
      </c>
      <c r="O1317" t="str">
        <f>TEXT(Europe_Sales_Records34[[#This Row],[Ship Date Fixed]],"MMM")</f>
        <v>Jul</v>
      </c>
      <c r="P1317">
        <f>YEAR(Europe_Sales_Records34[[#This Row],[Ship Date Fixed]])</f>
        <v>2010</v>
      </c>
      <c r="Q1317" t="str">
        <f>TEXT(Europe_Sales_Records34[[#This Row],[Ship Date Fixed]],"MMM-YYYY")</f>
        <v>Jul-2010</v>
      </c>
      <c r="R1317" t="s">
        <v>1556</v>
      </c>
      <c r="S1317" s="3">
        <f>Europe_Sales_Records34[[#This Row],[Ship Date Fixed]]-Europe_Sales_Records34[[#This Row],[Order Date Fixed]]</f>
        <v>30</v>
      </c>
      <c r="T1317">
        <v>3886</v>
      </c>
      <c r="U1317">
        <v>651.21</v>
      </c>
      <c r="V1317">
        <v>524.96</v>
      </c>
      <c r="W1317">
        <f>Europe_Sales_Records34[[#This Row],[Total Revenue]]/Europe_Sales_Records34[[#This Row],[Units Sold]]</f>
        <v>651.21</v>
      </c>
      <c r="X1317">
        <v>2530602.06</v>
      </c>
      <c r="Y1317">
        <v>2039994.56</v>
      </c>
      <c r="Z1317" s="4">
        <f>Europe_Sales_Records34[[#This Row],[Total Profit]]/Europe_Sales_Records34[[#This Row],[Total Revenue]]</f>
        <v>0.19386987300563566</v>
      </c>
      <c r="AA1317">
        <v>490607.5</v>
      </c>
    </row>
    <row r="1318" spans="1:27" x14ac:dyDescent="0.3">
      <c r="A1318" t="s">
        <v>14</v>
      </c>
      <c r="B1318" t="s">
        <v>15</v>
      </c>
      <c r="C1318" t="s">
        <v>46</v>
      </c>
      <c r="D1318" t="s">
        <v>23</v>
      </c>
      <c r="E1318" t="s">
        <v>24</v>
      </c>
      <c r="F1318" t="s">
        <v>1789</v>
      </c>
      <c r="G1318" s="2">
        <f t="shared" si="40"/>
        <v>41074</v>
      </c>
      <c r="H1318">
        <f>DAY(Europe_Sales_Records34[[#This Row],[Order Date Fixed]])</f>
        <v>14</v>
      </c>
      <c r="I1318" t="str">
        <f>TEXT(Europe_Sales_Records34[[#This Row],[Order Date Fixed]],"MMM")</f>
        <v>Jun</v>
      </c>
      <c r="J1318">
        <f>YEAR(Europe_Sales_Records34[[#This Row],[Order Date Fixed]])</f>
        <v>2012</v>
      </c>
      <c r="K1318" t="str">
        <f>TEXT(Europe_Sales_Records34[[#This Row],[Order Date Fixed]],"MMM-YYYY")</f>
        <v>Jun-2012</v>
      </c>
      <c r="L1318">
        <v>527079236</v>
      </c>
      <c r="M1318" s="2">
        <f t="shared" si="41"/>
        <v>41080</v>
      </c>
      <c r="N1318">
        <f>DAY(Europe_Sales_Records34[[#This Row],[Ship Date Fixed]])</f>
        <v>20</v>
      </c>
      <c r="O1318" t="str">
        <f>TEXT(Europe_Sales_Records34[[#This Row],[Ship Date Fixed]],"MMM")</f>
        <v>Jun</v>
      </c>
      <c r="P1318">
        <f>YEAR(Europe_Sales_Records34[[#This Row],[Ship Date Fixed]])</f>
        <v>2012</v>
      </c>
      <c r="Q1318" t="str">
        <f>TEXT(Europe_Sales_Records34[[#This Row],[Ship Date Fixed]],"MMM-YYYY")</f>
        <v>Jun-2012</v>
      </c>
      <c r="R1318" t="s">
        <v>1790</v>
      </c>
      <c r="S1318" s="3">
        <f>Europe_Sales_Records34[[#This Row],[Ship Date Fixed]]-Europe_Sales_Records34[[#This Row],[Order Date Fixed]]</f>
        <v>6</v>
      </c>
      <c r="T1318">
        <v>3314</v>
      </c>
      <c r="U1318">
        <v>154.06</v>
      </c>
      <c r="V1318">
        <v>90.93</v>
      </c>
      <c r="W1318">
        <f>Europe_Sales_Records34[[#This Row],[Total Revenue]]/Europe_Sales_Records34[[#This Row],[Units Sold]]</f>
        <v>154.06</v>
      </c>
      <c r="X1318">
        <v>510554.84</v>
      </c>
      <c r="Y1318">
        <v>301342.02</v>
      </c>
      <c r="Z1318" s="4">
        <f>Europe_Sales_Records34[[#This Row],[Total Profit]]/Europe_Sales_Records34[[#This Row],[Total Revenue]]</f>
        <v>0.40977541217707386</v>
      </c>
      <c r="AA1318">
        <v>209212.82</v>
      </c>
    </row>
    <row r="1319" spans="1:27" x14ac:dyDescent="0.3">
      <c r="A1319" t="s">
        <v>14</v>
      </c>
      <c r="B1319" t="s">
        <v>127</v>
      </c>
      <c r="C1319" t="s">
        <v>22</v>
      </c>
      <c r="D1319" t="s">
        <v>23</v>
      </c>
      <c r="E1319" t="s">
        <v>18</v>
      </c>
      <c r="F1319" t="s">
        <v>1791</v>
      </c>
      <c r="G1319" s="2">
        <f t="shared" si="40"/>
        <v>41222</v>
      </c>
      <c r="H1319">
        <f>DAY(Europe_Sales_Records34[[#This Row],[Order Date Fixed]])</f>
        <v>9</v>
      </c>
      <c r="I1319" t="str">
        <f>TEXT(Europe_Sales_Records34[[#This Row],[Order Date Fixed]],"MMM")</f>
        <v>Nov</v>
      </c>
      <c r="J1319">
        <f>YEAR(Europe_Sales_Records34[[#This Row],[Order Date Fixed]])</f>
        <v>2012</v>
      </c>
      <c r="K1319" t="str">
        <f>TEXT(Europe_Sales_Records34[[#This Row],[Order Date Fixed]],"MMM-YYYY")</f>
        <v>Nov-2012</v>
      </c>
      <c r="L1319">
        <v>161812150</v>
      </c>
      <c r="M1319" s="2">
        <f t="shared" si="41"/>
        <v>41225</v>
      </c>
      <c r="N1319">
        <f>DAY(Europe_Sales_Records34[[#This Row],[Ship Date Fixed]])</f>
        <v>12</v>
      </c>
      <c r="O1319" t="str">
        <f>TEXT(Europe_Sales_Records34[[#This Row],[Ship Date Fixed]],"MMM")</f>
        <v>Nov</v>
      </c>
      <c r="P1319">
        <f>YEAR(Europe_Sales_Records34[[#This Row],[Ship Date Fixed]])</f>
        <v>2012</v>
      </c>
      <c r="Q1319" t="str">
        <f>TEXT(Europe_Sales_Records34[[#This Row],[Ship Date Fixed]],"MMM-YYYY")</f>
        <v>Nov-2012</v>
      </c>
      <c r="R1319" t="s">
        <v>1792</v>
      </c>
      <c r="S1319" s="3">
        <f>Europe_Sales_Records34[[#This Row],[Ship Date Fixed]]-Europe_Sales_Records34[[#This Row],[Order Date Fixed]]</f>
        <v>3</v>
      </c>
      <c r="T1319">
        <v>2666</v>
      </c>
      <c r="U1319">
        <v>109.28</v>
      </c>
      <c r="V1319">
        <v>35.840000000000003</v>
      </c>
      <c r="W1319">
        <f>Europe_Sales_Records34[[#This Row],[Total Revenue]]/Europe_Sales_Records34[[#This Row],[Units Sold]]</f>
        <v>109.27999999999999</v>
      </c>
      <c r="X1319">
        <v>291340.48</v>
      </c>
      <c r="Y1319">
        <v>95549.440000000002</v>
      </c>
      <c r="Z1319" s="4">
        <f>Europe_Sales_Records34[[#This Row],[Total Profit]]/Europe_Sales_Records34[[#This Row],[Total Revenue]]</f>
        <v>0.67203513909224022</v>
      </c>
      <c r="AA1319">
        <v>195791.04</v>
      </c>
    </row>
    <row r="1320" spans="1:27" x14ac:dyDescent="0.3">
      <c r="A1320" t="s">
        <v>14</v>
      </c>
      <c r="B1320" t="s">
        <v>135</v>
      </c>
      <c r="C1320" t="s">
        <v>75</v>
      </c>
      <c r="D1320" t="s">
        <v>17</v>
      </c>
      <c r="E1320" t="s">
        <v>54</v>
      </c>
      <c r="F1320" t="s">
        <v>854</v>
      </c>
      <c r="G1320" s="2">
        <f t="shared" si="40"/>
        <v>41435</v>
      </c>
      <c r="H1320">
        <f>DAY(Europe_Sales_Records34[[#This Row],[Order Date Fixed]])</f>
        <v>10</v>
      </c>
      <c r="I1320" t="str">
        <f>TEXT(Europe_Sales_Records34[[#This Row],[Order Date Fixed]],"MMM")</f>
        <v>Jun</v>
      </c>
      <c r="J1320">
        <f>YEAR(Europe_Sales_Records34[[#This Row],[Order Date Fixed]])</f>
        <v>2013</v>
      </c>
      <c r="K1320" t="str">
        <f>TEXT(Europe_Sales_Records34[[#This Row],[Order Date Fixed]],"MMM-YYYY")</f>
        <v>Jun-2013</v>
      </c>
      <c r="L1320">
        <v>689349019</v>
      </c>
      <c r="M1320" s="2">
        <f t="shared" si="41"/>
        <v>41478</v>
      </c>
      <c r="N1320">
        <f>DAY(Europe_Sales_Records34[[#This Row],[Ship Date Fixed]])</f>
        <v>23</v>
      </c>
      <c r="O1320" t="str">
        <f>TEXT(Europe_Sales_Records34[[#This Row],[Ship Date Fixed]],"MMM")</f>
        <v>Jul</v>
      </c>
      <c r="P1320">
        <f>YEAR(Europe_Sales_Records34[[#This Row],[Ship Date Fixed]])</f>
        <v>2013</v>
      </c>
      <c r="Q1320" t="str">
        <f>TEXT(Europe_Sales_Records34[[#This Row],[Ship Date Fixed]],"MMM-YYYY")</f>
        <v>Jul-2013</v>
      </c>
      <c r="R1320" t="s">
        <v>1793</v>
      </c>
      <c r="S1320" s="3">
        <f>Europe_Sales_Records34[[#This Row],[Ship Date Fixed]]-Europe_Sales_Records34[[#This Row],[Order Date Fixed]]</f>
        <v>43</v>
      </c>
      <c r="T1320">
        <v>2548</v>
      </c>
      <c r="U1320">
        <v>437.2</v>
      </c>
      <c r="V1320">
        <v>263.33</v>
      </c>
      <c r="W1320">
        <f>Europe_Sales_Records34[[#This Row],[Total Revenue]]/Europe_Sales_Records34[[#This Row],[Units Sold]]</f>
        <v>437.20000000000005</v>
      </c>
      <c r="X1320">
        <v>1113985.6000000001</v>
      </c>
      <c r="Y1320">
        <v>670964.84</v>
      </c>
      <c r="Z1320" s="4">
        <f>Europe_Sales_Records34[[#This Row],[Total Profit]]/Europe_Sales_Records34[[#This Row],[Total Revenue]]</f>
        <v>0.39768984446477584</v>
      </c>
      <c r="AA1320">
        <v>443020.76</v>
      </c>
    </row>
    <row r="1321" spans="1:27" x14ac:dyDescent="0.3">
      <c r="A1321" t="s">
        <v>14</v>
      </c>
      <c r="B1321" t="s">
        <v>185</v>
      </c>
      <c r="C1321" t="s">
        <v>71</v>
      </c>
      <c r="D1321" t="s">
        <v>17</v>
      </c>
      <c r="E1321" t="s">
        <v>24</v>
      </c>
      <c r="F1321" t="s">
        <v>707</v>
      </c>
      <c r="G1321" s="2">
        <f t="shared" si="40"/>
        <v>40596</v>
      </c>
      <c r="H1321">
        <f>DAY(Europe_Sales_Records34[[#This Row],[Order Date Fixed]])</f>
        <v>22</v>
      </c>
      <c r="I1321" t="str">
        <f>TEXT(Europe_Sales_Records34[[#This Row],[Order Date Fixed]],"MMM")</f>
        <v>Feb</v>
      </c>
      <c r="J1321">
        <f>YEAR(Europe_Sales_Records34[[#This Row],[Order Date Fixed]])</f>
        <v>2011</v>
      </c>
      <c r="K1321" t="str">
        <f>TEXT(Europe_Sales_Records34[[#This Row],[Order Date Fixed]],"MMM-YYYY")</f>
        <v>Feb-2011</v>
      </c>
      <c r="L1321">
        <v>677851569</v>
      </c>
      <c r="M1321" s="2">
        <f t="shared" si="41"/>
        <v>40604</v>
      </c>
      <c r="N1321">
        <f>DAY(Europe_Sales_Records34[[#This Row],[Ship Date Fixed]])</f>
        <v>2</v>
      </c>
      <c r="O1321" t="str">
        <f>TEXT(Europe_Sales_Records34[[#This Row],[Ship Date Fixed]],"MMM")</f>
        <v>Mar</v>
      </c>
      <c r="P1321">
        <f>YEAR(Europe_Sales_Records34[[#This Row],[Ship Date Fixed]])</f>
        <v>2011</v>
      </c>
      <c r="Q1321" t="str">
        <f>TEXT(Europe_Sales_Records34[[#This Row],[Ship Date Fixed]],"MMM-YYYY")</f>
        <v>Mar-2011</v>
      </c>
      <c r="R1321" t="s">
        <v>1196</v>
      </c>
      <c r="S1321" s="3">
        <f>Europe_Sales_Records34[[#This Row],[Ship Date Fixed]]-Europe_Sales_Records34[[#This Row],[Order Date Fixed]]</f>
        <v>8</v>
      </c>
      <c r="T1321">
        <v>198</v>
      </c>
      <c r="U1321">
        <v>668.27</v>
      </c>
      <c r="V1321">
        <v>502.54</v>
      </c>
      <c r="W1321">
        <f>Europe_Sales_Records34[[#This Row],[Total Revenue]]/Europe_Sales_Records34[[#This Row],[Units Sold]]</f>
        <v>668.27</v>
      </c>
      <c r="X1321">
        <v>132317.46</v>
      </c>
      <c r="Y1321">
        <v>99502.92</v>
      </c>
      <c r="Z1321" s="4">
        <f>Europe_Sales_Records34[[#This Row],[Total Profit]]/Europe_Sales_Records34[[#This Row],[Total Revenue]]</f>
        <v>0.24799856345489102</v>
      </c>
      <c r="AA1321">
        <v>32814.54</v>
      </c>
    </row>
    <row r="1322" spans="1:27" x14ac:dyDescent="0.3">
      <c r="A1322" t="s">
        <v>14</v>
      </c>
      <c r="B1322" t="s">
        <v>135</v>
      </c>
      <c r="C1322" t="s">
        <v>22</v>
      </c>
      <c r="D1322" t="s">
        <v>17</v>
      </c>
      <c r="E1322" t="s">
        <v>54</v>
      </c>
      <c r="F1322" t="s">
        <v>1794</v>
      </c>
      <c r="G1322" s="2">
        <f t="shared" si="40"/>
        <v>42025</v>
      </c>
      <c r="H1322">
        <f>DAY(Europe_Sales_Records34[[#This Row],[Order Date Fixed]])</f>
        <v>21</v>
      </c>
      <c r="I1322" t="str">
        <f>TEXT(Europe_Sales_Records34[[#This Row],[Order Date Fixed]],"MMM")</f>
        <v>Jan</v>
      </c>
      <c r="J1322">
        <f>YEAR(Europe_Sales_Records34[[#This Row],[Order Date Fixed]])</f>
        <v>2015</v>
      </c>
      <c r="K1322" t="str">
        <f>TEXT(Europe_Sales_Records34[[#This Row],[Order Date Fixed]],"MMM-YYYY")</f>
        <v>Jan-2015</v>
      </c>
      <c r="L1322">
        <v>538430345</v>
      </c>
      <c r="M1322" s="2">
        <f t="shared" si="41"/>
        <v>42073</v>
      </c>
      <c r="N1322">
        <f>DAY(Europe_Sales_Records34[[#This Row],[Ship Date Fixed]])</f>
        <v>10</v>
      </c>
      <c r="O1322" t="str">
        <f>TEXT(Europe_Sales_Records34[[#This Row],[Ship Date Fixed]],"MMM")</f>
        <v>Mar</v>
      </c>
      <c r="P1322">
        <f>YEAR(Europe_Sales_Records34[[#This Row],[Ship Date Fixed]])</f>
        <v>2015</v>
      </c>
      <c r="Q1322" t="str">
        <f>TEXT(Europe_Sales_Records34[[#This Row],[Ship Date Fixed]],"MMM-YYYY")</f>
        <v>Mar-2015</v>
      </c>
      <c r="R1322" t="s">
        <v>1795</v>
      </c>
      <c r="S1322" s="3">
        <f>Europe_Sales_Records34[[#This Row],[Ship Date Fixed]]-Europe_Sales_Records34[[#This Row],[Order Date Fixed]]</f>
        <v>48</v>
      </c>
      <c r="T1322">
        <v>2359</v>
      </c>
      <c r="U1322">
        <v>109.28</v>
      </c>
      <c r="V1322">
        <v>35.840000000000003</v>
      </c>
      <c r="W1322">
        <f>Europe_Sales_Records34[[#This Row],[Total Revenue]]/Europe_Sales_Records34[[#This Row],[Units Sold]]</f>
        <v>109.28</v>
      </c>
      <c r="X1322">
        <v>257791.52</v>
      </c>
      <c r="Y1322">
        <v>84546.559999999998</v>
      </c>
      <c r="Z1322" s="4">
        <f>Europe_Sales_Records34[[#This Row],[Total Profit]]/Europe_Sales_Records34[[#This Row],[Total Revenue]]</f>
        <v>0.67203513909224011</v>
      </c>
      <c r="AA1322">
        <v>173244.96</v>
      </c>
    </row>
    <row r="1323" spans="1:27" x14ac:dyDescent="0.3">
      <c r="A1323" t="s">
        <v>14</v>
      </c>
      <c r="B1323" t="s">
        <v>49</v>
      </c>
      <c r="C1323" t="s">
        <v>16</v>
      </c>
      <c r="D1323" t="s">
        <v>23</v>
      </c>
      <c r="E1323" t="s">
        <v>54</v>
      </c>
      <c r="F1323" t="s">
        <v>1796</v>
      </c>
      <c r="G1323" s="2">
        <f t="shared" si="40"/>
        <v>40208</v>
      </c>
      <c r="H1323">
        <f>DAY(Europe_Sales_Records34[[#This Row],[Order Date Fixed]])</f>
        <v>30</v>
      </c>
      <c r="I1323" t="str">
        <f>TEXT(Europe_Sales_Records34[[#This Row],[Order Date Fixed]],"MMM")</f>
        <v>Jan</v>
      </c>
      <c r="J1323">
        <f>YEAR(Europe_Sales_Records34[[#This Row],[Order Date Fixed]])</f>
        <v>2010</v>
      </c>
      <c r="K1323" t="str">
        <f>TEXT(Europe_Sales_Records34[[#This Row],[Order Date Fixed]],"MMM-YYYY")</f>
        <v>Jan-2010</v>
      </c>
      <c r="L1323">
        <v>797461354</v>
      </c>
      <c r="M1323" s="2">
        <f t="shared" si="41"/>
        <v>40214</v>
      </c>
      <c r="N1323">
        <f>DAY(Europe_Sales_Records34[[#This Row],[Ship Date Fixed]])</f>
        <v>5</v>
      </c>
      <c r="O1323" t="str">
        <f>TEXT(Europe_Sales_Records34[[#This Row],[Ship Date Fixed]],"MMM")</f>
        <v>Feb</v>
      </c>
      <c r="P1323">
        <f>YEAR(Europe_Sales_Records34[[#This Row],[Ship Date Fixed]])</f>
        <v>2010</v>
      </c>
      <c r="Q1323" t="str">
        <f>TEXT(Europe_Sales_Records34[[#This Row],[Ship Date Fixed]],"MMM-YYYY")</f>
        <v>Feb-2010</v>
      </c>
      <c r="R1323" t="s">
        <v>304</v>
      </c>
      <c r="S1323" s="3">
        <f>Europe_Sales_Records34[[#This Row],[Ship Date Fixed]]-Europe_Sales_Records34[[#This Row],[Order Date Fixed]]</f>
        <v>6</v>
      </c>
      <c r="T1323">
        <v>5391</v>
      </c>
      <c r="U1323">
        <v>47.45</v>
      </c>
      <c r="V1323">
        <v>31.79</v>
      </c>
      <c r="W1323">
        <f>Europe_Sales_Records34[[#This Row],[Total Revenue]]/Europe_Sales_Records34[[#This Row],[Units Sold]]</f>
        <v>47.45</v>
      </c>
      <c r="X1323">
        <v>255802.95</v>
      </c>
      <c r="Y1323">
        <v>171379.89</v>
      </c>
      <c r="Z1323" s="4">
        <f>Europe_Sales_Records34[[#This Row],[Total Profit]]/Europe_Sales_Records34[[#This Row],[Total Revenue]]</f>
        <v>0.330031612223393</v>
      </c>
      <c r="AA1323">
        <v>84423.06</v>
      </c>
    </row>
    <row r="1324" spans="1:27" x14ac:dyDescent="0.3">
      <c r="A1324" t="s">
        <v>14</v>
      </c>
      <c r="B1324" t="s">
        <v>49</v>
      </c>
      <c r="C1324" t="s">
        <v>75</v>
      </c>
      <c r="D1324" t="s">
        <v>17</v>
      </c>
      <c r="E1324" t="s">
        <v>18</v>
      </c>
      <c r="F1324" t="s">
        <v>399</v>
      </c>
      <c r="G1324" s="2">
        <f t="shared" si="40"/>
        <v>41892</v>
      </c>
      <c r="H1324">
        <f>DAY(Europe_Sales_Records34[[#This Row],[Order Date Fixed]])</f>
        <v>10</v>
      </c>
      <c r="I1324" t="str">
        <f>TEXT(Europe_Sales_Records34[[#This Row],[Order Date Fixed]],"MMM")</f>
        <v>Sep</v>
      </c>
      <c r="J1324">
        <f>YEAR(Europe_Sales_Records34[[#This Row],[Order Date Fixed]])</f>
        <v>2014</v>
      </c>
      <c r="K1324" t="str">
        <f>TEXT(Europe_Sales_Records34[[#This Row],[Order Date Fixed]],"MMM-YYYY")</f>
        <v>Sep-2014</v>
      </c>
      <c r="L1324">
        <v>347609412</v>
      </c>
      <c r="M1324" s="2">
        <f t="shared" si="41"/>
        <v>41899</v>
      </c>
      <c r="N1324">
        <f>DAY(Europe_Sales_Records34[[#This Row],[Ship Date Fixed]])</f>
        <v>17</v>
      </c>
      <c r="O1324" t="str">
        <f>TEXT(Europe_Sales_Records34[[#This Row],[Ship Date Fixed]],"MMM")</f>
        <v>Sep</v>
      </c>
      <c r="P1324">
        <f>YEAR(Europe_Sales_Records34[[#This Row],[Ship Date Fixed]])</f>
        <v>2014</v>
      </c>
      <c r="Q1324" t="str">
        <f>TEXT(Europe_Sales_Records34[[#This Row],[Ship Date Fixed]],"MMM-YYYY")</f>
        <v>Sep-2014</v>
      </c>
      <c r="R1324" t="s">
        <v>400</v>
      </c>
      <c r="S1324" s="3">
        <f>Europe_Sales_Records34[[#This Row],[Ship Date Fixed]]-Europe_Sales_Records34[[#This Row],[Order Date Fixed]]</f>
        <v>7</v>
      </c>
      <c r="T1324">
        <v>4205</v>
      </c>
      <c r="U1324">
        <v>437.2</v>
      </c>
      <c r="V1324">
        <v>263.33</v>
      </c>
      <c r="W1324">
        <f>Europe_Sales_Records34[[#This Row],[Total Revenue]]/Europe_Sales_Records34[[#This Row],[Units Sold]]</f>
        <v>437.2</v>
      </c>
      <c r="X1324">
        <v>1838426</v>
      </c>
      <c r="Y1324">
        <v>1107302.6499999999</v>
      </c>
      <c r="Z1324" s="4">
        <f>Europe_Sales_Records34[[#This Row],[Total Profit]]/Europe_Sales_Records34[[#This Row],[Total Revenue]]</f>
        <v>0.39768984446477584</v>
      </c>
      <c r="AA1324">
        <v>731123.35</v>
      </c>
    </row>
    <row r="1325" spans="1:27" x14ac:dyDescent="0.3">
      <c r="A1325" t="s">
        <v>14</v>
      </c>
      <c r="B1325" t="s">
        <v>70</v>
      </c>
      <c r="C1325" t="s">
        <v>102</v>
      </c>
      <c r="D1325" t="s">
        <v>17</v>
      </c>
      <c r="E1325" t="s">
        <v>54</v>
      </c>
      <c r="F1325" t="s">
        <v>827</v>
      </c>
      <c r="G1325" s="2">
        <f t="shared" si="40"/>
        <v>40859</v>
      </c>
      <c r="H1325">
        <f>DAY(Europe_Sales_Records34[[#This Row],[Order Date Fixed]])</f>
        <v>12</v>
      </c>
      <c r="I1325" t="str">
        <f>TEXT(Europe_Sales_Records34[[#This Row],[Order Date Fixed]],"MMM")</f>
        <v>Nov</v>
      </c>
      <c r="J1325">
        <f>YEAR(Europe_Sales_Records34[[#This Row],[Order Date Fixed]])</f>
        <v>2011</v>
      </c>
      <c r="K1325" t="str">
        <f>TEXT(Europe_Sales_Records34[[#This Row],[Order Date Fixed]],"MMM-YYYY")</f>
        <v>Nov-2011</v>
      </c>
      <c r="L1325">
        <v>473845756</v>
      </c>
      <c r="M1325" s="2">
        <f t="shared" si="41"/>
        <v>40893</v>
      </c>
      <c r="N1325">
        <f>DAY(Europe_Sales_Records34[[#This Row],[Ship Date Fixed]])</f>
        <v>16</v>
      </c>
      <c r="O1325" t="str">
        <f>TEXT(Europe_Sales_Records34[[#This Row],[Ship Date Fixed]],"MMM")</f>
        <v>Dec</v>
      </c>
      <c r="P1325">
        <f>YEAR(Europe_Sales_Records34[[#This Row],[Ship Date Fixed]])</f>
        <v>2011</v>
      </c>
      <c r="Q1325" t="str">
        <f>TEXT(Europe_Sales_Records34[[#This Row],[Ship Date Fixed]],"MMM-YYYY")</f>
        <v>Dec-2011</v>
      </c>
      <c r="R1325" t="s">
        <v>1797</v>
      </c>
      <c r="S1325" s="3">
        <f>Europe_Sales_Records34[[#This Row],[Ship Date Fixed]]-Europe_Sales_Records34[[#This Row],[Order Date Fixed]]</f>
        <v>34</v>
      </c>
      <c r="T1325">
        <v>344</v>
      </c>
      <c r="U1325">
        <v>81.73</v>
      </c>
      <c r="V1325">
        <v>56.67</v>
      </c>
      <c r="W1325">
        <f>Europe_Sales_Records34[[#This Row],[Total Revenue]]/Europe_Sales_Records34[[#This Row],[Units Sold]]</f>
        <v>81.73</v>
      </c>
      <c r="X1325">
        <v>28115.119999999999</v>
      </c>
      <c r="Y1325">
        <v>19494.48</v>
      </c>
      <c r="Z1325" s="4">
        <f>Europe_Sales_Records34[[#This Row],[Total Profit]]/Europe_Sales_Records34[[#This Row],[Total Revenue]]</f>
        <v>0.30661935641747218</v>
      </c>
      <c r="AA1325">
        <v>8620.64</v>
      </c>
    </row>
    <row r="1326" spans="1:27" x14ac:dyDescent="0.3">
      <c r="A1326" t="s">
        <v>14</v>
      </c>
      <c r="B1326" t="s">
        <v>264</v>
      </c>
      <c r="C1326" t="s">
        <v>46</v>
      </c>
      <c r="D1326" t="s">
        <v>23</v>
      </c>
      <c r="E1326" t="s">
        <v>18</v>
      </c>
      <c r="F1326" t="s">
        <v>1798</v>
      </c>
      <c r="G1326" s="2">
        <f t="shared" si="40"/>
        <v>40548</v>
      </c>
      <c r="H1326">
        <f>DAY(Europe_Sales_Records34[[#This Row],[Order Date Fixed]])</f>
        <v>5</v>
      </c>
      <c r="I1326" t="str">
        <f>TEXT(Europe_Sales_Records34[[#This Row],[Order Date Fixed]],"MMM")</f>
        <v>Jan</v>
      </c>
      <c r="J1326">
        <f>YEAR(Europe_Sales_Records34[[#This Row],[Order Date Fixed]])</f>
        <v>2011</v>
      </c>
      <c r="K1326" t="str">
        <f>TEXT(Europe_Sales_Records34[[#This Row],[Order Date Fixed]],"MMM-YYYY")</f>
        <v>Jan-2011</v>
      </c>
      <c r="L1326">
        <v>180479466</v>
      </c>
      <c r="M1326" s="2">
        <f t="shared" si="41"/>
        <v>40555</v>
      </c>
      <c r="N1326">
        <f>DAY(Europe_Sales_Records34[[#This Row],[Ship Date Fixed]])</f>
        <v>12</v>
      </c>
      <c r="O1326" t="str">
        <f>TEXT(Europe_Sales_Records34[[#This Row],[Ship Date Fixed]],"MMM")</f>
        <v>Jan</v>
      </c>
      <c r="P1326">
        <f>YEAR(Europe_Sales_Records34[[#This Row],[Ship Date Fixed]])</f>
        <v>2011</v>
      </c>
      <c r="Q1326" t="str">
        <f>TEXT(Europe_Sales_Records34[[#This Row],[Ship Date Fixed]],"MMM-YYYY")</f>
        <v>Jan-2011</v>
      </c>
      <c r="R1326" t="s">
        <v>1274</v>
      </c>
      <c r="S1326" s="3">
        <f>Europe_Sales_Records34[[#This Row],[Ship Date Fixed]]-Europe_Sales_Records34[[#This Row],[Order Date Fixed]]</f>
        <v>7</v>
      </c>
      <c r="T1326">
        <v>6740</v>
      </c>
      <c r="U1326">
        <v>154.06</v>
      </c>
      <c r="V1326">
        <v>90.93</v>
      </c>
      <c r="W1326">
        <f>Europe_Sales_Records34[[#This Row],[Total Revenue]]/Europe_Sales_Records34[[#This Row],[Units Sold]]</f>
        <v>154.06</v>
      </c>
      <c r="X1326">
        <v>1038364.4</v>
      </c>
      <c r="Y1326">
        <v>612868.19999999995</v>
      </c>
      <c r="Z1326" s="4">
        <f>Europe_Sales_Records34[[#This Row],[Total Profit]]/Europe_Sales_Records34[[#This Row],[Total Revenue]]</f>
        <v>0.40977541217707386</v>
      </c>
      <c r="AA1326">
        <v>425496.2</v>
      </c>
    </row>
    <row r="1327" spans="1:27" x14ac:dyDescent="0.3">
      <c r="A1327" t="s">
        <v>14</v>
      </c>
      <c r="B1327" t="s">
        <v>115</v>
      </c>
      <c r="C1327" t="s">
        <v>102</v>
      </c>
      <c r="D1327" t="s">
        <v>17</v>
      </c>
      <c r="E1327" t="s">
        <v>24</v>
      </c>
      <c r="F1327" t="s">
        <v>1799</v>
      </c>
      <c r="G1327" s="2">
        <f t="shared" si="40"/>
        <v>41653</v>
      </c>
      <c r="H1327">
        <f>DAY(Europe_Sales_Records34[[#This Row],[Order Date Fixed]])</f>
        <v>14</v>
      </c>
      <c r="I1327" t="str">
        <f>TEXT(Europe_Sales_Records34[[#This Row],[Order Date Fixed]],"MMM")</f>
        <v>Jan</v>
      </c>
      <c r="J1327">
        <f>YEAR(Europe_Sales_Records34[[#This Row],[Order Date Fixed]])</f>
        <v>2014</v>
      </c>
      <c r="K1327" t="str">
        <f>TEXT(Europe_Sales_Records34[[#This Row],[Order Date Fixed]],"MMM-YYYY")</f>
        <v>Jan-2014</v>
      </c>
      <c r="L1327">
        <v>634033286</v>
      </c>
      <c r="M1327" s="2">
        <f t="shared" si="41"/>
        <v>41654</v>
      </c>
      <c r="N1327">
        <f>DAY(Europe_Sales_Records34[[#This Row],[Ship Date Fixed]])</f>
        <v>15</v>
      </c>
      <c r="O1327" t="str">
        <f>TEXT(Europe_Sales_Records34[[#This Row],[Ship Date Fixed]],"MMM")</f>
        <v>Jan</v>
      </c>
      <c r="P1327">
        <f>YEAR(Europe_Sales_Records34[[#This Row],[Ship Date Fixed]])</f>
        <v>2014</v>
      </c>
      <c r="Q1327" t="str">
        <f>TEXT(Europe_Sales_Records34[[#This Row],[Ship Date Fixed]],"MMM-YYYY")</f>
        <v>Jan-2014</v>
      </c>
      <c r="R1327" t="s">
        <v>1800</v>
      </c>
      <c r="S1327" s="3">
        <f>Europe_Sales_Records34[[#This Row],[Ship Date Fixed]]-Europe_Sales_Records34[[#This Row],[Order Date Fixed]]</f>
        <v>1</v>
      </c>
      <c r="T1327">
        <v>3394</v>
      </c>
      <c r="U1327">
        <v>81.73</v>
      </c>
      <c r="V1327">
        <v>56.67</v>
      </c>
      <c r="W1327">
        <f>Europe_Sales_Records34[[#This Row],[Total Revenue]]/Europe_Sales_Records34[[#This Row],[Units Sold]]</f>
        <v>81.73</v>
      </c>
      <c r="X1327">
        <v>277391.62</v>
      </c>
      <c r="Y1327">
        <v>192337.98</v>
      </c>
      <c r="Z1327" s="4">
        <f>Europe_Sales_Records34[[#This Row],[Total Profit]]/Europe_Sales_Records34[[#This Row],[Total Revenue]]</f>
        <v>0.30661935641747218</v>
      </c>
      <c r="AA1327">
        <v>85053.64</v>
      </c>
    </row>
    <row r="1328" spans="1:27" x14ac:dyDescent="0.3">
      <c r="A1328" t="s">
        <v>14</v>
      </c>
      <c r="B1328" t="s">
        <v>74</v>
      </c>
      <c r="C1328" t="s">
        <v>28</v>
      </c>
      <c r="D1328" t="s">
        <v>17</v>
      </c>
      <c r="E1328" t="s">
        <v>33</v>
      </c>
      <c r="F1328" t="s">
        <v>512</v>
      </c>
      <c r="G1328" s="2">
        <f t="shared" si="40"/>
        <v>41743</v>
      </c>
      <c r="H1328">
        <f>DAY(Europe_Sales_Records34[[#This Row],[Order Date Fixed]])</f>
        <v>14</v>
      </c>
      <c r="I1328" t="str">
        <f>TEXT(Europe_Sales_Records34[[#This Row],[Order Date Fixed]],"MMM")</f>
        <v>Apr</v>
      </c>
      <c r="J1328">
        <f>YEAR(Europe_Sales_Records34[[#This Row],[Order Date Fixed]])</f>
        <v>2014</v>
      </c>
      <c r="K1328" t="str">
        <f>TEXT(Europe_Sales_Records34[[#This Row],[Order Date Fixed]],"MMM-YYYY")</f>
        <v>Apr-2014</v>
      </c>
      <c r="L1328">
        <v>559183347</v>
      </c>
      <c r="M1328" s="2">
        <f t="shared" si="41"/>
        <v>41780</v>
      </c>
      <c r="N1328">
        <f>DAY(Europe_Sales_Records34[[#This Row],[Ship Date Fixed]])</f>
        <v>21</v>
      </c>
      <c r="O1328" t="str">
        <f>TEXT(Europe_Sales_Records34[[#This Row],[Ship Date Fixed]],"MMM")</f>
        <v>May</v>
      </c>
      <c r="P1328">
        <f>YEAR(Europe_Sales_Records34[[#This Row],[Ship Date Fixed]])</f>
        <v>2014</v>
      </c>
      <c r="Q1328" t="str">
        <f>TEXT(Europe_Sales_Records34[[#This Row],[Ship Date Fixed]],"MMM-YYYY")</f>
        <v>May-2014</v>
      </c>
      <c r="R1328" t="s">
        <v>1533</v>
      </c>
      <c r="S1328" s="3">
        <f>Europe_Sales_Records34[[#This Row],[Ship Date Fixed]]-Europe_Sales_Records34[[#This Row],[Order Date Fixed]]</f>
        <v>37</v>
      </c>
      <c r="T1328">
        <v>3633</v>
      </c>
      <c r="U1328">
        <v>205.7</v>
      </c>
      <c r="V1328">
        <v>117.11</v>
      </c>
      <c r="W1328">
        <f>Europe_Sales_Records34[[#This Row],[Total Revenue]]/Europe_Sales_Records34[[#This Row],[Units Sold]]</f>
        <v>205.7</v>
      </c>
      <c r="X1328">
        <v>747308.1</v>
      </c>
      <c r="Y1328">
        <v>425460.63</v>
      </c>
      <c r="Z1328" s="4">
        <f>Europe_Sales_Records34[[#This Row],[Total Profit]]/Europe_Sales_Records34[[#This Row],[Total Revenue]]</f>
        <v>0.43067574137092851</v>
      </c>
      <c r="AA1328">
        <v>321847.46999999997</v>
      </c>
    </row>
    <row r="1329" spans="1:27" x14ac:dyDescent="0.3">
      <c r="A1329" t="s">
        <v>14</v>
      </c>
      <c r="B1329" t="s">
        <v>122</v>
      </c>
      <c r="C1329" t="s">
        <v>50</v>
      </c>
      <c r="D1329" t="s">
        <v>17</v>
      </c>
      <c r="E1329" t="s">
        <v>24</v>
      </c>
      <c r="F1329" t="s">
        <v>1762</v>
      </c>
      <c r="G1329" s="2">
        <f t="shared" si="40"/>
        <v>42317</v>
      </c>
      <c r="H1329">
        <f>DAY(Europe_Sales_Records34[[#This Row],[Order Date Fixed]])</f>
        <v>9</v>
      </c>
      <c r="I1329" t="str">
        <f>TEXT(Europe_Sales_Records34[[#This Row],[Order Date Fixed]],"MMM")</f>
        <v>Nov</v>
      </c>
      <c r="J1329">
        <f>YEAR(Europe_Sales_Records34[[#This Row],[Order Date Fixed]])</f>
        <v>2015</v>
      </c>
      <c r="K1329" t="str">
        <f>TEXT(Europe_Sales_Records34[[#This Row],[Order Date Fixed]],"MMM-YYYY")</f>
        <v>Nov-2015</v>
      </c>
      <c r="L1329">
        <v>781416594</v>
      </c>
      <c r="M1329" s="2">
        <f t="shared" si="41"/>
        <v>42361</v>
      </c>
      <c r="N1329">
        <f>DAY(Europe_Sales_Records34[[#This Row],[Ship Date Fixed]])</f>
        <v>23</v>
      </c>
      <c r="O1329" t="str">
        <f>TEXT(Europe_Sales_Records34[[#This Row],[Ship Date Fixed]],"MMM")</f>
        <v>Dec</v>
      </c>
      <c r="P1329">
        <f>YEAR(Europe_Sales_Records34[[#This Row],[Ship Date Fixed]])</f>
        <v>2015</v>
      </c>
      <c r="Q1329" t="str">
        <f>TEXT(Europe_Sales_Records34[[#This Row],[Ship Date Fixed]],"MMM-YYYY")</f>
        <v>Dec-2015</v>
      </c>
      <c r="R1329" t="s">
        <v>1760</v>
      </c>
      <c r="S1329" s="3">
        <f>Europe_Sales_Records34[[#This Row],[Ship Date Fixed]]-Europe_Sales_Records34[[#This Row],[Order Date Fixed]]</f>
        <v>44</v>
      </c>
      <c r="T1329">
        <v>7390</v>
      </c>
      <c r="U1329">
        <v>421.89</v>
      </c>
      <c r="V1329">
        <v>364.69</v>
      </c>
      <c r="W1329">
        <f>Europe_Sales_Records34[[#This Row],[Total Revenue]]/Europe_Sales_Records34[[#This Row],[Units Sold]]</f>
        <v>421.89</v>
      </c>
      <c r="X1329">
        <v>3117767.1</v>
      </c>
      <c r="Y1329">
        <v>2695059.1</v>
      </c>
      <c r="Z1329" s="4">
        <f>Europe_Sales_Records34[[#This Row],[Total Profit]]/Europe_Sales_Records34[[#This Row],[Total Revenue]]</f>
        <v>0.13558036455000119</v>
      </c>
      <c r="AA1329">
        <v>422708</v>
      </c>
    </row>
    <row r="1330" spans="1:27" x14ac:dyDescent="0.3">
      <c r="A1330" t="s">
        <v>14</v>
      </c>
      <c r="B1330" t="s">
        <v>127</v>
      </c>
      <c r="C1330" t="s">
        <v>22</v>
      </c>
      <c r="D1330" t="s">
        <v>17</v>
      </c>
      <c r="E1330" t="s">
        <v>54</v>
      </c>
      <c r="F1330" t="s">
        <v>1801</v>
      </c>
      <c r="G1330" s="2">
        <f t="shared" si="40"/>
        <v>41038</v>
      </c>
      <c r="H1330">
        <f>DAY(Europe_Sales_Records34[[#This Row],[Order Date Fixed]])</f>
        <v>9</v>
      </c>
      <c r="I1330" t="str">
        <f>TEXT(Europe_Sales_Records34[[#This Row],[Order Date Fixed]],"MMM")</f>
        <v>May</v>
      </c>
      <c r="J1330">
        <f>YEAR(Europe_Sales_Records34[[#This Row],[Order Date Fixed]])</f>
        <v>2012</v>
      </c>
      <c r="K1330" t="str">
        <f>TEXT(Europe_Sales_Records34[[#This Row],[Order Date Fixed]],"MMM-YYYY")</f>
        <v>May-2012</v>
      </c>
      <c r="L1330">
        <v>713357150</v>
      </c>
      <c r="M1330" s="2">
        <f t="shared" si="41"/>
        <v>41063</v>
      </c>
      <c r="N1330">
        <f>DAY(Europe_Sales_Records34[[#This Row],[Ship Date Fixed]])</f>
        <v>3</v>
      </c>
      <c r="O1330" t="str">
        <f>TEXT(Europe_Sales_Records34[[#This Row],[Ship Date Fixed]],"MMM")</f>
        <v>Jun</v>
      </c>
      <c r="P1330">
        <f>YEAR(Europe_Sales_Records34[[#This Row],[Ship Date Fixed]])</f>
        <v>2012</v>
      </c>
      <c r="Q1330" t="str">
        <f>TEXT(Europe_Sales_Records34[[#This Row],[Ship Date Fixed]],"MMM-YYYY")</f>
        <v>Jun-2012</v>
      </c>
      <c r="R1330" t="s">
        <v>566</v>
      </c>
      <c r="S1330" s="3">
        <f>Europe_Sales_Records34[[#This Row],[Ship Date Fixed]]-Europe_Sales_Records34[[#This Row],[Order Date Fixed]]</f>
        <v>25</v>
      </c>
      <c r="T1330">
        <v>7088</v>
      </c>
      <c r="U1330">
        <v>109.28</v>
      </c>
      <c r="V1330">
        <v>35.840000000000003</v>
      </c>
      <c r="W1330">
        <f>Europe_Sales_Records34[[#This Row],[Total Revenue]]/Europe_Sales_Records34[[#This Row],[Units Sold]]</f>
        <v>109.28</v>
      </c>
      <c r="X1330">
        <v>774576.64000000001</v>
      </c>
      <c r="Y1330">
        <v>254033.92000000001</v>
      </c>
      <c r="Z1330" s="4">
        <f>Europe_Sales_Records34[[#This Row],[Total Profit]]/Europe_Sales_Records34[[#This Row],[Total Revenue]]</f>
        <v>0.67203513909224011</v>
      </c>
      <c r="AA1330">
        <v>520542.71999999997</v>
      </c>
    </row>
    <row r="1331" spans="1:27" x14ac:dyDescent="0.3">
      <c r="A1331" t="s">
        <v>14</v>
      </c>
      <c r="B1331" t="s">
        <v>53</v>
      </c>
      <c r="C1331" t="s">
        <v>22</v>
      </c>
      <c r="D1331" t="s">
        <v>23</v>
      </c>
      <c r="E1331" t="s">
        <v>33</v>
      </c>
      <c r="F1331" t="s">
        <v>1802</v>
      </c>
      <c r="G1331" s="2">
        <f t="shared" si="40"/>
        <v>41751</v>
      </c>
      <c r="H1331">
        <f>DAY(Europe_Sales_Records34[[#This Row],[Order Date Fixed]])</f>
        <v>22</v>
      </c>
      <c r="I1331" t="str">
        <f>TEXT(Europe_Sales_Records34[[#This Row],[Order Date Fixed]],"MMM")</f>
        <v>Apr</v>
      </c>
      <c r="J1331">
        <f>YEAR(Europe_Sales_Records34[[#This Row],[Order Date Fixed]])</f>
        <v>2014</v>
      </c>
      <c r="K1331" t="str">
        <f>TEXT(Europe_Sales_Records34[[#This Row],[Order Date Fixed]],"MMM-YYYY")</f>
        <v>Apr-2014</v>
      </c>
      <c r="L1331">
        <v>906794202</v>
      </c>
      <c r="M1331" s="2">
        <f t="shared" si="41"/>
        <v>41770</v>
      </c>
      <c r="N1331">
        <f>DAY(Europe_Sales_Records34[[#This Row],[Ship Date Fixed]])</f>
        <v>11</v>
      </c>
      <c r="O1331" t="str">
        <f>TEXT(Europe_Sales_Records34[[#This Row],[Ship Date Fixed]],"MMM")</f>
        <v>May</v>
      </c>
      <c r="P1331">
        <f>YEAR(Europe_Sales_Records34[[#This Row],[Ship Date Fixed]])</f>
        <v>2014</v>
      </c>
      <c r="Q1331" t="str">
        <f>TEXT(Europe_Sales_Records34[[#This Row],[Ship Date Fixed]],"MMM-YYYY")</f>
        <v>May-2014</v>
      </c>
      <c r="R1331" t="s">
        <v>1803</v>
      </c>
      <c r="S1331" s="3">
        <f>Europe_Sales_Records34[[#This Row],[Ship Date Fixed]]-Europe_Sales_Records34[[#This Row],[Order Date Fixed]]</f>
        <v>19</v>
      </c>
      <c r="T1331">
        <v>9410</v>
      </c>
      <c r="U1331">
        <v>109.28</v>
      </c>
      <c r="V1331">
        <v>35.840000000000003</v>
      </c>
      <c r="W1331">
        <f>Europe_Sales_Records34[[#This Row],[Total Revenue]]/Europe_Sales_Records34[[#This Row],[Units Sold]]</f>
        <v>109.28</v>
      </c>
      <c r="X1331">
        <v>1028324.8</v>
      </c>
      <c r="Y1331">
        <v>337254.40000000002</v>
      </c>
      <c r="Z1331" s="4">
        <f>Europe_Sales_Records34[[#This Row],[Total Profit]]/Europe_Sales_Records34[[#This Row],[Total Revenue]]</f>
        <v>0.67203513909224011</v>
      </c>
      <c r="AA1331">
        <v>691070.4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57DA-986D-43A7-876D-D48FC8AEC2F7}">
  <dimension ref="A1:B14"/>
  <sheetViews>
    <sheetView workbookViewId="0">
      <selection sqref="A1:B14"/>
    </sheetView>
  </sheetViews>
  <sheetFormatPr defaultRowHeight="14.4" x14ac:dyDescent="0.3"/>
  <cols>
    <col min="1" max="1" width="13.88671875" customWidth="1"/>
    <col min="2" max="2" width="26.44140625" customWidth="1"/>
  </cols>
  <sheetData>
    <row r="1" spans="1:2" x14ac:dyDescent="0.3">
      <c r="A1" s="1" t="s">
        <v>1804</v>
      </c>
      <c r="B1" s="1" t="s">
        <v>1805</v>
      </c>
    </row>
    <row r="2" spans="1:2" x14ac:dyDescent="0.3">
      <c r="A2" t="s">
        <v>0</v>
      </c>
      <c r="B2" t="s">
        <v>1806</v>
      </c>
    </row>
    <row r="3" spans="1:2" x14ac:dyDescent="0.3">
      <c r="A3" t="s">
        <v>1</v>
      </c>
      <c r="B3" t="s">
        <v>1807</v>
      </c>
    </row>
    <row r="4" spans="1:2" x14ac:dyDescent="0.3">
      <c r="A4" t="s">
        <v>2</v>
      </c>
      <c r="B4" t="s">
        <v>1808</v>
      </c>
    </row>
    <row r="5" spans="1:2" x14ac:dyDescent="0.3">
      <c r="A5" t="s">
        <v>3</v>
      </c>
      <c r="B5" t="s">
        <v>1809</v>
      </c>
    </row>
    <row r="6" spans="1:2" x14ac:dyDescent="0.3">
      <c r="A6" t="s">
        <v>4</v>
      </c>
      <c r="B6" t="s">
        <v>1810</v>
      </c>
    </row>
    <row r="7" spans="1:2" x14ac:dyDescent="0.3">
      <c r="A7" t="s">
        <v>5</v>
      </c>
      <c r="B7" t="s">
        <v>1811</v>
      </c>
    </row>
    <row r="8" spans="1:2" x14ac:dyDescent="0.3">
      <c r="A8" t="s">
        <v>7</v>
      </c>
      <c r="B8" t="s">
        <v>1812</v>
      </c>
    </row>
    <row r="9" spans="1:2" x14ac:dyDescent="0.3">
      <c r="A9" t="s">
        <v>8</v>
      </c>
      <c r="B9" t="s">
        <v>1813</v>
      </c>
    </row>
    <row r="10" spans="1:2" x14ac:dyDescent="0.3">
      <c r="A10" t="s">
        <v>9</v>
      </c>
      <c r="B10" t="s">
        <v>1814</v>
      </c>
    </row>
    <row r="11" spans="1:2" x14ac:dyDescent="0.3">
      <c r="A11" t="s">
        <v>10</v>
      </c>
      <c r="B11" t="s">
        <v>1815</v>
      </c>
    </row>
    <row r="12" spans="1:2" x14ac:dyDescent="0.3">
      <c r="A12" t="s">
        <v>11</v>
      </c>
      <c r="B12" t="s">
        <v>1816</v>
      </c>
    </row>
    <row r="13" spans="1:2" x14ac:dyDescent="0.3">
      <c r="A13" t="s">
        <v>12</v>
      </c>
      <c r="B13" t="s">
        <v>1817</v>
      </c>
    </row>
    <row r="14" spans="1:2" x14ac:dyDescent="0.3">
      <c r="A14" t="s">
        <v>13</v>
      </c>
      <c r="B14" t="s">
        <v>1818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50DE7-2F54-4E50-83AE-85BD80E4AC76}">
  <dimension ref="D2:K30"/>
  <sheetViews>
    <sheetView topLeftCell="B1" zoomScaleNormal="100" workbookViewId="0">
      <selection activeCell="G24" sqref="G24"/>
    </sheetView>
  </sheetViews>
  <sheetFormatPr defaultRowHeight="14.4" x14ac:dyDescent="0.3"/>
  <cols>
    <col min="4" max="4" width="13.109375" bestFit="1" customWidth="1"/>
    <col min="5" max="5" width="16.88671875" bestFit="1" customWidth="1"/>
    <col min="6" max="6" width="23.88671875" bestFit="1" customWidth="1"/>
    <col min="9" max="9" width="12.5546875" bestFit="1" customWidth="1"/>
    <col min="10" max="10" width="22.6640625" bestFit="1" customWidth="1"/>
    <col min="11" max="11" width="16.88671875" bestFit="1" customWidth="1"/>
  </cols>
  <sheetData>
    <row r="2" spans="4:11" ht="18" x14ac:dyDescent="0.35">
      <c r="D2" s="8" t="s">
        <v>1840</v>
      </c>
      <c r="E2" s="9"/>
      <c r="F2" s="9"/>
      <c r="I2" s="8" t="s">
        <v>1838</v>
      </c>
      <c r="J2" s="9"/>
      <c r="K2" s="9"/>
    </row>
    <row r="3" spans="4:11" x14ac:dyDescent="0.3">
      <c r="D3" s="5" t="s">
        <v>1832</v>
      </c>
      <c r="E3" t="s">
        <v>1834</v>
      </c>
      <c r="F3" t="s">
        <v>1835</v>
      </c>
      <c r="I3" s="5" t="s">
        <v>1832</v>
      </c>
      <c r="J3" t="s">
        <v>1834</v>
      </c>
      <c r="K3" t="s">
        <v>1835</v>
      </c>
    </row>
    <row r="4" spans="4:11" x14ac:dyDescent="0.3">
      <c r="D4" s="6" t="s">
        <v>14</v>
      </c>
      <c r="E4" s="7">
        <v>1703622398.1099987</v>
      </c>
      <c r="F4" s="3">
        <v>501676048.32000005</v>
      </c>
      <c r="I4" s="6" t="s">
        <v>17</v>
      </c>
      <c r="J4" s="7">
        <v>873253613.78000045</v>
      </c>
      <c r="K4" s="7">
        <v>253708108.12999991</v>
      </c>
    </row>
    <row r="5" spans="4:11" x14ac:dyDescent="0.3">
      <c r="D5" s="6" t="s">
        <v>1833</v>
      </c>
      <c r="E5" s="7">
        <v>1703622398.1099987</v>
      </c>
      <c r="F5" s="3">
        <v>501676048.32000005</v>
      </c>
      <c r="I5" s="6" t="s">
        <v>23</v>
      </c>
      <c r="J5" s="7">
        <v>830368784.32999909</v>
      </c>
      <c r="K5" s="7">
        <v>247967940.18999988</v>
      </c>
    </row>
    <row r="6" spans="4:11" x14ac:dyDescent="0.3">
      <c r="I6" s="6" t="s">
        <v>1833</v>
      </c>
      <c r="J6" s="7">
        <v>1703622398.1099997</v>
      </c>
      <c r="K6" s="7">
        <v>501676048.31999981</v>
      </c>
    </row>
    <row r="8" spans="4:11" ht="18" x14ac:dyDescent="0.35">
      <c r="D8" s="8" t="s">
        <v>1842</v>
      </c>
      <c r="E8" s="11"/>
      <c r="F8" s="11"/>
    </row>
    <row r="9" spans="4:11" ht="18" x14ac:dyDescent="0.35">
      <c r="D9" s="5" t="s">
        <v>1832</v>
      </c>
      <c r="E9" t="s">
        <v>1835</v>
      </c>
      <c r="F9" t="s">
        <v>1836</v>
      </c>
      <c r="I9" s="8" t="s">
        <v>1839</v>
      </c>
      <c r="J9" s="8"/>
    </row>
    <row r="10" spans="4:11" x14ac:dyDescent="0.3">
      <c r="D10" s="6" t="s">
        <v>64</v>
      </c>
      <c r="E10" s="7">
        <v>53940997.160000011</v>
      </c>
      <c r="F10" s="10">
        <v>0.37550924475086139</v>
      </c>
      <c r="I10" s="5" t="s">
        <v>1832</v>
      </c>
      <c r="J10" t="s">
        <v>1837</v>
      </c>
    </row>
    <row r="11" spans="4:11" x14ac:dyDescent="0.3">
      <c r="D11" s="6" t="s">
        <v>16</v>
      </c>
      <c r="E11" s="7">
        <v>9601662.7799999993</v>
      </c>
      <c r="F11" s="10">
        <v>0.33003161222339356</v>
      </c>
      <c r="I11" s="6" t="s">
        <v>18</v>
      </c>
      <c r="J11" s="3">
        <v>23.693811074918568</v>
      </c>
    </row>
    <row r="12" spans="4:11" x14ac:dyDescent="0.3">
      <c r="D12" s="6" t="s">
        <v>28</v>
      </c>
      <c r="E12" s="7">
        <v>41255034.150000013</v>
      </c>
      <c r="F12" s="10">
        <v>0.43067574137092834</v>
      </c>
      <c r="I12" s="6" t="s">
        <v>54</v>
      </c>
      <c r="J12" s="3">
        <v>24.319402985074628</v>
      </c>
    </row>
    <row r="13" spans="4:11" x14ac:dyDescent="0.3">
      <c r="D13" s="6" t="s">
        <v>22</v>
      </c>
      <c r="E13" s="7">
        <v>43431314.400000013</v>
      </c>
      <c r="F13" s="10">
        <v>0.67203513909223955</v>
      </c>
      <c r="I13" s="6" t="s">
        <v>33</v>
      </c>
      <c r="J13" s="3">
        <v>25.098802395209582</v>
      </c>
    </row>
    <row r="14" spans="4:11" x14ac:dyDescent="0.3">
      <c r="D14" s="6" t="s">
        <v>75</v>
      </c>
      <c r="E14" s="7">
        <v>92723306.170000046</v>
      </c>
      <c r="F14" s="10">
        <v>0.39768984446477634</v>
      </c>
      <c r="I14" s="6" t="s">
        <v>24</v>
      </c>
      <c r="J14" s="3">
        <v>25.841807909604519</v>
      </c>
    </row>
    <row r="15" spans="4:11" x14ac:dyDescent="0.3">
      <c r="D15" s="6" t="s">
        <v>37</v>
      </c>
      <c r="E15" s="7">
        <v>1425929.52</v>
      </c>
      <c r="F15" s="10">
        <v>0.25830653804930376</v>
      </c>
      <c r="I15" s="6" t="s">
        <v>1833</v>
      </c>
      <c r="J15" s="3">
        <v>24.775939849624059</v>
      </c>
    </row>
    <row r="16" spans="4:11" x14ac:dyDescent="0.3">
      <c r="D16" s="6" t="s">
        <v>71</v>
      </c>
      <c r="E16" s="7">
        <v>72962466.769999996</v>
      </c>
      <c r="F16" s="10">
        <v>0.24799856345489132</v>
      </c>
    </row>
    <row r="17" spans="4:10" x14ac:dyDescent="0.3">
      <c r="D17" s="6" t="s">
        <v>50</v>
      </c>
      <c r="E17" s="7">
        <v>30509107.200000007</v>
      </c>
      <c r="F17" s="10">
        <v>0.13558036455000139</v>
      </c>
    </row>
    <row r="18" spans="4:10" x14ac:dyDescent="0.3">
      <c r="D18" s="6" t="s">
        <v>32</v>
      </c>
      <c r="E18" s="7">
        <v>77977176.25</v>
      </c>
      <c r="F18" s="10">
        <v>0.19386987300563541</v>
      </c>
    </row>
    <row r="19" spans="4:10" x14ac:dyDescent="0.3">
      <c r="D19" s="6" t="s">
        <v>102</v>
      </c>
      <c r="E19" s="7">
        <v>14045628.800000008</v>
      </c>
      <c r="F19" s="10">
        <v>0.30661935641747168</v>
      </c>
    </row>
    <row r="20" spans="4:10" ht="18" x14ac:dyDescent="0.35">
      <c r="D20" s="6" t="s">
        <v>58</v>
      </c>
      <c r="E20" s="7">
        <v>27027422.399999995</v>
      </c>
      <c r="F20" s="10">
        <v>0.36138419189933224</v>
      </c>
      <c r="I20" s="8" t="s">
        <v>1841</v>
      </c>
      <c r="J20" s="8"/>
    </row>
    <row r="21" spans="4:10" x14ac:dyDescent="0.3">
      <c r="D21" s="6" t="s">
        <v>46</v>
      </c>
      <c r="E21" s="7">
        <v>36776002.719999991</v>
      </c>
      <c r="F21" s="10">
        <v>0.40977541217707431</v>
      </c>
      <c r="I21" s="5" t="s">
        <v>1832</v>
      </c>
      <c r="J21" t="s">
        <v>1834</v>
      </c>
    </row>
    <row r="22" spans="4:10" x14ac:dyDescent="0.3">
      <c r="D22" s="6" t="s">
        <v>1833</v>
      </c>
      <c r="E22" s="7">
        <v>501676048.31999999</v>
      </c>
      <c r="F22" s="10">
        <v>0.34085007235278592</v>
      </c>
      <c r="I22" s="6">
        <v>2010</v>
      </c>
      <c r="J22" s="7">
        <v>209382247.40000001</v>
      </c>
    </row>
    <row r="23" spans="4:10" x14ac:dyDescent="0.3">
      <c r="I23" s="6">
        <v>2011</v>
      </c>
      <c r="J23" s="7">
        <v>231937556.67000002</v>
      </c>
    </row>
    <row r="24" spans="4:10" x14ac:dyDescent="0.3">
      <c r="I24" s="6">
        <v>2012</v>
      </c>
      <c r="J24" s="7">
        <v>285485891.75999993</v>
      </c>
    </row>
    <row r="25" spans="4:10" x14ac:dyDescent="0.3">
      <c r="I25" s="6">
        <v>2013</v>
      </c>
      <c r="J25" s="7">
        <v>182962359.28000012</v>
      </c>
    </row>
    <row r="26" spans="4:10" x14ac:dyDescent="0.3">
      <c r="I26" s="6">
        <v>2014</v>
      </c>
      <c r="J26" s="7">
        <v>237778813.23000002</v>
      </c>
    </row>
    <row r="27" spans="4:10" x14ac:dyDescent="0.3">
      <c r="I27" s="6">
        <v>2015</v>
      </c>
      <c r="J27" s="7">
        <v>227954098.84000003</v>
      </c>
    </row>
    <row r="28" spans="4:10" x14ac:dyDescent="0.3">
      <c r="I28" s="6">
        <v>2016</v>
      </c>
      <c r="J28" s="7">
        <v>191520956.77000004</v>
      </c>
    </row>
    <row r="29" spans="4:10" x14ac:dyDescent="0.3">
      <c r="I29" s="6">
        <v>2017</v>
      </c>
      <c r="J29" s="7">
        <v>136600474.15999997</v>
      </c>
    </row>
    <row r="30" spans="4:10" x14ac:dyDescent="0.3">
      <c r="I30" s="6" t="s">
        <v>1833</v>
      </c>
      <c r="J30" s="7">
        <v>1703622398.1100001</v>
      </c>
    </row>
  </sheetData>
  <mergeCells count="5">
    <mergeCell ref="D2:F2"/>
    <mergeCell ref="D8:F8"/>
    <mergeCell ref="I2:K2"/>
    <mergeCell ref="I9:J9"/>
    <mergeCell ref="I20:J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E1A42-7154-4BB1-A3A5-168632A7A08F}">
  <dimension ref="A1:AB50"/>
  <sheetViews>
    <sheetView tabSelected="1" topLeftCell="A2" zoomScale="68" zoomScaleNormal="70" workbookViewId="0">
      <selection activeCell="O29" sqref="O29"/>
    </sheetView>
  </sheetViews>
  <sheetFormatPr defaultRowHeight="14.4" x14ac:dyDescent="0.3"/>
  <cols>
    <col min="1" max="4" width="8.88671875" style="15"/>
    <col min="5" max="5" width="10.77734375" style="15" customWidth="1"/>
    <col min="6" max="16384" width="8.88671875" style="15"/>
  </cols>
  <sheetData>
    <row r="1" spans="1:28" x14ac:dyDescent="0.3">
      <c r="A1" s="14" t="s">
        <v>1843</v>
      </c>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row>
    <row r="3" spans="1:28"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28"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row>
    <row r="5" spans="1:28" x14ac:dyDescent="0.3">
      <c r="A5" s="16"/>
      <c r="B5" s="16"/>
      <c r="C5" s="16"/>
      <c r="D5" s="16"/>
      <c r="E5" s="16"/>
      <c r="F5" s="12"/>
      <c r="G5" s="12"/>
      <c r="H5" s="12"/>
      <c r="I5" s="12"/>
      <c r="J5" s="12"/>
      <c r="K5" s="12"/>
      <c r="L5" s="12"/>
      <c r="M5" s="12"/>
      <c r="N5" s="12"/>
      <c r="O5" s="12"/>
      <c r="P5" s="12"/>
      <c r="Q5" s="12"/>
      <c r="R5" s="12"/>
      <c r="S5" s="12"/>
      <c r="T5" s="12"/>
      <c r="U5" s="12"/>
      <c r="V5" s="12"/>
      <c r="W5" s="12"/>
      <c r="X5" s="12"/>
      <c r="Y5" s="12"/>
      <c r="Z5" s="12"/>
      <c r="AA5" s="12"/>
      <c r="AB5" s="12"/>
    </row>
    <row r="6" spans="1:28" x14ac:dyDescent="0.3">
      <c r="A6" s="16"/>
      <c r="B6" s="16"/>
      <c r="C6" s="16"/>
      <c r="D6" s="16"/>
      <c r="E6" s="16"/>
      <c r="F6" s="12"/>
      <c r="G6" s="12"/>
      <c r="H6" s="12"/>
      <c r="I6" s="12"/>
      <c r="J6" s="12"/>
      <c r="K6" s="12"/>
      <c r="L6" s="12"/>
      <c r="M6" s="12"/>
      <c r="N6" s="12"/>
      <c r="O6" s="12"/>
      <c r="P6" s="12"/>
      <c r="Q6" s="12"/>
      <c r="R6" s="12"/>
      <c r="S6" s="12"/>
      <c r="T6" s="12"/>
      <c r="U6" s="12"/>
      <c r="V6" s="12"/>
      <c r="W6" s="12"/>
      <c r="X6" s="12"/>
      <c r="Y6" s="12"/>
      <c r="Z6" s="12"/>
      <c r="AA6" s="12"/>
      <c r="AB6" s="12"/>
    </row>
    <row r="7" spans="1:28" x14ac:dyDescent="0.3">
      <c r="A7" s="16"/>
      <c r="B7" s="16"/>
      <c r="C7" s="16"/>
      <c r="D7" s="16"/>
      <c r="E7" s="16"/>
      <c r="F7" s="12"/>
      <c r="G7" s="12"/>
      <c r="H7" s="12"/>
      <c r="I7" s="12"/>
      <c r="J7" s="12"/>
      <c r="K7" s="12"/>
      <c r="L7" s="12"/>
      <c r="M7" s="12"/>
      <c r="N7" s="12"/>
      <c r="O7" s="12"/>
      <c r="P7" s="12"/>
      <c r="Q7" s="12"/>
      <c r="R7" s="12"/>
      <c r="S7" s="12"/>
      <c r="T7" s="12"/>
      <c r="U7" s="12"/>
      <c r="V7" s="12"/>
      <c r="W7" s="12"/>
      <c r="X7" s="12"/>
      <c r="Y7" s="12"/>
      <c r="Z7" s="12"/>
      <c r="AA7" s="12"/>
      <c r="AB7" s="12"/>
    </row>
    <row r="8" spans="1:28" x14ac:dyDescent="0.3">
      <c r="A8" s="16"/>
      <c r="B8" s="16"/>
      <c r="C8" s="16"/>
      <c r="D8" s="16"/>
      <c r="E8" s="16"/>
      <c r="F8" s="12"/>
      <c r="G8" s="12"/>
      <c r="H8" s="12"/>
      <c r="I8" s="12"/>
      <c r="J8" s="12"/>
      <c r="K8" s="12"/>
      <c r="L8" s="12"/>
      <c r="M8" s="12"/>
      <c r="N8" s="12"/>
      <c r="O8" s="12"/>
      <c r="P8" s="12"/>
      <c r="Q8" s="12"/>
      <c r="R8" s="12"/>
      <c r="S8" s="12"/>
      <c r="T8" s="12"/>
      <c r="U8" s="12"/>
      <c r="V8" s="12"/>
      <c r="W8" s="12"/>
      <c r="X8" s="12"/>
      <c r="Y8" s="12"/>
      <c r="Z8" s="12"/>
      <c r="AA8" s="12"/>
      <c r="AB8" s="12"/>
    </row>
    <row r="9" spans="1:28" x14ac:dyDescent="0.3">
      <c r="A9" s="16"/>
      <c r="B9" s="16"/>
      <c r="C9" s="16"/>
      <c r="D9" s="16"/>
      <c r="E9" s="16"/>
      <c r="F9" s="12"/>
      <c r="G9" s="12"/>
      <c r="H9" s="12"/>
      <c r="I9" s="12"/>
      <c r="J9" s="12"/>
      <c r="K9" s="12"/>
      <c r="L9" s="12"/>
      <c r="M9" s="12"/>
      <c r="N9" s="12"/>
      <c r="O9" s="12"/>
      <c r="P9" s="12"/>
      <c r="Q9" s="12"/>
      <c r="R9" s="12"/>
      <c r="S9" s="12"/>
      <c r="T9" s="12"/>
      <c r="U9" s="12"/>
      <c r="V9" s="12"/>
      <c r="W9" s="12"/>
      <c r="X9" s="12"/>
      <c r="Y9" s="12"/>
      <c r="Z9" s="12"/>
      <c r="AA9" s="12"/>
      <c r="AB9" s="12"/>
    </row>
    <row r="10" spans="1:28" x14ac:dyDescent="0.3">
      <c r="A10" s="16"/>
      <c r="B10" s="16"/>
      <c r="C10" s="16"/>
      <c r="D10" s="16"/>
      <c r="E10" s="16"/>
      <c r="F10" s="12"/>
      <c r="G10" s="12"/>
      <c r="H10" s="12"/>
      <c r="I10" s="12"/>
      <c r="J10" s="12"/>
      <c r="K10" s="12"/>
      <c r="L10" s="12"/>
      <c r="M10" s="12"/>
      <c r="N10" s="12"/>
      <c r="O10" s="12"/>
      <c r="P10" s="12"/>
      <c r="Q10" s="12"/>
      <c r="R10" s="12"/>
      <c r="S10" s="12"/>
      <c r="T10" s="12"/>
      <c r="U10" s="12"/>
      <c r="V10" s="12"/>
      <c r="W10" s="12"/>
      <c r="X10" s="12"/>
      <c r="Y10" s="12"/>
      <c r="Z10" s="12"/>
      <c r="AA10" s="12"/>
      <c r="AB10" s="12"/>
    </row>
    <row r="11" spans="1:28" x14ac:dyDescent="0.3">
      <c r="A11" s="16"/>
      <c r="B11" s="16"/>
      <c r="C11" s="16"/>
      <c r="D11" s="16"/>
      <c r="E11" s="16"/>
      <c r="F11" s="12"/>
      <c r="G11" s="12"/>
      <c r="H11" s="12"/>
      <c r="I11" s="12"/>
      <c r="J11" s="12"/>
      <c r="K11" s="12"/>
      <c r="L11" s="12"/>
      <c r="M11" s="12"/>
      <c r="N11" s="12"/>
      <c r="O11" s="12"/>
      <c r="P11" s="12"/>
      <c r="Q11" s="12"/>
      <c r="R11" s="12"/>
      <c r="S11" s="12"/>
      <c r="T11" s="12"/>
      <c r="U11" s="12"/>
      <c r="V11" s="12"/>
      <c r="W11" s="12"/>
      <c r="X11" s="12"/>
      <c r="Y11" s="12"/>
      <c r="Z11" s="12"/>
      <c r="AA11" s="12"/>
      <c r="AB11" s="12"/>
    </row>
    <row r="12" spans="1:28" x14ac:dyDescent="0.3">
      <c r="A12" s="16"/>
      <c r="B12" s="16"/>
      <c r="C12" s="16"/>
      <c r="D12" s="16"/>
      <c r="E12" s="16"/>
      <c r="F12" s="12"/>
      <c r="G12" s="12"/>
      <c r="H12" s="12"/>
      <c r="I12" s="12"/>
      <c r="J12" s="12"/>
      <c r="K12" s="12"/>
      <c r="L12" s="12"/>
      <c r="M12" s="12"/>
      <c r="N12" s="12"/>
      <c r="O12" s="12"/>
      <c r="P12" s="12"/>
      <c r="Q12" s="12"/>
      <c r="R12" s="12"/>
      <c r="S12" s="12"/>
      <c r="T12" s="12"/>
      <c r="U12" s="12"/>
      <c r="V12" s="12"/>
      <c r="W12" s="12"/>
      <c r="X12" s="12"/>
      <c r="Y12" s="12"/>
      <c r="Z12" s="12"/>
      <c r="AA12" s="12"/>
      <c r="AB12" s="12"/>
    </row>
    <row r="13" spans="1:28" x14ac:dyDescent="0.3">
      <c r="A13" s="16"/>
      <c r="B13" s="16"/>
      <c r="C13" s="16"/>
      <c r="D13" s="16"/>
      <c r="E13" s="16"/>
      <c r="F13" s="12"/>
      <c r="G13" s="12"/>
      <c r="H13" s="12"/>
      <c r="I13" s="12"/>
      <c r="J13" s="12"/>
      <c r="K13" s="12"/>
      <c r="L13" s="12"/>
      <c r="M13" s="12"/>
      <c r="N13" s="12"/>
      <c r="O13" s="12"/>
      <c r="P13" s="12"/>
      <c r="Q13" s="12"/>
      <c r="R13" s="12"/>
      <c r="S13" s="12"/>
      <c r="T13" s="12"/>
      <c r="U13" s="12"/>
      <c r="V13" s="12"/>
      <c r="W13" s="12"/>
      <c r="X13" s="12"/>
      <c r="Y13" s="12"/>
      <c r="Z13" s="12"/>
      <c r="AA13" s="12"/>
      <c r="AB13" s="12"/>
    </row>
    <row r="14" spans="1:28" x14ac:dyDescent="0.3">
      <c r="A14" s="16"/>
      <c r="B14" s="16"/>
      <c r="C14" s="16"/>
      <c r="D14" s="16"/>
      <c r="E14" s="16"/>
      <c r="F14" s="12"/>
      <c r="G14" s="12"/>
      <c r="H14" s="12"/>
      <c r="I14" s="12"/>
      <c r="J14" s="12"/>
      <c r="K14" s="12"/>
      <c r="L14" s="12"/>
      <c r="M14" s="12"/>
      <c r="N14" s="12"/>
      <c r="O14" s="12"/>
      <c r="P14" s="12"/>
      <c r="Q14" s="12"/>
      <c r="R14" s="12"/>
      <c r="S14" s="12"/>
      <c r="T14" s="12"/>
      <c r="U14" s="12"/>
      <c r="V14" s="12"/>
      <c r="W14" s="12"/>
      <c r="X14" s="12"/>
      <c r="Y14" s="12"/>
      <c r="Z14" s="12"/>
      <c r="AA14" s="12"/>
      <c r="AB14" s="12"/>
    </row>
    <row r="15" spans="1:28" x14ac:dyDescent="0.3">
      <c r="A15" s="16"/>
      <c r="B15" s="16"/>
      <c r="C15" s="16"/>
      <c r="D15" s="16"/>
      <c r="E15" s="16"/>
      <c r="F15" s="12"/>
      <c r="G15" s="12"/>
      <c r="H15" s="12"/>
      <c r="I15" s="12"/>
      <c r="J15" s="12"/>
      <c r="K15" s="12"/>
      <c r="L15" s="12"/>
      <c r="M15" s="12"/>
      <c r="N15" s="12"/>
      <c r="O15" s="12"/>
      <c r="P15" s="12"/>
      <c r="Q15" s="12"/>
      <c r="R15" s="12"/>
      <c r="S15" s="12"/>
      <c r="T15" s="12"/>
      <c r="U15" s="12"/>
      <c r="V15" s="12"/>
      <c r="W15" s="12"/>
      <c r="X15" s="12"/>
      <c r="Y15" s="12"/>
      <c r="Z15" s="12"/>
      <c r="AA15" s="12"/>
      <c r="AB15" s="12"/>
    </row>
    <row r="16" spans="1:28" x14ac:dyDescent="0.3">
      <c r="A16" s="16"/>
      <c r="B16" s="16"/>
      <c r="C16" s="16"/>
      <c r="D16" s="16"/>
      <c r="E16" s="16"/>
      <c r="F16" s="12"/>
      <c r="G16" s="12"/>
      <c r="H16" s="12"/>
      <c r="I16" s="12"/>
      <c r="J16" s="12"/>
      <c r="K16" s="12"/>
      <c r="L16" s="12"/>
      <c r="M16" s="12"/>
      <c r="N16" s="12"/>
      <c r="O16" s="12"/>
      <c r="P16" s="12"/>
      <c r="Q16" s="12"/>
      <c r="R16" s="12"/>
      <c r="S16" s="12"/>
      <c r="T16" s="12"/>
      <c r="U16" s="12"/>
      <c r="V16" s="12"/>
      <c r="W16" s="12"/>
      <c r="X16" s="12"/>
      <c r="Y16" s="12"/>
      <c r="Z16" s="12"/>
      <c r="AA16" s="12"/>
      <c r="AB16" s="12"/>
    </row>
    <row r="17" spans="1:28" x14ac:dyDescent="0.3">
      <c r="A17" s="16"/>
      <c r="B17" s="16"/>
      <c r="C17" s="16"/>
      <c r="D17" s="16"/>
      <c r="E17" s="16"/>
      <c r="F17" s="12"/>
      <c r="G17" s="12"/>
      <c r="H17" s="12"/>
      <c r="I17" s="12"/>
      <c r="J17" s="12"/>
      <c r="K17" s="12"/>
      <c r="L17" s="12"/>
      <c r="M17" s="12"/>
      <c r="N17" s="12"/>
      <c r="O17" s="12"/>
      <c r="P17" s="12"/>
      <c r="Q17" s="12"/>
      <c r="R17" s="12"/>
      <c r="S17" s="12"/>
      <c r="T17" s="12"/>
      <c r="U17" s="12"/>
      <c r="V17" s="12"/>
      <c r="W17" s="12"/>
      <c r="X17" s="12"/>
      <c r="Y17" s="12"/>
      <c r="Z17" s="12"/>
      <c r="AA17" s="12"/>
      <c r="AB17" s="12"/>
    </row>
    <row r="18" spans="1:28" x14ac:dyDescent="0.3">
      <c r="A18" s="16"/>
      <c r="B18" s="16"/>
      <c r="C18" s="16"/>
      <c r="D18" s="16"/>
      <c r="E18" s="16"/>
      <c r="F18" s="12"/>
      <c r="G18" s="12"/>
      <c r="H18" s="12"/>
      <c r="I18" s="12"/>
      <c r="J18" s="12"/>
      <c r="K18" s="12"/>
      <c r="L18" s="12"/>
      <c r="M18" s="12"/>
      <c r="N18" s="12"/>
      <c r="O18" s="12"/>
      <c r="P18" s="12"/>
      <c r="Q18" s="12"/>
      <c r="R18" s="12"/>
      <c r="S18" s="12"/>
      <c r="T18" s="12"/>
      <c r="U18" s="12"/>
      <c r="V18" s="12"/>
      <c r="W18" s="12"/>
      <c r="X18" s="12"/>
      <c r="Y18" s="12"/>
      <c r="Z18" s="12"/>
      <c r="AA18" s="12"/>
      <c r="AB18" s="12"/>
    </row>
    <row r="19" spans="1:28" x14ac:dyDescent="0.3">
      <c r="A19" s="16"/>
      <c r="B19" s="16"/>
      <c r="C19" s="16"/>
      <c r="D19" s="16"/>
      <c r="E19" s="16"/>
      <c r="F19" s="12"/>
      <c r="G19" s="12"/>
      <c r="H19" s="12"/>
      <c r="I19" s="12"/>
      <c r="J19" s="12"/>
      <c r="K19" s="12"/>
      <c r="L19" s="12"/>
      <c r="M19" s="12"/>
      <c r="N19" s="12"/>
      <c r="O19" s="12"/>
      <c r="P19" s="12"/>
      <c r="Q19" s="12"/>
      <c r="R19" s="12"/>
      <c r="S19" s="12"/>
      <c r="T19" s="12"/>
      <c r="U19" s="12"/>
      <c r="V19" s="12"/>
      <c r="W19" s="12"/>
      <c r="X19" s="12"/>
      <c r="Y19" s="12"/>
      <c r="Z19" s="12"/>
      <c r="AA19" s="12"/>
      <c r="AB19" s="12"/>
    </row>
    <row r="20" spans="1:28" x14ac:dyDescent="0.3">
      <c r="A20" s="16"/>
      <c r="B20" s="16"/>
      <c r="C20" s="16"/>
      <c r="D20" s="16"/>
      <c r="E20" s="16"/>
      <c r="F20" s="12"/>
      <c r="G20" s="12"/>
      <c r="H20" s="12"/>
      <c r="I20" s="12"/>
      <c r="J20" s="12"/>
      <c r="K20" s="12"/>
      <c r="L20" s="12"/>
      <c r="M20" s="12"/>
      <c r="N20" s="12"/>
      <c r="O20" s="12"/>
      <c r="P20" s="12"/>
      <c r="Q20" s="12"/>
      <c r="R20" s="12"/>
      <c r="S20" s="12"/>
      <c r="T20" s="12"/>
      <c r="U20" s="12"/>
      <c r="V20" s="12"/>
      <c r="W20" s="12"/>
      <c r="X20" s="12"/>
      <c r="Y20" s="12"/>
      <c r="Z20" s="12"/>
      <c r="AA20" s="12"/>
      <c r="AB20" s="12"/>
    </row>
    <row r="21" spans="1:28" x14ac:dyDescent="0.3">
      <c r="A21" s="16"/>
      <c r="B21" s="16"/>
      <c r="C21" s="16"/>
      <c r="D21" s="16"/>
      <c r="E21" s="16"/>
      <c r="F21" s="12"/>
      <c r="G21" s="12"/>
      <c r="H21" s="12"/>
      <c r="I21" s="12"/>
      <c r="J21" s="12"/>
      <c r="K21" s="12"/>
      <c r="L21" s="12"/>
      <c r="M21" s="12"/>
      <c r="N21" s="12"/>
      <c r="O21" s="12"/>
      <c r="P21" s="12"/>
      <c r="Q21" s="12"/>
      <c r="R21" s="12"/>
      <c r="S21" s="12"/>
      <c r="T21" s="12"/>
      <c r="U21" s="12"/>
      <c r="V21" s="12"/>
      <c r="W21" s="12"/>
      <c r="X21" s="12"/>
      <c r="Y21" s="12"/>
      <c r="Z21" s="12"/>
      <c r="AA21" s="12"/>
      <c r="AB21" s="12"/>
    </row>
    <row r="22" spans="1:28" x14ac:dyDescent="0.3">
      <c r="A22" s="16"/>
      <c r="B22" s="16"/>
      <c r="C22" s="16"/>
      <c r="D22" s="16"/>
      <c r="E22" s="16"/>
      <c r="F22" s="12"/>
      <c r="G22" s="12"/>
      <c r="H22" s="12"/>
      <c r="I22" s="12"/>
      <c r="J22" s="12"/>
      <c r="K22" s="12"/>
      <c r="L22" s="12"/>
      <c r="M22" s="12"/>
      <c r="N22" s="12"/>
      <c r="O22" s="12"/>
      <c r="P22" s="12"/>
      <c r="Q22" s="12"/>
      <c r="R22" s="12"/>
      <c r="S22" s="12"/>
      <c r="T22" s="12"/>
      <c r="U22" s="12"/>
      <c r="V22" s="12"/>
      <c r="W22" s="12"/>
      <c r="X22" s="12"/>
      <c r="Y22" s="12"/>
      <c r="Z22" s="12"/>
      <c r="AA22" s="12"/>
      <c r="AB22" s="12"/>
    </row>
    <row r="23" spans="1:28" x14ac:dyDescent="0.3">
      <c r="A23" s="16"/>
      <c r="B23" s="16"/>
      <c r="C23" s="16"/>
      <c r="D23" s="16"/>
      <c r="E23" s="16"/>
      <c r="F23" s="12"/>
      <c r="G23" s="12"/>
      <c r="H23" s="12"/>
      <c r="I23" s="12"/>
      <c r="J23" s="12"/>
      <c r="K23" s="12"/>
      <c r="L23" s="12"/>
      <c r="M23" s="12"/>
      <c r="N23" s="12"/>
      <c r="O23" s="12"/>
      <c r="P23" s="12"/>
      <c r="Q23" s="12"/>
      <c r="R23" s="12"/>
      <c r="S23" s="12"/>
      <c r="T23" s="12"/>
      <c r="U23" s="12"/>
      <c r="V23" s="12"/>
      <c r="W23" s="12"/>
      <c r="X23" s="12"/>
      <c r="Y23" s="12"/>
      <c r="Z23" s="12"/>
      <c r="AA23" s="12"/>
      <c r="AB23" s="12"/>
    </row>
    <row r="24" spans="1:28" x14ac:dyDescent="0.3">
      <c r="A24" s="16"/>
      <c r="B24" s="16"/>
      <c r="C24" s="16"/>
      <c r="D24" s="16"/>
      <c r="E24" s="16"/>
      <c r="F24" s="12"/>
      <c r="G24" s="12"/>
      <c r="H24" s="12"/>
      <c r="I24" s="12"/>
      <c r="J24" s="12"/>
      <c r="K24" s="12"/>
      <c r="L24" s="12"/>
      <c r="M24" s="12"/>
      <c r="N24" s="12"/>
      <c r="O24" s="12"/>
      <c r="P24" s="12"/>
      <c r="Q24" s="12"/>
      <c r="R24" s="12"/>
      <c r="S24" s="12"/>
      <c r="T24" s="12"/>
      <c r="U24" s="12"/>
      <c r="V24" s="12"/>
      <c r="W24" s="12"/>
      <c r="X24" s="12"/>
      <c r="Y24" s="12"/>
      <c r="Z24" s="12"/>
      <c r="AA24" s="12"/>
      <c r="AB24" s="12"/>
    </row>
    <row r="25" spans="1:28" x14ac:dyDescent="0.3">
      <c r="A25" s="16"/>
      <c r="B25" s="16"/>
      <c r="C25" s="16"/>
      <c r="D25" s="16"/>
      <c r="E25" s="16"/>
      <c r="F25" s="12"/>
      <c r="G25" s="12"/>
      <c r="H25" s="12"/>
      <c r="I25" s="12"/>
      <c r="J25" s="12"/>
      <c r="K25" s="12"/>
      <c r="L25" s="12"/>
      <c r="M25" s="12"/>
      <c r="N25" s="12"/>
      <c r="O25" s="12"/>
      <c r="P25" s="12"/>
      <c r="Q25" s="12"/>
      <c r="R25" s="12"/>
      <c r="S25" s="12"/>
      <c r="T25" s="12"/>
      <c r="U25" s="12"/>
      <c r="V25" s="12"/>
      <c r="W25" s="12"/>
      <c r="X25" s="12"/>
      <c r="Y25" s="12"/>
      <c r="Z25" s="12"/>
      <c r="AA25" s="12"/>
      <c r="AB25" s="12"/>
    </row>
    <row r="26" spans="1:28" x14ac:dyDescent="0.3">
      <c r="A26" s="16"/>
      <c r="B26" s="16"/>
      <c r="C26" s="16"/>
      <c r="D26" s="16"/>
      <c r="E26" s="16"/>
      <c r="F26" s="12"/>
      <c r="G26" s="12"/>
      <c r="H26" s="12"/>
      <c r="I26" s="12"/>
      <c r="J26" s="12"/>
      <c r="K26" s="12"/>
      <c r="L26" s="12"/>
      <c r="M26" s="12"/>
      <c r="N26" s="12"/>
      <c r="O26" s="12"/>
      <c r="P26" s="12"/>
      <c r="Q26" s="12"/>
      <c r="R26" s="12"/>
      <c r="S26" s="12"/>
      <c r="T26" s="12"/>
      <c r="U26" s="12"/>
      <c r="V26" s="12"/>
      <c r="W26" s="12"/>
      <c r="X26" s="12"/>
      <c r="Y26" s="12"/>
      <c r="Z26" s="12"/>
      <c r="AA26" s="12"/>
      <c r="AB26" s="12"/>
    </row>
    <row r="27" spans="1:28" x14ac:dyDescent="0.3">
      <c r="A27" s="16"/>
      <c r="B27" s="16"/>
      <c r="C27" s="16"/>
      <c r="D27" s="16"/>
      <c r="E27" s="16"/>
      <c r="F27" s="12"/>
      <c r="G27" s="12"/>
      <c r="H27" s="12"/>
      <c r="I27" s="12"/>
      <c r="J27" s="12"/>
      <c r="K27" s="12"/>
      <c r="L27" s="12"/>
      <c r="M27" s="12"/>
      <c r="N27" s="12"/>
      <c r="O27" s="12"/>
      <c r="P27" s="12"/>
      <c r="Q27" s="12"/>
      <c r="R27" s="12"/>
      <c r="S27" s="12"/>
      <c r="T27" s="12"/>
      <c r="U27" s="12"/>
      <c r="V27" s="12"/>
      <c r="W27" s="12"/>
      <c r="X27" s="12"/>
      <c r="Y27" s="12"/>
      <c r="Z27" s="12"/>
      <c r="AA27" s="12"/>
      <c r="AB27" s="12"/>
    </row>
    <row r="28" spans="1:28" x14ac:dyDescent="0.3">
      <c r="A28" s="16"/>
      <c r="B28" s="16"/>
      <c r="C28" s="16"/>
      <c r="D28" s="16"/>
      <c r="E28" s="16"/>
      <c r="F28" s="12"/>
      <c r="G28" s="12"/>
      <c r="H28" s="12"/>
      <c r="I28" s="12"/>
      <c r="J28" s="12"/>
      <c r="K28" s="12"/>
      <c r="L28" s="12"/>
      <c r="M28" s="12"/>
      <c r="N28" s="12"/>
      <c r="O28" s="12"/>
      <c r="P28" s="12"/>
      <c r="Q28" s="12"/>
      <c r="R28" s="12"/>
      <c r="S28" s="12"/>
      <c r="T28" s="12"/>
      <c r="U28" s="12"/>
      <c r="V28" s="12"/>
      <c r="W28" s="12"/>
      <c r="X28" s="12"/>
      <c r="Y28" s="12"/>
      <c r="Z28" s="12"/>
      <c r="AA28" s="12"/>
      <c r="AB28" s="12"/>
    </row>
    <row r="29" spans="1:28" x14ac:dyDescent="0.3">
      <c r="A29" s="16"/>
      <c r="B29" s="16"/>
      <c r="C29" s="16"/>
      <c r="D29" s="16"/>
      <c r="E29" s="16"/>
      <c r="F29" s="12"/>
      <c r="G29" s="12"/>
      <c r="H29" s="12"/>
      <c r="I29" s="12"/>
      <c r="J29" s="12"/>
      <c r="K29" s="12"/>
      <c r="L29" s="12"/>
      <c r="M29" s="12"/>
      <c r="N29" s="12"/>
      <c r="O29" s="12"/>
      <c r="P29" s="12"/>
      <c r="Q29" s="12"/>
      <c r="R29" s="12"/>
      <c r="S29" s="12"/>
      <c r="T29" s="12"/>
      <c r="U29" s="12"/>
      <c r="V29" s="12"/>
      <c r="W29" s="12"/>
      <c r="X29" s="12"/>
      <c r="Y29" s="12"/>
      <c r="Z29" s="12"/>
      <c r="AA29" s="12"/>
      <c r="AB29" s="12"/>
    </row>
    <row r="30" spans="1:28" x14ac:dyDescent="0.3">
      <c r="A30" s="16"/>
      <c r="B30" s="16"/>
      <c r="C30" s="16"/>
      <c r="D30" s="16"/>
      <c r="E30" s="16"/>
      <c r="F30" s="12"/>
      <c r="G30" s="12"/>
      <c r="H30" s="12"/>
      <c r="I30" s="12"/>
      <c r="J30" s="12"/>
      <c r="K30" s="12"/>
      <c r="L30" s="12"/>
      <c r="M30" s="12"/>
      <c r="N30" s="12"/>
      <c r="O30" s="12"/>
      <c r="P30" s="12"/>
      <c r="Q30" s="12"/>
      <c r="R30" s="12"/>
      <c r="S30" s="12"/>
      <c r="T30" s="12"/>
      <c r="U30" s="12"/>
      <c r="V30" s="12"/>
      <c r="W30" s="12"/>
      <c r="X30" s="12"/>
      <c r="Y30" s="12"/>
      <c r="Z30" s="12"/>
      <c r="AA30" s="12"/>
      <c r="AB30" s="12"/>
    </row>
    <row r="31" spans="1:28" x14ac:dyDescent="0.3">
      <c r="A31" s="16"/>
      <c r="B31" s="16"/>
      <c r="C31" s="16"/>
      <c r="D31" s="16"/>
      <c r="E31" s="16"/>
      <c r="F31" s="12"/>
      <c r="G31" s="12"/>
      <c r="H31" s="12"/>
      <c r="I31" s="12"/>
      <c r="J31" s="12"/>
      <c r="K31" s="12"/>
      <c r="L31" s="12"/>
      <c r="M31" s="12"/>
      <c r="N31" s="12"/>
      <c r="O31" s="12"/>
      <c r="P31" s="12"/>
      <c r="Q31" s="12"/>
      <c r="R31" s="12"/>
      <c r="S31" s="12"/>
      <c r="T31" s="12"/>
      <c r="U31" s="12"/>
      <c r="V31" s="12"/>
      <c r="W31" s="12"/>
      <c r="X31" s="12"/>
      <c r="Y31" s="12"/>
      <c r="Z31" s="12"/>
      <c r="AA31" s="12"/>
      <c r="AB31" s="12"/>
    </row>
    <row r="32" spans="1:28" x14ac:dyDescent="0.3">
      <c r="A32" s="16"/>
      <c r="B32" s="16"/>
      <c r="C32" s="16"/>
      <c r="D32" s="16"/>
      <c r="E32" s="16"/>
      <c r="F32" s="12"/>
      <c r="G32" s="12"/>
      <c r="H32" s="12"/>
      <c r="I32" s="12"/>
      <c r="J32" s="12"/>
      <c r="K32" s="12"/>
      <c r="L32" s="12"/>
      <c r="M32" s="12"/>
      <c r="N32" s="12"/>
      <c r="O32" s="12"/>
      <c r="P32" s="12"/>
      <c r="Q32" s="12"/>
      <c r="R32" s="12"/>
      <c r="S32" s="12"/>
      <c r="T32" s="12"/>
      <c r="U32" s="12"/>
      <c r="V32" s="12"/>
      <c r="W32" s="12"/>
      <c r="X32" s="12"/>
      <c r="Y32" s="12"/>
      <c r="Z32" s="12"/>
      <c r="AA32" s="12"/>
      <c r="AB32" s="12"/>
    </row>
    <row r="33" spans="1:28" x14ac:dyDescent="0.3">
      <c r="A33" s="16"/>
      <c r="B33" s="16"/>
      <c r="C33" s="16"/>
      <c r="D33" s="16"/>
      <c r="E33" s="16"/>
      <c r="F33" s="12"/>
      <c r="G33" s="12"/>
      <c r="H33" s="12"/>
      <c r="I33" s="12"/>
      <c r="J33" s="12"/>
      <c r="K33" s="12"/>
      <c r="L33" s="12"/>
      <c r="M33" s="12"/>
      <c r="N33" s="12"/>
      <c r="O33" s="12"/>
      <c r="P33" s="12"/>
      <c r="Q33" s="12"/>
      <c r="R33" s="12"/>
      <c r="S33" s="12"/>
      <c r="T33" s="12"/>
      <c r="U33" s="12"/>
      <c r="V33" s="12"/>
      <c r="W33" s="12"/>
      <c r="X33" s="12"/>
      <c r="Y33" s="12"/>
      <c r="Z33" s="12"/>
      <c r="AA33" s="12"/>
      <c r="AB33" s="12"/>
    </row>
    <row r="34" spans="1:28" x14ac:dyDescent="0.3">
      <c r="A34" s="16"/>
      <c r="B34" s="16"/>
      <c r="C34" s="16"/>
      <c r="D34" s="16"/>
      <c r="E34" s="16"/>
      <c r="F34" s="12"/>
      <c r="G34" s="12"/>
      <c r="H34" s="12"/>
      <c r="I34" s="12"/>
      <c r="J34" s="12"/>
      <c r="K34" s="12"/>
      <c r="L34" s="12"/>
      <c r="M34" s="12"/>
      <c r="N34" s="12"/>
      <c r="O34" s="12"/>
      <c r="P34" s="12"/>
      <c r="Q34" s="12"/>
      <c r="R34" s="12"/>
      <c r="S34" s="12"/>
      <c r="T34" s="12"/>
      <c r="U34" s="12"/>
      <c r="V34" s="12"/>
      <c r="W34" s="12"/>
      <c r="X34" s="12"/>
      <c r="Y34" s="12"/>
      <c r="Z34" s="12"/>
      <c r="AA34" s="12"/>
      <c r="AB34" s="12"/>
    </row>
    <row r="35" spans="1:28" x14ac:dyDescent="0.3">
      <c r="A35" s="16"/>
      <c r="B35" s="16"/>
      <c r="C35" s="16"/>
      <c r="D35" s="16"/>
      <c r="E35" s="16"/>
      <c r="F35" s="12"/>
      <c r="G35" s="12"/>
      <c r="H35" s="12"/>
      <c r="I35" s="12"/>
      <c r="J35" s="12"/>
      <c r="K35" s="12"/>
      <c r="L35" s="12"/>
      <c r="M35" s="12"/>
      <c r="N35" s="12"/>
      <c r="O35" s="12"/>
      <c r="P35" s="12"/>
      <c r="Q35" s="12"/>
      <c r="R35" s="12"/>
      <c r="S35" s="12"/>
      <c r="T35" s="12"/>
      <c r="U35" s="12"/>
      <c r="V35" s="12"/>
      <c r="W35" s="12"/>
      <c r="X35" s="12"/>
      <c r="Y35" s="12"/>
      <c r="Z35" s="12"/>
      <c r="AA35" s="12"/>
      <c r="AB35" s="12"/>
    </row>
    <row r="36" spans="1:28" x14ac:dyDescent="0.3">
      <c r="A36" s="16"/>
      <c r="B36" s="16"/>
      <c r="C36" s="16"/>
      <c r="D36" s="16"/>
      <c r="E36" s="16"/>
      <c r="F36" s="12"/>
      <c r="G36" s="12"/>
      <c r="H36" s="12"/>
      <c r="I36" s="12"/>
      <c r="J36" s="12"/>
      <c r="K36" s="12"/>
      <c r="L36" s="12"/>
      <c r="M36" s="12"/>
      <c r="N36" s="12"/>
      <c r="O36" s="12"/>
      <c r="P36" s="12"/>
      <c r="Q36" s="12"/>
      <c r="R36" s="12"/>
      <c r="S36" s="12"/>
      <c r="T36" s="12"/>
      <c r="U36" s="12"/>
      <c r="V36" s="12"/>
      <c r="W36" s="12"/>
      <c r="X36" s="12"/>
      <c r="Y36" s="12"/>
      <c r="Z36" s="12"/>
      <c r="AA36" s="12"/>
      <c r="AB36" s="12"/>
    </row>
    <row r="37" spans="1:28" x14ac:dyDescent="0.3">
      <c r="A37" s="16"/>
      <c r="B37" s="16"/>
      <c r="C37" s="16"/>
      <c r="D37" s="16"/>
      <c r="E37" s="16"/>
      <c r="F37" s="12"/>
      <c r="G37" s="12"/>
      <c r="H37" s="12"/>
      <c r="I37" s="12"/>
      <c r="J37" s="12"/>
      <c r="K37" s="12"/>
      <c r="L37" s="12"/>
      <c r="M37" s="12"/>
      <c r="N37" s="12"/>
      <c r="O37" s="12"/>
      <c r="P37" s="12"/>
      <c r="Q37" s="12"/>
      <c r="R37" s="12"/>
      <c r="S37" s="12"/>
      <c r="T37" s="12"/>
      <c r="U37" s="12"/>
      <c r="V37" s="12"/>
      <c r="W37" s="12"/>
      <c r="X37" s="12"/>
      <c r="Y37" s="12"/>
      <c r="Z37" s="12"/>
      <c r="AA37" s="12"/>
      <c r="AB37" s="12"/>
    </row>
    <row r="38" spans="1:28" x14ac:dyDescent="0.3">
      <c r="A38" s="16"/>
      <c r="B38" s="16"/>
      <c r="C38" s="16"/>
      <c r="D38" s="16"/>
      <c r="E38" s="16"/>
      <c r="F38" s="12"/>
      <c r="G38" s="12"/>
      <c r="H38" s="12"/>
      <c r="I38" s="12"/>
      <c r="J38" s="12"/>
      <c r="K38" s="12"/>
      <c r="L38" s="12"/>
      <c r="M38" s="12"/>
      <c r="N38" s="12"/>
      <c r="O38" s="12"/>
      <c r="P38" s="12"/>
      <c r="Q38" s="12"/>
      <c r="R38" s="12"/>
      <c r="S38" s="12"/>
      <c r="T38" s="12"/>
      <c r="U38" s="12"/>
      <c r="V38" s="12"/>
      <c r="W38" s="12"/>
      <c r="X38" s="12"/>
      <c r="Y38" s="12"/>
      <c r="Z38" s="12"/>
      <c r="AA38" s="12"/>
      <c r="AB38" s="12"/>
    </row>
    <row r="39" spans="1:28" x14ac:dyDescent="0.3">
      <c r="A39" s="16"/>
      <c r="B39" s="16"/>
      <c r="C39" s="16"/>
      <c r="D39" s="16"/>
      <c r="E39" s="16"/>
      <c r="F39" s="12"/>
      <c r="G39" s="12"/>
      <c r="H39" s="12"/>
      <c r="I39" s="12"/>
      <c r="J39" s="12"/>
      <c r="K39" s="12"/>
      <c r="L39" s="12"/>
      <c r="M39" s="12"/>
      <c r="N39" s="12"/>
      <c r="O39" s="12"/>
      <c r="P39" s="12"/>
      <c r="Q39" s="12"/>
      <c r="R39" s="12"/>
      <c r="S39" s="12"/>
      <c r="T39" s="12"/>
      <c r="U39" s="12"/>
      <c r="V39" s="12"/>
      <c r="W39" s="12"/>
      <c r="X39" s="12"/>
      <c r="Y39" s="12"/>
      <c r="Z39" s="12"/>
      <c r="AA39" s="12"/>
      <c r="AB39" s="12"/>
    </row>
    <row r="40" spans="1:28" x14ac:dyDescent="0.3">
      <c r="A40" s="16"/>
      <c r="B40" s="16"/>
      <c r="C40" s="16"/>
      <c r="D40" s="16"/>
      <c r="E40" s="16"/>
      <c r="F40" s="12"/>
      <c r="G40" s="12"/>
      <c r="H40" s="12"/>
      <c r="I40" s="12"/>
      <c r="J40" s="12"/>
      <c r="K40" s="12"/>
      <c r="L40" s="12"/>
      <c r="M40" s="12"/>
      <c r="N40" s="12"/>
      <c r="O40" s="12"/>
      <c r="P40" s="12"/>
      <c r="Q40" s="12"/>
      <c r="R40" s="12"/>
      <c r="S40" s="12"/>
      <c r="T40" s="12"/>
      <c r="U40" s="12"/>
      <c r="V40" s="12"/>
      <c r="W40" s="12"/>
      <c r="X40" s="12"/>
      <c r="Y40" s="12"/>
      <c r="Z40" s="12"/>
      <c r="AA40" s="12"/>
      <c r="AB40" s="12"/>
    </row>
    <row r="41" spans="1:28" x14ac:dyDescent="0.3">
      <c r="A41" s="16"/>
      <c r="B41" s="16"/>
      <c r="C41" s="16"/>
      <c r="D41" s="16"/>
      <c r="E41" s="16"/>
      <c r="F41" s="12"/>
      <c r="G41" s="12"/>
      <c r="H41" s="12"/>
      <c r="I41" s="12"/>
      <c r="J41" s="12"/>
      <c r="K41" s="12"/>
      <c r="L41" s="12"/>
      <c r="M41" s="12"/>
      <c r="N41" s="12"/>
      <c r="O41" s="12"/>
      <c r="P41" s="12"/>
      <c r="Q41" s="12"/>
      <c r="R41" s="12"/>
      <c r="S41" s="12"/>
      <c r="T41" s="12"/>
      <c r="U41" s="12"/>
      <c r="V41" s="12"/>
      <c r="W41" s="12"/>
      <c r="X41" s="12"/>
      <c r="Y41" s="12"/>
      <c r="Z41" s="12"/>
      <c r="AA41" s="12"/>
      <c r="AB41" s="12"/>
    </row>
    <row r="42" spans="1:28" x14ac:dyDescent="0.3">
      <c r="A42" s="16"/>
      <c r="B42" s="16"/>
      <c r="C42" s="16"/>
      <c r="D42" s="16"/>
      <c r="E42" s="16"/>
      <c r="F42" s="12"/>
      <c r="G42" s="12"/>
      <c r="H42" s="12"/>
      <c r="I42" s="12"/>
      <c r="J42" s="12"/>
      <c r="K42" s="12"/>
      <c r="L42" s="12"/>
      <c r="M42" s="12"/>
      <c r="N42" s="12"/>
      <c r="O42" s="12"/>
      <c r="P42" s="12"/>
      <c r="Q42" s="12"/>
      <c r="R42" s="12"/>
      <c r="S42" s="12"/>
      <c r="T42" s="12"/>
      <c r="U42" s="12"/>
      <c r="V42" s="12"/>
      <c r="W42" s="12"/>
      <c r="X42" s="12"/>
      <c r="Y42" s="12"/>
      <c r="Z42" s="12"/>
      <c r="AA42" s="12"/>
      <c r="AB42" s="12"/>
    </row>
    <row r="43" spans="1:28" x14ac:dyDescent="0.3">
      <c r="A43" s="16"/>
      <c r="B43" s="16"/>
      <c r="C43" s="16"/>
      <c r="D43" s="16"/>
      <c r="E43" s="16"/>
      <c r="F43" s="12"/>
      <c r="G43" s="12"/>
      <c r="H43" s="12"/>
      <c r="I43" s="12"/>
      <c r="J43" s="12"/>
      <c r="K43" s="12"/>
      <c r="L43" s="12"/>
      <c r="M43" s="12"/>
      <c r="N43" s="12"/>
      <c r="O43" s="12"/>
      <c r="P43" s="12"/>
      <c r="Q43" s="12"/>
      <c r="R43" s="12"/>
      <c r="S43" s="12"/>
      <c r="T43" s="12"/>
      <c r="U43" s="12"/>
      <c r="V43" s="12"/>
      <c r="W43" s="12"/>
      <c r="X43" s="12"/>
      <c r="Y43" s="12"/>
      <c r="Z43" s="12"/>
      <c r="AA43" s="12"/>
      <c r="AB43" s="12"/>
    </row>
    <row r="44" spans="1:28" x14ac:dyDescent="0.3">
      <c r="A44" s="16"/>
      <c r="B44" s="16"/>
      <c r="C44" s="16"/>
      <c r="D44" s="16"/>
      <c r="E44" s="16"/>
      <c r="F44" s="12"/>
      <c r="G44" s="12"/>
      <c r="H44" s="12"/>
      <c r="I44" s="12"/>
      <c r="J44" s="12"/>
      <c r="K44" s="12"/>
      <c r="L44" s="12"/>
      <c r="M44" s="12"/>
      <c r="N44" s="12"/>
      <c r="O44" s="12"/>
      <c r="P44" s="12"/>
      <c r="Q44" s="12"/>
      <c r="R44" s="12"/>
      <c r="S44" s="12"/>
      <c r="T44" s="12"/>
      <c r="U44" s="12"/>
      <c r="V44" s="12"/>
      <c r="W44" s="12"/>
      <c r="X44" s="12"/>
      <c r="Y44" s="12"/>
      <c r="Z44" s="12"/>
      <c r="AA44" s="12"/>
      <c r="AB44" s="12"/>
    </row>
    <row r="45" spans="1:28" x14ac:dyDescent="0.3">
      <c r="A45" s="16"/>
      <c r="B45" s="16"/>
      <c r="C45" s="16"/>
      <c r="D45" s="16"/>
      <c r="E45" s="16"/>
      <c r="F45" s="12"/>
      <c r="G45" s="12"/>
      <c r="H45" s="12"/>
      <c r="I45" s="12"/>
      <c r="J45" s="12"/>
      <c r="K45" s="12"/>
      <c r="L45" s="12"/>
      <c r="M45" s="12"/>
      <c r="N45" s="12"/>
      <c r="O45" s="12"/>
      <c r="P45" s="12"/>
      <c r="Q45" s="12"/>
      <c r="R45" s="12"/>
      <c r="S45" s="12"/>
      <c r="T45" s="12"/>
      <c r="U45" s="12"/>
      <c r="V45" s="12"/>
      <c r="W45" s="12"/>
      <c r="X45" s="12"/>
      <c r="Y45" s="12"/>
      <c r="Z45" s="12"/>
      <c r="AA45" s="12"/>
      <c r="AB45" s="12"/>
    </row>
    <row r="46" spans="1:28" x14ac:dyDescent="0.3">
      <c r="A46" s="16"/>
      <c r="B46" s="16"/>
      <c r="C46" s="16"/>
      <c r="D46" s="16"/>
      <c r="E46" s="16"/>
      <c r="F46" s="12"/>
      <c r="G46" s="12"/>
      <c r="H46" s="12"/>
      <c r="I46" s="12"/>
      <c r="J46" s="12"/>
      <c r="K46" s="12"/>
      <c r="L46" s="12"/>
      <c r="M46" s="12"/>
      <c r="N46" s="12"/>
      <c r="O46" s="12"/>
      <c r="P46" s="12"/>
      <c r="Q46" s="12"/>
      <c r="R46" s="12"/>
      <c r="S46" s="12"/>
      <c r="T46" s="12"/>
      <c r="U46" s="12"/>
      <c r="V46" s="12"/>
      <c r="W46" s="12"/>
      <c r="X46" s="12"/>
      <c r="Y46" s="12"/>
      <c r="Z46" s="12"/>
      <c r="AA46" s="12"/>
      <c r="AB46" s="12"/>
    </row>
    <row r="47" spans="1:28" x14ac:dyDescent="0.3">
      <c r="A47" s="16"/>
      <c r="B47" s="16"/>
      <c r="C47" s="16"/>
      <c r="D47" s="16"/>
      <c r="E47" s="16"/>
      <c r="F47" s="12"/>
      <c r="G47" s="12"/>
      <c r="H47" s="12"/>
      <c r="I47" s="12"/>
      <c r="J47" s="12"/>
      <c r="K47" s="12"/>
      <c r="L47" s="12"/>
      <c r="M47" s="12"/>
      <c r="N47" s="12"/>
      <c r="O47" s="12"/>
      <c r="P47" s="12"/>
      <c r="Q47" s="12"/>
      <c r="R47" s="12"/>
      <c r="S47" s="12"/>
      <c r="T47" s="12"/>
      <c r="U47" s="12"/>
      <c r="V47" s="12"/>
      <c r="W47" s="12"/>
      <c r="X47" s="12"/>
      <c r="Y47" s="12"/>
      <c r="Z47" s="12"/>
      <c r="AA47" s="12"/>
      <c r="AB47" s="12"/>
    </row>
    <row r="48" spans="1:28" x14ac:dyDescent="0.3">
      <c r="A48" s="16"/>
      <c r="B48" s="16"/>
      <c r="C48" s="16"/>
      <c r="D48" s="16"/>
      <c r="E48" s="16"/>
      <c r="F48" s="12"/>
      <c r="G48" s="12"/>
      <c r="H48" s="12"/>
      <c r="I48" s="12"/>
      <c r="J48" s="12"/>
      <c r="K48" s="12"/>
      <c r="L48" s="12"/>
      <c r="M48" s="12"/>
      <c r="N48" s="12"/>
      <c r="O48" s="12"/>
      <c r="P48" s="12"/>
      <c r="Q48" s="12"/>
      <c r="R48" s="12"/>
      <c r="S48" s="12"/>
      <c r="T48" s="12"/>
      <c r="U48" s="12"/>
      <c r="V48" s="12"/>
      <c r="W48" s="12"/>
      <c r="X48" s="12"/>
      <c r="Y48" s="12"/>
      <c r="Z48" s="12"/>
      <c r="AA48" s="12"/>
      <c r="AB48" s="12"/>
    </row>
    <row r="49" spans="1:28" x14ac:dyDescent="0.3">
      <c r="A49" s="16"/>
      <c r="B49" s="16"/>
      <c r="C49" s="16"/>
      <c r="D49" s="16"/>
      <c r="E49" s="16"/>
      <c r="F49" s="12"/>
      <c r="G49" s="12"/>
      <c r="H49" s="12"/>
      <c r="I49" s="12"/>
      <c r="J49" s="12"/>
      <c r="K49" s="12"/>
      <c r="L49" s="12"/>
      <c r="M49" s="12"/>
      <c r="N49" s="12"/>
      <c r="O49" s="12"/>
      <c r="P49" s="12"/>
      <c r="Q49" s="12"/>
      <c r="R49" s="12"/>
      <c r="S49" s="12"/>
      <c r="T49" s="12"/>
      <c r="U49" s="12"/>
      <c r="V49" s="12"/>
      <c r="W49" s="12"/>
      <c r="X49" s="12"/>
      <c r="Y49" s="12"/>
      <c r="Z49" s="12"/>
      <c r="AA49" s="12"/>
      <c r="AB49" s="12"/>
    </row>
    <row r="50" spans="1:28" x14ac:dyDescent="0.3">
      <c r="A50" s="16"/>
      <c r="B50" s="16"/>
      <c r="C50" s="16"/>
      <c r="D50" s="16"/>
      <c r="E50" s="16"/>
      <c r="F50" s="12"/>
      <c r="G50" s="12"/>
      <c r="H50" s="12"/>
      <c r="I50" s="12"/>
      <c r="J50" s="12"/>
      <c r="K50" s="12"/>
      <c r="L50" s="12"/>
      <c r="M50" s="12"/>
      <c r="N50" s="12"/>
      <c r="O50" s="12"/>
      <c r="P50" s="12"/>
      <c r="Q50" s="12"/>
      <c r="R50" s="12"/>
      <c r="S50" s="12"/>
      <c r="T50" s="12"/>
      <c r="U50" s="12"/>
      <c r="V50" s="12"/>
      <c r="W50" s="12"/>
      <c r="X50" s="12"/>
      <c r="Y50" s="12"/>
      <c r="Z50" s="12"/>
      <c r="AA50" s="12"/>
      <c r="AB50" s="12"/>
    </row>
  </sheetData>
  <mergeCells count="1">
    <mergeCell ref="A1:AB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095E7F-E596-45FF-BA95-2F98E640A5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Data_Understanding</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Latika Tewari</dc:creator>
  <cp:lastModifiedBy>Latika Tewari</cp:lastModifiedBy>
  <dcterms:created xsi:type="dcterms:W3CDTF">2026-02-07T09:02:31Z</dcterms:created>
  <dcterms:modified xsi:type="dcterms:W3CDTF">2026-02-09T19:53:47Z</dcterms:modified>
</cp:coreProperties>
</file>